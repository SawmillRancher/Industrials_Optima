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Source: earnings-release segment tables ("Segment Highlights", 8-K Ex.99.1), net sales to external customers. 2013 FY and Q1/14–Q3/15 = LECO recast in the 8-K of 10-Feb-2016 (Ex.99.1); Q4/15 derived (FY15 recast in the Q4/16 release − 9M/15 recast). Q1–Q4/13 not recast by the company (blank).</t>
        </r>
      </text>
    </comment>
    <comment ref="B13" authorId="0">
      <text>
        <r>
          <rPr>
            <sz val="10"/>
            <rFont val="Arial"/>
            <family val="2"/>
          </rPr>
          <t xml:space="preserve">Source: earnings releases — "Change in Net Sales by Segment" tables (volume / price / acquisitions / foreign exchange, USD thousands) ÷ prior-year segment net sales. Current segments from Q1/16 (legacy 5-segment tables 2010–2015 shown in the consolidated rows).</t>
        </r>
      </text>
    </comment>
    <comment ref="B20" authorId="0">
      <text>
        <r>
          <rPr>
            <sz val="10"/>
            <rFont val="Arial"/>
            <family val="2"/>
          </rPr>
          <t xml:space="preserve">Source: segment tables (inter-segment sales, eliminated in Corporate / Eliminations).</t>
        </r>
      </text>
    </comment>
    <comment ref="B23" authorId="0">
      <text>
        <r>
          <rPr>
            <sz val="10"/>
            <rFont val="Arial"/>
            <family val="2"/>
          </rPr>
          <t xml:space="preserve">Source: segment tables — "Adjusted EBIT" (2018+) / "EBIT, as adjusted" (to 2017) = segment EBIT + special items.</t>
        </r>
      </text>
    </comment>
    <comment ref="B67" authorId="0">
      <text>
        <r>
          <rPr>
            <sz val="10"/>
            <rFont val="Arial"/>
            <family val="2"/>
          </rPr>
          <t xml:space="preserve">Source: segment tables, Corporate / Eliminations column (current structure; legacy structure 2009–Q4/15 where the current one is not available).</t>
        </r>
      </text>
    </comment>
    <comment ref="B72" authorId="0">
      <text>
        <r>
          <rPr>
            <sz val="10"/>
            <rFont val="Arial"/>
            <family val="2"/>
          </rPr>
          <t xml:space="preserve">Source: earnings-release segment tables as originally reported (5-segment structure, 2008–Q4/15; 2008–09 per the recast 8-K of 17-Dec-2009). 2006–07 reported under the prior North America / Europe / Other Countries structure (not shown).</t>
        </r>
      </text>
    </comment>
    <comment ref="B133" authorId="0">
      <text>
        <r>
          <rPr>
            <sz val="10"/>
            <rFont val="Arial"/>
            <family val="2"/>
          </rPr>
          <t xml:space="preserve">Source: earnings releases (Consolidated Statements of Income, 8-K Ex.99.1) — quarters from the three-month tables, FY2013+ from the Q4-release twelve-month tables; FY2006–12 from Form 10-K. As originally reported.</t>
        </r>
      </text>
    </comment>
    <comment ref="B138" authorId="0">
      <text>
        <r>
          <rPr>
            <sz val="10"/>
            <rFont val="Arial"/>
            <family val="2"/>
          </rPr>
          <t xml:space="preserve">Income-statement line "Rationalization and asset impairment charges / net charges (gains)".</t>
        </r>
      </text>
    </comment>
    <comment ref="B139" authorId="0">
      <text>
        <r>
          <rPr>
            <sz val="10"/>
            <rFont val="Arial"/>
            <family val="2"/>
          </rPr>
          <t xml:space="preserve">Derived: gross profit − SG&amp;A − rationalization − reported operating income. Captures separate operating lines: pension settlement charges (2015–17 within operating income), loss on deconsolidation of the Venezuelan subsidiary (Q2/16), bargain purchase gain / adjustment (Q3–Q4/17, Air Liquide Welding).</t>
        </r>
      </text>
    </comment>
    <comment ref="B141" authorId="0">
      <text>
        <r>
          <rPr>
            <sz val="10"/>
            <rFont val="Arial"/>
            <family val="2"/>
          </rPr>
          <t xml:space="preserve">2006–17: interest expense − interest income (separate lines); 2018+: "Interest expense, net" as reported.</t>
        </r>
      </text>
    </comment>
    <comment ref="B143" authorId="0">
      <text>
        <r>
          <rPr>
            <sz val="10"/>
            <rFont val="Arial"/>
            <family val="2"/>
          </rPr>
          <t xml:space="preserve">Other income (expense) + equity earnings (loss) in affiliates (separate line to 2018).</t>
        </r>
      </text>
    </comment>
    <comment ref="B151" authorId="0">
      <text>
        <r>
          <rPr>
            <sz val="10"/>
            <rFont val="Arial"/>
            <family val="2"/>
          </rPr>
          <t xml:space="preserve">Source: earnings releases / 10-K — net income attributable to Lincoln Electric as reported.</t>
        </r>
      </text>
    </comment>
    <comment ref="B152" authorId="0">
      <text>
        <r>
          <rPr>
            <sz val="10"/>
            <rFont val="Arial"/>
            <family val="2"/>
          </rPr>
          <t xml:space="preserve">Source: statements of cash flows (10-Q / 10-K); quarterly = year-to-date less prior year-to-date.</t>
        </r>
      </text>
    </comment>
    <comment ref="B153" authorId="0">
      <text>
        <r>
          <rPr>
            <sz val="10"/>
            <rFont val="Arial"/>
            <family val="2"/>
          </rPr>
          <t xml:space="preserve">Source: cash-flow statement line (to 2016) / XBRL us-gaap:ShareBasedCompensation (FY).</t>
        </r>
      </text>
    </comment>
    <comment ref="B157" authorId="0">
      <text>
        <r>
          <rPr>
            <sz val="10"/>
            <rFont val="Arial"/>
            <family val="2"/>
          </rPr>
          <t xml:space="preserve">Source: earnings releases. Pre-May-2011 share counts × 2 (2-for-1 split effective 31-May-2011).</t>
        </r>
      </text>
    </comment>
    <comment ref="B162" authorId="0">
      <text>
        <r>
          <rPr>
            <sz val="10"/>
            <rFont val="Arial"/>
            <family val="2"/>
          </rPr>
          <t xml:space="preserve">Source: XBRL us-gaap:CommonStockDividendsPerShareDeclared (2008+); 2006–07 from the FY2008 10-K income statement. Pre-2011 ÷ 2 for the split. Q1/13 = $0 (Q1 dividend accelerated into Dec-2012).</t>
        </r>
      </text>
    </comment>
    <comment ref="B171" authorId="0">
      <text>
        <r>
          <rPr>
            <sz val="10"/>
            <rFont val="Arial"/>
            <family val="2"/>
          </rPr>
          <t xml:space="preserve">Source: "Non-GAAP Information" reconciliation tables in the earnings releases (Operating income / Net income as reported → adjusted). FY2006: release narrative (22-Feb-2007); FY2007–09: 10-K FY2009 MD&amp;A Non-GAAP tables.</t>
        </r>
      </text>
    </comment>
    <comment ref="B180" authorId="0">
      <text>
        <r>
          <rPr>
            <sz val="10"/>
            <rFont val="Arial"/>
            <family val="2"/>
          </rPr>
          <t xml:space="preserve">Source: 2018+ non-GAAP reconciliation ("Adjusted EBIT"); 2009–17 consolidated column of the segment table ("EBIT, as adjusted"). Not published 2006–08.</t>
        </r>
      </text>
    </comment>
    <comment ref="B193" authorId="0">
      <text>
        <r>
          <rPr>
            <sz val="10"/>
            <rFont val="Arial"/>
            <family val="2"/>
          </rPr>
          <t xml:space="preserve">Source: non-GAAP reconciliation ("Adjusted operating income"); FY2006 derived from the release narrative; FY2007–09 from the 10-K FY2009 MD&amp;A.</t>
        </r>
      </text>
    </comment>
    <comment ref="B199" authorId="0">
      <text>
        <r>
          <rPr>
            <sz val="10"/>
            <rFont val="Arial"/>
            <family val="2"/>
          </rPr>
          <t xml:space="preserve">2018+: company line "Tax effect of Special items". To 2017 LECO presented special items after tax: tax effect derived = Σ after-tax items − Σ pre-tax items. Q1/18 pension settlement pre-tax $0.758m taken from the 6M/18 table.</t>
        </r>
      </text>
    </comment>
    <comment ref="B203" authorId="0">
      <text>
        <r>
          <rPr>
            <sz val="10"/>
            <rFont val="Arial"/>
            <family val="2"/>
          </rPr>
          <t xml:space="preserve">Source: non-GAAP reconciliation ("Adjusted net income"; "Net income excluding special items" to 2009).</t>
        </r>
      </text>
    </comment>
    <comment ref="B207" authorId="0">
      <text>
        <r>
          <rPr>
            <sz val="10"/>
            <rFont val="Arial"/>
            <family val="2"/>
          </rPr>
          <t xml:space="preserve">Source: non-GAAP reconciliation ("Adjusted diluted earnings per share"); pre-May-2011 ÷ 2 for the split.</t>
        </r>
      </text>
    </comment>
    <comment ref="B230" authorId="0">
      <text>
        <r>
          <rPr>
            <sz val="10"/>
            <rFont val="Arial"/>
            <family val="2"/>
          </rPr>
          <t xml:space="preserve">Source: statements of cash flows (Form 10-Q / 10-K). Quarterly columns = discrete quarter (year-to-date less prior year-to-date). Forecast 2026E = 1H/26 actual + 2H/26E.</t>
        </r>
      </text>
    </comment>
    <comment ref="B236" authorId="0">
      <text>
        <r>
          <rPr>
            <sz val="10"/>
            <rFont val="Arial"/>
            <family val="2"/>
          </rPr>
          <t xml:space="preserve">Derived: net cash from operating activities less the itemised lines (non-cash rationalization / impairment, pension settlement charges, equity earnings, swap amortisation, other).</t>
        </r>
      </text>
    </comment>
    <comment ref="B237" authorId="0">
      <text>
        <r>
          <rPr>
            <sz val="10"/>
            <rFont val="Arial"/>
            <family val="2"/>
          </rPr>
          <t xml:space="preserve">Sum of the "Changes in operating assets and liabilities" lines as reported (incl. pension contributions and net change in other long-term assets &amp; liabilities).</t>
        </r>
      </text>
    </comment>
    <comment ref="B242" authorId="0">
      <text>
        <r>
          <rPr>
            <sz val="10"/>
            <rFont val="Arial"/>
            <family val="2"/>
          </rPr>
          <t xml:space="preserve">Derived: marketable securities purchases / maturities, investments, other.</t>
        </r>
      </text>
    </comment>
    <comment ref="B249" authorId="0">
      <text>
        <r>
          <rPr>
            <sz val="10"/>
            <rFont val="Arial"/>
            <family val="2"/>
          </rPr>
          <t xml:space="preserve">Derived: transactions with non-controlling interests, debt issuance costs, other.</t>
        </r>
      </text>
    </comment>
    <comment ref="B279" authorId="0">
      <text>
        <r>
          <rPr>
            <sz val="10"/>
            <rFont val="Arial"/>
            <family val="2"/>
          </rPr>
          <t xml:space="preserve">Source: balance sheets (Form 10-Q / 10-K, first column = period end as originally reported).</t>
        </r>
      </text>
    </comment>
    <comment ref="B282" authorId="0">
      <text>
        <r>
          <rPr>
            <sz val="10"/>
            <rFont val="Arial"/>
            <family val="2"/>
          </rPr>
          <t xml:space="preserve">Derived: total current assets less the itemised lines.</t>
        </r>
      </text>
    </comment>
    <comment ref="B285" authorId="0">
      <text>
        <r>
          <rPr>
            <sz val="10"/>
            <rFont val="Arial"/>
            <family val="2"/>
          </rPr>
          <t xml:space="preserve">Source: balance sheets; 10-Q balance sheets 2009–15 aggregate goodwill in other assets → XBRL us-gaap:Goodwill used where available.</t>
        </r>
      </text>
    </comment>
    <comment ref="B287" authorId="0">
      <text>
        <r>
          <rPr>
            <sz val="10"/>
            <rFont val="Arial"/>
            <family val="2"/>
          </rPr>
          <t xml:space="preserve">Derived: total assets less the itemised lines.</t>
        </r>
      </text>
    </comment>
    <comment ref="B293" authorId="0">
      <text>
        <r>
          <rPr>
            <sz val="10"/>
            <rFont val="Arial"/>
            <family val="2"/>
          </rPr>
          <t xml:space="preserve">Derived: total current liabilities less the itemised lines.</t>
        </r>
      </text>
    </comment>
    <comment ref="B298" authorId="0">
      <text>
        <r>
          <rPr>
            <sz val="10"/>
            <rFont val="Arial"/>
            <family val="2"/>
          </rPr>
          <t xml:space="preserve">Derived: total liabilities less the itemised lines (pensions included from 2016 when no longer shown separately).</t>
        </r>
      </text>
    </comment>
    <comment ref="B313" authorId="0">
      <text>
        <r>
          <rPr>
            <sz val="10"/>
            <rFont val="Arial"/>
            <family val="2"/>
          </rPr>
          <t xml:space="preserve">Source: balance-sheet caption "Common shares … outstanding – X shares" (10-K / 10-Q where shown).</t>
        </r>
      </text>
    </comment>
    <comment ref="B333" authorId="0">
      <text>
        <r>
          <rPr>
            <sz val="10"/>
            <rFont val="Arial"/>
            <family val="2"/>
          </rPr>
          <t xml:space="preserve">Source: 10-K FY2025 Note 9 (Debt) — 2015 / 2016 / 2024 senior unsecured notes series; 10-Q Q2/26.</t>
        </r>
      </text>
    </comment>
    <comment ref="B382" authorId="0">
      <text>
        <r>
          <rPr>
            <sz val="10"/>
            <rFont val="Arial"/>
            <family val="2"/>
          </rPr>
          <t xml:space="preserve">Input: $275.54 = LECO close on 6-Oct-2026 per public quote coverage (web search; quote sites not reachable directly from the build environment) — update to the current market price.</t>
        </r>
      </text>
    </comment>
    <comment ref="CF2" authorId="0">
      <text>
        <r>
          <rPr>
            <sz val="10"/>
            <rFont val="Arial"/>
            <family val="2"/>
          </rPr>
          <t xml:space="preserve">Scenario toggle. Choose Bull / Base / Bear. Drives: FY26 outlook end-points (net sales growth, 2H incremental margin, capex, 2H buybacks), 2027E–30E segment volume / price / Adj. EBIT margin levers, bolt-on M&amp;A spend and the minimum-leverage buyback floor (table CN9:CR80).</t>
        </r>
      </text>
    </comment>
  </commentList>
</comments>
</file>

<file path=xl/sharedStrings.xml><?xml version="1.0" encoding="utf-8"?>
<sst xmlns="http://schemas.openxmlformats.org/spreadsheetml/2006/main" count="939" uniqueCount="707">
  <si>
    <t xml:space="preserve">SCENARIO SWITCH ▼ (Bull / Base / Bear) — drives all scenario-linked forecast drivers</t>
  </si>
  <si>
    <t xml:space="preserve">Lincoln Electric Holdings, Inc. (Nasdaq: LECO) — 3-Statement Financial Model</t>
  </si>
  <si>
    <t xml:space="preserve">Base</t>
  </si>
  <si>
    <t xml:space="preserve">US GAAP as reported · USD millions (per-share data in USD; shares in millions) · Source: Lincoln Electric Forms 10-K / 10-Q and Form 8-K earnings releases (Ex. 99.1), SEC EDGAR CIK 0000059527 (investor-relations releases are the same documents as filed on EDGAR); FY26 outlook from public coverage of the Q2-26 call (ir.lincolnelectric.com slides not reachable from the build environment)</t>
  </si>
  <si>
    <t xml:space="preserve">Basis notes: calendar fiscal year. Net sales = external sales. Segments: Americas / International Welding / Harris from 2016 (2013–Q3/15 recast by LECO, 8-K 10-Feb-2016); legacy North America / Europe / Asia Pacific / South America Welding + Harris to Q4/15 (memo). Per-share data restated for the 2-for-1 split (31-May-2011). Venezuela deconsolidated Jul-2016. ASU 2017-07 (2018): pension settlements below operating income. Adjusted EBITDA is model-derived (LECO publishes Adjusted EBIT / adjusted operating income / adjusted EPS).</t>
  </si>
  <si>
    <t xml:space="preserve">Forecast</t>
  </si>
  <si>
    <t xml:space="preserve">Historical</t>
  </si>
  <si>
    <t xml:space="preserve">(USDm)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</si>
  <si>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</si>
  <si>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</si>
  <si>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</si>
  <si>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</si>
  <si>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</si>
  <si>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</si>
  <si>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</si>
  <si>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Q1/13</t>
  </si>
  <si>
    <t xml:space="preserve">Q2/13</t>
  </si>
  <si>
    <t xml:space="preserve">Q3/13</t>
  </si>
  <si>
    <t xml:space="preserve">Q4/13</t>
  </si>
  <si>
    <t xml:space="preserve">2013</t>
  </si>
  <si>
    <t xml:space="preserve">Q1/14</t>
  </si>
  <si>
    <t xml:space="preserve">Q2/14</t>
  </si>
  <si>
    <t xml:space="preserve">Q3/14</t>
  </si>
  <si>
    <t xml:space="preserve">Q4/14</t>
  </si>
  <si>
    <t xml:space="preserve">2014</t>
  </si>
  <si>
    <t xml:space="preserve">Q1/15</t>
  </si>
  <si>
    <t xml:space="preserve">Q2/15</t>
  </si>
  <si>
    <t xml:space="preserve">Q3/15</t>
  </si>
  <si>
    <t xml:space="preserve">Q4/15</t>
  </si>
  <si>
    <t xml:space="preserve">2015</t>
  </si>
  <si>
    <t xml:space="preserve">Q1/16</t>
  </si>
  <si>
    <t xml:space="preserve">Q2/16</t>
  </si>
  <si>
    <t xml:space="preserve">Q3/16</t>
  </si>
  <si>
    <t xml:space="preserve">Q4/16</t>
  </si>
  <si>
    <t xml:space="preserve">2016</t>
  </si>
  <si>
    <t xml:space="preserve">Q1/17</t>
  </si>
  <si>
    <t xml:space="preserve">Q2/17</t>
  </si>
  <si>
    <t xml:space="preserve">Q3/17</t>
  </si>
  <si>
    <t xml:space="preserve">Q4/17</t>
  </si>
  <si>
    <t xml:space="preserve">2017</t>
  </si>
  <si>
    <t xml:space="preserve">Q1/18</t>
  </si>
  <si>
    <t xml:space="preserve">Q2/18</t>
  </si>
  <si>
    <t xml:space="preserve">Q3/18</t>
  </si>
  <si>
    <t xml:space="preserve">Q4/18</t>
  </si>
  <si>
    <t xml:space="preserve">2018</t>
  </si>
  <si>
    <t xml:space="preserve">Q1/19</t>
  </si>
  <si>
    <t xml:space="preserve">Q2/19</t>
  </si>
  <si>
    <t xml:space="preserve">Q3/19</t>
  </si>
  <si>
    <t xml:space="preserve">Q4/19</t>
  </si>
  <si>
    <t xml:space="preserve">2019</t>
  </si>
  <si>
    <t xml:space="preserve">Q1/20</t>
  </si>
  <si>
    <t xml:space="preserve">Q2/20</t>
  </si>
  <si>
    <t xml:space="preserve">Q3/20</t>
  </si>
  <si>
    <t xml:space="preserve">Q4/20</t>
  </si>
  <si>
    <t xml:space="preserve">2020</t>
  </si>
  <si>
    <t xml:space="preserve">Q1/21</t>
  </si>
  <si>
    <t xml:space="preserve">Q2/21</t>
  </si>
  <si>
    <t xml:space="preserve">Q3/21</t>
  </si>
  <si>
    <t xml:space="preserve">Q4/21</t>
  </si>
  <si>
    <t xml:space="preserve">2021</t>
  </si>
  <si>
    <t xml:space="preserve">Q1/22</t>
  </si>
  <si>
    <t xml:space="preserve">Q2/22</t>
  </si>
  <si>
    <t xml:space="preserve">Q3/22</t>
  </si>
  <si>
    <t xml:space="preserve">Q4/22</t>
  </si>
  <si>
    <t xml:space="preserve">2022</t>
  </si>
  <si>
    <t xml:space="preserve">Q1/23</t>
  </si>
  <si>
    <t xml:space="preserve">Q2/23</t>
  </si>
  <si>
    <t xml:space="preserve">Q3/23</t>
  </si>
  <si>
    <t xml:space="preserve">Q4/23</t>
  </si>
  <si>
    <t xml:space="preserve">2023</t>
  </si>
  <si>
    <t xml:space="preserve">Q1/24</t>
  </si>
  <si>
    <t xml:space="preserve">Q2/24</t>
  </si>
  <si>
    <t xml:space="preserve">Q3/24</t>
  </si>
  <si>
    <t xml:space="preserve">Q4/24</t>
  </si>
  <si>
    <t xml:space="preserve">2024</t>
  </si>
  <si>
    <t xml:space="preserve">Q1/25</t>
  </si>
  <si>
    <t xml:space="preserve">Q2/25</t>
  </si>
  <si>
    <t xml:space="preserve">Q3/25</t>
  </si>
  <si>
    <t xml:space="preserve">Q4/25</t>
  </si>
  <si>
    <t xml:space="preserve">2025</t>
  </si>
  <si>
    <t xml:space="preserve">Q1/26</t>
  </si>
  <si>
    <t xml:space="preserve">Q2/26</t>
  </si>
  <si>
    <t xml:space="preserve">Q3/26E</t>
  </si>
  <si>
    <t xml:space="preserve">Q4/26E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</si>
  <si>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</si>
  <si>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</si>
  <si>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</si>
  <si>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</si>
  <si>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</si>
  <si>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</si>
  <si>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</si>
  <si>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10Y CAGR</t>
  </si>
  <si>
    <t xml:space="preserve">19Y CAGR</t>
  </si>
  <si>
    <t xml:space="preserve">25-'30</t>
  </si>
  <si>
    <t xml:space="preserve">20-'25</t>
  </si>
  <si>
    <t xml:space="preserve">15-'25</t>
  </si>
  <si>
    <t xml:space="preserve">06-'25</t>
  </si>
  <si>
    <t xml:space="preserve">SEGMENT P&amp;L — AMERICAS WELDING · INTERNATIONAL WELDING · THE HARRIS PRODUCTS GROUP (net sales build: volume + price + acquisitions + FX → segment Adjusted EBIT)</t>
  </si>
  <si>
    <t xml:space="preserve">SEGMENT BUILD — modelling logic (prior-period net sales × (1 + volume + price + acquisitions + FX) → net sales × Adjusted EBIT margin → segment Adjusted EBIT)</t>
  </si>
  <si>
    <t xml:space="preserve">Americas Welding (arc welding equipment &amp; consumables, cutting, automation — U.S., Canada, Mexico, South America)</t>
  </si>
  <si>
    <t xml:space="preserve">AW — modelling logic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</si>
  <si>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</si>
  <si>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</si>
  <si>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</si>
  <si>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block header). Outlook block = high / mid / low end of FY26 ranges.</t>
  </si>
  <si>
    <t xml:space="preserve">  Net sales (external customers)</t>
  </si>
  <si>
    <t xml:space="preserve">Q3/Q4-26E: prior-year quarter × (1 + volume + price + acquisitions + FX). 2027E+: prior year × (1 + Σ drivers). Current 3-segment structure from 2016 (2013–Q3/15 recast by LECO in the 8-K of 10-Feb-2016; Q4/15 derived = FY15 recast − 9M/15 recast).</t>
  </si>
  <si>
    <t xml:space="preserve">  Net sales y/y %</t>
  </si>
  <si>
    <t xml:space="preserve">FY26 outlook — Q2-26 call (30-Jul-26); Q3 update at Jefferies conf. (10-Sep-26)</t>
  </si>
  <si>
    <t xml:space="preserve">High</t>
  </si>
  <si>
    <t xml:space="preserve">Mid</t>
  </si>
  <si>
    <t xml:space="preserve">Low</t>
  </si>
  <si>
    <t xml:space="preserve">LECO publishes its outlook on the earnings call / slides (not in the 8-K); figures from public coverage of the call — see sources in note column.</t>
  </si>
  <si>
    <t xml:space="preserve">  Volume % before outlook calibration (Q3/Q4-26E helper)</t>
  </si>
  <si>
    <t xml:space="preserve">Q2/26 y/y volume held for Q3/Q4-26E before the FY26 net-sales calibration (Group block).</t>
  </si>
  <si>
    <t xml:space="preserve">  FY26 net sales growth % (y/y)</t>
  </si>
  <si>
    <t xml:space="preserve">Raised on Q2-26 call to "low-double-digit" net sales growth (from high-single-digit in Q1-26). Drives the Q3/Q4-26E volume calibration.</t>
  </si>
  <si>
    <t xml:space="preserve">  Volume % (company: change in net sales due to volume)</t>
  </si>
  <si>
    <t xml:space="preserve">Historical = LECO "Change in Net Sales by Segment" table (8-K Ex.99.1) ÷ prior-year segment net sales. Q3/Q4-26E: Q2/26 y/y + FY26 calibration Δ. 2027E–30E: scenario lever (Bull/Base/Bear table →).</t>
  </si>
  <si>
    <t xml:space="preserve">  2H/26 incremental Adjusted EBIT margin % (Δ Adj. EBIT / Δ net sales, 2H y/y)</t>
  </si>
  <si>
    <t xml:space="preserve">Q2-26 call: "mid-20% incremental margin" for the balance of 2026; 10-Sep-26 Jefferies: Q3 incrementals tracking "low 20s" on inflation / supply-chain costs. Drives the Q3/Q4-26E margin calibration.</t>
  </si>
  <si>
    <t xml:space="preserve">  Price %</t>
  </si>
  <si>
    <t xml:space="preserve">Q3/Q4-26E: Q2/26 y/y price held. 2027E–30E: scenario lever.</t>
  </si>
  <si>
    <t xml:space="preserve">  Memo: FY26 organic sales growth (company)</t>
  </si>
  <si>
    <t xml:space="preserve">HSD–LDD</t>
  </si>
  <si>
    <t xml:space="preserve">High-single-digit to low-double-digit organic growth; ~1/3 volume, ~2/3 price &amp; mix; neutral price/cost in 2H; ~$10m LIFO headwind (FY).</t>
  </si>
  <si>
    <t xml:space="preserve">  Acquisitions % (inorganic contribution, first 12 months)</t>
  </si>
  <si>
    <t xml:space="preserve">Q3/Q4-26E: input — 2025 bolt-ons anniversary during 2H/26 (International Welding +7.0% in Q2/26, fading). 2027E+: 0% here; future bolt-ons modelled in the unallocated M&amp;A block.</t>
  </si>
  <si>
    <t xml:space="preserve">FY26 point estimates (all cases)</t>
  </si>
  <si>
    <t xml:space="preserve">  Foreign exchange %</t>
  </si>
  <si>
    <t xml:space="preserve">Q3/Q4-26E: Q2/26 FX translation held; 2027E+: constant currency (0%).</t>
  </si>
  <si>
    <t xml:space="preserve">  Interest expense, net ($m)</t>
  </si>
  <si>
    <t xml:space="preserve">FY26 outlook: interest expense, net $50–55m (Q1-26 call; maintained on Q2-26 call).</t>
  </si>
  <si>
    <t xml:space="preserve">  Net sales growth % (volume + price + acquisitions + FX)</t>
  </si>
  <si>
    <t xml:space="preserve">  Tax rate (GAAP)</t>
  </si>
  <si>
    <t xml:space="preserve">FY26 outlook: "low-to-mid 20%" effective tax rate; 1H/26 actual 22.6%.</t>
  </si>
  <si>
    <t xml:space="preserve">  Organic growth % (volume + price)</t>
  </si>
  <si>
    <t xml:space="preserve">  Capital expenditures ($m)</t>
  </si>
  <si>
    <t xml:space="preserve">FY26 outlook: elevated capex $110–130m (1H/26: $70.6m).</t>
  </si>
  <si>
    <t xml:space="preserve">  Check: Σ drivers vs reported y/y % (≈0; ≠0 where LECO recast the prior-year base)</t>
  </si>
  <si>
    <t xml:space="preserve">  Rationalization &amp; asset impairment charges — 2H/26 ($m)</t>
  </si>
  <si>
    <t xml:space="preserve">1H/26 $5.6m (Americas &amp; International Welding programmes); 2H assumed at the 1H run-rate.</t>
  </si>
  <si>
    <t xml:space="preserve">  Memo: inter-segment sales (eliminated in Corporate / Eliminations)</t>
  </si>
  <si>
    <t xml:space="preserve">  Rationalization &amp; asset impairment charges — 2027E+ ($m p.a.)</t>
  </si>
  <si>
    <t xml:space="preserve">2019–25 average ex 2023 gain ≈ $25m; RISE restructuring tapering. Treated as a special item (excluded from Adjusted EBIT).</t>
  </si>
  <si>
    <t xml:space="preserve">  EBIT (GAAP segment result = operating income + other income)</t>
  </si>
  <si>
    <t xml:space="preserve">  2H/26 share repurchases ($m)</t>
  </si>
  <si>
    <t xml:space="preserve">1H/26: $132.8m (Q1 $57m, Q2 $76m); 4.9m shares left under authorisation (31-Mar-26).</t>
  </si>
  <si>
    <t xml:space="preserve">  Special items in segment EBIT (rationalization, impairments, acquisition costs)</t>
  </si>
  <si>
    <t xml:space="preserve">  Memo: cash conversion target (FCF / adjusted NI)</t>
  </si>
  <si>
    <t xml:space="preserve">Company target ~100% cash conversion through the cycle.</t>
  </si>
  <si>
    <t xml:space="preserve">  Adjusted EBIT (company segment profit measure)</t>
  </si>
  <si>
    <t xml:space="preserve">Net sales × Adjusted EBIT margin. Forecast special items are modelled at group level (EBIT bridge), not allocated to segments.</t>
  </si>
  <si>
    <t xml:space="preserve">  Adj. EBIT margin before outlook calibration % (Q3/Q4-26E helper)</t>
  </si>
  <si>
    <t xml:space="preserve">Prior-year quarter margin + Q2/26 y/y margin change.</t>
  </si>
  <si>
    <t xml:space="preserve">  Minimum net debt / Adjusted EBITDA (x) — buyback floor 2027E+</t>
  </si>
  <si>
    <t xml:space="preserve">LECO runs ~0.5–1.0x net leverage (YE25 net debt $985m vs model Adj. EBITDA $851m); excess cash returned via buybacks.</t>
  </si>
  <si>
    <t xml:space="preserve">  Adjusted EBIT margin % (on external net sales)</t>
  </si>
  <si>
    <t xml:space="preserve">LECO reports segment margins on total sales incl. inter-segment; the model uses external net sales (slightly higher). 2027E–30E: scenario lever.</t>
  </si>
  <si>
    <t xml:space="preserve">  Incremental Adj. EBIT margin % (Δ Adj. EBIT / Δ net sales, y/y)</t>
  </si>
  <si>
    <t xml:space="preserve">AW_vol (Americas Welding volume y/y)</t>
  </si>
  <si>
    <t xml:space="preserve">Δ →</t>
  </si>
  <si>
    <t xml:space="preserve">Americas volume inflected +7.1% in Q2/26 after 9 quarters of declines; consumables lead equipment. 2016–25 avg ≈ −0.5% (incl. 2020/2024–25 downturns).</t>
  </si>
  <si>
    <t xml:space="preserve">  2027E</t>
  </si>
  <si>
    <t xml:space="preserve">International Welding (Europe, Middle East, Asia Pacific — welding equipment, consumables, automation)</t>
  </si>
  <si>
    <t xml:space="preserve">IW — modelling logic</t>
  </si>
  <si>
    <t xml:space="preserve">  2028E</t>
  </si>
  <si>
    <t xml:space="preserve">  2029E</t>
  </si>
  <si>
    <t xml:space="preserve">  2030E</t>
  </si>
  <si>
    <t xml:space="preserve">AW_price (Americas Welding price y/y)</t>
  </si>
  <si>
    <t xml:space="preserve">Price +7.2% (2025) and +5.6% (1H/26) on tariff / steel inflation; normalises to ~2–3% (2016–25 avg ≈ +5.1% incl. 2021–22 inflation).</t>
  </si>
  <si>
    <t xml:space="preserve">AW_mgn (Americas Welding Adj. EBIT margin, on external sales)</t>
  </si>
  <si>
    <t xml:space="preserve">FY25 19.6%, 1H/26 19.3%; company guides 19–20% EBIT margin for the rest of 2026. RISE: ~19% avg / &gt;20% peak (enterprise).</t>
  </si>
  <si>
    <t xml:space="preserve">IW_vol (International Welding volume y/y)</t>
  </si>
  <si>
    <t xml:space="preserve">International volumes −5.1% (2025), −7.2% (1H/26): Europe weak; Asia Pacific improving.</t>
  </si>
  <si>
    <t xml:space="preserve">IW_price (International Welding price y/y)</t>
  </si>
  <si>
    <t xml:space="preserve">International pricing +0.3% (2025), +0.9% (1H/26).</t>
  </si>
  <si>
    <t xml:space="preserve">The Harris Products Group (brazing &amp; soldering alloys, gas-control equipment, HVAC/R &amp; retail; metals pass-through pricing)</t>
  </si>
  <si>
    <t xml:space="preserve">HPG — modelling logic</t>
  </si>
  <si>
    <t xml:space="preserve">IW_mgn (International Welding Adj. EBIT margin)</t>
  </si>
  <si>
    <t xml:space="preserve">FY25 11.9%, 1H/26 10.5%; 2022–23 peak 12.6–13.1% after the 2020–21 restructuring.</t>
  </si>
  <si>
    <t xml:space="preserve">HPG_vol (Harris Products Group volume y/y)</t>
  </si>
  <si>
    <t xml:space="preserve">HVAC/R, brazing &amp; retail; volume +1.5% (2025), −4.9% (1H/26).</t>
  </si>
  <si>
    <t xml:space="preserve">HPG_price (Harris Products Group price y/y)</t>
  </si>
  <si>
    <t xml:space="preserve">Harris price +11.6% (2025), +37.5% (1H/26) = silver / copper pass-through; 2027E assumes metals plateau (0%).</t>
  </si>
  <si>
    <t xml:space="preserve">Corporate / Eliminations (unallocated corporate costs, inter-segment eliminations)</t>
  </si>
  <si>
    <t xml:space="preserve">HPG_mgn (Harris Products Group Adj. EBIT margin)</t>
  </si>
  <si>
    <t xml:space="preserve">FY25 18.6%, 1H/26 21.3% (metals price inflation); structural step-up from 9–12% (2013–19) on automation / mix.</t>
  </si>
  <si>
    <t xml:space="preserve">  Corporate / Eliminations — Adjusted EBIT</t>
  </si>
  <si>
    <t xml:space="preserve">  Corporate / Eliminations % of segment net sales</t>
  </si>
  <si>
    <t xml:space="preserve">2023–25 range −0.4% to −0.01% of sales; Q3/Q4-26E = 1H/26 average; 2027E+ input.</t>
  </si>
  <si>
    <t xml:space="preserve">  Memo: Corporate / Eliminations — EBIT (GAAP)</t>
  </si>
  <si>
    <t xml:space="preserve">Legacy segments (as originally reported to Q4/15: North America · Europe · Asia Pacific · South America Welding · Harris) — memo</t>
  </si>
  <si>
    <t xml:space="preserve">M&amp;A_spend (bolt-on acquisitions, $m)</t>
  </si>
  <si>
    <t xml:space="preserve">RISE: 300–400 bp of revenue CAGR from bolt-ons (2030 sales &gt; $6bn); 2021–25 spend $0.1–0.3bn p.a.</t>
  </si>
  <si>
    <t xml:space="preserve">  North America Welding — net sales</t>
  </si>
  <si>
    <t xml:space="preserve">  Europe Welding — net sales</t>
  </si>
  <si>
    <t xml:space="preserve">  Asia Pacific Welding — net sales</t>
  </si>
  <si>
    <t xml:space="preserve">  South America Welding (incl. Venezuela to 2015) — net sales</t>
  </si>
  <si>
    <t xml:space="preserve">  The Harris Products Group (legacy basis) — net sales</t>
  </si>
  <si>
    <t xml:space="preserve">  North America Welding — EBIT, as adjusted</t>
  </si>
  <si>
    <t xml:space="preserve">RISE 2030 targets (company, Q4-25 call / May-26 conference) — memo</t>
  </si>
  <si>
    <t xml:space="preserve">  Europe Welding — EBIT, as adjusted</t>
  </si>
  <si>
    <t xml:space="preserve">  2030 net sales &gt; $6bn; revenue CAGR high-single to low-double digit incl. 300–400 bp from acquisitions</t>
  </si>
  <si>
    <t xml:space="preserve">  Asia Pacific Welding — EBIT, as adjusted</t>
  </si>
  <si>
    <t xml:space="preserve">  Operating margin ~19% average through the cycle, peaks &gt; 20%; incrementals into the high-20s</t>
  </si>
  <si>
    <t xml:space="preserve">  South America Welding — EBIT, as adjusted</t>
  </si>
  <si>
    <t xml:space="preserve">  EPS CAGR mid-teens %; 100–125 bp of enterprise-driven margin gains over five years</t>
  </si>
  <si>
    <t xml:space="preserve">  The Harris Products Group (legacy) — EBIT, as adjusted</t>
  </si>
  <si>
    <t xml:space="preserve">  Corporate / Eliminations (legacy) — EBIT, as adjusted</t>
  </si>
  <si>
    <t xml:space="preserve">Future acquisitions (M&amp;A lever — bolt-ons, unallocated; deal-level assumptions in rows below)</t>
  </si>
  <si>
    <t xml:space="preserve">  Acquisition spend (USDm, scenario)</t>
  </si>
  <si>
    <t xml:space="preserve">Scenario lever (M&amp;A_spend). Cash outflow in CF "Acquisitions"; allocated to PP&amp;E / intangibles / goodwill below.</t>
  </si>
  <si>
    <t xml:space="preserve">  Purchase multiple — EV / sales (x)</t>
  </si>
  <si>
    <t xml:space="preserve">LECO bolt-ons (Fori, RedViking, Inrotech, Vanair, Alloy Steel) priced ~1.2–2.0x sales.</t>
  </si>
  <si>
    <t xml:space="preserve">  Annualised sales acquired in the year</t>
  </si>
  <si>
    <t xml:space="preserve">  Growth of acquired businesses after acquisition %</t>
  </si>
  <si>
    <t xml:space="preserve">  Run-rate sales of businesses acquired (year end)</t>
  </si>
  <si>
    <t xml:space="preserve">  Net sales from future acquisitions (half-year convention in year of purchase)</t>
  </si>
  <si>
    <t xml:space="preserve">  Adjusted EBIT margin of acquired businesses % (after D&amp;A)</t>
  </si>
  <si>
    <t xml:space="preserve">Automation / cutting bolt-ons below Americas Welding margin initially (purchase-accounting amortization included).</t>
  </si>
  <si>
    <t xml:space="preserve">  Adjusted EBIT from future acquisitions</t>
  </si>
  <si>
    <t xml:space="preserve">  D&amp;A of acquired businesses % of sales (incl. step-ups)</t>
  </si>
  <si>
    <t xml:space="preserve">  D&amp;A from future acquisitions</t>
  </si>
  <si>
    <t xml:space="preserve">  PP&amp;E % of spend</t>
  </si>
  <si>
    <t xml:space="preserve">  Acquired intangibles % of spend</t>
  </si>
  <si>
    <t xml:space="preserve">  Intangible amortization life (years)</t>
  </si>
  <si>
    <t xml:space="preserve">  Cumulative acquired intangibles (gross)</t>
  </si>
  <si>
    <t xml:space="preserve">  Amortization of future-acquisition intangibles (within D&amp;A)</t>
  </si>
  <si>
    <t xml:space="preserve">Group Total — net sales &amp; Adjusted EBIT (segment build) → ties to consolidated statements</t>
  </si>
  <si>
    <t xml:space="preserve">  Net sales — segment build ex future M&amp;A</t>
  </si>
  <si>
    <t xml:space="preserve">Net sales (segment build)</t>
  </si>
  <si>
    <t xml:space="preserve">Adjusted EBIT (segment build)</t>
  </si>
  <si>
    <t xml:space="preserve">  Adjusted EBIT margin %</t>
  </si>
  <si>
    <t xml:space="preserve">  Check: segment build vs consolidated net sales (should be 0)</t>
  </si>
  <si>
    <t xml:space="preserve">  Check: segment build vs Adjusted EBIT bridge (should be 0)</t>
  </si>
  <si>
    <t xml:space="preserve">Historical differences = LECO segment-table rounding / definition (pre-2018 "EBIT, as adjusted"); forecast ties by construction.</t>
  </si>
  <si>
    <t xml:space="preserve">  Consolidated volume % (company)</t>
  </si>
  <si>
    <t xml:space="preserve">Historical = company consolidated "Change in Net Sales" table (legacy 5-segment basis 2010–15). Forecast = prior-period-sales-weighted segment drivers.</t>
  </si>
  <si>
    <t xml:space="preserve">  Consolidated price %</t>
  </si>
  <si>
    <t xml:space="preserve">  Consolidated acquisitions %</t>
  </si>
  <si>
    <t xml:space="preserve">2027E+: contribution of future bolt-ons (M&amp;A block).</t>
  </si>
  <si>
    <t xml:space="preserve">  Consolidated foreign exchange %</t>
  </si>
  <si>
    <t xml:space="preserve">  Memo: FY26 net sales growth guidance — end-point (scenario)</t>
  </si>
  <si>
    <t xml:space="preserve">Outlook block (CN11:CQ13). LECO guides FY growth; there is no separate legacy / acquired split.</t>
  </si>
  <si>
    <t xml:space="preserve">  Memo: FY26 net sales target</t>
  </si>
  <si>
    <t xml:space="preserve">  Net sales before outlook calibration (Q3/Q4-26E helper)</t>
  </si>
  <si>
    <t xml:space="preserve">  Net sales sensitivity to +1.00 of volume growth (Q3/Q4-26E helper)</t>
  </si>
  <si>
    <t xml:space="preserve">  Outlook calibration: Δ volume growth applied to all segments (Q3/Q4-26E)</t>
  </si>
  <si>
    <t xml:space="preserve">Solves the 2H volume Δ (same for all segments) so FY26 net sales hit the scenario end-point of the guidance range. Closed form — no circularity.</t>
  </si>
  <si>
    <t xml:space="preserve">  Check: FY26 net sales vs guidance end-point (should be 0)</t>
  </si>
  <si>
    <t xml:space="preserve">  Memo: 2H/26 incremental Adjusted EBIT margin guidance (scenario)</t>
  </si>
  <si>
    <t xml:space="preserve">  Memo: 2H/26 Adjusted EBIT target = 2H/25 + incremental × Δ 2H net sales</t>
  </si>
  <si>
    <t xml:space="preserve">  Adjusted EBIT before margin calibration (Q3/Q4-26E helper)</t>
  </si>
  <si>
    <t xml:space="preserve">  Outlook calibration: Δ Adjusted EBIT margin applied to all segments (Q3/Q4-26E)</t>
  </si>
  <si>
    <t xml:space="preserve">Solves the segment-margin Δ so 2H/26 Adjusted EBIT = 2H/25 + guided incremental margin × Δ sales.</t>
  </si>
  <si>
    <t xml:space="preserve">  Check: 2H/26 Adjusted EBIT vs incremental-margin target (should be 0)</t>
  </si>
  <si>
    <t xml:space="preserve">Cost drivers &amp; D&amp;A</t>
  </si>
  <si>
    <t xml:space="preserve">  D&amp;A % of net sales (ex future M&amp;A)</t>
  </si>
  <si>
    <t xml:space="preserve">FY25 2.3%; 2027E+ input (capex step-up 2026 lifts depreciation modestly).</t>
  </si>
  <si>
    <t xml:space="preserve">  SG&amp;A % of net sales</t>
  </si>
  <si>
    <t xml:space="preserve">Forecast SG&amp;A only splits Adjusted EBIT between gross profit and SG&amp;A (profit is driven by the segment margins).</t>
  </si>
  <si>
    <t xml:space="preserve">  Stock-based compensation % of net sales</t>
  </si>
  <si>
    <t xml:space="preserve">  Amortization of acquired intangibles (legacy, USDm; in D&amp;A)</t>
  </si>
  <si>
    <t xml:space="preserve">XBRL AmortizationOfIntangibleAssets (FY). 2026E–30E input (FY25 run-rate, legacy book rolling off).</t>
  </si>
  <si>
    <t xml:space="preserve">CONSOLIDATED STATEMENT OF INCOME (US GAAP, as originally reported)</t>
  </si>
  <si>
    <t xml:space="preserve">INCOME STATEMENT — modelling logic (forecast operating income = Adjusted EBIT from the segment build − special items − other income)</t>
  </si>
  <si>
    <t xml:space="preserve">Net sales</t>
  </si>
  <si>
    <t xml:space="preserve">Source: quarters = 8-K Ex.99.1 earnings releases (three-month tables); FY2013+ = Q4 release twelve-month table; FY2006–12 = Form 10-K. As originally reported (no recasts).</t>
  </si>
  <si>
    <t xml:space="preserve">Cost of goods sold</t>
  </si>
  <si>
    <t xml:space="preserve">Gross profit</t>
  </si>
  <si>
    <t xml:space="preserve">Forecast gross profit = operating income + SG&amp;A + special operating items (back-solved; LECO does not disclose segment gross profit).</t>
  </si>
  <si>
    <t xml:space="preserve">  Gross margin %</t>
  </si>
  <si>
    <t xml:space="preserve">Selling, general &amp; administrative expenses</t>
  </si>
  <si>
    <t xml:space="preserve">Rationalization and asset impairment net charges (gains)</t>
  </si>
  <si>
    <t xml:space="preserve">Special item. 2H/26: outlook panel (CP19) split evenly; 2027E+: CP20.</t>
  </si>
  <si>
    <t xml:space="preserve">Other operating special items (pension settlements in OpInc to 2017, Venezuela deconsolidation 2016, bargain purchase 2017)</t>
  </si>
  <si>
    <t xml:space="preserve">Separate income-statement lines in the year shown; pension settlements moved below operating income with ASU 2017-07 (2018).</t>
  </si>
  <si>
    <t xml:space="preserve">Operating income</t>
  </si>
  <si>
    <t xml:space="preserve">Interest expense, net (interest income netted from 2018)</t>
  </si>
  <si>
    <t xml:space="preserve">Pre-2018 releases showed interest income and gross interest expense separately; shown net here for a consistent EBIT definition. 2H/26 = FY26 outlook midpoint less 1H actual; 2027E+ from the debt schedule.</t>
  </si>
  <si>
    <t xml:space="preserve">  Memo: interest income (where disclosed)</t>
  </si>
  <si>
    <t xml:space="preserve">Other income (expense), net (incl. equity earnings in affiliates)</t>
  </si>
  <si>
    <t xml:space="preserve">EBIT (company definition) = operating income + other income. Equity earnings in affiliates shown separately by LECO to 2018.</t>
  </si>
  <si>
    <t xml:space="preserve">Income before income taxes</t>
  </si>
  <si>
    <t xml:space="preserve">Income taxes</t>
  </si>
  <si>
    <t xml:space="preserve">  Effective tax rate</t>
  </si>
  <si>
    <t xml:space="preserve">2H/26: FY26 outlook (low-to-mid 20%). 2027E+: 23% input.</t>
  </si>
  <si>
    <t xml:space="preserve">Net income including non-controlling interests</t>
  </si>
  <si>
    <t xml:space="preserve">  Less: non-controlling interests in subsidiaries' income (loss)</t>
  </si>
  <si>
    <t xml:space="preserve">Net income attributable to Lincoln Electric</t>
  </si>
  <si>
    <t xml:space="preserve">  Check: net income vs reported (should be 0)</t>
  </si>
  <si>
    <t xml:space="preserve">  Memo: net income as reported</t>
  </si>
  <si>
    <t xml:space="preserve">  Memo: depreciation &amp; amortization (cash-flow statement)</t>
  </si>
  <si>
    <t xml:space="preserve">  Memo: stock-based compensation (FY; XBRL / cash-flow statement)</t>
  </si>
  <si>
    <t xml:space="preserve">(Earnings per share — per-share data restated for the 2-for-1 split of 31-May-2011)</t>
  </si>
  <si>
    <t xml:space="preserve">  Weighted-average basic shares (m)</t>
  </si>
  <si>
    <t xml:space="preserve">  Weighted-average diluted shares (m)</t>
  </si>
  <si>
    <t xml:space="preserve">Q3/26E: Q2/26 less ¼ of 2H buyback shares; Q4/26E less ¾ (mid-period weighting).</t>
  </si>
  <si>
    <t xml:space="preserve">EPS – basic ($)</t>
  </si>
  <si>
    <t xml:space="preserve">EPS – diluted ($)</t>
  </si>
  <si>
    <t xml:space="preserve">  EPS – diluted y/y %</t>
  </si>
  <si>
    <t xml:space="preserve">  Memo: EPS – diluted as reported ($)</t>
  </si>
  <si>
    <t xml:space="preserve">  Dividends declared per share ($)</t>
  </si>
  <si>
    <t xml:space="preserve">Quarterly dividend $0.79 (raised from $0.75 in Jan-26); 2027E+ grows with dividend-growth input. 2006–10 per-share restated for the 2011 split.</t>
  </si>
  <si>
    <t xml:space="preserve">  Dividend per share growth %</t>
  </si>
  <si>
    <t xml:space="preserve">RECONCILIATION: NET INCOME → EBIT → ADJUSTED EBIT → ADJUSTED EBITDA (company Adjusted EBIT definition; EBITDA model-derived)</t>
  </si>
  <si>
    <t xml:space="preserve">GAAP → ADJUSTED BRIDGES — modelling logic (special items as defined in LECO's "Non-GAAP Financial Measures" tables)</t>
  </si>
  <si>
    <t xml:space="preserve">  (+) Non-controlling interests</t>
  </si>
  <si>
    <t xml:space="preserve">  (+) Interest expense, net</t>
  </si>
  <si>
    <t xml:space="preserve">  (+) Income taxes</t>
  </si>
  <si>
    <t xml:space="preserve">  = EBIT (operating income + other income)</t>
  </si>
  <si>
    <t xml:space="preserve">LECO definition: EBIT = operating income plus other income (equity earnings included). Interest income is part of "interest expense, net".</t>
  </si>
  <si>
    <t xml:space="preserve">  (+) Rationalization and asset impairment net charges (gains)</t>
  </si>
  <si>
    <t xml:space="preserve">Sources: "Non-GAAP Information" reconciliation tables in each 8-K Ex.99.1 (FY2006: release narrative; FY2007–09: 10-K MD&amp;A Non-GAAP tables).</t>
  </si>
  <si>
    <t xml:space="preserve">  (+) Acquisition transaction &amp; integration costs; amortization of inventory step-up</t>
  </si>
  <si>
    <t xml:space="preserve">  (+/−) (Gains) losses on asset disposals, bargain purchase &amp; change in control</t>
  </si>
  <si>
    <t xml:space="preserve">  (+) Venezuela (devaluation, FX remeasurement, 2016 deconsolidation loss)</t>
  </si>
  <si>
    <t xml:space="preserve">  (+/−) Pension settlement net charges (gains)</t>
  </si>
  <si>
    <t xml:space="preserve">  (+/−) Other company items (Jin Tai acquisition loss / property gain 2009; sale of land 2013)</t>
  </si>
  <si>
    <t xml:space="preserve">  Total special items (pre-tax)</t>
  </si>
  <si>
    <t xml:space="preserve">  = Adjusted EBIT (model bridge)</t>
  </si>
  <si>
    <t xml:space="preserve">  Company-published Adjusted EBIT ("EBIT, as adjusted" to 2017)</t>
  </si>
  <si>
    <t xml:space="preserve">2018+: "Adjusted EBIT" in the non-GAAP reconciliation; 2009–17: consolidated "EBIT, as adjusted" from the segment table. 2009 ±$0.3m: Jin Tai loss / property gain disclosed after tax only (used as pre-tax).</t>
  </si>
  <si>
    <t xml:space="preserve">  Check: model bridge vs company-published (should be 0)</t>
  </si>
  <si>
    <t xml:space="preserve">  Definition basis: Adjusted EBIT = EBIT + special items; Adjusted EBITDA is not published by LECO (model = Adjusted EBIT + D&amp;A)</t>
  </si>
  <si>
    <t xml:space="preserve">LECO's headline non-GAAP measures are adjusted operating income, Adjusted EBIT (segment profit), adjusted net income / EPS, organic sales, FCF and cash conversion. Adjusted EBITDA is derived here for leverage and EV/EBITDA comparability with prior models.</t>
  </si>
  <si>
    <t xml:space="preserve">  (+) Depreciation &amp; amortization</t>
  </si>
  <si>
    <t xml:space="preserve">  = Adjusted EBITDA (model-derived)</t>
  </si>
  <si>
    <t xml:space="preserve">  Adjusted EBITDA margin %</t>
  </si>
  <si>
    <t xml:space="preserve">RECONCILIATION: OPERATING INCOME → ADJUSTED OPERATING INCOME (company definition)</t>
  </si>
  <si>
    <t xml:space="preserve">Operating income (GAAP)</t>
  </si>
  <si>
    <t xml:space="preserve">  Memo: special items recorded below operating income (pension settlements 2018+, disposal gains in other income, 2009 Jin Tai)</t>
  </si>
  <si>
    <t xml:space="preserve">  (+) Special items within operating income</t>
  </si>
  <si>
    <t xml:space="preserve">  = Adjusted operating income (model)</t>
  </si>
  <si>
    <t xml:space="preserve">  Adjusted operating income margin %</t>
  </si>
  <si>
    <t xml:space="preserve">  Company-published adjusted operating income</t>
  </si>
  <si>
    <t xml:space="preserve">  Check: model vs company-published (should be 0)</t>
  </si>
  <si>
    <t xml:space="preserve">RECONCILIATION: GAAP NET INCOME / DILUTED EPS → ADJUSTED NET INCOME / ADJUSTED EPS (company definition)</t>
  </si>
  <si>
    <t xml:space="preserve">  (+) Special items, pre-tax (as in the Adjusted EBIT bridge)</t>
  </si>
  <si>
    <t xml:space="preserve">  (−) Income tax effect of special items</t>
  </si>
  <si>
    <t xml:space="preserve">2018+: company line "Tax effect of Special items". 2006–17: LECO showed special items after tax — tax effect derived as Σ after-tax items − Σ pre-tax items.</t>
  </si>
  <si>
    <t xml:space="preserve">  (+/−) Discrete tax items (tax-contingency / audit settlements, U.S. Tax Act 2017, valuation-allowance reversals)</t>
  </si>
  <si>
    <t xml:space="preserve">  (+/−) Special items attributable to non-controlling interests (Venezuela, 2010–16)</t>
  </si>
  <si>
    <t xml:space="preserve">  = Adjusted net income (model)</t>
  </si>
  <si>
    <t xml:space="preserve">  Company-published adjusted net income</t>
  </si>
  <si>
    <t xml:space="preserve">  Check: model vs company-published adjusted net income (should be 0)</t>
  </si>
  <si>
    <t xml:space="preserve">Adjusted EPS – diluted ($) (model)</t>
  </si>
  <si>
    <t xml:space="preserve">  Company-published adjusted EPS – diluted ($)</t>
  </si>
  <si>
    <t xml:space="preserve">  Check: model vs company-published adjusted EPS (should be 0 ± $0.01 rounding)</t>
  </si>
  <si>
    <t xml:space="preserve">  Adjusted effective tax rate %</t>
  </si>
  <si>
    <t xml:space="preserve">GROWTH &amp; MARGINS</t>
  </si>
  <si>
    <t xml:space="preserve">  Volume %</t>
  </si>
  <si>
    <t xml:space="preserve">  Adjusted EBIT y/y %</t>
  </si>
  <si>
    <t xml:space="preserve">  Operating income y/y %</t>
  </si>
  <si>
    <t xml:space="preserve">  Net income y/y %</t>
  </si>
  <si>
    <t xml:space="preserve">  Adjusted EPS y/y %</t>
  </si>
  <si>
    <t xml:space="preserve">  Incremental Adjusted EBIT margin (Δ Adj. EBIT / Δ net sales)</t>
  </si>
  <si>
    <t xml:space="preserve">  Operating margin (GAAP) %</t>
  </si>
  <si>
    <t xml:space="preserve">  Adjusted operating margin %</t>
  </si>
  <si>
    <t xml:space="preserve">  Net margin %</t>
  </si>
  <si>
    <t xml:space="preserve">CONSOLIDATED STATEMENT OF CASH FLOWS</t>
  </si>
  <si>
    <t xml:space="preserve">CASH FLOW — modelling logic (2026E = 1H/26 actual + 2H/26E; 2027E+ annual)</t>
  </si>
  <si>
    <t xml:space="preserve">Net income (incl. non-controlling interests)</t>
  </si>
  <si>
    <t xml:space="preserve">Adjustments:</t>
  </si>
  <si>
    <t xml:space="preserve">  Depreciation &amp; amortization</t>
  </si>
  <si>
    <t xml:space="preserve">  Stock-based compensation (where shown separately)</t>
  </si>
  <si>
    <t xml:space="preserve">Shown separately in the cash-flow statement to 2016; thereafter within "other non-cash items" (FY totals in the income-statement memo row).</t>
  </si>
  <si>
    <t xml:space="preserve">  (Gains) losses on disposals, bargain purchase, Venezuela deconsolidation</t>
  </si>
  <si>
    <t xml:space="preserve">  Deferred income taxes</t>
  </si>
  <si>
    <t xml:space="preserve">  Other non-cash items, net (derived; incl. non-cash rationalization &amp; pension settlement charges)</t>
  </si>
  <si>
    <t xml:space="preserve">  Changes in operating assets &amp; liabilities, net (incl. pension contributions)</t>
  </si>
  <si>
    <t xml:space="preserve">Net cash provided by operating activities</t>
  </si>
  <si>
    <t xml:space="preserve">Capital expenditures</t>
  </si>
  <si>
    <t xml:space="preserve">2026E: FY26 capex guidance (scenario end-point of $110–130m). 2027E+: % of sales input.</t>
  </si>
  <si>
    <t xml:space="preserve">Acquisition of businesses, net of cash acquired</t>
  </si>
  <si>
    <t xml:space="preserve">Proceeds from sale of property, plant &amp; equipment / businesses</t>
  </si>
  <si>
    <t xml:space="preserve">Other investing activities, net (derived; marketable securities, investments)</t>
  </si>
  <si>
    <t xml:space="preserve">Net cash used by investing activities</t>
  </si>
  <si>
    <t xml:space="preserve">Proceeds from borrowings (short- &amp; long-term, amounts due banks, net)</t>
  </si>
  <si>
    <t xml:space="preserve">Payments on borrowings</t>
  </si>
  <si>
    <t xml:space="preserve">Cash dividends paid to shareholders</t>
  </si>
  <si>
    <t xml:space="preserve">Purchase of shares for treasury</t>
  </si>
  <si>
    <t xml:space="preserve">2H/26: scenario input (CO21:CQ21). 2027E+: leverage-targeted plug (repurchases to a minimum net debt / Adjusted EBITDA).</t>
  </si>
  <si>
    <t xml:space="preserve">Proceeds from exercise of stock options (incl. related tax benefits)</t>
  </si>
  <si>
    <t xml:space="preserve">Other financing activities, net (derived)</t>
  </si>
  <si>
    <t xml:space="preserve">Net cash used by financing activities</t>
  </si>
  <si>
    <t xml:space="preserve">Effect of exchange rate changes on cash</t>
  </si>
  <si>
    <t xml:space="preserve">Net increase (decrease) in cash</t>
  </si>
  <si>
    <t xml:space="preserve">Cash — beginning of period</t>
  </si>
  <si>
    <t xml:space="preserve">Cash — end of period</t>
  </si>
  <si>
    <t xml:space="preserve">  Check: CFO + CFI + CFF + FX = change in cash (should be 0)</t>
  </si>
  <si>
    <t xml:space="preserve">  Check: beginning cash + change = ending cash (should be 0)</t>
  </si>
  <si>
    <t xml:space="preserve">(Memo)</t>
  </si>
  <si>
    <t xml:space="preserve">Free cash flow (operating cash flow − capital expenditures)</t>
  </si>
  <si>
    <t xml:space="preserve">  FCF y/y %</t>
  </si>
  <si>
    <t xml:space="preserve">  FCF % of net sales</t>
  </si>
  <si>
    <t xml:space="preserve">  Cash conversion % (FCF / adjusted net income — company definition)</t>
  </si>
  <si>
    <t xml:space="preserve">LECO non-GAAP "cash conversion" = free cash flow ÷ adjusted net income (target ~100%).</t>
  </si>
  <si>
    <t xml:space="preserve">  FCF per diluted share ($)</t>
  </si>
  <si>
    <t xml:space="preserve">Capex ratios</t>
  </si>
  <si>
    <t xml:space="preserve">  Capex % of net sales</t>
  </si>
  <si>
    <t xml:space="preserve">FY25 3.0%; FY26 guidance ~2.5%; RISE investment in automation capacity — 2.5% input 2027E+.</t>
  </si>
  <si>
    <t xml:space="preserve">  Capex / D&amp;A (x)</t>
  </si>
  <si>
    <t xml:space="preserve">SHARE BUYBACK SCHEDULE</t>
  </si>
  <si>
    <t xml:space="preserve">  Avg buyback price ($)</t>
  </si>
  <si>
    <t xml:space="preserve">  Buyback cash deployed (USDm; 2026E = 2H only)</t>
  </si>
  <si>
    <t xml:space="preserve">  Implied shares repurchased (m)</t>
  </si>
  <si>
    <t xml:space="preserve">  Shares issued under equity plans (m)</t>
  </si>
  <si>
    <t xml:space="preserve">  Beginning shares outstanding (m)</t>
  </si>
  <si>
    <t xml:space="preserve">  Ending shares outstanding (m)</t>
  </si>
  <si>
    <t xml:space="preserve">  % of shares repurchased</t>
  </si>
  <si>
    <t xml:space="preserve">  Memo: cumulative shares repurchased since 2H/26 (m)</t>
  </si>
  <si>
    <t xml:space="preserve">CONSOLIDATED BALANCE SHEET</t>
  </si>
  <si>
    <t xml:space="preserve">BALANCE SHEET — modelling logic (2026E rolls forward from the 30-Jun-26 balance sheet with 2H/26E flows; 2027E+ annual)</t>
  </si>
  <si>
    <t xml:space="preserve">ASSETS</t>
  </si>
  <si>
    <t xml:space="preserve">  Cash and cash equivalents</t>
  </si>
  <si>
    <t xml:space="preserve">  Accounts receivable, net</t>
  </si>
  <si>
    <t xml:space="preserve">  Inventories</t>
  </si>
  <si>
    <t xml:space="preserve">  Other current assets (derived; incl. deferred taxes to 2015, marketable securities, contract assets)</t>
  </si>
  <si>
    <t xml:space="preserve">Total current assets</t>
  </si>
  <si>
    <t xml:space="preserve">  Property, plant &amp; equipment, net</t>
  </si>
  <si>
    <t xml:space="preserve">Roll-forward: + capex − depreciation (D&amp;A less intangible amortization) + PP&amp;E of acquired businesses.</t>
  </si>
  <si>
    <t xml:space="preserve">  Goodwill</t>
  </si>
  <si>
    <t xml:space="preserve">Goodwill not shown separately on 10-Q balance sheets 2009–15: taken from XBRL (us-gaap:Goodwill) where available.</t>
  </si>
  <si>
    <t xml:space="preserve">  Intangibles, net</t>
  </si>
  <si>
    <t xml:space="preserve">  Other noncurrent assets (derived; ROU assets, deferred taxes, pension assets, investments)</t>
  </si>
  <si>
    <t xml:space="preserve">TOTAL ASSETS</t>
  </si>
  <si>
    <t xml:space="preserve">LIABILITIES AND EQUITY</t>
  </si>
  <si>
    <t xml:space="preserve">  Short-term debt (amounts due banks) &amp; current portion of long-term debt</t>
  </si>
  <si>
    <t xml:space="preserve">Prepayable facility (revolver / commercial paper / amounts due banks) + notes maturing within 12 months.</t>
  </si>
  <si>
    <t xml:space="preserve">  Trade accounts payable</t>
  </si>
  <si>
    <t xml:space="preserve">  Accrued employee compensation &amp; benefits</t>
  </si>
  <si>
    <t xml:space="preserve">  Other current liabilities (derived; incl. dividends payable, taxes, customer advances)</t>
  </si>
  <si>
    <t xml:space="preserve">Total current liabilities</t>
  </si>
  <si>
    <t xml:space="preserve">  Long-term debt, less current portion</t>
  </si>
  <si>
    <t xml:space="preserve">  Accrued pensions (where shown separately)</t>
  </si>
  <si>
    <t xml:space="preserve">  Other noncurrent liabilities (derived; incl. pensions from 2016, lease liabilities, uncertain tax positions)</t>
  </si>
  <si>
    <t xml:space="preserve">Total liabilities</t>
  </si>
  <si>
    <t xml:space="preserve">Shareholders' equity:</t>
  </si>
  <si>
    <t xml:space="preserve">  Common shares &amp; additional paid-in capital</t>
  </si>
  <si>
    <t xml:space="preserve">  Retained earnings</t>
  </si>
  <si>
    <t xml:space="preserve">  Accumulated other comprehensive income (loss)</t>
  </si>
  <si>
    <t xml:space="preserve">  Treasury shares, at cost</t>
  </si>
  <si>
    <t xml:space="preserve">Total shareholders' equity</t>
  </si>
  <si>
    <t xml:space="preserve">  Non-controlling interests</t>
  </si>
  <si>
    <t xml:space="preserve">Total equity</t>
  </si>
  <si>
    <t xml:space="preserve">TOTAL LIABILITIES AND EQUITY</t>
  </si>
  <si>
    <t xml:space="preserve">BS tie-out check (TA − TL&amp;E)</t>
  </si>
  <si>
    <t xml:space="preserve">  Check: model total assets vs reported (should be 0)</t>
  </si>
  <si>
    <t xml:space="preserve">  Memo: total assets as reported</t>
  </si>
  <si>
    <t xml:space="preserve">  Check: BS cash vs cash-flow ending cash (should be 0)</t>
  </si>
  <si>
    <t xml:space="preserve">  Memo: common shares outstanding at period end (m)</t>
  </si>
  <si>
    <t xml:space="preserve">WORKING CAPITAL &amp; CASH CONVERSION</t>
  </si>
  <si>
    <t xml:space="preserve">  DSO — receivables / net sales × 365 (quarters × 91.25)</t>
  </si>
  <si>
    <t xml:space="preserve">2026E+ input held at FY25 level (46).</t>
  </si>
  <si>
    <t xml:space="preserve">  Inventory days — inventories / COGS × 365</t>
  </si>
  <si>
    <t xml:space="preserve">2026E+ input held at FY25 level (86).</t>
  </si>
  <si>
    <t xml:space="preserve">  Payable days — payables / COGS × 365</t>
  </si>
  <si>
    <t xml:space="preserve">2026E+ input held at FY25 level (49).</t>
  </si>
  <si>
    <t xml:space="preserve">  Accrued employee compensation % of annualised net sales</t>
  </si>
  <si>
    <t xml:space="preserve">2026E+ input held at FY25 level (0.027).</t>
  </si>
  <si>
    <t xml:space="preserve">  Operating NWC (receivables + inventories − payables − accrued compensation)</t>
  </si>
  <si>
    <t xml:space="preserve">  NWC % of annualised net sales</t>
  </si>
  <si>
    <t xml:space="preserve">  ΔNWC (y/y)</t>
  </si>
  <si>
    <t xml:space="preserve">BALANCE SHEET FORECAST SCHEDULES</t>
  </si>
  <si>
    <t xml:space="preserve">Inputs &amp; roll-forward assumptions</t>
  </si>
  <si>
    <t xml:space="preserve">  Share-price appreciation % (buyback pricing)</t>
  </si>
  <si>
    <t xml:space="preserve">  Dilutive securities (m shares)</t>
  </si>
  <si>
    <t xml:space="preserve">Q2/26 diluted − basic = 0.44m.</t>
  </si>
  <si>
    <t xml:space="preserve">Debt schedule (senior notes with scheduled maturities + prepayable facility to a minimum cash balance)</t>
  </si>
  <si>
    <t xml:space="preserve">  Total debt (current + long-term)</t>
  </si>
  <si>
    <t xml:space="preserve">  Scheduled note maturities (input, negative)</t>
  </si>
  <si>
    <t xml:space="preserve">Private-placement senior notes (10-K FY25, Note 9): 2.75% Series A $100m due Oct-2028; 5.55% $75m Aug-2029; 3.35% $100m Aug-2030; remainder 2031–45 ($875m).</t>
  </si>
  <si>
    <t xml:space="preserve">  % of scheduled maturities refinanced (input)</t>
  </si>
  <si>
    <t xml:space="preserve">  Refinancing issuance</t>
  </si>
  <si>
    <t xml:space="preserve">  Senior notes outstanding (carrying value, year end)</t>
  </si>
  <si>
    <t xml:space="preserve">30-Jun-26: $1,150m notes (face $1,150.0m, 4.57% blended coupon); amounts due banks repaid in 1H/26.</t>
  </si>
  <si>
    <t xml:space="preserve">  Blended coupon on senior notes %</t>
  </si>
  <si>
    <t xml:space="preserve">  Cash before prepayable facility (opening cash + CFO + CFI + non-facility financing)</t>
  </si>
  <si>
    <t xml:space="preserve">  Minimum cash balance</t>
  </si>
  <si>
    <t xml:space="preserve">LECO holds ~$200–400m (much of it offshore).</t>
  </si>
  <si>
    <t xml:space="preserve">  Prepayable facility outstanding: revolver / CP / amounts due banks (period end)</t>
  </si>
  <si>
    <t xml:space="preserve">30-Jun-26 short-term debt = 0 (amounts due banks of $143.8m at YE25 repaid).</t>
  </si>
  <si>
    <t xml:space="preserve">  Net issuance / (repayment)</t>
  </si>
  <si>
    <t xml:space="preserve">  Interest rate on opening total debt % (historical = interest expense, net / opening debt)</t>
  </si>
  <si>
    <t xml:space="preserve">  Interest rate on prepayable facility %</t>
  </si>
  <si>
    <t xml:space="preserve">  Interest income yield on opening cash %</t>
  </si>
  <si>
    <t xml:space="preserve">  Interest expense, net (model)</t>
  </si>
  <si>
    <t xml:space="preserve">On opening balances (avoids circularity). Feeds the income statement 2027E+.</t>
  </si>
  <si>
    <t xml:space="preserve">Leverage-targeted buybacks (repurchases plug to a minimum net debt / Adjusted EBITDA)</t>
  </si>
  <si>
    <t xml:space="preserve">  Minimum net debt / Adjusted EBITDA (x) (scenario)</t>
  </si>
  <si>
    <t xml:space="preserve">  Net debt before buybacks (year end)</t>
  </si>
  <si>
    <t xml:space="preserve">  Target minimum net debt = min. leverage × Adjusted EBITDA</t>
  </si>
  <si>
    <t xml:space="preserve">  Share repurchases: plug to minimum leverage</t>
  </si>
  <si>
    <t xml:space="preserve">Historical reference (driver context)</t>
  </si>
  <si>
    <t xml:space="preserve">  D&amp;A % of net sales</t>
  </si>
  <si>
    <t xml:space="preserve">RATIO ANALYSIS</t>
  </si>
  <si>
    <t xml:space="preserve">DuPont decomposition of ROIC</t>
  </si>
  <si>
    <t xml:space="preserve">Adjusted EBIT</t>
  </si>
  <si>
    <t xml:space="preserve">Effective tax rate (actual)</t>
  </si>
  <si>
    <t xml:space="preserve">NOPAT = Adjusted EBIT × (1 − tax rate)</t>
  </si>
  <si>
    <t xml:space="preserve">Invested capital (IC) = Equity + Net debt</t>
  </si>
  <si>
    <t xml:space="preserve">  Total equity incl. NCI</t>
  </si>
  <si>
    <t xml:space="preserve">  Net debt = Total debt − Cash</t>
  </si>
  <si>
    <t xml:space="preserve">ROIC = NOPAT / IC</t>
  </si>
  <si>
    <t xml:space="preserve">Year-end IC (LECO's own adjusted ROIC uses adjusted net income before tax-effected interest / year-end invested capital; 2025: 22.8%).</t>
  </si>
  <si>
    <t xml:space="preserve">  Margin = Adjusted EBIT / Net sales</t>
  </si>
  <si>
    <t xml:space="preserve">  Capital turnover = Net sales / IC</t>
  </si>
  <si>
    <t xml:space="preserve">  Tax burden = (1 − effective tax rate)</t>
  </si>
  <si>
    <t xml:space="preserve">  Check: Margin × Turnover × Tax burden = ROIC</t>
  </si>
  <si>
    <t xml:space="preserve">RONTA decomposition</t>
  </si>
  <si>
    <t xml:space="preserve">  Total assets</t>
  </si>
  <si>
    <t xml:space="preserve">  − Goodwill &amp; acquired intangible assets</t>
  </si>
  <si>
    <t xml:space="preserve">  − Non-interest-bearing current liabilities (total CL excl. debt)</t>
  </si>
  <si>
    <t xml:space="preserve">  = Net tangible assets</t>
  </si>
  <si>
    <t xml:space="preserve">RONTA = NOPAT / NTA</t>
  </si>
  <si>
    <t xml:space="preserve">Return on Equity (ROE)</t>
  </si>
  <si>
    <t xml:space="preserve">Lincoln Electric shareholders' equity</t>
  </si>
  <si>
    <t xml:space="preserve">ROE = Net income / Equity</t>
  </si>
  <si>
    <t xml:space="preserve">Leverage</t>
  </si>
  <si>
    <t xml:space="preserve">Net debt = Total debt − cash</t>
  </si>
  <si>
    <t xml:space="preserve">Adjusted EBITDA (model-derived)</t>
  </si>
  <si>
    <t xml:space="preserve">Net debt / Adjusted EBITDA (x)</t>
  </si>
  <si>
    <t xml:space="preserve">VALUATION</t>
  </si>
  <si>
    <t xml:space="preserve">Share price ($) — current</t>
  </si>
  <si>
    <t xml:space="preserve">LECO close $275.54 on 6-Oct-2026 (public quote coverage). Update to market — blue input.</t>
  </si>
  <si>
    <t xml:space="preserve">Diluted shares at period end (m)</t>
  </si>
  <si>
    <t xml:space="preserve">Market capitalisation (USDm)</t>
  </si>
  <si>
    <t xml:space="preserve">Net debt (USDm)</t>
  </si>
  <si>
    <t xml:space="preserve">Non-controlling interests (USDm)</t>
  </si>
  <si>
    <t xml:space="preserve">Enterprise value (USDm)</t>
  </si>
  <si>
    <t xml:space="preserve">Multiples</t>
  </si>
  <si>
    <t xml:space="preserve">  EV / Net sales</t>
  </si>
  <si>
    <t xml:space="preserve">  EV / Adjusted EBITDA (model-derived)</t>
  </si>
  <si>
    <t xml:space="preserve">  EV / Adjusted EBIT</t>
  </si>
  <si>
    <t xml:space="preserve">  EV / IC</t>
  </si>
  <si>
    <t xml:space="preserve">  P / E (GAAP diluted)</t>
  </si>
  <si>
    <t xml:space="preserve">  P / E (adjusted EPS)</t>
  </si>
  <si>
    <t xml:space="preserve">  FCF yield</t>
  </si>
  <si>
    <t xml:space="preserve">  Dividend yield</t>
  </si>
  <si>
    <t xml:space="preserve">Lincoln Electric (LECO) — Bull / Base / Bear Case P&amp;L Summary</t>
  </si>
  <si>
    <t xml:space="preserve">Share price ($):</t>
  </si>
  <si>
    <t xml:space="preserve">Adjusted figures (company current definitions: Adjusted EBIT, adjusted net income / EPS; Adjusted EBITDA model-derived) · USD millions · Live panel linked to Model — toggle scenario via Model!CF2. Bull and Bear panels are value snapshots generated from the Model with the switch set to each case. 2026E = 1H/26 actual + 2H/26E calibrated to the FY26 outlook range end-points.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</si>
  <si>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</si>
  <si>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</si>
  <si>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</si>
  <si>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</si>
  <si>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(USDm,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</si>
  <si>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</si>
  <si>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</si>
  <si>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</si>
  <si>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</si>
  <si>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</si>
  <si>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   Net sales y/y %</t>
  </si>
  <si>
    <t xml:space="preserve">   Organic growth % (volume + price)</t>
  </si>
  <si>
    <t xml:space="preserve">Adjusted EBIT (company definition)</t>
  </si>
  <si>
    <t xml:space="preserve">   Adjusted EBIT margin %</t>
  </si>
  <si>
    <t xml:space="preserve">   Operating income y/y %</t>
  </si>
  <si>
    <t xml:space="preserve">   Operating margin (GAAP) %</t>
  </si>
  <si>
    <t xml:space="preserve">Adjusted net income (attributable to Lincoln Electric)</t>
  </si>
  <si>
    <t xml:space="preserve">FDSO (m)</t>
  </si>
  <si>
    <t xml:space="preserve">Adjusted EPS — Diluted ($)</t>
  </si>
  <si>
    <t xml:space="preserve">   EPS y/y %</t>
  </si>
  <si>
    <t xml:space="preserve">P / E (x) — assumed (adjusted EPS)</t>
  </si>
  <si>
    <t xml:space="preserve">Price Target ($)</t>
  </si>
  <si>
    <t xml:space="preserve">   Upside / (Downside) vs current</t>
  </si>
  <si>
    <t xml:space="preserve">IRR (to Dec-Y-1)</t>
  </si>
  <si>
    <t xml:space="preserve">Free Cash Flow</t>
  </si>
  <si>
    <t xml:space="preserve">   FCF %</t>
  </si>
  <si>
    <t xml:space="preserve">   FCF / share ($)</t>
  </si>
  <si>
    <t xml:space="preserve">   FCF Yield (on PT)</t>
  </si>
  <si>
    <t xml:space="preserve">Adjusted EBITDA (model-derived = Adjusted EBIT + D&amp;A)</t>
  </si>
  <si>
    <t xml:space="preserve">   Adjusted EBITDA % of net sales</t>
  </si>
  <si>
    <t xml:space="preserve">Net Debt</t>
  </si>
  <si>
    <t xml:space="preserve">   Net Debt / Adjusted EBITDA (x)</t>
  </si>
  <si>
    <t xml:space="preserve">   Share repurchases ($m)</t>
  </si>
  <si>
    <t xml:space="preserve">   Implied avg buyback price ($)</t>
  </si>
  <si>
    <t xml:space="preserve">   Shares repurchased (m)</t>
  </si>
  <si>
    <t xml:space="preserve">ROIC</t>
  </si>
  <si>
    <t xml:space="preserve">RONTA</t>
  </si>
  <si>
    <t xml:space="preserve">Implied Market Cap (USDm)</t>
  </si>
  <si>
    <t xml:space="preserve">(+) Net Debt &amp; NCI</t>
  </si>
  <si>
    <t xml:space="preserve">Implied Enterprise Value (USDm)</t>
  </si>
  <si>
    <t xml:space="preserve">Implied EV / Adjusted EBITDA (x)</t>
  </si>
  <si>
    <t xml:space="preserve">DCF VALUATION — LINCOLN ELECTRIC HOLDINGS (LECO)</t>
  </si>
  <si>
    <t xml:space="preserve">1. WACC BUILD</t>
  </si>
  <si>
    <t xml:space="preserve">Risk-free rate (US 10Y govt)</t>
  </si>
  <si>
    <t xml:space="preserve">Assumption kept consistent with prior coverage models (MLM, Oct-2026); update to market</t>
  </si>
  <si>
    <t xml:space="preserve">Equity risk premium</t>
  </si>
  <si>
    <t xml:space="preserve">US implied ERP ~4.5–5.5% (Damodaran); consistent with prior models</t>
  </si>
  <si>
    <t xml:space="preserve">Levered beta</t>
  </si>
  <si>
    <t xml:space="preserve">Welding / industrial-machinery peers (ESAB, ITW, Kennametal, Timken) ~1.0–1.3; consumables (~2/3 of sales) and Harris HVAC/R dampen cyclicality</t>
  </si>
  <si>
    <t xml:space="preserve">Cost of equity</t>
  </si>
  <si>
    <t xml:space="preserve">Pre-tax cost of debt</t>
  </si>
  <si>
    <t xml:space="preserve">Senior unsecured private-placement notes; 2024 series priced 5.55–5.74%; marginal cost ~5.75%</t>
  </si>
  <si>
    <t xml:space="preserve">Tax rate</t>
  </si>
  <si>
    <t xml:space="preserve">Model 2027E+ effective tax rate</t>
  </si>
  <si>
    <t xml:space="preserve">After-tax cost of debt</t>
  </si>
  <si>
    <t xml:space="preserve">Target D/V</t>
  </si>
  <si>
    <t xml:space="preserve">Total debt ~$1.2bn vs ~$15bn market cap ($275.54 × ~55m shares); net leverage ~1.0x Adjusted EBITDA</t>
  </si>
  <si>
    <t xml:space="preserve">WACC</t>
  </si>
  <si>
    <t xml:space="preserve">Valuation date (live)</t>
  </si>
  <si>
    <t xml:space="preserve">Periods = (Dec-31-Year − today) / 365.25; cash flows assumed at year-end</t>
  </si>
  <si>
    <t xml:space="preserve">2. UNLEVERED FREE CASH FLOW BUILD (USDm)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</si>
  <si>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</si>
  <si>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</si>
  <si>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</si>
  <si>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</si>
  <si>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</si>
  <si>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</si>
  <si>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CAGR 26–30E</t>
  </si>
  <si>
    <t xml:space="preserve">CAGR 26–35E</t>
  </si>
  <si>
    <t xml:space="preserve">Adj. EBIT less rationalization &amp; acquisition costs (cash special items)</t>
  </si>
  <si>
    <t xml:space="preserve">× (1 − tax rate)</t>
  </si>
  <si>
    <t xml:space="preserve">NOPAT</t>
  </si>
  <si>
    <t xml:space="preserve">plus D&amp;A</t>
  </si>
  <si>
    <t xml:space="preserve">− Capex (PP&amp;E) and acquisitions (bolt-on M&amp;A)</t>
  </si>
  <si>
    <t xml:space="preserve">− Δ Working capital (CF statement)</t>
  </si>
  <si>
    <t xml:space="preserve">Unlevered FCF</t>
  </si>
  <si>
    <t xml:space="preserve">Terminal Value (Gordon Growth)</t>
  </si>
  <si>
    <t xml:space="preserve">Fade-period growth (2031E–35E; 6% → 4% linear)</t>
  </si>
  <si>
    <t xml:space="preserve">Terminal growth rate</t>
  </si>
  <si>
    <t xml:space="preserve">Long-run nominal GDP-type growth for welding consumables / automation; below MLM (4%) given lower pricing power</t>
  </si>
  <si>
    <t xml:space="preserve">Discount period (years)</t>
  </si>
  <si>
    <t xml:space="preserve">Discount factor</t>
  </si>
  <si>
    <t xml:space="preserve">PV of UFCF</t>
  </si>
  <si>
    <t xml:space="preserve">LECO's Adjusted EBIT expenses stock-based compensation; rationalization and acquisition transaction costs are deducted as recurring cash items. 2026E is the full fiscal year (1H/26 actual + 2H/26E); net debt is taken at YE2026E. 2027E–30E capex includes bolt-on M&amp;A per the scenario lever.</t>
  </si>
  <si>
    <t xml:space="preserve">IMPLIED ROIC — invested capital roll-forward (USDm)</t>
  </si>
  <si>
    <t xml:space="preserve">Opening invested capital</t>
  </si>
  <si>
    <t xml:space="preserve">plus Capex and acquisitions</t>
  </si>
  <si>
    <t xml:space="preserve">less D&amp;A</t>
  </si>
  <si>
    <t xml:space="preserve">plus Δ Working capital investment</t>
  </si>
  <si>
    <t xml:space="preserve">Closing invested capital</t>
  </si>
  <si>
    <t xml:space="preserve">NOPAT (row 20)</t>
  </si>
  <si>
    <t xml:space="preserve">Implied ROIC (NOPAT / avg. invested capital)</t>
  </si>
  <si>
    <t xml:space="preserve">Reinvestment rate (net investment / NOPAT)</t>
  </si>
  <si>
    <t xml:space="preserve">Implied terminal RONIC (g / reinvestment rate)</t>
  </si>
  <si>
    <t xml:space="preserve">Opening IC = Model 2025A book invested capital (total equity incl. NCI + net debt), rolled forward with capex + M&amp;A − D&amp;A + ΔWC.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</si>
  <si>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</si>
  <si>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</si>
  <si>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</si>
  <si>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</si>
  <si>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Net debt + NCI (Model 2026E YE)</t>
  </si>
  <si>
    <t xml:space="preserve">Net debt at YE2026E after 2H/26 buybacks; NCI ~$0 (Model balance sheet).</t>
  </si>
  <si>
    <t xml:space="preserve">Equity Value</t>
  </si>
  <si>
    <t xml:space="preserve">Diluted shares (m, Model 2026E YE)</t>
  </si>
  <si>
    <t xml:space="preserve">Implied share price ($)</t>
  </si>
  <si>
    <t xml:space="preserve">Current share price ($)</t>
  </si>
  <si>
    <t xml:space="preserve">Implied upside / (downside)</t>
  </si>
  <si>
    <t xml:space="preserve">Required discount to DCF value for target IRR</t>
  </si>
  <si>
    <t xml:space="preserve">vs. current</t>
  </si>
  <si>
    <t xml:space="preserve">Target IRR</t>
  </si>
  <si>
    <t xml:space="preserve">Max entry price for target IRR ($)</t>
  </si>
  <si>
    <t xml:space="preserve">Years for discount to close</t>
  </si>
  <si>
    <t xml:space="preserve">4. SENSITIVITY: IMPLIED PRICE ($) — WACC × Terminal Growth</t>
  </si>
  <si>
    <t xml:space="preserve">WACC →</t>
  </si>
  <si>
    <t xml:space="preserve">Terminal growth ↓</t>
  </si>
  <si>
    <t xml:space="preserve">5. REVERSE DCF</t>
  </si>
  <si>
    <t xml:space="preserve">To solve for the market-implied path: Data ▸ What-If Analysis ▸ Goal Seek — set C51 to the current price (C52) by changing C27 (terminal growth) or the fade-period growth inputs (I26:M26).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</si>
  <si>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</si>
  <si>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</si>
  <si>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</si>
  <si>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</si>
  <si>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</si>
  <si>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(Lincoln Electric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</si>
  <si>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</si>
  <si>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</si>
  <si>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</si>
  <si>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Adjusted EBIT CAGR 2026–30E ~7%: mid-single-digit organic growth (price + volume recovery), bolt-on M&amp;A, RISE margin gains (100–125 bp)</t>
  </si>
  <si>
    <t xml:space="preserve">ROIIC  (Return on incremental invested capital)</t>
  </si>
  <si>
    <t xml:space="preserve">Book ROIC 21–29% (2014–25); asset-light consumables model (capex ~2.5% of sales), bolt-ons at ~1.6x sales earn lower returns</t>
  </si>
  <si>
    <t xml:space="preserve">N  (Years of value creation / CAP)</t>
  </si>
  <si>
    <t xml:space="preserve">#1 global arc-welding share (~20% of consumables &amp; equipment), distribution / brand moat; automation and cyclicality limit CAP vs. aggregates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</si>
  <si>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</si>
  <si>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</si>
  <si>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</si>
  <si>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</si>
  <si>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</si>
  <si>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</si>
  <si>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</si>
  <si>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</si>
  <si>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USDm</t>
  </si>
  <si>
    <t xml:space="preserve">2028E Adj. EBIT less rationalization &amp; acquisition costs</t>
  </si>
  <si>
    <t xml:space="preserve">Tax rate (from WACC build)</t>
  </si>
  <si>
    <t xml:space="preserve">2028E NOPAT</t>
  </si>
  <si>
    <t xml:space="preserve">× Mauboussin EV/NOPAT multiple</t>
  </si>
  <si>
    <t xml:space="preserve">Implied Enterprise Value (2028E basis)</t>
  </si>
  <si>
    <t xml:space="preserve">Less: YE2027 net debt + NCI (Model)</t>
  </si>
  <si>
    <t xml:space="preserve">Implied Equity Value</t>
  </si>
  <si>
    <t xml:space="preserve">Diluted shares 2028E (m, Model)</t>
  </si>
  <si>
    <t xml:space="preserve">Implied share price 2028 ($)</t>
  </si>
  <si>
    <t xml:space="preserve">MARKET-IMPLIED EV/NOPAT TODAY</t>
  </si>
  <si>
    <t xml:space="preserve">Current market cap (spot × diluted shares)</t>
  </si>
  <si>
    <t xml:space="preserve">Plus: YE2026 net debt + NCI</t>
  </si>
  <si>
    <t xml:space="preserve">Implied Enterprise Value (today)</t>
  </si>
  <si>
    <t xml:space="preserve">LECO market-implied EV/NOPAT (on 2028E NOPAT)</t>
  </si>
  <si>
    <t xml:space="preserve">Multiple gap (Mauboussin − Market)</t>
  </si>
  <si>
    <t xml:space="preserve">Implied re-rating headroom</t>
  </si>
  <si>
    <t xml:space="preserve">Lincoln Electric — Historical Operating Performance (2006–2025)</t>
  </si>
  <si>
    <t xml:space="preserve">All historicals · USDm · Linked to Model. Volume / price = consolidated "change in net sales" drivers (company-reported, from 2010; legacy 5-segment basis to 2015). Adjusted EBIT = company definition (EBIT, as adjusted to 2017); Adjusted EBITDA model-derived.</t>
  </si>
  <si>
    <t xml:space="preserve">Volume %</t>
  </si>
  <si>
    <t xml:space="preserve">Price %</t>
  </si>
  <si>
    <t xml:space="preserve">Adj. EBIT Margin %</t>
  </si>
  <si>
    <t xml:space="preserve">GAAP Op. Margin %</t>
  </si>
  <si>
    <t xml:space="preserve">Adj. EBITDA margin %</t>
  </si>
  <si>
    <t xml:space="preserve">FCF margin %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</si>
</sst>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#,##0;\(#,##0\);\-"/>
    <numFmt numFmtId="166" formatCode="0%;\(0%\);&quot;n/m&quot;"/>
    <numFmt numFmtId="167" formatCode="0.0%;\(0.0%\);\-"/>
    <numFmt numFmtId="168" formatCode="#,##0.0;\(#,##0.0\);\-"/>
    <numFmt numFmtId="169" formatCode="0.0\x;\(0.0&quot;x)&quot;;\-"/>
    <numFmt numFmtId="170" formatCode="0.0%;\(0.0%\);&quot;n/m&quot;"/>
    <numFmt numFmtId="171" formatCode="\+0.0%;\-0.0%"/>
    <numFmt numFmtId="172" formatCode="\+#,##0;\-#,##0"/>
    <numFmt numFmtId="173" formatCode="#,##0.00;\(#,##0.00\);\-"/>
    <numFmt numFmtId="174" formatCode="0.00;\(0.00\);\-"/>
    <numFmt numFmtId="175" formatCode="0;\(0\);\-"/>
    <numFmt numFmtId="176" formatCode="#,##0.00"/>
    <numFmt numFmtId="177" formatCode="dd\-mmm\-yy"/>
    <numFmt numFmtId="178" formatCode="0%;\(0%\);\-"/>
    <numFmt numFmtId="179" formatCode="0.00%"/>
    <numFmt numFmtId="180" formatCode="0.00"/>
    <numFmt numFmtId="181" formatCode="0.0%"/>
    <numFmt numFmtId="182" formatCode="0.0000"/>
    <numFmt numFmtId="183" formatCode="#,##0.0"/>
    <numFmt numFmtId="184" formatCode="#,##0"/>
    <numFmt numFmtId="185" formatCode="0"/>
    <numFmt numFmtId="186" formatCode="0.0\x"/>
    <numFmt numFmtId="187" formatCode="0.0%;\(0.0%\)"/>
    <numFmt numFmtId="188" formatCode="0%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A6A6A6"/>
      <name val="Calibri"/>
      <family val="0"/>
      <charset val="1"/>
    </font>
    <font>
      <sz val="12"/>
      <color rgb="FF000000"/>
      <name val="Calibri"/>
      <family val="0"/>
      <charset val="1"/>
    </font>
    <font>
      <i val="true"/>
      <sz val="11"/>
      <color rgb="FF7F7F7F"/>
      <name val="Calibri"/>
      <family val="0"/>
      <charset val="1"/>
    </font>
    <font>
      <sz val="12"/>
      <name val="Calibri"/>
      <family val="0"/>
      <charset val="1"/>
    </font>
    <font>
      <sz val="12"/>
      <color rgb="FF0000FF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sz val="12"/>
      <color rgb="FF666666"/>
      <name val="Calibri"/>
      <family val="0"/>
      <charset val="1"/>
    </font>
    <font>
      <b val="true"/>
      <sz val="12"/>
      <color rgb="FF404040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2"/>
      <color rgb="FF2F3E46"/>
      <name val="Calibri"/>
      <family val="0"/>
      <charset val="1"/>
    </font>
    <font>
      <sz val="10"/>
      <name val="Arial"/>
      <family val="2"/>
    </font>
    <font>
      <b val="true"/>
      <sz val="16"/>
      <color rgb="FF2F3E46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sz val="1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2"/>
      <color rgb="FF595959"/>
      <name val="Calibri"/>
      <family val="0"/>
      <charset val="1"/>
    </font>
    <font>
      <sz val="12"/>
      <color rgb="FF008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14"/>
      <color rgb="FF2F3E46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52796F"/>
        <bgColor rgb="FF666666"/>
      </patternFill>
    </fill>
    <fill>
      <patternFill patternType="solid">
        <fgColor rgb="FFCAD2C5"/>
        <bgColor rgb="FFD9D9D9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FFDE7"/>
      </patternFill>
    </fill>
    <fill>
      <patternFill patternType="solid">
        <fgColor rgb="FFE8EDE9"/>
        <bgColor rgb="FFE9ECEC"/>
      </patternFill>
    </fill>
    <fill>
      <patternFill patternType="solid">
        <fgColor rgb="FFFFF8DC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5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7F7F7F"/>
      <rgbColor rgb="FFA6A6A6"/>
      <rgbColor rgb="FFBE4B48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5F5F5"/>
      <rgbColor rgb="FFFFFDE7"/>
      <rgbColor rgb="FFA8C5D6"/>
      <rgbColor rgb="FFFF99CC"/>
      <rgbColor rgb="FFCC99FF"/>
      <rgbColor rgb="FFCAD2C5"/>
      <rgbColor rgb="FF4A7EBB"/>
      <rgbColor rgb="FF84A98C"/>
      <rgbColor rgb="FF98B855"/>
      <rgbColor rgb="FFFFCC00"/>
      <rgbColor rgb="FFFF9900"/>
      <rgbColor rgb="FFFF6600"/>
      <rgbColor rgb="FF7D5FA0"/>
      <rgbColor rgb="FF878787"/>
      <rgbColor rgb="FF1F3864"/>
      <rgbColor rgb="FF52796F"/>
      <rgbColor rgb="FF003300"/>
      <rgbColor rgb="FF404040"/>
      <rgbColor rgb="FF993300"/>
      <rgbColor rgb="FF595959"/>
      <rgbColor rgb="FF1F4E7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Sales Drivers: Volume vs. Price, y/y % (company-reported, 2010+)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Charts!B8</c:f>
              <c:strCache>
                <c:ptCount val="1"/>
                <c:pt idx="0">
                  <c:v>Volume %</c:v>
                </c:pt>
              </c:strCache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Charts!$C$8:$V$8</c:f>
              <c:numCache>
                <c:formatCode>0.0%;\(0.0%\);\-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0.140552</c:v>
                </c:pt>
                <c:pt idx="5">
                  <c:v>0.147826</c:v>
                </c:pt>
                <c:pt idx="6">
                  <c:v>0.012918</c:v>
                </c:pt>
                <c:pt idx="7">
                  <c:v>-0.0266</c:v>
                </c:pt>
                <c:pt idx="8">
                  <c:v>-0.020299</c:v>
                </c:pt>
                <c:pt idx="9">
                  <c:v>-0.079624</c:v>
                </c:pt>
                <c:pt idx="10">
                  <c:v>-0.097666</c:v>
                </c:pt>
                <c:pt idx="11">
                  <c:v>0.041841</c:v>
                </c:pt>
                <c:pt idx="12">
                  <c:v>0.01059</c:v>
                </c:pt>
                <c:pt idx="13">
                  <c:v>-0.046521</c:v>
                </c:pt>
                <c:pt idx="14">
                  <c:v>-0.126925</c:v>
                </c:pt>
                <c:pt idx="15">
                  <c:v>0.098064</c:v>
                </c:pt>
                <c:pt idx="16">
                  <c:v>0.049584</c:v>
                </c:pt>
                <c:pt idx="17">
                  <c:v>0.022781</c:v>
                </c:pt>
                <c:pt idx="18">
                  <c:v>-0.071848</c:v>
                </c:pt>
                <c:pt idx="19">
                  <c:v>-0.036841</c:v>
                </c:pt>
              </c:numCache>
            </c:numRef>
          </c:val>
        </c:ser>
        <c:ser>
          <c:idx val="1"/>
          <c:order val="1"/>
          <c:tx>
            <c:strRef>
              <c:f>Charts!B9</c:f>
              <c:strCache>
                <c:ptCount val="1"/>
                <c:pt idx="0">
                  <c:v>Price %</c:v>
                </c:pt>
              </c:strCache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Charts!$C$9:$V$9</c:f>
              <c:numCache>
                <c:formatCode>0.0%;\(0.0%\);\-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0.003581</c:v>
                </c:pt>
                <c:pt idx="5">
                  <c:v>0.06903</c:v>
                </c:pt>
                <c:pt idx="6">
                  <c:v>0.016997</c:v>
                </c:pt>
                <c:pt idx="7">
                  <c:v>0.000744</c:v>
                </c:pt>
                <c:pt idx="8">
                  <c:v>0.017501</c:v>
                </c:pt>
                <c:pt idx="9">
                  <c:v>0.039514</c:v>
                </c:pt>
                <c:pt idx="10">
                  <c:v>0.102411</c:v>
                </c:pt>
                <c:pt idx="11">
                  <c:v>0.024214</c:v>
                </c:pt>
                <c:pt idx="12">
                  <c:v>0.055705</c:v>
                </c:pt>
                <c:pt idx="13">
                  <c:v>0.012453</c:v>
                </c:pt>
                <c:pt idx="14">
                  <c:v>0.004813</c:v>
                </c:pt>
                <c:pt idx="15">
                  <c:v>0.094857</c:v>
                </c:pt>
                <c:pt idx="16">
                  <c:v>0.14499</c:v>
                </c:pt>
                <c:pt idx="17">
                  <c:v>0.017055</c:v>
                </c:pt>
                <c:pt idx="18">
                  <c:v>0.007252</c:v>
                </c:pt>
                <c:pt idx="19">
                  <c:v>0.061502</c:v>
                </c:pt>
              </c:numCache>
            </c:numRef>
          </c:val>
        </c:ser>
        <c:gapWidth val="150"/>
        <c:overlap val="100"/>
        <c:axId val="92469882"/>
        <c:axId val="94175693"/>
      </c:barChart>
      <c:catAx>
        <c:axId val="924698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75693"/>
        <c:crosses val="autoZero"/>
        <c:auto val="1"/>
        <c:lblAlgn val="ctr"/>
        <c:lblOffset val="100"/>
        <c:noMultiLvlLbl val="0"/>
      </c:catAx>
      <c:valAx>
        <c:axId val="9417569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698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Adjusted EBIT &amp; Operating Income (USDm) with 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Charts!B12</c:f>
              <c:strCache>
                <c:ptCount val="1"/>
                <c:pt idx="0">
                  <c:v>Adjusted EBIT</c:v>
                </c:pt>
              </c:strCache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Charts!$C$12:$V$12</c:f>
              <c:numCache>
                <c:formatCode>#,##0;\(#,##0\);\-</c:formatCode>
                <c:ptCount val="20"/>
                <c:pt idx="0">
                  <c:v>236.927</c:v>
                </c:pt>
                <c:pt idx="1">
                  <c:v>290.105</c:v>
                </c:pt>
                <c:pt idx="2">
                  <c:v>322.49</c:v>
                </c:pt>
                <c:pt idx="3">
                  <c:v>122.17</c:v>
                </c:pt>
                <c:pt idx="4">
                  <c:v>194.157</c:v>
                </c:pt>
                <c:pt idx="5">
                  <c:v>305.196</c:v>
                </c:pt>
                <c:pt idx="6">
                  <c:v>380.508</c:v>
                </c:pt>
                <c:pt idx="7">
                  <c:v>437.351</c:v>
                </c:pt>
                <c:pt idx="8">
                  <c:v>434.34</c:v>
                </c:pt>
                <c:pt idx="9">
                  <c:v>378.807</c:v>
                </c:pt>
                <c:pt idx="10">
                  <c:v>328.723</c:v>
                </c:pt>
                <c:pt idx="11">
                  <c:v>370.338</c:v>
                </c:pt>
                <c:pt idx="12">
                  <c:v>422.694</c:v>
                </c:pt>
                <c:pt idx="13">
                  <c:v>400.753</c:v>
                </c:pt>
                <c:pt idx="14">
                  <c:v>340.406</c:v>
                </c:pt>
                <c:pt idx="15">
                  <c:v>491.268</c:v>
                </c:pt>
                <c:pt idx="16">
                  <c:v>636.951</c:v>
                </c:pt>
                <c:pt idx="17">
                  <c:v>731.374000000001</c:v>
                </c:pt>
                <c:pt idx="18">
                  <c:v>713.605</c:v>
                </c:pt>
                <c:pt idx="19">
                  <c:v>752.632</c:v>
                </c:pt>
              </c:numCache>
            </c:numRef>
          </c:val>
        </c:ser>
        <c:ser>
          <c:idx val="1"/>
          <c:order val="1"/>
          <c:tx>
            <c:strRef>
              <c:f>Charts!B13</c:f>
              <c:strCache>
                <c:ptCount val="1"/>
                <c:pt idx="0">
                  <c:v>Operating income (GAAP)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Charts!$C$13:$V$13</c:f>
              <c:numCache>
                <c:formatCode>#,##0;\(#,##0\);\-</c:formatCode>
                <c:ptCount val="20"/>
                <c:pt idx="0">
                  <c:v>232.97</c:v>
                </c:pt>
                <c:pt idx="1">
                  <c:v>277.632</c:v>
                </c:pt>
                <c:pt idx="2">
                  <c:v>295.404</c:v>
                </c:pt>
                <c:pt idx="3">
                  <c:v>92.9760000000001</c:v>
                </c:pt>
                <c:pt idx="4">
                  <c:v>186.43</c:v>
                </c:pt>
                <c:pt idx="5">
                  <c:v>296.68</c:v>
                </c:pt>
                <c:pt idx="6">
                  <c:v>362.081</c:v>
                </c:pt>
                <c:pt idx="7">
                  <c:v>406.985</c:v>
                </c:pt>
                <c:pt idx="8">
                  <c:v>373.747</c:v>
                </c:pt>
                <c:pt idx="9">
                  <c:v>181.7</c:v>
                </c:pt>
                <c:pt idx="10">
                  <c:v>288.274</c:v>
                </c:pt>
                <c:pt idx="11">
                  <c:v>377.711</c:v>
                </c:pt>
                <c:pt idx="12">
                  <c:v>375.539</c:v>
                </c:pt>
                <c:pt idx="13">
                  <c:v>370.91</c:v>
                </c:pt>
                <c:pt idx="14">
                  <c:v>282.071</c:v>
                </c:pt>
                <c:pt idx="15">
                  <c:v>461.669</c:v>
                </c:pt>
                <c:pt idx="16">
                  <c:v>612.336</c:v>
                </c:pt>
                <c:pt idx="17">
                  <c:v>717.849000000001</c:v>
                </c:pt>
                <c:pt idx="18">
                  <c:v>636.462</c:v>
                </c:pt>
                <c:pt idx="19">
                  <c:v>718.059</c:v>
                </c:pt>
              </c:numCache>
            </c:numRef>
          </c:val>
        </c:ser>
        <c:gapWidth val="150"/>
        <c:overlap val="0"/>
        <c:axId val="80182606"/>
        <c:axId val="68819065"/>
      </c:barChart>
      <c:lineChart>
        <c:grouping val="standard"/>
        <c:varyColors val="0"/>
        <c:ser>
          <c:idx val="2"/>
          <c:order val="2"/>
          <c:tx>
            <c:strRef>
              <c:f>Charts!B14</c:f>
              <c:strCache>
                <c:ptCount val="1"/>
                <c:pt idx="0">
                  <c:v>Adj. EBIT Margin 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Charts!$C$14:$V$14</c:f>
              <c:numCache>
                <c:formatCode>0.0%;\(0.0%\);\-</c:formatCode>
                <c:ptCount val="20"/>
                <c:pt idx="0">
                  <c:v>0.120150716435546</c:v>
                </c:pt>
                <c:pt idx="1">
                  <c:v>0.127195297757262</c:v>
                </c:pt>
                <c:pt idx="2">
                  <c:v>0.130081871429949</c:v>
                </c:pt>
                <c:pt idx="3">
                  <c:v>0.0706476954348185</c:v>
                </c:pt>
                <c:pt idx="4">
                  <c:v>0.0937878591730542</c:v>
                </c:pt>
                <c:pt idx="5">
                  <c:v>0.11326170141939</c:v>
                </c:pt>
                <c:pt idx="6">
                  <c:v>0.133354034023664</c:v>
                </c:pt>
                <c:pt idx="7">
                  <c:v>0.153312807540722</c:v>
                </c:pt>
                <c:pt idx="8">
                  <c:v>0.154386768107762</c:v>
                </c:pt>
                <c:pt idx="9">
                  <c:v>0.149384156659599</c:v>
                </c:pt>
                <c:pt idx="10">
                  <c:v>0.14451814681524</c:v>
                </c:pt>
                <c:pt idx="11">
                  <c:v>0.141111730504631</c:v>
                </c:pt>
                <c:pt idx="12">
                  <c:v>0.1395640468403</c:v>
                </c:pt>
                <c:pt idx="13">
                  <c:v>0.133438796086402</c:v>
                </c:pt>
                <c:pt idx="14">
                  <c:v>0.128193869096935</c:v>
                </c:pt>
                <c:pt idx="15">
                  <c:v>0.151898781143907</c:v>
                </c:pt>
                <c:pt idx="16">
                  <c:v>0.169347319254357</c:v>
                </c:pt>
                <c:pt idx="17">
                  <c:v>0.174484139367064</c:v>
                </c:pt>
                <c:pt idx="18">
                  <c:v>0.178015401616995</c:v>
                </c:pt>
                <c:pt idx="19">
                  <c:v>0.177800960689137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Charts!B15</c:f>
              <c:strCache>
                <c:ptCount val="1"/>
                <c:pt idx="0">
                  <c:v>GAAP Op. Margin 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Charts!$C$15:$V$15</c:f>
              <c:numCache>
                <c:formatCode>0.0%;\(0.0%\);\-</c:formatCode>
                <c:ptCount val="20"/>
                <c:pt idx="0">
                  <c:v>0.118144037648682</c:v>
                </c:pt>
                <c:pt idx="1">
                  <c:v>0.121726564198977</c:v>
                </c:pt>
                <c:pt idx="2">
                  <c:v>0.119156268870019</c:v>
                </c:pt>
                <c:pt idx="3">
                  <c:v>0.0537655736330333</c:v>
                </c:pt>
                <c:pt idx="4">
                  <c:v>0.0900553190749367</c:v>
                </c:pt>
                <c:pt idx="5">
                  <c:v>0.110101317111314</c:v>
                </c:pt>
                <c:pt idx="6">
                  <c:v>0.126896049474183</c:v>
                </c:pt>
                <c:pt idx="7">
                  <c:v>0.142668046893595</c:v>
                </c:pt>
                <c:pt idx="8">
                  <c:v>0.132848900446589</c:v>
                </c:pt>
                <c:pt idx="9">
                  <c:v>0.071654170237216</c:v>
                </c:pt>
                <c:pt idx="10">
                  <c:v>0.126735349382357</c:v>
                </c:pt>
                <c:pt idx="11">
                  <c:v>0.143921101373974</c:v>
                </c:pt>
                <c:pt idx="12">
                  <c:v>0.123994526977813</c:v>
                </c:pt>
                <c:pt idx="13">
                  <c:v>0.123501967187787</c:v>
                </c:pt>
                <c:pt idx="14">
                  <c:v>0.106225427430896</c:v>
                </c:pt>
                <c:pt idx="15">
                  <c:v>0.142746847732656</c:v>
                </c:pt>
                <c:pt idx="16">
                  <c:v>0.162802884496509</c:v>
                </c:pt>
                <c:pt idx="17">
                  <c:v>0.171257475601412</c:v>
                </c:pt>
                <c:pt idx="18">
                  <c:v>0.158771363070545</c:v>
                </c:pt>
                <c:pt idx="19">
                  <c:v>0.169633472974151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852552"/>
        <c:axId val="44574259"/>
      </c:lineChart>
      <c:catAx>
        <c:axId val="801826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19065"/>
        <c:crosses val="autoZero"/>
        <c:auto val="1"/>
        <c:lblAlgn val="ctr"/>
        <c:lblOffset val="100"/>
        <c:noMultiLvlLbl val="0"/>
      </c:catAx>
      <c:valAx>
        <c:axId val="6881906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82606"/>
        <c:crosses val="autoZero"/>
        <c:crossBetween val="between"/>
      </c:valAx>
      <c:catAx>
        <c:axId val="7585255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74259"/>
        <c:crosses val="autoZero"/>
        <c:auto val="1"/>
        <c:lblAlgn val="ctr"/>
        <c:lblOffset val="100"/>
        <c:noMultiLvlLbl val="0"/>
      </c:catAx>
      <c:valAx>
        <c:axId val="4457425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5255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Charts!$C$18:$V$18</c:f>
              <c:numCache>
                <c:formatCode>0.0%;\(0.0%\);\-</c:formatCode>
                <c:ptCount val="20"/>
                <c:pt idx="0">
                  <c:v>0.194764945082835</c:v>
                </c:pt>
                <c:pt idx="1">
                  <c:v>0.204888416701132</c:v>
                </c:pt>
                <c:pt idx="2">
                  <c:v>0.267631361481935</c:v>
                </c:pt>
                <c:pt idx="3">
                  <c:v>0.0835578131918339</c:v>
                </c:pt>
                <c:pt idx="4">
                  <c:v>0.155723452117578</c:v>
                </c:pt>
                <c:pt idx="5">
                  <c:v>0.234946058122833</c:v>
                </c:pt>
                <c:pt idx="6">
                  <c:v>0.242487820432187</c:v>
                </c:pt>
                <c:pt idx="7">
                  <c:v>0.245076165171373</c:v>
                </c:pt>
                <c:pt idx="8">
                  <c:v>0.272173097983795</c:v>
                </c:pt>
                <c:pt idx="9">
                  <c:v>0.289213777133601</c:v>
                </c:pt>
                <c:pt idx="10">
                  <c:v>0.226343643455223</c:v>
                </c:pt>
                <c:pt idx="11">
                  <c:v>0.190734147869624</c:v>
                </c:pt>
                <c:pt idx="12">
                  <c:v>0.267221354609464</c:v>
                </c:pt>
                <c:pt idx="13">
                  <c:v>0.23320505725855</c:v>
                </c:pt>
                <c:pt idx="14">
                  <c:v>0.212414902536479</c:v>
                </c:pt>
                <c:pt idx="15">
                  <c:v>0.290177612501857</c:v>
                </c:pt>
                <c:pt idx="16">
                  <c:v>0.248617699114789</c:v>
                </c:pt>
                <c:pt idx="17">
                  <c:v>0.287376393127561</c:v>
                </c:pt>
                <c:pt idx="18">
                  <c:v>0.253169865273931</c:v>
                </c:pt>
                <c:pt idx="19">
                  <c:v>0.236256597327516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Charts!B19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Charts!$C$19:$V$19</c:f>
              <c:numCache>
                <c:formatCode>0.0%;\(0.0%\);\-</c:formatCode>
                <c:ptCount val="20"/>
                <c:pt idx="0">
                  <c:v>0.169563624992163</c:v>
                </c:pt>
                <c:pt idx="1">
                  <c:v>0.163599949215247</c:v>
                </c:pt>
                <c:pt idx="2">
                  <c:v>0.174122720048011</c:v>
                </c:pt>
                <c:pt idx="3">
                  <c:v>0.0519134820863576</c:v>
                </c:pt>
                <c:pt idx="4">
                  <c:v>0.102836748522609</c:v>
                </c:pt>
                <c:pt idx="5">
                  <c:v>0.151837205093338</c:v>
                </c:pt>
                <c:pt idx="6">
                  <c:v>0.188830616552294</c:v>
                </c:pt>
                <c:pt idx="7">
                  <c:v>0.220618481026157</c:v>
                </c:pt>
                <c:pt idx="8">
                  <c:v>0.243888075412871</c:v>
                </c:pt>
                <c:pt idx="9">
                  <c:v>0.256070899129132</c:v>
                </c:pt>
                <c:pt idx="10">
                  <c:v>0.196688984854121</c:v>
                </c:pt>
                <c:pt idx="11">
                  <c:v>0.164863624893937</c:v>
                </c:pt>
                <c:pt idx="12">
                  <c:v>0.238013631493177</c:v>
                </c:pt>
                <c:pt idx="13">
                  <c:v>0.239990282804946</c:v>
                </c:pt>
                <c:pt idx="14">
                  <c:v>0.204798081729933</c:v>
                </c:pt>
                <c:pt idx="15">
                  <c:v>0.319247511802895</c:v>
                </c:pt>
                <c:pt idx="16">
                  <c:v>0.326668599374883</c:v>
                </c:pt>
                <c:pt idx="17">
                  <c:v>0.332899663032191</c:v>
                </c:pt>
                <c:pt idx="18">
                  <c:v>0.324358579542832</c:v>
                </c:pt>
                <c:pt idx="19">
                  <c:v>0.317370859100797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Charts!B20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Charts!$C$20:$V$20</c:f>
              <c:numCache>
                <c:formatCode>0.0%;\(0.0%\);\-</c:formatCode>
                <c:ptCount val="20"/>
                <c:pt idx="0">
                  <c:v>0.144403790224224</c:v>
                </c:pt>
                <c:pt idx="1">
                  <c:v>0.150261927477569</c:v>
                </c:pt>
                <c:pt idx="2">
                  <c:v>0.153043546307154</c:v>
                </c:pt>
                <c:pt idx="3">
                  <c:v>0.103376829151933</c:v>
                </c:pt>
                <c:pt idx="4">
                  <c:v>0.12149425265147</c:v>
                </c:pt>
                <c:pt idx="5">
                  <c:v>0.136289532173313</c:v>
                </c:pt>
                <c:pt idx="6">
                  <c:v>0.15625119376512</c:v>
                </c:pt>
                <c:pt idx="7">
                  <c:v>0.17745965097272</c:v>
                </c:pt>
                <c:pt idx="8">
                  <c:v>0.179128674834466</c:v>
                </c:pt>
                <c:pt idx="9">
                  <c:v>0.174625590200454</c:v>
                </c:pt>
                <c:pt idx="10">
                  <c:v>0.173126517290406</c:v>
                </c:pt>
                <c:pt idx="11">
                  <c:v>0.167065927814448</c:v>
                </c:pt>
                <c:pt idx="12">
                  <c:v>0.163451068025149</c:v>
                </c:pt>
                <c:pt idx="13">
                  <c:v>0.160571536644034</c:v>
                </c:pt>
                <c:pt idx="14">
                  <c:v>0.158506439707765</c:v>
                </c:pt>
                <c:pt idx="15">
                  <c:v>0.176988912181759</c:v>
                </c:pt>
                <c:pt idx="16">
                  <c:v>0.190101007361725</c:v>
                </c:pt>
                <c:pt idx="17">
                  <c:v>0.195161030203959</c:v>
                </c:pt>
                <c:pt idx="18">
                  <c:v>0.20002719106337</c:v>
                </c:pt>
                <c:pt idx="19">
                  <c:v>0.201081359970687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Charts!B21</c:f>
              <c:strCache>
                <c:ptCount val="1"/>
                <c:pt idx="0">
                  <c:v>FCF margin 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Charts!$C$21:$V$21</c:f>
              <c:numCache>
                <c:formatCode>0.0%;\(0.0%\);\-</c:formatCode>
                <c:ptCount val="20"/>
                <c:pt idx="0">
                  <c:v>0.0216429207141282</c:v>
                </c:pt>
                <c:pt idx="1">
                  <c:v>0.0825150474573655</c:v>
                </c:pt>
                <c:pt idx="2">
                  <c:v>0.0746321997506385</c:v>
                </c:pt>
                <c:pt idx="3">
                  <c:v>0.122680182850137</c:v>
                </c:pt>
                <c:pt idx="4">
                  <c:v>0.0465724587135755</c:v>
                </c:pt>
                <c:pt idx="5">
                  <c:v>0.0473927757236764</c:v>
                </c:pt>
                <c:pt idx="6">
                  <c:v>0.0962964105213245</c:v>
                </c:pt>
                <c:pt idx="7">
                  <c:v>0.0921518815173569</c:v>
                </c:pt>
                <c:pt idx="8">
                  <c:v>0.116841145918494</c:v>
                </c:pt>
                <c:pt idx="9">
                  <c:v>0.102670527657839</c:v>
                </c:pt>
                <c:pt idx="10">
                  <c:v>0.11145891127022</c:v>
                </c:pt>
                <c:pt idx="11">
                  <c:v>0.104094563735911</c:v>
                </c:pt>
                <c:pt idx="12">
                  <c:v>0.0851547574945339</c:v>
                </c:pt>
                <c:pt idx="13">
                  <c:v>0.111068860895716</c:v>
                </c:pt>
                <c:pt idx="14">
                  <c:v>0.110025231603525</c:v>
                </c:pt>
                <c:pt idx="15">
                  <c:v>0.0935421034079736</c:v>
                </c:pt>
                <c:pt idx="16">
                  <c:v>0.0828198683881335</c:v>
                </c:pt>
                <c:pt idx="17">
                  <c:v>0.137548918846961</c:v>
                </c:pt>
                <c:pt idx="18">
                  <c:v>0.120332678918444</c:v>
                </c:pt>
                <c:pt idx="19">
                  <c:v>0.126198587622074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938762"/>
        <c:axId val="84321973"/>
      </c:lineChart>
      <c:catAx>
        <c:axId val="659387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21973"/>
        <c:crosses val="autoZero"/>
        <c:auto val="1"/>
        <c:lblAlgn val="ctr"/>
        <c:lblOffset val="100"/>
        <c:noMultiLvlLbl val="0"/>
      </c:catAx>
      <c:valAx>
        <c:axId val="84321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387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160920</xdr:rowOff>
    </xdr:from>
    <xdr:to>
      <xdr:col>16</xdr:col>
      <xdr:colOff>124200</xdr:colOff>
      <xdr:row>36</xdr:row>
      <xdr:rowOff>2880</xdr:rowOff>
    </xdr:to>
    <xdr:graphicFrame>
      <xdr:nvGraphicFramePr>
        <xdr:cNvPr id="0" name="Chart 1"/>
        <xdr:cNvGraphicFramePr/>
      </xdr:nvGraphicFramePr>
      <xdr:xfrm>
        <a:off x="611640" y="4191120"/>
        <a:ext cx="107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42</xdr:row>
      <xdr:rowOff>160560</xdr:rowOff>
    </xdr:from>
    <xdr:to>
      <xdr:col>16</xdr:col>
      <xdr:colOff>124200</xdr:colOff>
      <xdr:row>57</xdr:row>
      <xdr:rowOff>2880</xdr:rowOff>
    </xdr:to>
    <xdr:graphicFrame>
      <xdr:nvGraphicFramePr>
        <xdr:cNvPr id="1" name="Chart 2"/>
        <xdr:cNvGraphicFramePr/>
      </xdr:nvGraphicFramePr>
      <xdr:xfrm>
        <a:off x="611640" y="8191440"/>
        <a:ext cx="107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63</xdr:row>
      <xdr:rowOff>160920</xdr:rowOff>
    </xdr:from>
    <xdr:to>
      <xdr:col>16</xdr:col>
      <xdr:colOff>124200</xdr:colOff>
      <xdr:row>78</xdr:row>
      <xdr:rowOff>2880</xdr:rowOff>
    </xdr:to>
    <xdr:graphicFrame>
      <xdr:nvGraphicFramePr>
        <xdr:cNvPr id="2" name="Chart 3"/>
        <xdr:cNvGraphicFramePr/>
      </xdr:nvGraphicFramePr>
      <xdr:xfrm>
        <a:off x="611640" y="12192120"/>
        <a:ext cx="107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R39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2.4"/>
    <col collapsed="false" customWidth="true" hidden="false" outlineLevel="0" max="2" min="2" style="0" width="62"/>
    <col collapsed="false" customWidth="true" hidden="false" outlineLevel="0" max="9" min="3" style="0" width="14.1"/>
    <col collapsed="false" customWidth="true" hidden="true" outlineLevel="1" max="13" min="10" style="0" width="9.6"/>
    <col collapsed="false" customWidth="true" hidden="false" outlineLevel="0" max="14" min="14" style="0" width="14.1"/>
    <col collapsed="false" customWidth="true" hidden="true" outlineLevel="1" max="18" min="15" style="0" width="9.6"/>
    <col collapsed="false" customWidth="true" hidden="false" outlineLevel="0" max="19" min="19" style="0" width="14.1"/>
    <col collapsed="false" customWidth="true" hidden="true" outlineLevel="1" max="23" min="20" style="0" width="9.6"/>
    <col collapsed="false" customWidth="true" hidden="false" outlineLevel="0" max="24" min="24" style="0" width="14.1"/>
    <col collapsed="false" customWidth="true" hidden="true" outlineLevel="1" max="28" min="25" style="0" width="9.6"/>
    <col collapsed="false" customWidth="true" hidden="false" outlineLevel="0" max="29" min="29" style="0" width="14.1"/>
    <col collapsed="false" customWidth="true" hidden="true" outlineLevel="1" max="33" min="30" style="0" width="9.6"/>
    <col collapsed="false" customWidth="true" hidden="false" outlineLevel="0" max="34" min="34" style="0" width="14.1"/>
    <col collapsed="false" customWidth="true" hidden="true" outlineLevel="1" max="38" min="35" style="0" width="9.6"/>
    <col collapsed="false" customWidth="true" hidden="false" outlineLevel="0" max="39" min="39" style="0" width="14.1"/>
    <col collapsed="false" customWidth="true" hidden="true" outlineLevel="1" max="43" min="40" style="0" width="9.6"/>
    <col collapsed="false" customWidth="true" hidden="false" outlineLevel="0" max="44" min="44" style="0" width="14.1"/>
    <col collapsed="false" customWidth="true" hidden="true" outlineLevel="1" max="48" min="45" style="0" width="9.6"/>
    <col collapsed="false" customWidth="true" hidden="false" outlineLevel="0" max="49" min="49" style="0" width="14.1"/>
    <col collapsed="false" customWidth="true" hidden="true" outlineLevel="1" max="53" min="50" style="0" width="9.6"/>
    <col collapsed="false" customWidth="true" hidden="false" outlineLevel="0" max="54" min="54" style="0" width="14.1"/>
    <col collapsed="false" customWidth="true" hidden="true" outlineLevel="1" max="58" min="55" style="0" width="9.6"/>
    <col collapsed="false" customWidth="true" hidden="false" outlineLevel="0" max="59" min="59" style="0" width="14.1"/>
    <col collapsed="false" customWidth="true" hidden="true" outlineLevel="1" max="63" min="60" style="0" width="9.6"/>
    <col collapsed="false" customWidth="true" hidden="false" outlineLevel="0" max="64" min="64" style="0" width="14.1"/>
    <col collapsed="false" customWidth="true" hidden="true" outlineLevel="1" max="68" min="65" style="0" width="9.6"/>
    <col collapsed="false" customWidth="true" hidden="false" outlineLevel="0" max="69" min="69" style="0" width="14.1"/>
    <col collapsed="false" customWidth="true" hidden="true" outlineLevel="1" max="73" min="70" style="0" width="9.6"/>
    <col collapsed="false" customWidth="true" hidden="false" outlineLevel="0" max="74" min="74" style="0" width="14.1"/>
    <col collapsed="false" customWidth="true" hidden="false" outlineLevel="1" max="78" min="75" style="0" width="9.6"/>
    <col collapsed="false" customWidth="true" hidden="false" outlineLevel="0" max="83" min="79" style="0" width="14.1"/>
    <col collapsed="false" customWidth="true" hidden="false" outlineLevel="0" max="84" min="84" style="0" width="86.9"/>
    <col collapsed="false" customWidth="true" hidden="false" outlineLevel="0" max="85" min="85" style="0" width="2"/>
    <col collapsed="false" customWidth="true" hidden="false" outlineLevel="0" max="86" min="86" style="0" width="14.1"/>
    <col collapsed="false" customWidth="true" hidden="false" outlineLevel="0" max="87" min="87" style="0" width="12.4"/>
    <col collapsed="false" customWidth="true" hidden="false" outlineLevel="0" max="88" min="88" style="0" width="13.4"/>
    <col collapsed="false" customWidth="true" hidden="false" outlineLevel="0" max="89" min="89" style="0" width="13"/>
    <col collapsed="false" customWidth="true" hidden="false" outlineLevel="0" max="90" min="90" style="0" width="2"/>
    <col collapsed="false" customWidth="true" hidden="false" outlineLevel="0" max="91" min="91" style="0" width="6"/>
    <col collapsed="false" customWidth="true" hidden="false" outlineLevel="0" max="92" min="92" style="0" width="58"/>
    <col collapsed="false" customWidth="true" hidden="false" outlineLevel="0" max="95" min="93" style="0" width="11.6"/>
    <col collapsed="false" customWidth="true" hidden="false" outlineLevel="0" max="96" min="96" style="0" width="70"/>
  </cols>
  <sheetData>
    <row r="1" customFormat="false" ht="15" hidden="false" customHeight="false" outlineLevel="0" collapsed="false">
      <c r="CF1" s="1" t="s">
        <v>0</v>
      </c>
    </row>
    <row r="2" customFormat="false" ht="19.7" hidden="false" customHeight="false" outlineLevel="0" collapsed="false">
      <c r="B2" s="2" t="s">
        <v>1</v>
      </c>
      <c r="CF2" s="3" t="s">
        <v>2</v>
      </c>
    </row>
    <row r="3" customFormat="false" ht="15" hidden="false" customHeight="false" outlineLevel="0" collapsed="false">
      <c r="B3" s="4" t="s">
        <v>3</v>
      </c>
    </row>
    <row r="4" customFormat="false" ht="15" hidden="false" customHeight="false" outlineLevel="0" collapsed="false">
      <c r="B4" s="5" t="s">
        <v>4</v>
      </c>
    </row>
    <row r="5" customFormat="false" ht="15" hidden="false" customHeight="false" outlineLevel="0" collapsed="false">
      <c r="CH5" s="6" t="s">
        <v>5</v>
      </c>
      <c r="CI5" s="6" t="s">
        <v>6</v>
      </c>
      <c r="CJ5" s="6" t="s">
        <v>6</v>
      </c>
      <c r="CK5" s="6" t="s">
        <v>6</v>
      </c>
    </row>
    <row r="6" customFormat="false" ht="15" hidden="false" customHeight="false" outlineLevel="0" collapsed="false">
      <c r="B6" s="7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  <c r="J6" s="8" t="s">
        <v>15</v>
      </c>
      <c r="K6" s="8" t="s">
        <v>16</v>
      </c>
      <c r="L6" s="8" t="s">
        <v>17</v>
      </c>
      <c r="M6" s="8" t="s">
        <v>18</v>
      </c>
      <c r="N6" s="8" t="s">
        <v>19</v>
      </c>
      <c r="O6" s="8" t="s">
        <v>20</v>
      </c>
      <c r="P6" s="8" t="s">
        <v>21</v>
      </c>
      <c r="Q6" s="8" t="s">
        <v>22</v>
      </c>
      <c r="R6" s="8" t="s">
        <v>23</v>
      </c>
      <c r="S6" s="8" t="s">
        <v>24</v>
      </c>
      <c r="T6" s="8" t="s">
        <v>25</v>
      </c>
      <c r="U6" s="8" t="s">
        <v>26</v>
      </c>
      <c r="V6" s="8" t="s">
        <v>27</v>
      </c>
      <c r="W6" s="8" t="s">
        <v>28</v>
      </c>
      <c r="X6" s="8" t="s">
        <v>29</v>
      </c>
      <c r="Y6" s="8" t="s">
        <v>30</v>
      </c>
      <c r="Z6" s="8" t="s">
        <v>31</v>
      </c>
      <c r="AA6" s="8" t="s">
        <v>32</v>
      </c>
      <c r="AB6" s="8" t="s">
        <v>33</v>
      </c>
      <c r="AC6" s="8" t="s">
        <v>34</v>
      </c>
      <c r="AD6" s="8" t="s">
        <v>35</v>
      </c>
      <c r="AE6" s="8" t="s">
        <v>36</v>
      </c>
      <c r="AF6" s="8" t="s">
        <v>37</v>
      </c>
      <c r="AG6" s="8" t="s">
        <v>38</v>
      </c>
      <c r="AH6" s="8" t="s">
        <v>39</v>
      </c>
      <c r="AI6" s="8" t="s">
        <v>40</v>
      </c>
      <c r="AJ6" s="8" t="s">
        <v>41</v>
      </c>
      <c r="AK6" s="8" t="s">
        <v>42</v>
      </c>
      <c r="AL6" s="8" t="s">
        <v>43</v>
      </c>
      <c r="AM6" s="8" t="s">
        <v>44</v>
      </c>
      <c r="AN6" s="8" t="s">
        <v>45</v>
      </c>
      <c r="AO6" s="8" t="s">
        <v>46</v>
      </c>
      <c r="AP6" s="8" t="s">
        <v>47</v>
      </c>
      <c r="AQ6" s="8" t="s">
        <v>48</v>
      </c>
      <c r="AR6" s="8" t="s">
        <v>49</v>
      </c>
      <c r="AS6" s="8" t="s">
        <v>50</v>
      </c>
      <c r="AT6" s="8" t="s">
        <v>51</v>
      </c>
      <c r="AU6" s="8" t="s">
        <v>52</v>
      </c>
      <c r="AV6" s="8" t="s">
        <v>53</v>
      </c>
      <c r="AW6" s="8" t="s">
        <v>54</v>
      </c>
      <c r="AX6" s="8" t="s">
        <v>55</v>
      </c>
      <c r="AY6" s="8" t="s">
        <v>56</v>
      </c>
      <c r="AZ6" s="8" t="s">
        <v>57</v>
      </c>
      <c r="BA6" s="8" t="s">
        <v>58</v>
      </c>
      <c r="BB6" s="8" t="s">
        <v>59</v>
      </c>
      <c r="BC6" s="8" t="s">
        <v>60</v>
      </c>
      <c r="BD6" s="8" t="s">
        <v>61</v>
      </c>
      <c r="BE6" s="8" t="s">
        <v>62</v>
      </c>
      <c r="BF6" s="8" t="s">
        <v>63</v>
      </c>
      <c r="BG6" s="8" t="s">
        <v>64</v>
      </c>
      <c r="BH6" s="8" t="s">
        <v>65</v>
      </c>
      <c r="BI6" s="8" t="s">
        <v>66</v>
      </c>
      <c r="BJ6" s="8" t="s">
        <v>67</v>
      </c>
      <c r="BK6" s="8" t="s">
        <v>68</v>
      </c>
      <c r="BL6" s="8" t="s">
        <v>69</v>
      </c>
      <c r="BM6" s="8" t="s">
        <v>70</v>
      </c>
      <c r="BN6" s="8" t="s">
        <v>71</v>
      </c>
      <c r="BO6" s="8" t="s">
        <v>72</v>
      </c>
      <c r="BP6" s="8" t="s">
        <v>73</v>
      </c>
      <c r="BQ6" s="8" t="s">
        <v>74</v>
      </c>
      <c r="BR6" s="8" t="s">
        <v>75</v>
      </c>
      <c r="BS6" s="8" t="s">
        <v>76</v>
      </c>
      <c r="BT6" s="8" t="s">
        <v>77</v>
      </c>
      <c r="BU6" s="8" t="s">
        <v>78</v>
      </c>
      <c r="BV6" s="8" t="s">
        <v>79</v>
      </c>
      <c r="BW6" s="8" t="s">
        <v>80</v>
      </c>
      <c r="BX6" s="8" t="s">
        <v>81</v>
      </c>
      <c r="BY6" s="8" t="s">
        <v>82</v>
      </c>
      <c r="BZ6" s="8" t="s">
        <v>83</v>
      </c>
      <c r="CA6" s="8" t="s">
        <v>84</v>
      </c>
      <c r="CB6" s="8" t="s">
        <v>85</v>
      </c>
      <c r="CC6" s="8" t="s">
        <v>86</v>
      </c>
      <c r="CD6" s="8" t="s">
        <v>87</v>
      </c>
      <c r="CE6" s="8" t="s">
        <v>88</v>
      </c>
      <c r="CF6" s="8" t="s">
        <v>89</v>
      </c>
      <c r="CH6" s="6" t="s">
        <v>90</v>
      </c>
      <c r="CI6" s="6" t="s">
        <v>90</v>
      </c>
      <c r="CJ6" s="6" t="s">
        <v>91</v>
      </c>
      <c r="CK6" s="6" t="s">
        <v>92</v>
      </c>
    </row>
    <row r="7" customFormat="false" ht="15" hidden="false" customHeight="false" outlineLevel="0" collapsed="false">
      <c r="CH7" s="9" t="s">
        <v>93</v>
      </c>
      <c r="CI7" s="9" t="s">
        <v>94</v>
      </c>
      <c r="CJ7" s="9" t="s">
        <v>95</v>
      </c>
      <c r="CK7" s="9" t="s">
        <v>96</v>
      </c>
    </row>
    <row r="8" customFormat="false" ht="15" hidden="false" customHeight="false" outlineLevel="0" collapsed="false">
      <c r="B8" s="10" t="s">
        <v>97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 t="s">
        <v>98</v>
      </c>
    </row>
    <row r="9" customFormat="false" ht="15" hidden="false" customHeight="false" outlineLevel="0" collapsed="false">
      <c r="B9" s="11" t="s">
        <v>99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 t="s">
        <v>100</v>
      </c>
      <c r="CN9" s="12" t="s">
        <v>101</v>
      </c>
      <c r="CO9" s="13" t="s">
        <v>102</v>
      </c>
      <c r="CP9" s="13" t="s">
        <v>2</v>
      </c>
      <c r="CQ9" s="13" t="s">
        <v>103</v>
      </c>
      <c r="CR9" s="14" t="s">
        <v>104</v>
      </c>
    </row>
    <row r="10" customFormat="false" ht="15" hidden="false" customHeight="false" outlineLevel="0" collapsed="false">
      <c r="B10" s="15" t="s">
        <v>105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 t="n">
        <v>1848.663</v>
      </c>
      <c r="O10" s="17" t="n">
        <v>441.849</v>
      </c>
      <c r="P10" s="17" t="n">
        <v>465.524</v>
      </c>
      <c r="Q10" s="17" t="n">
        <v>469.39</v>
      </c>
      <c r="R10" s="17" t="n">
        <v>460.907</v>
      </c>
      <c r="S10" s="17" t="n">
        <v>1837.67</v>
      </c>
      <c r="T10" s="17" t="n">
        <v>448.837</v>
      </c>
      <c r="U10" s="17" t="n">
        <v>451.001</v>
      </c>
      <c r="V10" s="17" t="n">
        <v>454.172</v>
      </c>
      <c r="W10" s="17" t="n">
        <v>387.34</v>
      </c>
      <c r="X10" s="17" t="n">
        <v>1741.35</v>
      </c>
      <c r="Y10" s="17" t="n">
        <v>359.008</v>
      </c>
      <c r="Z10" s="17" t="n">
        <v>388.372</v>
      </c>
      <c r="AA10" s="17" t="n">
        <v>377.52</v>
      </c>
      <c r="AB10" s="17" t="n">
        <v>370.082</v>
      </c>
      <c r="AC10" s="17" t="n">
        <v>1494.982</v>
      </c>
      <c r="AD10" s="17" t="n">
        <v>383.324</v>
      </c>
      <c r="AE10" s="17" t="n">
        <v>405.147</v>
      </c>
      <c r="AF10" s="17" t="n">
        <v>398.289</v>
      </c>
      <c r="AG10" s="17" t="n">
        <v>423.019</v>
      </c>
      <c r="AH10" s="17" t="n">
        <v>1609.779</v>
      </c>
      <c r="AI10" s="17" t="n">
        <v>434.772</v>
      </c>
      <c r="AJ10" s="17" t="n">
        <v>462.515</v>
      </c>
      <c r="AK10" s="17" t="n">
        <v>454.01</v>
      </c>
      <c r="AL10" s="17" t="n">
        <v>455.217</v>
      </c>
      <c r="AM10" s="17" t="n">
        <v>1806.514</v>
      </c>
      <c r="AN10" s="17" t="n">
        <v>457.719</v>
      </c>
      <c r="AO10" s="17" t="n">
        <v>476.607</v>
      </c>
      <c r="AP10" s="17" t="n">
        <v>443.521</v>
      </c>
      <c r="AQ10" s="17" t="n">
        <v>437.899</v>
      </c>
      <c r="AR10" s="17" t="n">
        <v>1815.746</v>
      </c>
      <c r="AS10" s="17" t="n">
        <v>418.535</v>
      </c>
      <c r="AT10" s="17" t="n">
        <v>333.229</v>
      </c>
      <c r="AU10" s="17" t="n">
        <v>371.535</v>
      </c>
      <c r="AV10" s="17" t="n">
        <v>386.571</v>
      </c>
      <c r="AW10" s="17" t="n">
        <v>1509.87</v>
      </c>
      <c r="AX10" s="17" t="n">
        <v>425.242</v>
      </c>
      <c r="AY10" s="17" t="n">
        <v>457.468</v>
      </c>
      <c r="AZ10" s="17" t="n">
        <v>461.508</v>
      </c>
      <c r="BA10" s="17" t="n">
        <v>480.263</v>
      </c>
      <c r="BB10" s="17" t="n">
        <v>1824.481</v>
      </c>
      <c r="BC10" s="17" t="n">
        <v>534.055</v>
      </c>
      <c r="BD10" s="17" t="n">
        <v>595.659</v>
      </c>
      <c r="BE10" s="17" t="n">
        <v>585.628</v>
      </c>
      <c r="BF10" s="17" t="n">
        <v>573.592</v>
      </c>
      <c r="BG10" s="17" t="n">
        <v>2288.934</v>
      </c>
      <c r="BH10" s="17" t="n">
        <v>658.645</v>
      </c>
      <c r="BI10" s="17" t="n">
        <v>676.966</v>
      </c>
      <c r="BJ10" s="17" t="n">
        <v>665.228</v>
      </c>
      <c r="BK10" s="17" t="n">
        <v>654.707</v>
      </c>
      <c r="BL10" s="17" t="n">
        <v>2655.546</v>
      </c>
      <c r="BM10" s="17" t="n">
        <v>624.099</v>
      </c>
      <c r="BN10" s="17" t="n">
        <v>648.936</v>
      </c>
      <c r="BO10" s="17" t="n">
        <v>637.026</v>
      </c>
      <c r="BP10" s="17" t="n">
        <v>654.786</v>
      </c>
      <c r="BQ10" s="17" t="n">
        <v>2564.847</v>
      </c>
      <c r="BR10" s="17" t="n">
        <v>653.107</v>
      </c>
      <c r="BS10" s="17" t="n">
        <v>696.73</v>
      </c>
      <c r="BT10" s="17" t="n">
        <v>691.794</v>
      </c>
      <c r="BU10" s="17" t="n">
        <v>681.93</v>
      </c>
      <c r="BV10" s="17" t="n">
        <v>2723.561</v>
      </c>
      <c r="BW10" s="17" t="n">
        <v>706.225</v>
      </c>
      <c r="BX10" s="17" t="n">
        <v>774.438</v>
      </c>
      <c r="BY10" s="18" t="n">
        <f aca="false">BT10*(1+BY17)</f>
        <v>772.943452205069</v>
      </c>
      <c r="BZ10" s="18" t="n">
        <f aca="false">BU10*(1+BZ17)</f>
        <v>761.9223762597</v>
      </c>
      <c r="CA10" s="18" t="n">
        <f aca="false">SUM(BW10:BZ10)</f>
        <v>3015.52882846477</v>
      </c>
      <c r="CB10" s="18" t="n">
        <f aca="false">CA10*(1+CB17)</f>
        <v>3196.46055817266</v>
      </c>
      <c r="CC10" s="18" t="n">
        <f aca="false">CB10*(1+CC17)</f>
        <v>3372.26588887215</v>
      </c>
      <c r="CD10" s="18" t="n">
        <f aca="false">CC10*(1+CD17)</f>
        <v>3540.87918331576</v>
      </c>
      <c r="CE10" s="18" t="n">
        <f aca="false">CD10*(1+CE17)</f>
        <v>3717.92314248155</v>
      </c>
      <c r="CF10" s="19" t="s">
        <v>106</v>
      </c>
      <c r="CH10" s="20" t="n">
        <f aca="false">IFERROR((CE10/BV10)^(1/5)-1,"n/m")</f>
        <v>0.0642230478858741</v>
      </c>
      <c r="CI10" s="20" t="n">
        <f aca="false">IFERROR((BV10/AW10)^(1/5)-1,"n/m")</f>
        <v>0.125225356142814</v>
      </c>
      <c r="CJ10" s="20" t="n">
        <f aca="false">IFERROR((BV10/X10)^(1/10)-1,"n/m")</f>
        <v>0.0457433309983915</v>
      </c>
      <c r="CK10" s="20" t="str">
        <f aca="false">IFERROR((BV10/C10)^(1/19)-1,"n/m")</f>
        <v>n/m</v>
      </c>
    </row>
    <row r="11" customFormat="false" ht="15" hidden="false" customHeight="false" outlineLevel="0" collapsed="false">
      <c r="B11" s="21" t="s">
        <v>107</v>
      </c>
      <c r="D11" s="22" t="str">
        <f aca="false">IF(AND(ISNUMBER(D10),ISNUMBER(C10)),IFERROR(D10/C10-1,""),"")</f>
        <v/>
      </c>
      <c r="E11" s="22" t="str">
        <f aca="false">IF(AND(ISNUMBER(E10),ISNUMBER(D10)),IFERROR(E10/D10-1,""),"")</f>
        <v/>
      </c>
      <c r="F11" s="22" t="str">
        <f aca="false">IF(AND(ISNUMBER(F10),ISNUMBER(E10)),IFERROR(F10/E10-1,""),"")</f>
        <v/>
      </c>
      <c r="G11" s="22" t="str">
        <f aca="false">IF(AND(ISNUMBER(G10),ISNUMBER(F10)),IFERROR(G10/F10-1,""),"")</f>
        <v/>
      </c>
      <c r="H11" s="22" t="str">
        <f aca="false">IF(AND(ISNUMBER(H10),ISNUMBER(G10)),IFERROR(H10/G10-1,""),"")</f>
        <v/>
      </c>
      <c r="I11" s="22" t="str">
        <f aca="false">IF(AND(ISNUMBER(I10),ISNUMBER(H10)),IFERROR(I10/H10-1,""),"")</f>
        <v/>
      </c>
      <c r="N11" s="22" t="str">
        <f aca="false">IF(AND(ISNUMBER(N10),ISNUMBER(I10)),IFERROR(N10/I10-1,""),"")</f>
        <v/>
      </c>
      <c r="O11" s="22" t="str">
        <f aca="false">IF(AND(ISNUMBER(O10),ISNUMBER(J10)),IFERROR(O10/J10-1,""),"")</f>
        <v/>
      </c>
      <c r="P11" s="22" t="str">
        <f aca="false">IF(AND(ISNUMBER(P10),ISNUMBER(K10)),IFERROR(P10/K10-1,""),"")</f>
        <v/>
      </c>
      <c r="Q11" s="22" t="str">
        <f aca="false">IF(AND(ISNUMBER(Q10),ISNUMBER(L10)),IFERROR(Q10/L10-1,""),"")</f>
        <v/>
      </c>
      <c r="R11" s="22" t="str">
        <f aca="false">IF(AND(ISNUMBER(R10),ISNUMBER(M10)),IFERROR(R10/M10-1,""),"")</f>
        <v/>
      </c>
      <c r="S11" s="22" t="n">
        <f aca="false">IF(AND(ISNUMBER(S10),ISNUMBER(N10)),IFERROR(S10/N10-1,""),"")</f>
        <v>-0.00594645968464769</v>
      </c>
      <c r="T11" s="22" t="n">
        <f aca="false">IF(AND(ISNUMBER(T10),ISNUMBER(O10)),IFERROR(T10/O10-1,""),"")</f>
        <v>0.0158153577353348</v>
      </c>
      <c r="U11" s="22" t="n">
        <f aca="false">IF(AND(ISNUMBER(U10),ISNUMBER(P10)),IFERROR(U10/P10-1,""),"")</f>
        <v>-0.0311971026198435</v>
      </c>
      <c r="V11" s="22" t="n">
        <f aca="false">IF(AND(ISNUMBER(V10),ISNUMBER(Q10)),IFERROR(V10/Q10-1,""),"")</f>
        <v>-0.032420801465732</v>
      </c>
      <c r="W11" s="22" t="n">
        <f aca="false">IF(AND(ISNUMBER(W10),ISNUMBER(R10)),IFERROR(W10/R10-1,""),"")</f>
        <v>-0.159613544597934</v>
      </c>
      <c r="X11" s="22" t="n">
        <f aca="false">IF(AND(ISNUMBER(X10),ISNUMBER(S10)),IFERROR(X10/S10-1,""),"")</f>
        <v>-0.0524141984142964</v>
      </c>
      <c r="Y11" s="22" t="n">
        <f aca="false">IF(AND(ISNUMBER(Y10),ISNUMBER(T10)),IFERROR(Y10/T10-1,""),"")</f>
        <v>-0.200137243587316</v>
      </c>
      <c r="Z11" s="22" t="n">
        <f aca="false">IF(AND(ISNUMBER(Z10),ISNUMBER(U10)),IFERROR(Z10/U10-1,""),"")</f>
        <v>-0.138866654397662</v>
      </c>
      <c r="AA11" s="22" t="n">
        <f aca="false">IF(AND(ISNUMBER(AA10),ISNUMBER(V10)),IFERROR(AA10/V10-1,""),"")</f>
        <v>-0.168773063949341</v>
      </c>
      <c r="AB11" s="22" t="n">
        <f aca="false">IF(AND(ISNUMBER(AB10),ISNUMBER(W10)),IFERROR(AB10/W10-1,""),"")</f>
        <v>-0.0445551711674498</v>
      </c>
      <c r="AC11" s="22" t="n">
        <f aca="false">IF(AND(ISNUMBER(AC10),ISNUMBER(X10)),IFERROR(AC10/X10-1,""),"")</f>
        <v>-0.141481034829299</v>
      </c>
      <c r="AD11" s="22" t="n">
        <f aca="false">IF(AND(ISNUMBER(AD10),ISNUMBER(Y10)),IFERROR(AD10/Y10-1,""),"")</f>
        <v>0.0677310812015333</v>
      </c>
      <c r="AE11" s="22" t="n">
        <f aca="false">IF(AND(ISNUMBER(AE10),ISNUMBER(Z10)),IFERROR(AE10/Z10-1,""),"")</f>
        <v>0.0431931241181136</v>
      </c>
      <c r="AF11" s="22" t="n">
        <f aca="false">IF(AND(ISNUMBER(AF10),ISNUMBER(AA10)),IFERROR(AF10/AA10-1,""),"")</f>
        <v>0.0550143038779403</v>
      </c>
      <c r="AG11" s="22" t="n">
        <f aca="false">IF(AND(ISNUMBER(AG10),ISNUMBER(AB10)),IFERROR(AG10/AB10-1,""),"")</f>
        <v>0.143041271934328</v>
      </c>
      <c r="AH11" s="22" t="n">
        <f aca="false">IF(AND(ISNUMBER(AH10),ISNUMBER(AC10)),IFERROR(AH10/AC10-1,""),"")</f>
        <v>0.076788215510287</v>
      </c>
      <c r="AI11" s="22" t="n">
        <f aca="false">IF(AND(ISNUMBER(AI10),ISNUMBER(AD10)),IFERROR(AI10/AD10-1,""),"")</f>
        <v>0.134215441767278</v>
      </c>
      <c r="AJ11" s="22" t="n">
        <f aca="false">IF(AND(ISNUMBER(AJ10),ISNUMBER(AE10)),IFERROR(AJ10/AE10-1,""),"")</f>
        <v>0.141597987890815</v>
      </c>
      <c r="AK11" s="22" t="n">
        <f aca="false">IF(AND(ISNUMBER(AK10),ISNUMBER(AF10)),IFERROR(AK10/AF10-1,""),"")</f>
        <v>0.139900926211871</v>
      </c>
      <c r="AL11" s="22" t="n">
        <f aca="false">IF(AND(ISNUMBER(AL10),ISNUMBER(AG10)),IFERROR(AL10/AG10-1,""),"")</f>
        <v>0.0761147844423062</v>
      </c>
      <c r="AM11" s="22" t="n">
        <f aca="false">IF(AND(ISNUMBER(AM10),ISNUMBER(AH10)),IFERROR(AM10/AH10-1,""),"")</f>
        <v>0.122212427917124</v>
      </c>
      <c r="AN11" s="22" t="n">
        <f aca="false">IF(AND(ISNUMBER(AN10),ISNUMBER(AI10)),IFERROR(AN10/AI10-1,""),"")</f>
        <v>0.0527793878170628</v>
      </c>
      <c r="AO11" s="22" t="n">
        <f aca="false">IF(AND(ISNUMBER(AO10),ISNUMBER(AJ10)),IFERROR(AO10/AJ10-1,""),"")</f>
        <v>0.030468201031318</v>
      </c>
      <c r="AP11" s="22" t="n">
        <f aca="false">IF(AND(ISNUMBER(AP10),ISNUMBER(AK10)),IFERROR(AP10/AK10-1,""),"")</f>
        <v>-0.0231030153520847</v>
      </c>
      <c r="AQ11" s="22" t="n">
        <f aca="false">IF(AND(ISNUMBER(AQ10),ISNUMBER(AL10)),IFERROR(AQ10/AL10-1,""),"")</f>
        <v>-0.0380433946886869</v>
      </c>
      <c r="AR11" s="22" t="n">
        <f aca="false">IF(AND(ISNUMBER(AR10),ISNUMBER(AM10)),IFERROR(AR10/AM10-1,""),"")</f>
        <v>0.00511039493743204</v>
      </c>
      <c r="AS11" s="22" t="n">
        <f aca="false">IF(AND(ISNUMBER(AS10),ISNUMBER(AN10)),IFERROR(AS10/AN10-1,""),"")</f>
        <v>-0.0856071082913316</v>
      </c>
      <c r="AT11" s="22" t="n">
        <f aca="false">IF(AND(ISNUMBER(AT10),ISNUMBER(AO10)),IFERROR(AT10/AO10-1,""),"")</f>
        <v>-0.300830663418708</v>
      </c>
      <c r="AU11" s="22" t="n">
        <f aca="false">IF(AND(ISNUMBER(AU10),ISNUMBER(AP10)),IFERROR(AU10/AP10-1,""),"")</f>
        <v>-0.162305730732028</v>
      </c>
      <c r="AV11" s="22" t="n">
        <f aca="false">IF(AND(ISNUMBER(AV10),ISNUMBER(AQ10)),IFERROR(AV10/AQ10-1,""),"")</f>
        <v>-0.117214243467101</v>
      </c>
      <c r="AW11" s="22" t="n">
        <f aca="false">IF(AND(ISNUMBER(AW10),ISNUMBER(AR10)),IFERROR(AW10/AR10-1,""),"")</f>
        <v>-0.168457482489291</v>
      </c>
      <c r="AX11" s="22" t="n">
        <f aca="false">IF(AND(ISNUMBER(AX10),ISNUMBER(AS10)),IFERROR(AX10/AS10-1,""),"")</f>
        <v>0.0160249441504294</v>
      </c>
      <c r="AY11" s="22" t="n">
        <f aca="false">IF(AND(ISNUMBER(AY10),ISNUMBER(AT10)),IFERROR(AY10/AT10-1,""),"")</f>
        <v>0.372833696947145</v>
      </c>
      <c r="AZ11" s="22" t="n">
        <f aca="false">IF(AND(ISNUMBER(AZ10),ISNUMBER(AU10)),IFERROR(AZ10/AU10-1,""),"")</f>
        <v>0.242165610238605</v>
      </c>
      <c r="BA11" s="22" t="n">
        <f aca="false">IF(AND(ISNUMBER(BA10),ISNUMBER(AV10)),IFERROR(BA10/AV10-1,""),"")</f>
        <v>0.24236686145624</v>
      </c>
      <c r="BB11" s="22" t="n">
        <f aca="false">IF(AND(ISNUMBER(BB10),ISNUMBER(AW10)),IFERROR(BB10/AW10-1,""),"")</f>
        <v>0.208369594733322</v>
      </c>
      <c r="BC11" s="22" t="n">
        <f aca="false">IF(AND(ISNUMBER(BC10),ISNUMBER(AX10)),IFERROR(BC10/AX10-1,""),"")</f>
        <v>0.255884884371722</v>
      </c>
      <c r="BD11" s="22" t="n">
        <f aca="false">IF(AND(ISNUMBER(BD10),ISNUMBER(AY10)),IFERROR(BD10/AY10-1,""),"")</f>
        <v>0.302077959551269</v>
      </c>
      <c r="BE11" s="22" t="n">
        <f aca="false">IF(AND(ISNUMBER(BE10),ISNUMBER(AZ10)),IFERROR(BE10/AZ10-1,""),"")</f>
        <v>0.268944416998189</v>
      </c>
      <c r="BF11" s="22" t="n">
        <f aca="false">IF(AND(ISNUMBER(BF10),ISNUMBER(BA10)),IFERROR(BF10/BA10-1,""),"")</f>
        <v>0.194328940601296</v>
      </c>
      <c r="BG11" s="22" t="n">
        <f aca="false">IF(AND(ISNUMBER(BG10),ISNUMBER(BB10)),IFERROR(BG10/BB10-1,""),"")</f>
        <v>0.254567189244503</v>
      </c>
      <c r="BH11" s="22" t="n">
        <f aca="false">IF(AND(ISNUMBER(BH10),ISNUMBER(BC10)),IFERROR(BH10/BC10-1,""),"")</f>
        <v>0.233290578685716</v>
      </c>
      <c r="BI11" s="22" t="n">
        <f aca="false">IF(AND(ISNUMBER(BI10),ISNUMBER(BD10)),IFERROR(BI10/BD10-1,""),"")</f>
        <v>0.13649923865836</v>
      </c>
      <c r="BJ11" s="22" t="n">
        <f aca="false">IF(AND(ISNUMBER(BJ10),ISNUMBER(BE10)),IFERROR(BJ10/BE10-1,""),"")</f>
        <v>0.135922462723777</v>
      </c>
      <c r="BK11" s="22" t="n">
        <f aca="false">IF(AND(ISNUMBER(BK10),ISNUMBER(BF10)),IFERROR(BK10/BF10-1,""),"")</f>
        <v>0.141415849593439</v>
      </c>
      <c r="BL11" s="22" t="n">
        <f aca="false">IF(AND(ISNUMBER(BL10),ISNUMBER(BG10)),IFERROR(BL10/BG10-1,""),"")</f>
        <v>0.160167134570066</v>
      </c>
      <c r="BM11" s="22" t="n">
        <f aca="false">IF(AND(ISNUMBER(BM10),ISNUMBER(BH10)),IFERROR(BM10/BH10-1,""),"")</f>
        <v>-0.0524501058992324</v>
      </c>
      <c r="BN11" s="22" t="n">
        <f aca="false">IF(AND(ISNUMBER(BN10),ISNUMBER(BI10)),IFERROR(BN10/BI10-1,""),"")</f>
        <v>-0.0414053290711793</v>
      </c>
      <c r="BO11" s="22" t="n">
        <f aca="false">IF(AND(ISNUMBER(BO10),ISNUMBER(BJ10)),IFERROR(BO10/BJ10-1,""),"")</f>
        <v>-0.0423944873036012</v>
      </c>
      <c r="BP11" s="22" t="n">
        <f aca="false">IF(AND(ISNUMBER(BP10),ISNUMBER(BK10)),IFERROR(BP10/BK10-1,""),"")</f>
        <v>0.000120664663735059</v>
      </c>
      <c r="BQ11" s="22" t="n">
        <f aca="false">IF(AND(ISNUMBER(BQ10),ISNUMBER(BL10)),IFERROR(BQ10/BL10-1,""),"")</f>
        <v>-0.0341545580456899</v>
      </c>
      <c r="BR11" s="22" t="n">
        <f aca="false">IF(AND(ISNUMBER(BR10),ISNUMBER(BM10)),IFERROR(BR10/BM10-1,""),"")</f>
        <v>0.0464798052873021</v>
      </c>
      <c r="BS11" s="22" t="n">
        <f aca="false">IF(AND(ISNUMBER(BS10),ISNUMBER(BN10)),IFERROR(BS10/BN10-1,""),"")</f>
        <v>0.073649789809781</v>
      </c>
      <c r="BT11" s="22" t="n">
        <f aca="false">IF(AND(ISNUMBER(BT10),ISNUMBER(BO10)),IFERROR(BT10/BO10-1,""),"")</f>
        <v>0.0859745128142337</v>
      </c>
      <c r="BU11" s="22" t="n">
        <f aca="false">IF(AND(ISNUMBER(BU10),ISNUMBER(BP10)),IFERROR(BU10/BP10-1,""),"")</f>
        <v>0.0414547653737252</v>
      </c>
      <c r="BV11" s="22" t="n">
        <f aca="false">IF(AND(ISNUMBER(BV10),ISNUMBER(BQ10)),IFERROR(BV10/BQ10-1,""),"")</f>
        <v>0.0618804942361084</v>
      </c>
      <c r="BW11" s="22" t="n">
        <f aca="false">IF(AND(ISNUMBER(BW10),ISNUMBER(BR10)),IFERROR(BW10/BR10-1,""),"")</f>
        <v>0.0813312366886285</v>
      </c>
      <c r="BX11" s="22" t="n">
        <f aca="false">IF(AND(ISNUMBER(BX10),ISNUMBER(BS10)),IFERROR(BX10/BS10-1,""),"")</f>
        <v>0.111532444418928</v>
      </c>
      <c r="BY11" s="23" t="n">
        <f aca="false">IFERROR(BY10/BT10-1,"")</f>
        <v>0.117302914169636</v>
      </c>
      <c r="BZ11" s="23" t="n">
        <f aca="false">IFERROR(BZ10/BU10-1,"")</f>
        <v>0.117302914169636</v>
      </c>
      <c r="CA11" s="23" t="n">
        <f aca="false">IFERROR(CA10/BV10-1,"")</f>
        <v>0.107200767107757</v>
      </c>
      <c r="CB11" s="23" t="n">
        <f aca="false">IFERROR(CB10/CA10-1,"")</f>
        <v>0.0600000000000001</v>
      </c>
      <c r="CC11" s="23" t="n">
        <f aca="false">IFERROR(CC10/CB10-1,"")</f>
        <v>0.0549999999999999</v>
      </c>
      <c r="CD11" s="23" t="n">
        <f aca="false">IFERROR(CD10/CC10-1,"")</f>
        <v>0.05</v>
      </c>
      <c r="CE11" s="23" t="n">
        <f aca="false">IFERROR(CE10/CD10-1,"")</f>
        <v>0.05</v>
      </c>
      <c r="CN11" s="11" t="s">
        <v>108</v>
      </c>
      <c r="CO11" s="24" t="s">
        <v>109</v>
      </c>
      <c r="CP11" s="24" t="s">
        <v>110</v>
      </c>
      <c r="CQ11" s="24" t="s">
        <v>111</v>
      </c>
      <c r="CR11" s="14" t="s">
        <v>112</v>
      </c>
    </row>
    <row r="12" customFormat="false" ht="15" hidden="false" customHeight="false" outlineLevel="0" collapsed="false">
      <c r="B12" s="25" t="s">
        <v>113</v>
      </c>
      <c r="BY12" s="23" t="n">
        <f aca="false">$BX$13</f>
        <v>0.071339</v>
      </c>
      <c r="BZ12" s="23" t="n">
        <f aca="false">$BX$13</f>
        <v>0.071339</v>
      </c>
      <c r="CF12" s="19" t="s">
        <v>114</v>
      </c>
      <c r="CN12" s="26" t="s">
        <v>115</v>
      </c>
      <c r="CO12" s="27" t="n">
        <v>0.13</v>
      </c>
      <c r="CP12" s="27" t="n">
        <v>0.115</v>
      </c>
      <c r="CQ12" s="27" t="n">
        <v>0.1</v>
      </c>
      <c r="CR12" s="14" t="s">
        <v>116</v>
      </c>
    </row>
    <row r="13" customFormat="false" ht="15" hidden="false" customHeight="false" outlineLevel="0" collapsed="false">
      <c r="B13" s="26" t="s">
        <v>117</v>
      </c>
      <c r="Y13" s="28" t="n">
        <v>-0.189519</v>
      </c>
      <c r="Z13" s="28" t="n">
        <v>-0.133035</v>
      </c>
      <c r="AA13" s="28" t="n">
        <v>-0.179091</v>
      </c>
      <c r="AB13" s="28" t="n">
        <v>-0.057611</v>
      </c>
      <c r="AC13" s="28" t="n">
        <v>-0.142829</v>
      </c>
      <c r="AD13" s="28" t="n">
        <v>0.041116</v>
      </c>
      <c r="AE13" s="28" t="n">
        <v>0.017421</v>
      </c>
      <c r="AF13" s="28" t="n">
        <v>0.022253</v>
      </c>
      <c r="AG13" s="28" t="n">
        <v>0.100999</v>
      </c>
      <c r="AH13" s="28" t="n">
        <v>0.045021</v>
      </c>
      <c r="AI13" s="28" t="n">
        <v>0.074511</v>
      </c>
      <c r="AJ13" s="28" t="n">
        <v>0.076572</v>
      </c>
      <c r="AK13" s="28" t="n">
        <v>0.057958</v>
      </c>
      <c r="AL13" s="28" t="n">
        <v>-0.000972</v>
      </c>
      <c r="AM13" s="28" t="n">
        <v>0.051099</v>
      </c>
      <c r="AN13" s="28" t="n">
        <v>-0.028509</v>
      </c>
      <c r="AO13" s="28" t="n">
        <v>-0.036228</v>
      </c>
      <c r="AP13" s="28" t="n">
        <v>-0.045384</v>
      </c>
      <c r="AQ13" s="28" t="n">
        <v>-0.064868</v>
      </c>
      <c r="AR13" s="28" t="n">
        <v>-0.043888</v>
      </c>
      <c r="AS13" s="28" t="n">
        <v>-0.082347</v>
      </c>
      <c r="AT13" s="28" t="n">
        <v>-0.291718</v>
      </c>
      <c r="AU13" s="28" t="n">
        <v>-0.155636</v>
      </c>
      <c r="AV13" s="28" t="n">
        <v>-0.124257</v>
      </c>
      <c r="AW13" s="28" t="n">
        <v>-0.165313</v>
      </c>
      <c r="AX13" s="28" t="n">
        <v>-0.009055</v>
      </c>
      <c r="AY13" s="28" t="n">
        <v>0.27094</v>
      </c>
      <c r="AZ13" s="28" t="n">
        <v>0.113962</v>
      </c>
      <c r="BA13" s="28" t="n">
        <v>0.092503</v>
      </c>
      <c r="BB13" s="28" t="n">
        <v>0.109013</v>
      </c>
      <c r="BC13" s="28" t="n">
        <v>0.051745</v>
      </c>
      <c r="BD13" s="28" t="n">
        <v>0.098988</v>
      </c>
      <c r="BE13" s="28" t="n">
        <v>0.113803</v>
      </c>
      <c r="BF13" s="28" t="n">
        <v>0.076525</v>
      </c>
      <c r="BG13" s="28" t="n">
        <v>0.085811</v>
      </c>
      <c r="BH13" s="28" t="n">
        <v>0.10982</v>
      </c>
      <c r="BI13" s="28" t="n">
        <v>0.057724</v>
      </c>
      <c r="BJ13" s="28" t="n">
        <v>0.003538</v>
      </c>
      <c r="BK13" s="28" t="n">
        <v>0.025722</v>
      </c>
      <c r="BL13" s="28" t="n">
        <v>0.047996</v>
      </c>
      <c r="BM13" s="28" t="n">
        <v>-0.064759</v>
      </c>
      <c r="BN13" s="28" t="n">
        <v>-0.067455</v>
      </c>
      <c r="BO13" s="28" t="n">
        <v>-0.086124</v>
      </c>
      <c r="BP13" s="28" t="n">
        <v>-0.07155</v>
      </c>
      <c r="BQ13" s="28" t="n">
        <v>-0.072472</v>
      </c>
      <c r="BR13" s="28" t="n">
        <v>-0.039641</v>
      </c>
      <c r="BS13" s="28" t="n">
        <v>-0.034435</v>
      </c>
      <c r="BT13" s="28" t="n">
        <v>-0.023564</v>
      </c>
      <c r="BU13" s="28" t="n">
        <v>-0.06931</v>
      </c>
      <c r="BV13" s="28" t="n">
        <v>-0.041905</v>
      </c>
      <c r="BW13" s="28" t="n">
        <v>-0.004035</v>
      </c>
      <c r="BX13" s="28" t="n">
        <v>0.071339</v>
      </c>
      <c r="BY13" s="23" t="n">
        <f aca="false">BY12+BY118</f>
        <v>0.077109914169636</v>
      </c>
      <c r="BZ13" s="23" t="n">
        <f aca="false">BZ12+BZ118</f>
        <v>0.077109914169636</v>
      </c>
      <c r="CA13" s="23" t="n">
        <f aca="false">IFERROR(SUMPRODUCT(BR10:BU10,BW13:BZ13)/SUM(BR10:BU10),"")</f>
        <v>0.0561751598211933</v>
      </c>
      <c r="CB13" s="23" t="n">
        <f aca="false">CHOOSE(MATCH($CF$2,{"Bull","Base","Bear"},0),$CO$27,$CP$27,$CQ$27)</f>
        <v>0.03</v>
      </c>
      <c r="CC13" s="23" t="n">
        <f aca="false">CHOOSE(MATCH($CF$2,{"Bull","Base","Bear"},0),$CO$28,$CP$28,$CQ$28)</f>
        <v>0.03</v>
      </c>
      <c r="CD13" s="23" t="n">
        <f aca="false">CHOOSE(MATCH($CF$2,{"Bull","Base","Bear"},0),$CO$29,$CP$29,$CQ$29)</f>
        <v>0.025</v>
      </c>
      <c r="CE13" s="23" t="n">
        <f aca="false">CHOOSE(MATCH($CF$2,{"Bull","Base","Bear"},0),$CO$30,$CP$30,$CQ$30)</f>
        <v>0.025</v>
      </c>
      <c r="CF13" s="19" t="s">
        <v>118</v>
      </c>
      <c r="CN13" s="26" t="s">
        <v>119</v>
      </c>
      <c r="CO13" s="27" t="n">
        <v>0.27</v>
      </c>
      <c r="CP13" s="27" t="n">
        <v>0.23</v>
      </c>
      <c r="CQ13" s="27" t="n">
        <v>0.18</v>
      </c>
      <c r="CR13" s="14" t="s">
        <v>120</v>
      </c>
    </row>
    <row r="14" customFormat="false" ht="15" hidden="false" customHeight="false" outlineLevel="0" collapsed="false">
      <c r="B14" s="26" t="s">
        <v>121</v>
      </c>
      <c r="Y14" s="28" t="n">
        <v>0.178951</v>
      </c>
      <c r="Z14" s="28" t="n">
        <v>0.429502</v>
      </c>
      <c r="AA14" s="28" t="n">
        <v>-0.012429</v>
      </c>
      <c r="AB14" s="28" t="n">
        <v>-0.000454</v>
      </c>
      <c r="AC14" s="28" t="n">
        <v>0.154021</v>
      </c>
      <c r="AD14" s="28" t="n">
        <v>0.015376</v>
      </c>
      <c r="AE14" s="28" t="n">
        <v>0.027057</v>
      </c>
      <c r="AF14" s="28" t="n">
        <v>0.024362</v>
      </c>
      <c r="AG14" s="28" t="n">
        <v>0.029139</v>
      </c>
      <c r="AH14" s="28" t="n">
        <v>0.024087</v>
      </c>
      <c r="AI14" s="28" t="n">
        <v>0.046128</v>
      </c>
      <c r="AJ14" s="28" t="n">
        <v>0.054198</v>
      </c>
      <c r="AK14" s="28" t="n">
        <v>0.090708</v>
      </c>
      <c r="AL14" s="28" t="n">
        <v>0.083377</v>
      </c>
      <c r="AM14" s="28" t="n">
        <v>0.068977</v>
      </c>
      <c r="AN14" s="28" t="n">
        <v>0.063086</v>
      </c>
      <c r="AO14" s="28" t="n">
        <v>0.025078</v>
      </c>
      <c r="AP14" s="28" t="n">
        <v>-0.012341</v>
      </c>
      <c r="AQ14" s="28" t="n">
        <v>-0.016957</v>
      </c>
      <c r="AR14" s="28" t="n">
        <v>0.014229</v>
      </c>
      <c r="AS14" s="28" t="n">
        <v>-0.01178</v>
      </c>
      <c r="AT14" s="28" t="n">
        <v>-0.002948</v>
      </c>
      <c r="AU14" s="28" t="n">
        <v>-0.001538</v>
      </c>
      <c r="AV14" s="28" t="n">
        <v>0.011793</v>
      </c>
      <c r="AW14" s="28" t="n">
        <v>-0.001275</v>
      </c>
      <c r="AX14" s="28" t="n">
        <v>0.021659</v>
      </c>
      <c r="AY14" s="28" t="n">
        <v>0.082016</v>
      </c>
      <c r="AZ14" s="28" t="n">
        <v>0.118312</v>
      </c>
      <c r="BA14" s="28" t="n">
        <v>0.146454</v>
      </c>
      <c r="BB14" s="28" t="n">
        <v>0.090714</v>
      </c>
      <c r="BC14" s="28" t="n">
        <v>0.198047</v>
      </c>
      <c r="BD14" s="28" t="n">
        <v>0.196416</v>
      </c>
      <c r="BE14" s="28" t="n">
        <v>0.151434</v>
      </c>
      <c r="BF14" s="28" t="n">
        <v>0.114454</v>
      </c>
      <c r="BG14" s="28" t="n">
        <v>0.163843</v>
      </c>
      <c r="BH14" s="28" t="n">
        <v>0.046248</v>
      </c>
      <c r="BI14" s="28" t="n">
        <v>0.010029</v>
      </c>
      <c r="BJ14" s="28" t="n">
        <v>0.005956</v>
      </c>
      <c r="BK14" s="28" t="n">
        <v>0.005167</v>
      </c>
      <c r="BL14" s="28" t="n">
        <v>0.016219</v>
      </c>
      <c r="BM14" s="28" t="n">
        <v>0.003468</v>
      </c>
      <c r="BN14" s="28" t="n">
        <v>0.009634</v>
      </c>
      <c r="BO14" s="28" t="n">
        <v>0.003766</v>
      </c>
      <c r="BP14" s="28" t="n">
        <v>-0.000826</v>
      </c>
      <c r="BQ14" s="28" t="n">
        <v>0.004056</v>
      </c>
      <c r="BR14" s="28" t="n">
        <v>0.021421</v>
      </c>
      <c r="BS14" s="28" t="n">
        <v>0.06513</v>
      </c>
      <c r="BT14" s="28" t="n">
        <v>0.095577</v>
      </c>
      <c r="BU14" s="28" t="n">
        <v>0.103796</v>
      </c>
      <c r="BV14" s="28" t="n">
        <v>0.071927</v>
      </c>
      <c r="BW14" s="28" t="n">
        <v>0.075759</v>
      </c>
      <c r="BX14" s="28" t="n">
        <v>0.036859</v>
      </c>
      <c r="BY14" s="23" t="n">
        <f aca="false">$BX$14</f>
        <v>0.036859</v>
      </c>
      <c r="BZ14" s="23" t="n">
        <f aca="false">$BX$14</f>
        <v>0.036859</v>
      </c>
      <c r="CA14" s="23" t="n">
        <f aca="false">IFERROR(SUMPRODUCT(BR10:BU10,BW14:BZ14)/SUM(BR10:BU10),"")</f>
        <v>0.046187178182901</v>
      </c>
      <c r="CB14" s="23" t="n">
        <f aca="false">CHOOSE(MATCH($CF$2,{"Bull","Base","Bear"},0),$CO$32,$CP$32,$CQ$32)</f>
        <v>0.03</v>
      </c>
      <c r="CC14" s="23" t="n">
        <f aca="false">CHOOSE(MATCH($CF$2,{"Bull","Base","Bear"},0),$CO$33,$CP$33,$CQ$33)</f>
        <v>0.025</v>
      </c>
      <c r="CD14" s="23" t="n">
        <f aca="false">CHOOSE(MATCH($CF$2,{"Bull","Base","Bear"},0),$CO$34,$CP$34,$CQ$34)</f>
        <v>0.025</v>
      </c>
      <c r="CE14" s="23" t="n">
        <f aca="false">CHOOSE(MATCH($CF$2,{"Bull","Base","Bear"},0),$CO$35,$CP$35,$CQ$35)</f>
        <v>0.025</v>
      </c>
      <c r="CF14" s="19" t="s">
        <v>122</v>
      </c>
      <c r="CN14" s="26" t="s">
        <v>123</v>
      </c>
      <c r="CO14" s="29" t="s">
        <v>124</v>
      </c>
      <c r="CP14" s="29" t="s">
        <v>124</v>
      </c>
      <c r="CQ14" s="29" t="s">
        <v>124</v>
      </c>
      <c r="CR14" s="14" t="s">
        <v>125</v>
      </c>
    </row>
    <row r="15" customFormat="false" ht="15" hidden="false" customHeight="false" outlineLevel="0" collapsed="false">
      <c r="B15" s="26" t="s">
        <v>126</v>
      </c>
      <c r="Y15" s="28" t="n">
        <v>0.015545</v>
      </c>
      <c r="Z15" s="28" t="n">
        <v>0.036193</v>
      </c>
      <c r="AA15" s="28" t="n">
        <v>0.027082</v>
      </c>
      <c r="AB15" s="28" t="n">
        <v>0.018671</v>
      </c>
      <c r="AC15" s="28" t="n">
        <v>0.024597</v>
      </c>
      <c r="AD15" s="28" t="n">
        <v>0.009298</v>
      </c>
      <c r="AE15" s="28" t="n">
        <v>0.003486</v>
      </c>
      <c r="AF15" s="28" t="n">
        <v>0.00302</v>
      </c>
      <c r="AG15" s="28" t="n">
        <v>0.007128</v>
      </c>
      <c r="AH15" s="28" t="n">
        <v>0.005666</v>
      </c>
      <c r="AI15" s="28" t="n">
        <v>0.009407</v>
      </c>
      <c r="AJ15" s="28" t="n">
        <v>0.010019</v>
      </c>
      <c r="AK15" s="28" t="n">
        <v>0.002882</v>
      </c>
      <c r="AL15" s="28" t="n">
        <v>0.006692</v>
      </c>
      <c r="AM15" s="28" t="n">
        <v>0.007233</v>
      </c>
      <c r="AN15" s="28" t="n">
        <v>0.029257</v>
      </c>
      <c r="AO15" s="28" t="n">
        <v>0.046511</v>
      </c>
      <c r="AP15" s="28" t="n">
        <v>0.038281</v>
      </c>
      <c r="AQ15" s="28" t="n">
        <v>0.042727</v>
      </c>
      <c r="AR15" s="28" t="n">
        <v>0.039337</v>
      </c>
      <c r="AS15" s="28" t="n">
        <v>0.013524</v>
      </c>
      <c r="AT15" s="28" t="n">
        <v>0</v>
      </c>
      <c r="AU15" s="28" t="n">
        <v>0</v>
      </c>
      <c r="AV15" s="28" t="n">
        <v>0</v>
      </c>
      <c r="AW15" s="28" t="n">
        <v>0.003409</v>
      </c>
      <c r="AX15" s="28" t="n">
        <v>0</v>
      </c>
      <c r="AY15" s="28" t="n">
        <v>0</v>
      </c>
      <c r="AZ15" s="28" t="n">
        <v>0</v>
      </c>
      <c r="BA15" s="28" t="n">
        <v>0</v>
      </c>
      <c r="BB15" s="28" t="n">
        <v>0</v>
      </c>
      <c r="BC15" s="28" t="n">
        <v>0.004104</v>
      </c>
      <c r="BD15" s="28" t="n">
        <v>0.011885</v>
      </c>
      <c r="BE15" s="28" t="n">
        <v>0.010236</v>
      </c>
      <c r="BF15" s="28" t="n">
        <v>0.01186</v>
      </c>
      <c r="BG15" s="28" t="n">
        <v>0.009648</v>
      </c>
      <c r="BH15" s="28" t="n">
        <v>0.084727</v>
      </c>
      <c r="BI15" s="28" t="n">
        <v>0.073779</v>
      </c>
      <c r="BJ15" s="28" t="n">
        <v>0.123216</v>
      </c>
      <c r="BK15" s="28" t="n">
        <v>0.106588</v>
      </c>
      <c r="BL15" s="28" t="n">
        <v>0.097204</v>
      </c>
      <c r="BM15" s="28" t="n">
        <v>0.006322</v>
      </c>
      <c r="BN15" s="28" t="n">
        <v>0.018347</v>
      </c>
      <c r="BO15" s="28" t="n">
        <v>0.045416</v>
      </c>
      <c r="BP15" s="28" t="n">
        <v>0.082939</v>
      </c>
      <c r="BQ15" s="28" t="n">
        <v>0.03807</v>
      </c>
      <c r="BR15" s="28" t="n">
        <v>0.075833</v>
      </c>
      <c r="BS15" s="28" t="n">
        <v>0.046525</v>
      </c>
      <c r="BT15" s="28" t="n">
        <v>0.01388</v>
      </c>
      <c r="BU15" s="28" t="n">
        <v>0</v>
      </c>
      <c r="BV15" s="28" t="n">
        <v>0.033671</v>
      </c>
      <c r="BW15" s="28" t="n">
        <v>0</v>
      </c>
      <c r="BX15" s="28" t="n">
        <v>0</v>
      </c>
      <c r="BY15" s="30" t="n">
        <v>0</v>
      </c>
      <c r="BZ15" s="30" t="n">
        <v>0</v>
      </c>
      <c r="CA15" s="23" t="n">
        <f aca="false">IFERROR(SUMPRODUCT(BR10:BU10,BW15:BZ15)/SUM(BR10:BU10),"")</f>
        <v>0</v>
      </c>
      <c r="CB15" s="30" t="n">
        <v>0</v>
      </c>
      <c r="CC15" s="30" t="n">
        <v>0</v>
      </c>
      <c r="CD15" s="30" t="n">
        <v>0</v>
      </c>
      <c r="CE15" s="30" t="n">
        <v>0</v>
      </c>
      <c r="CF15" s="19" t="s">
        <v>127</v>
      </c>
      <c r="CN15" s="11" t="s">
        <v>128</v>
      </c>
      <c r="CO15" s="24"/>
      <c r="CP15" s="24"/>
      <c r="CQ15" s="24"/>
    </row>
    <row r="16" customFormat="false" ht="15" hidden="false" customHeight="false" outlineLevel="0" collapsed="false">
      <c r="B16" s="26" t="s">
        <v>129</v>
      </c>
      <c r="Y16" s="28" t="n">
        <v>-0.205115</v>
      </c>
      <c r="Z16" s="28" t="n">
        <v>-0.471527</v>
      </c>
      <c r="AA16" s="28" t="n">
        <v>-0.004335</v>
      </c>
      <c r="AB16" s="28" t="n">
        <v>-0.005161</v>
      </c>
      <c r="AC16" s="28" t="n">
        <v>-0.177271</v>
      </c>
      <c r="AD16" s="28" t="n">
        <v>0.001941</v>
      </c>
      <c r="AE16" s="28" t="n">
        <v>-0.004771</v>
      </c>
      <c r="AF16" s="28" t="n">
        <v>0.00538</v>
      </c>
      <c r="AG16" s="28" t="n">
        <v>0.005774</v>
      </c>
      <c r="AH16" s="28" t="n">
        <v>0.002015</v>
      </c>
      <c r="AI16" s="28" t="n">
        <v>0.004169</v>
      </c>
      <c r="AJ16" s="28" t="n">
        <v>0.00081</v>
      </c>
      <c r="AK16" s="28" t="n">
        <v>-0.011647</v>
      </c>
      <c r="AL16" s="28" t="n">
        <v>-0.012983</v>
      </c>
      <c r="AM16" s="28" t="n">
        <v>-0.005097</v>
      </c>
      <c r="AN16" s="28" t="n">
        <v>-0.011054</v>
      </c>
      <c r="AO16" s="28" t="n">
        <v>-0.004893</v>
      </c>
      <c r="AP16" s="28" t="n">
        <v>-0.003659</v>
      </c>
      <c r="AQ16" s="28" t="n">
        <v>0.001054</v>
      </c>
      <c r="AR16" s="28" t="n">
        <v>-0.004567</v>
      </c>
      <c r="AS16" s="28" t="n">
        <v>-0.005003</v>
      </c>
      <c r="AT16" s="28" t="n">
        <v>-0.006164</v>
      </c>
      <c r="AU16" s="28" t="n">
        <v>-0.005132</v>
      </c>
      <c r="AV16" s="28" t="n">
        <v>-0.00475</v>
      </c>
      <c r="AW16" s="28" t="n">
        <v>-0.005278</v>
      </c>
      <c r="AX16" s="28" t="n">
        <v>0.003421</v>
      </c>
      <c r="AY16" s="28" t="n">
        <v>0.019878</v>
      </c>
      <c r="AZ16" s="28" t="n">
        <v>0.009891</v>
      </c>
      <c r="BA16" s="28" t="n">
        <v>0.003409</v>
      </c>
      <c r="BB16" s="28" t="n">
        <v>0.008642</v>
      </c>
      <c r="BC16" s="28" t="n">
        <v>0.001989</v>
      </c>
      <c r="BD16" s="28" t="n">
        <v>-0.005211</v>
      </c>
      <c r="BE16" s="28" t="n">
        <v>-0.006529</v>
      </c>
      <c r="BF16" s="28" t="n">
        <v>-0.00851</v>
      </c>
      <c r="BG16" s="28" t="n">
        <v>-0.004734</v>
      </c>
      <c r="BH16" s="28" t="n">
        <v>-0.007505</v>
      </c>
      <c r="BI16" s="28" t="n">
        <v>-0.005033</v>
      </c>
      <c r="BJ16" s="28" t="n">
        <v>0.003212</v>
      </c>
      <c r="BK16" s="28" t="n">
        <v>0.003938</v>
      </c>
      <c r="BL16" s="28" t="n">
        <v>-0.001252</v>
      </c>
      <c r="BM16" s="28" t="n">
        <v>0.002519</v>
      </c>
      <c r="BN16" s="28" t="n">
        <v>-0.001931</v>
      </c>
      <c r="BO16" s="28" t="n">
        <v>-0.005452</v>
      </c>
      <c r="BP16" s="28" t="n">
        <v>-0.010443</v>
      </c>
      <c r="BQ16" s="28" t="n">
        <v>-0.003808</v>
      </c>
      <c r="BR16" s="28" t="n">
        <v>-0.011133</v>
      </c>
      <c r="BS16" s="28" t="n">
        <v>-0.00357</v>
      </c>
      <c r="BT16" s="28" t="n">
        <v>8.2E-005</v>
      </c>
      <c r="BU16" s="28" t="n">
        <v>0.006969</v>
      </c>
      <c r="BV16" s="28" t="n">
        <v>-0.001813</v>
      </c>
      <c r="BW16" s="28" t="n">
        <v>0.009606</v>
      </c>
      <c r="BX16" s="28" t="n">
        <v>0.003334</v>
      </c>
      <c r="BY16" s="23" t="n">
        <f aca="false">$BX$16</f>
        <v>0.003334</v>
      </c>
      <c r="BZ16" s="23" t="n">
        <f aca="false">$BX$16</f>
        <v>0.003334</v>
      </c>
      <c r="CA16" s="23" t="n">
        <f aca="false">IFERROR(SUMPRODUCT(BR10:BU10,BW16:BZ16)/SUM(BR10:BU10),"")</f>
        <v>0.00483801885766465</v>
      </c>
      <c r="CB16" s="30" t="n">
        <v>0</v>
      </c>
      <c r="CC16" s="30" t="n">
        <v>0</v>
      </c>
      <c r="CD16" s="30" t="n">
        <v>0</v>
      </c>
      <c r="CE16" s="30" t="n">
        <v>0</v>
      </c>
      <c r="CF16" s="19" t="s">
        <v>130</v>
      </c>
      <c r="CN16" s="26" t="s">
        <v>131</v>
      </c>
      <c r="CP16" s="31" t="n">
        <v>52.5</v>
      </c>
      <c r="CR16" s="14" t="s">
        <v>132</v>
      </c>
    </row>
    <row r="17" customFormat="false" ht="15" hidden="false" customHeight="false" outlineLevel="0" collapsed="false">
      <c r="B17" s="15" t="s">
        <v>133</v>
      </c>
      <c r="C17" s="32" t="str">
        <f aca="false">IF(ISNUMBER(C13),C13+C14+C15+C16,"")</f>
        <v/>
      </c>
      <c r="D17" s="32" t="str">
        <f aca="false">IF(ISNUMBER(D13),D13+D14+D15+D16,"")</f>
        <v/>
      </c>
      <c r="E17" s="32" t="str">
        <f aca="false">IF(ISNUMBER(E13),E13+E14+E15+E16,"")</f>
        <v/>
      </c>
      <c r="F17" s="32" t="str">
        <f aca="false">IF(ISNUMBER(F13),F13+F14+F15+F16,"")</f>
        <v/>
      </c>
      <c r="G17" s="32" t="str">
        <f aca="false">IF(ISNUMBER(G13),G13+G14+G15+G16,"")</f>
        <v/>
      </c>
      <c r="H17" s="32" t="str">
        <f aca="false">IF(ISNUMBER(H13),H13+H14+H15+H16,"")</f>
        <v/>
      </c>
      <c r="I17" s="32" t="str">
        <f aca="false">IF(ISNUMBER(I13),I13+I14+I15+I16,"")</f>
        <v/>
      </c>
      <c r="J17" s="32" t="str">
        <f aca="false">IF(ISNUMBER(J13),J13+J14+J15+J16,"")</f>
        <v/>
      </c>
      <c r="K17" s="32" t="str">
        <f aca="false">IF(ISNUMBER(K13),K13+K14+K15+K16,"")</f>
        <v/>
      </c>
      <c r="L17" s="32" t="str">
        <f aca="false">IF(ISNUMBER(L13),L13+L14+L15+L16,"")</f>
        <v/>
      </c>
      <c r="M17" s="32" t="str">
        <f aca="false">IF(ISNUMBER(M13),M13+M14+M15+M16,"")</f>
        <v/>
      </c>
      <c r="N17" s="32" t="str">
        <f aca="false">IF(ISNUMBER(N13),N13+N14+N15+N16,"")</f>
        <v/>
      </c>
      <c r="O17" s="32" t="str">
        <f aca="false">IF(ISNUMBER(O13),O13+O14+O15+O16,"")</f>
        <v/>
      </c>
      <c r="P17" s="32" t="str">
        <f aca="false">IF(ISNUMBER(P13),P13+P14+P15+P16,"")</f>
        <v/>
      </c>
      <c r="Q17" s="32" t="str">
        <f aca="false">IF(ISNUMBER(Q13),Q13+Q14+Q15+Q16,"")</f>
        <v/>
      </c>
      <c r="R17" s="32" t="str">
        <f aca="false">IF(ISNUMBER(R13),R13+R14+R15+R16,"")</f>
        <v/>
      </c>
      <c r="S17" s="32" t="str">
        <f aca="false">IF(ISNUMBER(S13),S13+S14+S15+S16,"")</f>
        <v/>
      </c>
      <c r="T17" s="32" t="str">
        <f aca="false">IF(ISNUMBER(T13),T13+T14+T15+T16,"")</f>
        <v/>
      </c>
      <c r="U17" s="32" t="str">
        <f aca="false">IF(ISNUMBER(U13),U13+U14+U15+U16,"")</f>
        <v/>
      </c>
      <c r="V17" s="32" t="str">
        <f aca="false">IF(ISNUMBER(V13),V13+V14+V15+V16,"")</f>
        <v/>
      </c>
      <c r="W17" s="32" t="str">
        <f aca="false">IF(ISNUMBER(W13),W13+W14+W15+W16,"")</f>
        <v/>
      </c>
      <c r="X17" s="32" t="str">
        <f aca="false">IF(ISNUMBER(X13),X13+X14+X15+X16,"")</f>
        <v/>
      </c>
      <c r="Y17" s="32" t="n">
        <f aca="false">IF(ISNUMBER(Y13),Y13+Y14+Y15+Y16,"")</f>
        <v>-0.200138</v>
      </c>
      <c r="Z17" s="32" t="n">
        <f aca="false">IF(ISNUMBER(Z13),Z13+Z14+Z15+Z16,"")</f>
        <v>-0.138867</v>
      </c>
      <c r="AA17" s="32" t="n">
        <f aca="false">IF(ISNUMBER(AA13),AA13+AA14+AA15+AA16,"")</f>
        <v>-0.168773</v>
      </c>
      <c r="AB17" s="32" t="n">
        <f aca="false">IF(ISNUMBER(AB13),AB13+AB14+AB15+AB16,"")</f>
        <v>-0.044555</v>
      </c>
      <c r="AC17" s="32" t="n">
        <f aca="false">IF(ISNUMBER(AC13),AC13+AC14+AC15+AC16,"")</f>
        <v>-0.141482</v>
      </c>
      <c r="AD17" s="32" t="n">
        <f aca="false">IF(ISNUMBER(AD13),AD13+AD14+AD15+AD16,"")</f>
        <v>0.067731</v>
      </c>
      <c r="AE17" s="32" t="n">
        <f aca="false">IF(ISNUMBER(AE13),AE13+AE14+AE15+AE16,"")</f>
        <v>0.043193</v>
      </c>
      <c r="AF17" s="32" t="n">
        <f aca="false">IF(ISNUMBER(AF13),AF13+AF14+AF15+AF16,"")</f>
        <v>0.055015</v>
      </c>
      <c r="AG17" s="32" t="n">
        <f aca="false">IF(ISNUMBER(AG13),AG13+AG14+AG15+AG16,"")</f>
        <v>0.14304</v>
      </c>
      <c r="AH17" s="32" t="n">
        <f aca="false">IF(ISNUMBER(AH13),AH13+AH14+AH15+AH16,"")</f>
        <v>0.076789</v>
      </c>
      <c r="AI17" s="32" t="n">
        <f aca="false">IF(ISNUMBER(AI13),AI13+AI14+AI15+AI16,"")</f>
        <v>0.134215</v>
      </c>
      <c r="AJ17" s="32" t="n">
        <f aca="false">IF(ISNUMBER(AJ13),AJ13+AJ14+AJ15+AJ16,"")</f>
        <v>0.141599</v>
      </c>
      <c r="AK17" s="32" t="n">
        <f aca="false">IF(ISNUMBER(AK13),AK13+AK14+AK15+AK16,"")</f>
        <v>0.139901</v>
      </c>
      <c r="AL17" s="32" t="n">
        <f aca="false">IF(ISNUMBER(AL13),AL13+AL14+AL15+AL16,"")</f>
        <v>0.076114</v>
      </c>
      <c r="AM17" s="32" t="n">
        <f aca="false">IF(ISNUMBER(AM13),AM13+AM14+AM15+AM16,"")</f>
        <v>0.122212</v>
      </c>
      <c r="AN17" s="32" t="n">
        <f aca="false">IF(ISNUMBER(AN13),AN13+AN14+AN15+AN16,"")</f>
        <v>0.05278</v>
      </c>
      <c r="AO17" s="32" t="n">
        <f aca="false">IF(ISNUMBER(AO13),AO13+AO14+AO15+AO16,"")</f>
        <v>0.030468</v>
      </c>
      <c r="AP17" s="32" t="n">
        <f aca="false">IF(ISNUMBER(AP13),AP13+AP14+AP15+AP16,"")</f>
        <v>-0.023103</v>
      </c>
      <c r="AQ17" s="32" t="n">
        <f aca="false">IF(ISNUMBER(AQ13),AQ13+AQ14+AQ15+AQ16,"")</f>
        <v>-0.038044</v>
      </c>
      <c r="AR17" s="32" t="n">
        <f aca="false">IF(ISNUMBER(AR13),AR13+AR14+AR15+AR16,"")</f>
        <v>0.00511099999999999</v>
      </c>
      <c r="AS17" s="32" t="n">
        <f aca="false">IF(ISNUMBER(AS13),AS13+AS14+AS15+AS16,"")</f>
        <v>-0.085606</v>
      </c>
      <c r="AT17" s="32" t="n">
        <f aca="false">IF(ISNUMBER(AT13),AT13+AT14+AT15+AT16,"")</f>
        <v>-0.30083</v>
      </c>
      <c r="AU17" s="32" t="n">
        <f aca="false">IF(ISNUMBER(AU13),AU13+AU14+AU15+AU16,"")</f>
        <v>-0.162306</v>
      </c>
      <c r="AV17" s="32" t="n">
        <f aca="false">IF(ISNUMBER(AV13),AV13+AV14+AV15+AV16,"")</f>
        <v>-0.117214</v>
      </c>
      <c r="AW17" s="32" t="n">
        <f aca="false">IF(ISNUMBER(AW13),AW13+AW14+AW15+AW16,"")</f>
        <v>-0.168457</v>
      </c>
      <c r="AX17" s="32" t="n">
        <f aca="false">IF(ISNUMBER(AX13),AX13+AX14+AX15+AX16,"")</f>
        <v>0.016025</v>
      </c>
      <c r="AY17" s="32" t="n">
        <f aca="false">IF(ISNUMBER(AY13),AY13+AY14+AY15+AY16,"")</f>
        <v>0.372834</v>
      </c>
      <c r="AZ17" s="32" t="n">
        <f aca="false">IF(ISNUMBER(AZ13),AZ13+AZ14+AZ15+AZ16,"")</f>
        <v>0.242165</v>
      </c>
      <c r="BA17" s="32" t="n">
        <f aca="false">IF(ISNUMBER(BA13),BA13+BA14+BA15+BA16,"")</f>
        <v>0.242366</v>
      </c>
      <c r="BB17" s="32" t="n">
        <f aca="false">IF(ISNUMBER(BB13),BB13+BB14+BB15+BB16,"")</f>
        <v>0.208369</v>
      </c>
      <c r="BC17" s="32" t="n">
        <f aca="false">IF(ISNUMBER(BC13),BC13+BC14+BC15+BC16,"")</f>
        <v>0.255885</v>
      </c>
      <c r="BD17" s="32" t="n">
        <f aca="false">IF(ISNUMBER(BD13),BD13+BD14+BD15+BD16,"")</f>
        <v>0.302078</v>
      </c>
      <c r="BE17" s="32" t="n">
        <f aca="false">IF(ISNUMBER(BE13),BE13+BE14+BE15+BE16,"")</f>
        <v>0.268944</v>
      </c>
      <c r="BF17" s="32" t="n">
        <f aca="false">IF(ISNUMBER(BF13),BF13+BF14+BF15+BF16,"")</f>
        <v>0.194329</v>
      </c>
      <c r="BG17" s="32" t="n">
        <f aca="false">IF(ISNUMBER(BG13),BG13+BG14+BG15+BG16,"")</f>
        <v>0.254568</v>
      </c>
      <c r="BH17" s="32" t="n">
        <f aca="false">IF(ISNUMBER(BH13),BH13+BH14+BH15+BH16,"")</f>
        <v>0.23329</v>
      </c>
      <c r="BI17" s="32" t="n">
        <f aca="false">IF(ISNUMBER(BI13),BI13+BI14+BI15+BI16,"")</f>
        <v>0.136499</v>
      </c>
      <c r="BJ17" s="32" t="n">
        <f aca="false">IF(ISNUMBER(BJ13),BJ13+BJ14+BJ15+BJ16,"")</f>
        <v>0.135922</v>
      </c>
      <c r="BK17" s="32" t="n">
        <f aca="false">IF(ISNUMBER(BK13),BK13+BK14+BK15+BK16,"")</f>
        <v>0.141415</v>
      </c>
      <c r="BL17" s="32" t="n">
        <f aca="false">IF(ISNUMBER(BL13),BL13+BL14+BL15+BL16,"")</f>
        <v>0.160167</v>
      </c>
      <c r="BM17" s="32" t="n">
        <f aca="false">IF(ISNUMBER(BM13),BM13+BM14+BM15+BM16,"")</f>
        <v>-0.05245</v>
      </c>
      <c r="BN17" s="32" t="n">
        <f aca="false">IF(ISNUMBER(BN13),BN13+BN14+BN15+BN16,"")</f>
        <v>-0.041405</v>
      </c>
      <c r="BO17" s="32" t="n">
        <f aca="false">IF(ISNUMBER(BO13),BO13+BO14+BO15+BO16,"")</f>
        <v>-0.042394</v>
      </c>
      <c r="BP17" s="32" t="n">
        <f aca="false">IF(ISNUMBER(BP13),BP13+BP14+BP15+BP16,"")</f>
        <v>0.000120000000000004</v>
      </c>
      <c r="BQ17" s="32" t="n">
        <f aca="false">IF(ISNUMBER(BQ13),BQ13+BQ14+BQ15+BQ16,"")</f>
        <v>-0.034154</v>
      </c>
      <c r="BR17" s="32" t="n">
        <f aca="false">IF(ISNUMBER(BR13),BR13+BR14+BR15+BR16,"")</f>
        <v>0.04648</v>
      </c>
      <c r="BS17" s="32" t="n">
        <f aca="false">IF(ISNUMBER(BS13),BS13+BS14+BS15+BS16,"")</f>
        <v>0.07365</v>
      </c>
      <c r="BT17" s="32" t="n">
        <f aca="false">IF(ISNUMBER(BT13),BT13+BT14+BT15+BT16,"")</f>
        <v>0.085975</v>
      </c>
      <c r="BU17" s="32" t="n">
        <f aca="false">IF(ISNUMBER(BU13),BU13+BU14+BU15+BU16,"")</f>
        <v>0.041455</v>
      </c>
      <c r="BV17" s="32" t="n">
        <f aca="false">IF(ISNUMBER(BV13),BV13+BV14+BV15+BV16,"")</f>
        <v>0.06188</v>
      </c>
      <c r="BW17" s="32" t="n">
        <f aca="false">IF(ISNUMBER(BW13),BW13+BW14+BW15+BW16,"")</f>
        <v>0.08133</v>
      </c>
      <c r="BX17" s="32" t="n">
        <f aca="false">IF(ISNUMBER(BX13),BX13+BX14+BX15+BX16,"")</f>
        <v>0.111532</v>
      </c>
      <c r="BY17" s="33" t="n">
        <f aca="false">BY13+BY14+BY15+BY16</f>
        <v>0.117302914169636</v>
      </c>
      <c r="BZ17" s="33" t="n">
        <f aca="false">BZ13+BZ14+BZ15+BZ16</f>
        <v>0.117302914169636</v>
      </c>
      <c r="CA17" s="33" t="n">
        <f aca="false">CA13+CA14+CA15+CA16</f>
        <v>0.107200356861759</v>
      </c>
      <c r="CB17" s="33" t="n">
        <f aca="false">CB13+CB14+CB15+CB16</f>
        <v>0.06</v>
      </c>
      <c r="CC17" s="33" t="n">
        <f aca="false">CC13+CC14+CC15+CC16</f>
        <v>0.055</v>
      </c>
      <c r="CD17" s="33" t="n">
        <f aca="false">CD13+CD14+CD15+CD16</f>
        <v>0.05</v>
      </c>
      <c r="CE17" s="33" t="n">
        <f aca="false">CE13+CE14+CE15+CE16</f>
        <v>0.05</v>
      </c>
      <c r="CN17" s="26" t="s">
        <v>134</v>
      </c>
      <c r="CP17" s="27" t="n">
        <v>0.225</v>
      </c>
      <c r="CR17" s="14" t="s">
        <v>135</v>
      </c>
    </row>
    <row r="18" customFormat="false" ht="15" hidden="false" customHeight="false" outlineLevel="0" collapsed="false">
      <c r="B18" s="26" t="s">
        <v>136</v>
      </c>
      <c r="C18" s="34" t="str">
        <f aca="false">IF(ISNUMBER(C13),C13+C14,"")</f>
        <v/>
      </c>
      <c r="D18" s="34" t="str">
        <f aca="false">IF(ISNUMBER(D13),D13+D14,"")</f>
        <v/>
      </c>
      <c r="E18" s="34" t="str">
        <f aca="false">IF(ISNUMBER(E13),E13+E14,"")</f>
        <v/>
      </c>
      <c r="F18" s="34" t="str">
        <f aca="false">IF(ISNUMBER(F13),F13+F14,"")</f>
        <v/>
      </c>
      <c r="G18" s="34" t="str">
        <f aca="false">IF(ISNUMBER(G13),G13+G14,"")</f>
        <v/>
      </c>
      <c r="H18" s="34" t="str">
        <f aca="false">IF(ISNUMBER(H13),H13+H14,"")</f>
        <v/>
      </c>
      <c r="I18" s="34" t="str">
        <f aca="false">IF(ISNUMBER(I13),I13+I14,"")</f>
        <v/>
      </c>
      <c r="J18" s="34" t="str">
        <f aca="false">IF(ISNUMBER(J13),J13+J14,"")</f>
        <v/>
      </c>
      <c r="K18" s="34" t="str">
        <f aca="false">IF(ISNUMBER(K13),K13+K14,"")</f>
        <v/>
      </c>
      <c r="L18" s="34" t="str">
        <f aca="false">IF(ISNUMBER(L13),L13+L14,"")</f>
        <v/>
      </c>
      <c r="M18" s="34" t="str">
        <f aca="false">IF(ISNUMBER(M13),M13+M14,"")</f>
        <v/>
      </c>
      <c r="N18" s="34" t="str">
        <f aca="false">IF(ISNUMBER(N13),N13+N14,"")</f>
        <v/>
      </c>
      <c r="O18" s="34" t="str">
        <f aca="false">IF(ISNUMBER(O13),O13+O14,"")</f>
        <v/>
      </c>
      <c r="P18" s="34" t="str">
        <f aca="false">IF(ISNUMBER(P13),P13+P14,"")</f>
        <v/>
      </c>
      <c r="Q18" s="34" t="str">
        <f aca="false">IF(ISNUMBER(Q13),Q13+Q14,"")</f>
        <v/>
      </c>
      <c r="R18" s="34" t="str">
        <f aca="false">IF(ISNUMBER(R13),R13+R14,"")</f>
        <v/>
      </c>
      <c r="S18" s="34" t="str">
        <f aca="false">IF(ISNUMBER(S13),S13+S14,"")</f>
        <v/>
      </c>
      <c r="T18" s="34" t="str">
        <f aca="false">IF(ISNUMBER(T13),T13+T14,"")</f>
        <v/>
      </c>
      <c r="U18" s="34" t="str">
        <f aca="false">IF(ISNUMBER(U13),U13+U14,"")</f>
        <v/>
      </c>
      <c r="V18" s="34" t="str">
        <f aca="false">IF(ISNUMBER(V13),V13+V14,"")</f>
        <v/>
      </c>
      <c r="W18" s="34" t="str">
        <f aca="false">IF(ISNUMBER(W13),W13+W14,"")</f>
        <v/>
      </c>
      <c r="X18" s="34" t="str">
        <f aca="false">IF(ISNUMBER(X13),X13+X14,"")</f>
        <v/>
      </c>
      <c r="Y18" s="34" t="n">
        <f aca="false">IF(ISNUMBER(Y13),Y13+Y14,"")</f>
        <v>-0.010568</v>
      </c>
      <c r="Z18" s="34" t="n">
        <f aca="false">IF(ISNUMBER(Z13),Z13+Z14,"")</f>
        <v>0.296467</v>
      </c>
      <c r="AA18" s="34" t="n">
        <f aca="false">IF(ISNUMBER(AA13),AA13+AA14,"")</f>
        <v>-0.19152</v>
      </c>
      <c r="AB18" s="34" t="n">
        <f aca="false">IF(ISNUMBER(AB13),AB13+AB14,"")</f>
        <v>-0.058065</v>
      </c>
      <c r="AC18" s="34" t="n">
        <f aca="false">IF(ISNUMBER(AC13),AC13+AC14,"")</f>
        <v>0.011192</v>
      </c>
      <c r="AD18" s="34" t="n">
        <f aca="false">IF(ISNUMBER(AD13),AD13+AD14,"")</f>
        <v>0.056492</v>
      </c>
      <c r="AE18" s="34" t="n">
        <f aca="false">IF(ISNUMBER(AE13),AE13+AE14,"")</f>
        <v>0.044478</v>
      </c>
      <c r="AF18" s="34" t="n">
        <f aca="false">IF(ISNUMBER(AF13),AF13+AF14,"")</f>
        <v>0.046615</v>
      </c>
      <c r="AG18" s="34" t="n">
        <f aca="false">IF(ISNUMBER(AG13),AG13+AG14,"")</f>
        <v>0.130138</v>
      </c>
      <c r="AH18" s="34" t="n">
        <f aca="false">IF(ISNUMBER(AH13),AH13+AH14,"")</f>
        <v>0.069108</v>
      </c>
      <c r="AI18" s="34" t="n">
        <f aca="false">IF(ISNUMBER(AI13),AI13+AI14,"")</f>
        <v>0.120639</v>
      </c>
      <c r="AJ18" s="34" t="n">
        <f aca="false">IF(ISNUMBER(AJ13),AJ13+AJ14,"")</f>
        <v>0.13077</v>
      </c>
      <c r="AK18" s="34" t="n">
        <f aca="false">IF(ISNUMBER(AK13),AK13+AK14,"")</f>
        <v>0.148666</v>
      </c>
      <c r="AL18" s="34" t="n">
        <f aca="false">IF(ISNUMBER(AL13),AL13+AL14,"")</f>
        <v>0.082405</v>
      </c>
      <c r="AM18" s="34" t="n">
        <f aca="false">IF(ISNUMBER(AM13),AM13+AM14,"")</f>
        <v>0.120076</v>
      </c>
      <c r="AN18" s="34" t="n">
        <f aca="false">IF(ISNUMBER(AN13),AN13+AN14,"")</f>
        <v>0.034577</v>
      </c>
      <c r="AO18" s="34" t="n">
        <f aca="false">IF(ISNUMBER(AO13),AO13+AO14,"")</f>
        <v>-0.01115</v>
      </c>
      <c r="AP18" s="34" t="n">
        <f aca="false">IF(ISNUMBER(AP13),AP13+AP14,"")</f>
        <v>-0.057725</v>
      </c>
      <c r="AQ18" s="34" t="n">
        <f aca="false">IF(ISNUMBER(AQ13),AQ13+AQ14,"")</f>
        <v>-0.081825</v>
      </c>
      <c r="AR18" s="34" t="n">
        <f aca="false">IF(ISNUMBER(AR13),AR13+AR14,"")</f>
        <v>-0.029659</v>
      </c>
      <c r="AS18" s="34" t="n">
        <f aca="false">IF(ISNUMBER(AS13),AS13+AS14,"")</f>
        <v>-0.094127</v>
      </c>
      <c r="AT18" s="34" t="n">
        <f aca="false">IF(ISNUMBER(AT13),AT13+AT14,"")</f>
        <v>-0.294666</v>
      </c>
      <c r="AU18" s="34" t="n">
        <f aca="false">IF(ISNUMBER(AU13),AU13+AU14,"")</f>
        <v>-0.157174</v>
      </c>
      <c r="AV18" s="34" t="n">
        <f aca="false">IF(ISNUMBER(AV13),AV13+AV14,"")</f>
        <v>-0.112464</v>
      </c>
      <c r="AW18" s="34" t="n">
        <f aca="false">IF(ISNUMBER(AW13),AW13+AW14,"")</f>
        <v>-0.166588</v>
      </c>
      <c r="AX18" s="34" t="n">
        <f aca="false">IF(ISNUMBER(AX13),AX13+AX14,"")</f>
        <v>0.012604</v>
      </c>
      <c r="AY18" s="34" t="n">
        <f aca="false">IF(ISNUMBER(AY13),AY13+AY14,"")</f>
        <v>0.352956</v>
      </c>
      <c r="AZ18" s="34" t="n">
        <f aca="false">IF(ISNUMBER(AZ13),AZ13+AZ14,"")</f>
        <v>0.232274</v>
      </c>
      <c r="BA18" s="34" t="n">
        <f aca="false">IF(ISNUMBER(BA13),BA13+BA14,"")</f>
        <v>0.238957</v>
      </c>
      <c r="BB18" s="34" t="n">
        <f aca="false">IF(ISNUMBER(BB13),BB13+BB14,"")</f>
        <v>0.199727</v>
      </c>
      <c r="BC18" s="34" t="n">
        <f aca="false">IF(ISNUMBER(BC13),BC13+BC14,"")</f>
        <v>0.249792</v>
      </c>
      <c r="BD18" s="34" t="n">
        <f aca="false">IF(ISNUMBER(BD13),BD13+BD14,"")</f>
        <v>0.295404</v>
      </c>
      <c r="BE18" s="34" t="n">
        <f aca="false">IF(ISNUMBER(BE13),BE13+BE14,"")</f>
        <v>0.265237</v>
      </c>
      <c r="BF18" s="34" t="n">
        <f aca="false">IF(ISNUMBER(BF13),BF13+BF14,"")</f>
        <v>0.190979</v>
      </c>
      <c r="BG18" s="34" t="n">
        <f aca="false">IF(ISNUMBER(BG13),BG13+BG14,"")</f>
        <v>0.249654</v>
      </c>
      <c r="BH18" s="34" t="n">
        <f aca="false">IF(ISNUMBER(BH13),BH13+BH14,"")</f>
        <v>0.156068</v>
      </c>
      <c r="BI18" s="34" t="n">
        <f aca="false">IF(ISNUMBER(BI13),BI13+BI14,"")</f>
        <v>0.067753</v>
      </c>
      <c r="BJ18" s="34" t="n">
        <f aca="false">IF(ISNUMBER(BJ13),BJ13+BJ14,"")</f>
        <v>0.009494</v>
      </c>
      <c r="BK18" s="34" t="n">
        <f aca="false">IF(ISNUMBER(BK13),BK13+BK14,"")</f>
        <v>0.030889</v>
      </c>
      <c r="BL18" s="34" t="n">
        <f aca="false">IF(ISNUMBER(BL13),BL13+BL14,"")</f>
        <v>0.064215</v>
      </c>
      <c r="BM18" s="34" t="n">
        <f aca="false">IF(ISNUMBER(BM13),BM13+BM14,"")</f>
        <v>-0.061291</v>
      </c>
      <c r="BN18" s="34" t="n">
        <f aca="false">IF(ISNUMBER(BN13),BN13+BN14,"")</f>
        <v>-0.057821</v>
      </c>
      <c r="BO18" s="34" t="n">
        <f aca="false">IF(ISNUMBER(BO13),BO13+BO14,"")</f>
        <v>-0.082358</v>
      </c>
      <c r="BP18" s="34" t="n">
        <f aca="false">IF(ISNUMBER(BP13),BP13+BP14,"")</f>
        <v>-0.072376</v>
      </c>
      <c r="BQ18" s="34" t="n">
        <f aca="false">IF(ISNUMBER(BQ13),BQ13+BQ14,"")</f>
        <v>-0.068416</v>
      </c>
      <c r="BR18" s="34" t="n">
        <f aca="false">IF(ISNUMBER(BR13),BR13+BR14,"")</f>
        <v>-0.01822</v>
      </c>
      <c r="BS18" s="34" t="n">
        <f aca="false">IF(ISNUMBER(BS13),BS13+BS14,"")</f>
        <v>0.030695</v>
      </c>
      <c r="BT18" s="34" t="n">
        <f aca="false">IF(ISNUMBER(BT13),BT13+BT14,"")</f>
        <v>0.072013</v>
      </c>
      <c r="BU18" s="34" t="n">
        <f aca="false">IF(ISNUMBER(BU13),BU13+BU14,"")</f>
        <v>0.034486</v>
      </c>
      <c r="BV18" s="34" t="n">
        <f aca="false">IF(ISNUMBER(BV13),BV13+BV14,"")</f>
        <v>0.030022</v>
      </c>
      <c r="BW18" s="34" t="n">
        <f aca="false">IF(ISNUMBER(BW13),BW13+BW14,"")</f>
        <v>0.071724</v>
      </c>
      <c r="BX18" s="34" t="n">
        <f aca="false">IF(ISNUMBER(BX13),BX13+BX14,"")</f>
        <v>0.108198</v>
      </c>
      <c r="BY18" s="23" t="n">
        <f aca="false">BY13+BY14</f>
        <v>0.113968914169636</v>
      </c>
      <c r="BZ18" s="23" t="n">
        <f aca="false">BZ13+BZ14</f>
        <v>0.113968914169636</v>
      </c>
      <c r="CA18" s="23" t="n">
        <f aca="false">CA13+CA14</f>
        <v>0.102362338004094</v>
      </c>
      <c r="CB18" s="23" t="n">
        <f aca="false">CB13+CB14</f>
        <v>0.06</v>
      </c>
      <c r="CC18" s="23" t="n">
        <f aca="false">CC13+CC14</f>
        <v>0.055</v>
      </c>
      <c r="CD18" s="23" t="n">
        <f aca="false">CD13+CD14</f>
        <v>0.05</v>
      </c>
      <c r="CE18" s="23" t="n">
        <f aca="false">CE13+CE14</f>
        <v>0.05</v>
      </c>
      <c r="CN18" s="26" t="s">
        <v>137</v>
      </c>
      <c r="CO18" s="35" t="n">
        <v>130</v>
      </c>
      <c r="CP18" s="35" t="n">
        <v>120</v>
      </c>
      <c r="CQ18" s="35" t="n">
        <v>110</v>
      </c>
      <c r="CR18" s="14" t="s">
        <v>138</v>
      </c>
    </row>
    <row r="19" customFormat="false" ht="15" hidden="false" customHeight="false" outlineLevel="0" collapsed="false">
      <c r="B19" s="36" t="s">
        <v>139</v>
      </c>
      <c r="C19" s="34" t="str">
        <f aca="false">IF(AND(ISNUMBER(C17),ISNUMBER(C11)),ROUND(C17-C11,3),"")</f>
        <v/>
      </c>
      <c r="D19" s="34" t="str">
        <f aca="false">IF(AND(ISNUMBER(D17),ISNUMBER(D11)),ROUND(D17-D11,3),"")</f>
        <v/>
      </c>
      <c r="E19" s="34" t="str">
        <f aca="false">IF(AND(ISNUMBER(E17),ISNUMBER(E11)),ROUND(E17-E11,3),"")</f>
        <v/>
      </c>
      <c r="F19" s="34" t="str">
        <f aca="false">IF(AND(ISNUMBER(F17),ISNUMBER(F11)),ROUND(F17-F11,3),"")</f>
        <v/>
      </c>
      <c r="G19" s="34" t="str">
        <f aca="false">IF(AND(ISNUMBER(G17),ISNUMBER(G11)),ROUND(G17-G11,3),"")</f>
        <v/>
      </c>
      <c r="H19" s="34" t="str">
        <f aca="false">IF(AND(ISNUMBER(H17),ISNUMBER(H11)),ROUND(H17-H11,3),"")</f>
        <v/>
      </c>
      <c r="I19" s="34" t="str">
        <f aca="false">IF(AND(ISNUMBER(I17),ISNUMBER(I11)),ROUND(I17-I11,3),"")</f>
        <v/>
      </c>
      <c r="J19" s="34" t="str">
        <f aca="false">IF(AND(ISNUMBER(J17),ISNUMBER(J11)),ROUND(J17-J11,3),"")</f>
        <v/>
      </c>
      <c r="K19" s="34" t="str">
        <f aca="false">IF(AND(ISNUMBER(K17),ISNUMBER(K11)),ROUND(K17-K11,3),"")</f>
        <v/>
      </c>
      <c r="L19" s="34" t="str">
        <f aca="false">IF(AND(ISNUMBER(L17),ISNUMBER(L11)),ROUND(L17-L11,3),"")</f>
        <v/>
      </c>
      <c r="M19" s="34" t="str">
        <f aca="false">IF(AND(ISNUMBER(M17),ISNUMBER(M11)),ROUND(M17-M11,3),"")</f>
        <v/>
      </c>
      <c r="N19" s="34" t="str">
        <f aca="false">IF(AND(ISNUMBER(N17),ISNUMBER(N11)),ROUND(N17-N11,3),"")</f>
        <v/>
      </c>
      <c r="O19" s="34" t="str">
        <f aca="false">IF(AND(ISNUMBER(O17),ISNUMBER(O11)),ROUND(O17-O11,3),"")</f>
        <v/>
      </c>
      <c r="P19" s="34" t="str">
        <f aca="false">IF(AND(ISNUMBER(P17),ISNUMBER(P11)),ROUND(P17-P11,3),"")</f>
        <v/>
      </c>
      <c r="Q19" s="34" t="str">
        <f aca="false">IF(AND(ISNUMBER(Q17),ISNUMBER(Q11)),ROUND(Q17-Q11,3),"")</f>
        <v/>
      </c>
      <c r="R19" s="34" t="str">
        <f aca="false">IF(AND(ISNUMBER(R17),ISNUMBER(R11)),ROUND(R17-R11,3),"")</f>
        <v/>
      </c>
      <c r="S19" s="34" t="str">
        <f aca="false">IF(AND(ISNUMBER(S17),ISNUMBER(S11)),ROUND(S17-S11,3),"")</f>
        <v/>
      </c>
      <c r="T19" s="34" t="str">
        <f aca="false">IF(AND(ISNUMBER(T17),ISNUMBER(T11)),ROUND(T17-T11,3),"")</f>
        <v/>
      </c>
      <c r="U19" s="34" t="str">
        <f aca="false">IF(AND(ISNUMBER(U17),ISNUMBER(U11)),ROUND(U17-U11,3),"")</f>
        <v/>
      </c>
      <c r="V19" s="34" t="str">
        <f aca="false">IF(AND(ISNUMBER(V17),ISNUMBER(V11)),ROUND(V17-V11,3),"")</f>
        <v/>
      </c>
      <c r="W19" s="34" t="str">
        <f aca="false">IF(AND(ISNUMBER(W17),ISNUMBER(W11)),ROUND(W17-W11,3),"")</f>
        <v/>
      </c>
      <c r="X19" s="34" t="str">
        <f aca="false">IF(AND(ISNUMBER(X17),ISNUMBER(X11)),ROUND(X17-X11,3),"")</f>
        <v/>
      </c>
      <c r="Y19" s="34" t="n">
        <f aca="false">IF(AND(ISNUMBER(Y17),ISNUMBER(Y11)),ROUND(Y17-Y11,3),"")</f>
        <v>-0</v>
      </c>
      <c r="Z19" s="34" t="n">
        <f aca="false">IF(AND(ISNUMBER(Z17),ISNUMBER(Z11)),ROUND(Z17-Z11,3),"")</f>
        <v>-0</v>
      </c>
      <c r="AA19" s="34" t="n">
        <f aca="false">IF(AND(ISNUMBER(AA17),ISNUMBER(AA11)),ROUND(AA17-AA11,3),"")</f>
        <v>0</v>
      </c>
      <c r="AB19" s="34" t="n">
        <f aca="false">IF(AND(ISNUMBER(AB17),ISNUMBER(AB11)),ROUND(AB17-AB11,3),"")</f>
        <v>0</v>
      </c>
      <c r="AC19" s="34" t="n">
        <f aca="false">IF(AND(ISNUMBER(AC17),ISNUMBER(AC11)),ROUND(AC17-AC11,3),"")</f>
        <v>-0</v>
      </c>
      <c r="AD19" s="34" t="n">
        <f aca="false">IF(AND(ISNUMBER(AD17),ISNUMBER(AD11)),ROUND(AD17-AD11,3),"")</f>
        <v>-0</v>
      </c>
      <c r="AE19" s="34" t="n">
        <f aca="false">IF(AND(ISNUMBER(AE17),ISNUMBER(AE11)),ROUND(AE17-AE11,3),"")</f>
        <v>-0</v>
      </c>
      <c r="AF19" s="34" t="n">
        <f aca="false">IF(AND(ISNUMBER(AF17),ISNUMBER(AF11)),ROUND(AF17-AF11,3),"")</f>
        <v>0</v>
      </c>
      <c r="AG19" s="34" t="n">
        <f aca="false">IF(AND(ISNUMBER(AG17),ISNUMBER(AG11)),ROUND(AG17-AG11,3),"")</f>
        <v>-0</v>
      </c>
      <c r="AH19" s="34" t="n">
        <f aca="false">IF(AND(ISNUMBER(AH17),ISNUMBER(AH11)),ROUND(AH17-AH11,3),"")</f>
        <v>0</v>
      </c>
      <c r="AI19" s="34" t="n">
        <f aca="false">IF(AND(ISNUMBER(AI17),ISNUMBER(AI11)),ROUND(AI17-AI11,3),"")</f>
        <v>-0</v>
      </c>
      <c r="AJ19" s="34" t="n">
        <f aca="false">IF(AND(ISNUMBER(AJ17),ISNUMBER(AJ11)),ROUND(AJ17-AJ11,3),"")</f>
        <v>0</v>
      </c>
      <c r="AK19" s="34" t="n">
        <f aca="false">IF(AND(ISNUMBER(AK17),ISNUMBER(AK11)),ROUND(AK17-AK11,3),"")</f>
        <v>0</v>
      </c>
      <c r="AL19" s="34" t="n">
        <f aca="false">IF(AND(ISNUMBER(AL17),ISNUMBER(AL11)),ROUND(AL17-AL11,3),"")</f>
        <v>-0</v>
      </c>
      <c r="AM19" s="34" t="n">
        <f aca="false">IF(AND(ISNUMBER(AM17),ISNUMBER(AM11)),ROUND(AM17-AM11,3),"")</f>
        <v>-0</v>
      </c>
      <c r="AN19" s="34" t="n">
        <f aca="false">IF(AND(ISNUMBER(AN17),ISNUMBER(AN11)),ROUND(AN17-AN11,3),"")</f>
        <v>0</v>
      </c>
      <c r="AO19" s="34" t="n">
        <f aca="false">IF(AND(ISNUMBER(AO17),ISNUMBER(AO11)),ROUND(AO17-AO11,3),"")</f>
        <v>-0</v>
      </c>
      <c r="AP19" s="34" t="n">
        <f aca="false">IF(AND(ISNUMBER(AP17),ISNUMBER(AP11)),ROUND(AP17-AP11,3),"")</f>
        <v>0</v>
      </c>
      <c r="AQ19" s="34" t="n">
        <f aca="false">IF(AND(ISNUMBER(AQ17),ISNUMBER(AQ11)),ROUND(AQ17-AQ11,3),"")</f>
        <v>-0</v>
      </c>
      <c r="AR19" s="34" t="n">
        <f aca="false">IF(AND(ISNUMBER(AR17),ISNUMBER(AR11)),ROUND(AR17-AR11,3),"")</f>
        <v>0</v>
      </c>
      <c r="AS19" s="34" t="n">
        <f aca="false">IF(AND(ISNUMBER(AS17),ISNUMBER(AS11)),ROUND(AS17-AS11,3),"")</f>
        <v>0</v>
      </c>
      <c r="AT19" s="34" t="n">
        <f aca="false">IF(AND(ISNUMBER(AT17),ISNUMBER(AT11)),ROUND(AT17-AT11,3),"")</f>
        <v>0</v>
      </c>
      <c r="AU19" s="34" t="n">
        <f aca="false">IF(AND(ISNUMBER(AU17),ISNUMBER(AU11)),ROUND(AU17-AU11,3),"")</f>
        <v>-0</v>
      </c>
      <c r="AV19" s="34" t="n">
        <f aca="false">IF(AND(ISNUMBER(AV17),ISNUMBER(AV11)),ROUND(AV17-AV11,3),"")</f>
        <v>0</v>
      </c>
      <c r="AW19" s="34" t="n">
        <f aca="false">IF(AND(ISNUMBER(AW17),ISNUMBER(AW11)),ROUND(AW17-AW11,3),"")</f>
        <v>0</v>
      </c>
      <c r="AX19" s="34" t="n">
        <f aca="false">IF(AND(ISNUMBER(AX17),ISNUMBER(AX11)),ROUND(AX17-AX11,3),"")</f>
        <v>0</v>
      </c>
      <c r="AY19" s="34" t="n">
        <f aca="false">IF(AND(ISNUMBER(AY17),ISNUMBER(AY11)),ROUND(AY17-AY11,3),"")</f>
        <v>0</v>
      </c>
      <c r="AZ19" s="34" t="n">
        <f aca="false">IF(AND(ISNUMBER(AZ17),ISNUMBER(AZ11)),ROUND(AZ17-AZ11,3),"")</f>
        <v>-0</v>
      </c>
      <c r="BA19" s="34" t="n">
        <f aca="false">IF(AND(ISNUMBER(BA17),ISNUMBER(BA11)),ROUND(BA17-BA11,3),"")</f>
        <v>-0</v>
      </c>
      <c r="BB19" s="34" t="n">
        <f aca="false">IF(AND(ISNUMBER(BB17),ISNUMBER(BB11)),ROUND(BB17-BB11,3),"")</f>
        <v>-0</v>
      </c>
      <c r="BC19" s="34" t="n">
        <f aca="false">IF(AND(ISNUMBER(BC17),ISNUMBER(BC11)),ROUND(BC17-BC11,3),"")</f>
        <v>0</v>
      </c>
      <c r="BD19" s="34" t="n">
        <f aca="false">IF(AND(ISNUMBER(BD17),ISNUMBER(BD11)),ROUND(BD17-BD11,3),"")</f>
        <v>0</v>
      </c>
      <c r="BE19" s="34" t="n">
        <f aca="false">IF(AND(ISNUMBER(BE17),ISNUMBER(BE11)),ROUND(BE17-BE11,3),"")</f>
        <v>-0</v>
      </c>
      <c r="BF19" s="34" t="n">
        <f aca="false">IF(AND(ISNUMBER(BF17),ISNUMBER(BF11)),ROUND(BF17-BF11,3),"")</f>
        <v>0</v>
      </c>
      <c r="BG19" s="34" t="n">
        <f aca="false">IF(AND(ISNUMBER(BG17),ISNUMBER(BG11)),ROUND(BG17-BG11,3),"")</f>
        <v>0</v>
      </c>
      <c r="BH19" s="34" t="n">
        <f aca="false">IF(AND(ISNUMBER(BH17),ISNUMBER(BH11)),ROUND(BH17-BH11,3),"")</f>
        <v>-0</v>
      </c>
      <c r="BI19" s="34" t="n">
        <f aca="false">IF(AND(ISNUMBER(BI17),ISNUMBER(BI11)),ROUND(BI17-BI11,3),"")</f>
        <v>-0</v>
      </c>
      <c r="BJ19" s="34" t="n">
        <f aca="false">IF(AND(ISNUMBER(BJ17),ISNUMBER(BJ11)),ROUND(BJ17-BJ11,3),"")</f>
        <v>-0</v>
      </c>
      <c r="BK19" s="34" t="n">
        <f aca="false">IF(AND(ISNUMBER(BK17),ISNUMBER(BK11)),ROUND(BK17-BK11,3),"")</f>
        <v>-0</v>
      </c>
      <c r="BL19" s="34" t="n">
        <f aca="false">IF(AND(ISNUMBER(BL17),ISNUMBER(BL11)),ROUND(BL17-BL11,3),"")</f>
        <v>-0</v>
      </c>
      <c r="BM19" s="34" t="n">
        <f aca="false">IF(AND(ISNUMBER(BM17),ISNUMBER(BM11)),ROUND(BM17-BM11,3),"")</f>
        <v>0</v>
      </c>
      <c r="BN19" s="34" t="n">
        <f aca="false">IF(AND(ISNUMBER(BN17),ISNUMBER(BN11)),ROUND(BN17-BN11,3),"")</f>
        <v>0</v>
      </c>
      <c r="BO19" s="34" t="n">
        <f aca="false">IF(AND(ISNUMBER(BO17),ISNUMBER(BO11)),ROUND(BO17-BO11,3),"")</f>
        <v>0</v>
      </c>
      <c r="BP19" s="34" t="n">
        <f aca="false">IF(AND(ISNUMBER(BP17),ISNUMBER(BP11)),ROUND(BP17-BP11,3),"")</f>
        <v>-0</v>
      </c>
      <c r="BQ19" s="34" t="n">
        <f aca="false">IF(AND(ISNUMBER(BQ17),ISNUMBER(BQ11)),ROUND(BQ17-BQ11,3),"")</f>
        <v>0</v>
      </c>
      <c r="BR19" s="34" t="n">
        <f aca="false">IF(AND(ISNUMBER(BR17),ISNUMBER(BR11)),ROUND(BR17-BR11,3),"")</f>
        <v>0</v>
      </c>
      <c r="BS19" s="34" t="n">
        <f aca="false">IF(AND(ISNUMBER(BS17),ISNUMBER(BS11)),ROUND(BS17-BS11,3),"")</f>
        <v>0</v>
      </c>
      <c r="BT19" s="34" t="n">
        <f aca="false">IF(AND(ISNUMBER(BT17),ISNUMBER(BT11)),ROUND(BT17-BT11,3),"")</f>
        <v>0</v>
      </c>
      <c r="BU19" s="34" t="n">
        <f aca="false">IF(AND(ISNUMBER(BU17),ISNUMBER(BU11)),ROUND(BU17-BU11,3),"")</f>
        <v>0</v>
      </c>
      <c r="BV19" s="34" t="n">
        <f aca="false">IF(AND(ISNUMBER(BV17),ISNUMBER(BV11)),ROUND(BV17-BV11,3),"")</f>
        <v>-0</v>
      </c>
      <c r="BW19" s="34" t="n">
        <f aca="false">IF(AND(ISNUMBER(BW17),ISNUMBER(BW11)),ROUND(BW17-BW11,3),"")</f>
        <v>-0</v>
      </c>
      <c r="BX19" s="34" t="n">
        <f aca="false">IF(AND(ISNUMBER(BX17),ISNUMBER(BX11)),ROUND(BX17-BX11,3),"")</f>
        <v>-0</v>
      </c>
      <c r="CN19" s="26" t="s">
        <v>140</v>
      </c>
      <c r="CP19" s="31" t="n">
        <v>6</v>
      </c>
      <c r="CR19" s="14" t="s">
        <v>141</v>
      </c>
    </row>
    <row r="20" customFormat="false" ht="15" hidden="false" customHeight="false" outlineLevel="0" collapsed="false">
      <c r="B20" s="37" t="s">
        <v>142</v>
      </c>
      <c r="N20" s="38" t="n">
        <v>105.811</v>
      </c>
      <c r="O20" s="38" t="n">
        <v>28.217</v>
      </c>
      <c r="P20" s="38" t="n">
        <v>28.989</v>
      </c>
      <c r="Q20" s="38" t="n">
        <v>27.244</v>
      </c>
      <c r="R20" s="38" t="n">
        <v>26.074</v>
      </c>
      <c r="S20" s="38" t="n">
        <v>110.524</v>
      </c>
      <c r="T20" s="38" t="n">
        <v>23.023</v>
      </c>
      <c r="U20" s="38" t="n">
        <v>23.902</v>
      </c>
      <c r="V20" s="38" t="n">
        <v>25.571</v>
      </c>
      <c r="W20" s="38" t="n">
        <v>20.042</v>
      </c>
      <c r="X20" s="38" t="n">
        <v>92.538</v>
      </c>
      <c r="Y20" s="38" t="n">
        <v>23.831</v>
      </c>
      <c r="Z20" s="38" t="n">
        <v>23.456</v>
      </c>
      <c r="AA20" s="38" t="n">
        <v>22.386</v>
      </c>
      <c r="AB20" s="38" t="n">
        <v>23.939</v>
      </c>
      <c r="AC20" s="38" t="n">
        <v>93.612</v>
      </c>
      <c r="AD20" s="38" t="n">
        <v>22.46</v>
      </c>
      <c r="AE20" s="38" t="n">
        <v>27.374</v>
      </c>
      <c r="AF20" s="38" t="n">
        <v>25.546</v>
      </c>
      <c r="AG20" s="38" t="n">
        <v>22.002</v>
      </c>
      <c r="AH20" s="38" t="n">
        <v>97.382</v>
      </c>
      <c r="AI20" s="38" t="n">
        <v>26.586</v>
      </c>
      <c r="AJ20" s="38" t="n">
        <v>31.24</v>
      </c>
      <c r="AK20" s="38" t="n">
        <v>31.845</v>
      </c>
      <c r="AL20" s="38" t="n">
        <v>29.265</v>
      </c>
      <c r="AM20" s="38" t="n">
        <v>118.936</v>
      </c>
      <c r="AN20" s="38" t="n">
        <v>29.388</v>
      </c>
      <c r="AO20" s="38" t="n">
        <v>34.811</v>
      </c>
      <c r="AP20" s="38" t="n">
        <v>31.101</v>
      </c>
      <c r="AQ20" s="38" t="n">
        <v>28.042</v>
      </c>
      <c r="AR20" s="38" t="n">
        <v>123.342</v>
      </c>
      <c r="AS20" s="38" t="n">
        <v>24.783</v>
      </c>
      <c r="AT20" s="38" t="n">
        <v>27.493</v>
      </c>
      <c r="AU20" s="38" t="n">
        <v>29.368</v>
      </c>
      <c r="AV20" s="38" t="n">
        <v>27.734</v>
      </c>
      <c r="AW20" s="38" t="n">
        <v>109.378</v>
      </c>
      <c r="AX20" s="38" t="n">
        <v>32.748</v>
      </c>
      <c r="AY20" s="38" t="n">
        <v>39.765</v>
      </c>
      <c r="AZ20" s="38" t="n">
        <v>37.48</v>
      </c>
      <c r="BA20" s="38" t="n">
        <v>30.657</v>
      </c>
      <c r="BB20" s="38" t="n">
        <v>140.65</v>
      </c>
      <c r="BC20" s="38" t="n">
        <v>28.156</v>
      </c>
      <c r="BD20" s="38" t="n">
        <v>29.031</v>
      </c>
      <c r="BE20" s="38" t="n">
        <v>35.353</v>
      </c>
      <c r="BF20" s="38" t="n">
        <v>29.479</v>
      </c>
      <c r="BG20" s="38" t="n">
        <v>122.019</v>
      </c>
      <c r="BH20" s="38" t="n">
        <v>32.318</v>
      </c>
      <c r="BI20" s="38" t="n">
        <v>30.85</v>
      </c>
      <c r="BJ20" s="38" t="n">
        <v>28.875</v>
      </c>
      <c r="BK20" s="38" t="n">
        <v>35.493</v>
      </c>
      <c r="BL20" s="38" t="n">
        <v>127.536</v>
      </c>
      <c r="BM20" s="38" t="n">
        <v>29.978</v>
      </c>
      <c r="BN20" s="38" t="n">
        <v>37.8</v>
      </c>
      <c r="BO20" s="38" t="n">
        <v>30.845</v>
      </c>
      <c r="BP20" s="38" t="n">
        <v>37.134</v>
      </c>
      <c r="BQ20" s="38" t="n">
        <v>135.758</v>
      </c>
      <c r="BR20" s="38" t="n">
        <v>30.372</v>
      </c>
      <c r="BS20" s="38" t="n">
        <v>43.391</v>
      </c>
      <c r="BT20" s="38" t="n">
        <v>30.058</v>
      </c>
      <c r="BU20" s="38" t="n">
        <v>25.101</v>
      </c>
      <c r="BV20" s="38" t="n">
        <v>128.922</v>
      </c>
      <c r="BW20" s="38" t="n">
        <v>36.709</v>
      </c>
      <c r="BX20" s="38" t="n">
        <v>28.904</v>
      </c>
      <c r="CN20" s="26" t="s">
        <v>143</v>
      </c>
      <c r="CP20" s="31" t="n">
        <v>12</v>
      </c>
      <c r="CR20" s="14" t="s">
        <v>144</v>
      </c>
    </row>
    <row r="21" customFormat="false" ht="15" hidden="false" customHeight="false" outlineLevel="0" collapsed="false">
      <c r="B21" s="26" t="s">
        <v>145</v>
      </c>
      <c r="N21" s="38" t="n">
        <v>364.186</v>
      </c>
      <c r="O21" s="38" t="n">
        <v>66.07</v>
      </c>
      <c r="P21" s="38" t="n">
        <v>92.494</v>
      </c>
      <c r="Q21" s="38" t="n">
        <v>83.444</v>
      </c>
      <c r="R21" s="38" t="n">
        <v>89.6</v>
      </c>
      <c r="S21" s="38" t="n">
        <v>331.608</v>
      </c>
      <c r="T21" s="38" t="n">
        <v>75.415</v>
      </c>
      <c r="U21" s="38" t="n">
        <v>79.421</v>
      </c>
      <c r="V21" s="38" t="n">
        <v>-83.413</v>
      </c>
      <c r="W21" s="38" t="n">
        <v>72.027</v>
      </c>
      <c r="X21" s="38" t="n">
        <v>143.45</v>
      </c>
      <c r="Y21" s="38" t="n">
        <v>61.438</v>
      </c>
      <c r="Z21" s="38" t="n">
        <v>65.201</v>
      </c>
      <c r="AA21" s="38" t="n">
        <v>68.285</v>
      </c>
      <c r="AB21" s="38" t="n">
        <v>71.709</v>
      </c>
      <c r="AC21" s="38" t="n">
        <v>266.633</v>
      </c>
      <c r="AD21" s="38" t="n">
        <v>68.723</v>
      </c>
      <c r="AE21" s="38" t="n">
        <v>74.498</v>
      </c>
      <c r="AF21" s="38" t="n">
        <v>68.813</v>
      </c>
      <c r="AG21" s="38" t="n">
        <v>70.59</v>
      </c>
      <c r="AH21" s="38" t="n">
        <v>282.624</v>
      </c>
      <c r="AI21" s="38" t="n">
        <v>76.681</v>
      </c>
      <c r="AJ21" s="38" t="n">
        <v>88.158</v>
      </c>
      <c r="AK21" s="38" t="n">
        <v>85.021</v>
      </c>
      <c r="AL21" s="38" t="n">
        <v>84.198</v>
      </c>
      <c r="AM21" s="38" t="n">
        <v>334.058</v>
      </c>
      <c r="AN21" s="38" t="n">
        <v>80.416</v>
      </c>
      <c r="AO21" s="38" t="n">
        <v>83.072</v>
      </c>
      <c r="AP21" s="38" t="n">
        <v>74.11</v>
      </c>
      <c r="AQ21" s="38" t="n">
        <v>75.006</v>
      </c>
      <c r="AR21" s="38" t="n">
        <v>312.604</v>
      </c>
      <c r="AS21" s="38" t="n">
        <v>69.512</v>
      </c>
      <c r="AT21" s="38" t="n">
        <v>20.695</v>
      </c>
      <c r="AU21" s="38" t="n">
        <v>52.076</v>
      </c>
      <c r="AV21" s="38" t="n">
        <v>68.456</v>
      </c>
      <c r="AW21" s="38" t="n">
        <v>210.739</v>
      </c>
      <c r="AX21" s="38" t="n">
        <v>72.177</v>
      </c>
      <c r="AY21" s="38" t="n">
        <v>82.484</v>
      </c>
      <c r="AZ21" s="38" t="n">
        <v>10.983</v>
      </c>
      <c r="BA21" s="38" t="n">
        <v>40.258</v>
      </c>
      <c r="BB21" s="38" t="n">
        <v>205.902</v>
      </c>
      <c r="BC21" s="38" t="n">
        <v>115.303</v>
      </c>
      <c r="BD21" s="38" t="n">
        <v>117.606</v>
      </c>
      <c r="BE21" s="38" t="n">
        <v>119.157</v>
      </c>
      <c r="BF21" s="38" t="n">
        <v>113.813</v>
      </c>
      <c r="BG21" s="38" t="n">
        <v>465.879</v>
      </c>
      <c r="BH21" s="38" t="n">
        <v>129.668</v>
      </c>
      <c r="BI21" s="38" t="n">
        <v>136.913</v>
      </c>
      <c r="BJ21" s="38" t="n">
        <v>132.42</v>
      </c>
      <c r="BK21" s="38" t="n">
        <v>129.409</v>
      </c>
      <c r="BL21" s="38" t="n">
        <v>528.411</v>
      </c>
      <c r="BM21" s="38" t="n">
        <v>136.1</v>
      </c>
      <c r="BN21" s="38" t="n">
        <v>136.297</v>
      </c>
      <c r="BO21" s="38" t="n">
        <v>102.158</v>
      </c>
      <c r="BP21" s="38" t="n">
        <v>127.813</v>
      </c>
      <c r="BQ21" s="38" t="n">
        <v>502.367</v>
      </c>
      <c r="BR21" s="38" t="n">
        <v>122.063</v>
      </c>
      <c r="BS21" s="38" t="n">
        <v>137.01</v>
      </c>
      <c r="BT21" s="38" t="n">
        <v>127.24</v>
      </c>
      <c r="BU21" s="38" t="n">
        <v>137.816</v>
      </c>
      <c r="BV21" s="38" t="n">
        <v>524.129</v>
      </c>
      <c r="BW21" s="38" t="n">
        <v>126.895</v>
      </c>
      <c r="BX21" s="38" t="n">
        <v>157.083</v>
      </c>
      <c r="CN21" s="26" t="s">
        <v>146</v>
      </c>
      <c r="CO21" s="35" t="n">
        <v>200</v>
      </c>
      <c r="CP21" s="35" t="n">
        <v>150</v>
      </c>
      <c r="CQ21" s="35" t="n">
        <v>100</v>
      </c>
      <c r="CR21" s="14" t="s">
        <v>147</v>
      </c>
    </row>
    <row r="22" customFormat="false" ht="15" hidden="false" customHeight="false" outlineLevel="0" collapsed="false">
      <c r="B22" s="26" t="s">
        <v>148</v>
      </c>
      <c r="C22" s="39" t="str">
        <f aca="false">IF(AND(ISNUMBER(C23),ISNUMBER(C21)),C23-C21,"")</f>
        <v/>
      </c>
      <c r="D22" s="39" t="str">
        <f aca="false">IF(AND(ISNUMBER(D23),ISNUMBER(D21)),D23-D21,"")</f>
        <v/>
      </c>
      <c r="E22" s="39" t="str">
        <f aca="false">IF(AND(ISNUMBER(E23),ISNUMBER(E21)),E23-E21,"")</f>
        <v/>
      </c>
      <c r="F22" s="39" t="str">
        <f aca="false">IF(AND(ISNUMBER(F23),ISNUMBER(F21)),F23-F21,"")</f>
        <v/>
      </c>
      <c r="G22" s="39" t="str">
        <f aca="false">IF(AND(ISNUMBER(G23),ISNUMBER(G21)),G23-G21,"")</f>
        <v/>
      </c>
      <c r="H22" s="39" t="str">
        <f aca="false">IF(AND(ISNUMBER(H23),ISNUMBER(H21)),H23-H21,"")</f>
        <v/>
      </c>
      <c r="I22" s="39" t="str">
        <f aca="false">IF(AND(ISNUMBER(I23),ISNUMBER(I21)),I23-I21,"")</f>
        <v/>
      </c>
      <c r="J22" s="39" t="str">
        <f aca="false">IF(AND(ISNUMBER(J23),ISNUMBER(J21)),J23-J21,"")</f>
        <v/>
      </c>
      <c r="K22" s="39" t="str">
        <f aca="false">IF(AND(ISNUMBER(K23),ISNUMBER(K21)),K23-K21,"")</f>
        <v/>
      </c>
      <c r="L22" s="39" t="str">
        <f aca="false">IF(AND(ISNUMBER(L23),ISNUMBER(L21)),L23-L21,"")</f>
        <v/>
      </c>
      <c r="M22" s="39" t="str">
        <f aca="false">IF(AND(ISNUMBER(M23),ISNUMBER(M21)),M23-M21,"")</f>
        <v/>
      </c>
      <c r="N22" s="39" t="n">
        <f aca="false">IF(AND(ISNUMBER(N23),ISNUMBER(N21)),N23-N21,"")</f>
        <v>13.25</v>
      </c>
      <c r="O22" s="39" t="n">
        <f aca="false">IF(AND(ISNUMBER(O23),ISNUMBER(O21)),O23-O21,"")</f>
        <v>17.618</v>
      </c>
      <c r="P22" s="39" t="n">
        <f aca="false">IF(AND(ISNUMBER(P23),ISNUMBER(P21)),P23-P21,"")</f>
        <v>3.447</v>
      </c>
      <c r="Q22" s="39" t="n">
        <f aca="false">IF(AND(ISNUMBER(Q23),ISNUMBER(Q21)),Q23-Q21,"")</f>
        <v>0.581999999999994</v>
      </c>
      <c r="R22" s="39" t="n">
        <f aca="false">IF(AND(ISNUMBER(R23),ISNUMBER(R21)),R23-R21,"")</f>
        <v>0</v>
      </c>
      <c r="S22" s="39" t="n">
        <f aca="false">IF(AND(ISNUMBER(S23),ISNUMBER(S21)),S23-S21,"")</f>
        <v>21.647</v>
      </c>
      <c r="T22" s="39" t="n">
        <f aca="false">IF(AND(ISNUMBER(T23),ISNUMBER(T21)),T23-T21,"")</f>
        <v>0</v>
      </c>
      <c r="U22" s="39" t="n">
        <f aca="false">IF(AND(ISNUMBER(U23),ISNUMBER(U21)),U23-U21,"")</f>
        <v>0</v>
      </c>
      <c r="V22" s="39" t="n">
        <f aca="false">IF(AND(ISNUMBER(V23),ISNUMBER(V21)),V23-V21,"")</f>
        <v>166.178</v>
      </c>
      <c r="W22" s="39" t="n">
        <f aca="false">IF(AND(ISNUMBER(W23),ISNUMBER(W21)),W23-W21,"")</f>
        <v>7.06099999999999</v>
      </c>
      <c r="X22" s="39" t="n">
        <f aca="false">IF(AND(ISNUMBER(X23),ISNUMBER(X21)),X23-X21,"")</f>
        <v>173.239</v>
      </c>
      <c r="Y22" s="39" t="n">
        <f aca="false">IF(AND(ISNUMBER(Y23),ISNUMBER(Y21)),Y23-Y21,"")</f>
        <v>0</v>
      </c>
      <c r="Z22" s="39" t="n">
        <f aca="false">IF(AND(ISNUMBER(Z23),ISNUMBER(Z21)),Z23-Z21,"")</f>
        <v>0</v>
      </c>
      <c r="AA22" s="39" t="n">
        <f aca="false">IF(AND(ISNUMBER(AA23),ISNUMBER(AA21)),AA23-AA21,"")</f>
        <v>0</v>
      </c>
      <c r="AB22" s="39" t="n">
        <f aca="false">IF(AND(ISNUMBER(AB23),ISNUMBER(AB21)),AB23-AB21,"")</f>
        <v>0</v>
      </c>
      <c r="AC22" s="39" t="n">
        <f aca="false">IF(AND(ISNUMBER(AC23),ISNUMBER(AC21)),AC23-AC21,"")</f>
        <v>0</v>
      </c>
      <c r="AD22" s="39" t="n">
        <f aca="false">IF(AND(ISNUMBER(AD23),ISNUMBER(AD21)),AD23-AD21,"")</f>
        <v>0</v>
      </c>
      <c r="AE22" s="39" t="n">
        <f aca="false">IF(AND(ISNUMBER(AE23),ISNUMBER(AE21)),AE23-AE21,"")</f>
        <v>0</v>
      </c>
      <c r="AF22" s="39" t="n">
        <f aca="false">IF(AND(ISNUMBER(AF23),ISNUMBER(AF21)),AF23-AF21,"")</f>
        <v>5.283</v>
      </c>
      <c r="AG22" s="39" t="n">
        <f aca="false">IF(AND(ISNUMBER(AG23),ISNUMBER(AG21)),AG23-AG21,"")</f>
        <v>3.959</v>
      </c>
      <c r="AH22" s="39" t="n">
        <f aca="false">IF(AND(ISNUMBER(AH23),ISNUMBER(AH21)),AH23-AH21,"")</f>
        <v>9.24199999999996</v>
      </c>
      <c r="AI22" s="39" t="n">
        <f aca="false">IF(AND(ISNUMBER(AI23),ISNUMBER(AI21)),AI23-AI21,"")</f>
        <v>0.757999999999996</v>
      </c>
      <c r="AJ22" s="39" t="n">
        <f aca="false">IF(AND(ISNUMBER(AJ23),ISNUMBER(AJ21)),AJ23-AJ21,"")</f>
        <v>0</v>
      </c>
      <c r="AK22" s="39" t="n">
        <f aca="false">IF(AND(ISNUMBER(AK23),ISNUMBER(AK21)),AK23-AK21,"")</f>
        <v>4.232</v>
      </c>
      <c r="AL22" s="39" t="n">
        <f aca="false">IF(AND(ISNUMBER(AL23),ISNUMBER(AL21)),AL23-AL21,"")</f>
        <v>1.69600000000001</v>
      </c>
      <c r="AM22" s="39" t="n">
        <f aca="false">IF(AND(ISNUMBER(AM23),ISNUMBER(AM21)),AM23-AM21,"")</f>
        <v>6.68600000000004</v>
      </c>
      <c r="AN22" s="39" t="n">
        <f aca="false">IF(AND(ISNUMBER(AN23),ISNUMBER(AN21)),AN23-AN21,"")</f>
        <v>1.336</v>
      </c>
      <c r="AO22" s="39" t="n">
        <f aca="false">IF(AND(ISNUMBER(AO23),ISNUMBER(AO21)),AO23-AO21,"")</f>
        <v>1.779</v>
      </c>
      <c r="AP22" s="39" t="n">
        <f aca="false">IF(AND(ISNUMBER(AP23),ISNUMBER(AP21)),AP23-AP21,"")</f>
        <v>0</v>
      </c>
      <c r="AQ22" s="39" t="n">
        <f aca="false">IF(AND(ISNUMBER(AQ23),ISNUMBER(AQ21)),AQ23-AQ21,"")</f>
        <v>0</v>
      </c>
      <c r="AR22" s="39" t="n">
        <f aca="false">IF(AND(ISNUMBER(AR23),ISNUMBER(AR21)),AR23-AR21,"")</f>
        <v>3.11500000000001</v>
      </c>
      <c r="AS22" s="39" t="n">
        <f aca="false">IF(AND(ISNUMBER(AS23),ISNUMBER(AS21)),AS23-AS21,"")</f>
        <v>1.19</v>
      </c>
      <c r="AT22" s="39" t="n">
        <f aca="false">IF(AND(ISNUMBER(AT23),ISNUMBER(AT21)),AT23-AT21,"")</f>
        <v>26.007</v>
      </c>
      <c r="AU22" s="39" t="n">
        <f aca="false">IF(AND(ISNUMBER(AU23),ISNUMBER(AU21)),AU23-AU21,"")</f>
        <v>7.044</v>
      </c>
      <c r="AV22" s="39" t="n">
        <f aca="false">IF(AND(ISNUMBER(AV23),ISNUMBER(AV21)),AV23-AV21,"")</f>
        <v>0.747999999999991</v>
      </c>
      <c r="AW22" s="39" t="n">
        <f aca="false">IF(AND(ISNUMBER(AW23),ISNUMBER(AW21)),AW23-AW21,"")</f>
        <v>34.989</v>
      </c>
      <c r="AX22" s="39" t="n">
        <f aca="false">IF(AND(ISNUMBER(AX23),ISNUMBER(AX21)),AX23-AX21,"")</f>
        <v>4.44</v>
      </c>
      <c r="AY22" s="39" t="n">
        <f aca="false">IF(AND(ISNUMBER(AY23),ISNUMBER(AY21)),AY23-AY21,"")</f>
        <v>1.65000000000001</v>
      </c>
      <c r="AZ22" s="39" t="n">
        <f aca="false">IF(AND(ISNUMBER(AZ23),ISNUMBER(AZ21)),AZ23-AZ21,"")</f>
        <v>73.574</v>
      </c>
      <c r="BA22" s="39" t="n">
        <f aca="false">IF(AND(ISNUMBER(BA23),ISNUMBER(BA21)),BA23-BA21,"")</f>
        <v>43.45</v>
      </c>
      <c r="BB22" s="39" t="n">
        <f aca="false">IF(AND(ISNUMBER(BB23),ISNUMBER(BB21)),BB23-BB21,"")</f>
        <v>123.114</v>
      </c>
      <c r="BC22" s="39" t="n">
        <f aca="false">IF(AND(ISNUMBER(BC23),ISNUMBER(BC21)),BC23-BC21,"")</f>
        <v>-3.735</v>
      </c>
      <c r="BD22" s="39" t="n">
        <f aca="false">IF(AND(ISNUMBER(BD23),ISNUMBER(BD21)),BD23-BD21,"")</f>
        <v>0.460999999999999</v>
      </c>
      <c r="BE22" s="39" t="n">
        <f aca="false">IF(AND(ISNUMBER(BE23),ISNUMBER(BE21)),BE23-BE21,"")</f>
        <v>-0.352999999999994</v>
      </c>
      <c r="BF22" s="39" t="n">
        <f aca="false">IF(AND(ISNUMBER(BF23),ISNUMBER(BF21)),BF23-BF21,"")</f>
        <v>0.566999999999993</v>
      </c>
      <c r="BG22" s="39" t="n">
        <f aca="false">IF(AND(ISNUMBER(BG23),ISNUMBER(BG21)),BG23-BG21,"")</f>
        <v>-3.06</v>
      </c>
      <c r="BH22" s="39" t="n">
        <f aca="false">IF(AND(ISNUMBER(BH23),ISNUMBER(BH21)),BH23-BH21,"")</f>
        <v>2.785</v>
      </c>
      <c r="BI22" s="39" t="n">
        <f aca="false">IF(AND(ISNUMBER(BI23),ISNUMBER(BI21)),BI23-BI21,"")</f>
        <v>2.95699999999999</v>
      </c>
      <c r="BJ22" s="39" t="n">
        <f aca="false">IF(AND(ISNUMBER(BJ23),ISNUMBER(BJ21)),BJ23-BJ21,"")</f>
        <v>4.05600000000001</v>
      </c>
      <c r="BK22" s="39" t="n">
        <f aca="false">IF(AND(ISNUMBER(BK23),ISNUMBER(BK21)),BK23-BK21,"")</f>
        <v>0.0600000000000023</v>
      </c>
      <c r="BL22" s="39" t="n">
        <f aca="false">IF(AND(ISNUMBER(BL23),ISNUMBER(BL21)),BL23-BL21,"")</f>
        <v>9.85800000000006</v>
      </c>
      <c r="BM22" s="39" t="n">
        <f aca="false">IF(AND(ISNUMBER(BM23),ISNUMBER(BM21)),BM23-BM21,"")</f>
        <v>0</v>
      </c>
      <c r="BN22" s="39" t="n">
        <f aca="false">IF(AND(ISNUMBER(BN23),ISNUMBER(BN21)),BN23-BN21,"")</f>
        <v>0.354000000000013</v>
      </c>
      <c r="BO22" s="39" t="n">
        <f aca="false">IF(AND(ISNUMBER(BO23),ISNUMBER(BO21)),BO23-BO21,"")</f>
        <v>23.357</v>
      </c>
      <c r="BP22" s="39" t="n">
        <f aca="false">IF(AND(ISNUMBER(BP23),ISNUMBER(BP21)),BP23-BP21,"")</f>
        <v>4.11</v>
      </c>
      <c r="BQ22" s="39" t="n">
        <f aca="false">IF(AND(ISNUMBER(BQ23),ISNUMBER(BQ21)),BQ23-BQ21,"")</f>
        <v>27.821</v>
      </c>
      <c r="BR22" s="39" t="n">
        <f aca="false">IF(AND(ISNUMBER(BR23),ISNUMBER(BR21)),BR23-BR21,"")</f>
        <v>2.13499999999999</v>
      </c>
      <c r="BS22" s="39" t="n">
        <f aca="false">IF(AND(ISNUMBER(BS23),ISNUMBER(BS21)),BS23-BS21,"")</f>
        <v>0.905000000000001</v>
      </c>
      <c r="BT22" s="39" t="n">
        <f aca="false">IF(AND(ISNUMBER(BT23),ISNUMBER(BT21)),BT23-BT21,"")</f>
        <v>4.37500000000001</v>
      </c>
      <c r="BU22" s="39" t="n">
        <f aca="false">IF(AND(ISNUMBER(BU23),ISNUMBER(BU21)),BU23-BU21,"")</f>
        <v>3.29499999999999</v>
      </c>
      <c r="BV22" s="39" t="n">
        <f aca="false">IF(AND(ISNUMBER(BV23),ISNUMBER(BV21)),BV23-BV21,"")</f>
        <v>10.71</v>
      </c>
      <c r="BW22" s="39" t="n">
        <f aca="false">IF(AND(ISNUMBER(BW23),ISNUMBER(BW21)),BW23-BW21,"")</f>
        <v>0.573000000000008</v>
      </c>
      <c r="BX22" s="39" t="n">
        <f aca="false">IF(AND(ISNUMBER(BX23),ISNUMBER(BX21)),BX23-BX21,"")</f>
        <v>1.012</v>
      </c>
      <c r="CN22" s="26" t="s">
        <v>149</v>
      </c>
      <c r="CO22" s="27" t="n">
        <v>1</v>
      </c>
      <c r="CP22" s="27" t="n">
        <v>1</v>
      </c>
      <c r="CQ22" s="27" t="n">
        <v>1</v>
      </c>
      <c r="CR22" s="14" t="s">
        <v>150</v>
      </c>
    </row>
    <row r="23" customFormat="false" ht="15" hidden="false" customHeight="false" outlineLevel="0" collapsed="false">
      <c r="B23" s="15" t="s">
        <v>151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 t="n">
        <v>377.436</v>
      </c>
      <c r="O23" s="17" t="n">
        <v>83.688</v>
      </c>
      <c r="P23" s="17" t="n">
        <v>95.941</v>
      </c>
      <c r="Q23" s="17" t="n">
        <v>84.026</v>
      </c>
      <c r="R23" s="17" t="n">
        <v>89.6</v>
      </c>
      <c r="S23" s="17" t="n">
        <v>353.255</v>
      </c>
      <c r="T23" s="17" t="n">
        <v>75.415</v>
      </c>
      <c r="U23" s="17" t="n">
        <v>79.421</v>
      </c>
      <c r="V23" s="17" t="n">
        <v>82.765</v>
      </c>
      <c r="W23" s="17" t="n">
        <v>79.088</v>
      </c>
      <c r="X23" s="17" t="n">
        <v>316.689</v>
      </c>
      <c r="Y23" s="17" t="n">
        <v>61.438</v>
      </c>
      <c r="Z23" s="17" t="n">
        <v>65.201</v>
      </c>
      <c r="AA23" s="17" t="n">
        <v>68.285</v>
      </c>
      <c r="AB23" s="17" t="n">
        <v>71.709</v>
      </c>
      <c r="AC23" s="17" t="n">
        <v>266.633</v>
      </c>
      <c r="AD23" s="17" t="n">
        <v>68.723</v>
      </c>
      <c r="AE23" s="17" t="n">
        <v>74.498</v>
      </c>
      <c r="AF23" s="17" t="n">
        <v>74.096</v>
      </c>
      <c r="AG23" s="17" t="n">
        <v>74.549</v>
      </c>
      <c r="AH23" s="17" t="n">
        <v>291.866</v>
      </c>
      <c r="AI23" s="17" t="n">
        <v>77.439</v>
      </c>
      <c r="AJ23" s="17" t="n">
        <v>88.158</v>
      </c>
      <c r="AK23" s="17" t="n">
        <v>89.253</v>
      </c>
      <c r="AL23" s="17" t="n">
        <v>85.894</v>
      </c>
      <c r="AM23" s="17" t="n">
        <v>340.744</v>
      </c>
      <c r="AN23" s="17" t="n">
        <v>81.752</v>
      </c>
      <c r="AO23" s="17" t="n">
        <v>84.851</v>
      </c>
      <c r="AP23" s="17" t="n">
        <v>74.11</v>
      </c>
      <c r="AQ23" s="17" t="n">
        <v>75.006</v>
      </c>
      <c r="AR23" s="17" t="n">
        <v>315.719</v>
      </c>
      <c r="AS23" s="17" t="n">
        <v>70.702</v>
      </c>
      <c r="AT23" s="17" t="n">
        <v>46.702</v>
      </c>
      <c r="AU23" s="17" t="n">
        <v>59.12</v>
      </c>
      <c r="AV23" s="17" t="n">
        <v>69.204</v>
      </c>
      <c r="AW23" s="17" t="n">
        <v>245.728</v>
      </c>
      <c r="AX23" s="17" t="n">
        <v>76.617</v>
      </c>
      <c r="AY23" s="17" t="n">
        <v>84.134</v>
      </c>
      <c r="AZ23" s="17" t="n">
        <v>84.557</v>
      </c>
      <c r="BA23" s="17" t="n">
        <v>83.708</v>
      </c>
      <c r="BB23" s="17" t="n">
        <v>329.016</v>
      </c>
      <c r="BC23" s="17" t="n">
        <v>111.568</v>
      </c>
      <c r="BD23" s="17" t="n">
        <v>118.067</v>
      </c>
      <c r="BE23" s="17" t="n">
        <v>118.804</v>
      </c>
      <c r="BF23" s="17" t="n">
        <v>114.38</v>
      </c>
      <c r="BG23" s="17" t="n">
        <v>462.819</v>
      </c>
      <c r="BH23" s="17" t="n">
        <v>132.453</v>
      </c>
      <c r="BI23" s="17" t="n">
        <v>139.87</v>
      </c>
      <c r="BJ23" s="17" t="n">
        <v>136.476</v>
      </c>
      <c r="BK23" s="17" t="n">
        <v>129.469</v>
      </c>
      <c r="BL23" s="17" t="n">
        <v>538.269</v>
      </c>
      <c r="BM23" s="17" t="n">
        <v>136.1</v>
      </c>
      <c r="BN23" s="17" t="n">
        <v>136.651</v>
      </c>
      <c r="BO23" s="17" t="n">
        <v>125.515</v>
      </c>
      <c r="BP23" s="17" t="n">
        <v>131.923</v>
      </c>
      <c r="BQ23" s="17" t="n">
        <v>530.188</v>
      </c>
      <c r="BR23" s="17" t="n">
        <v>124.198</v>
      </c>
      <c r="BS23" s="17" t="n">
        <v>137.915</v>
      </c>
      <c r="BT23" s="17" t="n">
        <v>131.615</v>
      </c>
      <c r="BU23" s="17" t="n">
        <v>141.111</v>
      </c>
      <c r="BV23" s="17" t="n">
        <v>534.839</v>
      </c>
      <c r="BW23" s="17" t="n">
        <v>127.468</v>
      </c>
      <c r="BX23" s="17" t="n">
        <v>158.095</v>
      </c>
      <c r="BY23" s="18" t="n">
        <f aca="false">BY10*BY25</f>
        <v>156.252457586962</v>
      </c>
      <c r="BZ23" s="18" t="n">
        <f aca="false">BZ10*BZ25</f>
        <v>166.731206594689</v>
      </c>
      <c r="CA23" s="18" t="n">
        <f aca="false">SUM(BW23:BZ23)</f>
        <v>608.546664181651</v>
      </c>
      <c r="CB23" s="18" t="n">
        <f aca="false">CB10*CB25</f>
        <v>655.274414425394</v>
      </c>
      <c r="CC23" s="18" t="n">
        <f aca="false">CC10*CC25</f>
        <v>701.431304885407</v>
      </c>
      <c r="CD23" s="18" t="n">
        <f aca="false">CD10*CD25</f>
        <v>743.584628496309</v>
      </c>
      <c r="CE23" s="18" t="n">
        <f aca="false">CE10*CE25</f>
        <v>780.763859921125</v>
      </c>
      <c r="CF23" s="19" t="s">
        <v>152</v>
      </c>
      <c r="CH23" s="20" t="n">
        <f aca="false">IFERROR((CE23/BV23)^(1/5)-1,"n/m")</f>
        <v>0.0785972951840122</v>
      </c>
      <c r="CI23" s="20" t="n">
        <f aca="false">IFERROR((BV23/AW23)^(1/5)-1,"n/m")</f>
        <v>0.168298137771873</v>
      </c>
      <c r="CJ23" s="20" t="n">
        <f aca="false">IFERROR((BV23/X23)^(1/10)-1,"n/m")</f>
        <v>0.0538019768611862</v>
      </c>
      <c r="CK23" s="20" t="str">
        <f aca="false">IFERROR((BV23/C23)^(1/19)-1,"n/m")</f>
        <v>n/m</v>
      </c>
    </row>
    <row r="24" customFormat="false" ht="15" hidden="false" customHeight="false" outlineLevel="0" collapsed="false">
      <c r="B24" s="25" t="s">
        <v>153</v>
      </c>
      <c r="BY24" s="23" t="n">
        <f aca="false">BT25+($BX$25-$BS$25)</f>
        <v>0.196447186564316</v>
      </c>
      <c r="BZ24" s="23" t="n">
        <f aca="false">BU25+($BX$25-$BS$25)</f>
        <v>0.213124327897147</v>
      </c>
      <c r="CF24" s="19" t="s">
        <v>154</v>
      </c>
      <c r="CN24" s="26" t="s">
        <v>155</v>
      </c>
      <c r="CO24" s="40" t="n">
        <v>1.25</v>
      </c>
      <c r="CP24" s="40" t="n">
        <v>1</v>
      </c>
      <c r="CQ24" s="40" t="n">
        <v>0.75</v>
      </c>
      <c r="CR24" s="14" t="s">
        <v>156</v>
      </c>
    </row>
    <row r="25" customFormat="false" ht="15" hidden="false" customHeight="false" outlineLevel="0" collapsed="false">
      <c r="B25" s="21" t="s">
        <v>157</v>
      </c>
      <c r="C25" s="22" t="str">
        <f aca="false">IF(AND(ISNUMBER(C23),ISNUMBER(C10)),IFERROR(C23/C10,""),"")</f>
        <v/>
      </c>
      <c r="D25" s="22" t="str">
        <f aca="false">IF(AND(ISNUMBER(D23),ISNUMBER(D10)),IFERROR(D23/D10,""),"")</f>
        <v/>
      </c>
      <c r="E25" s="22" t="str">
        <f aca="false">IF(AND(ISNUMBER(E23),ISNUMBER(E10)),IFERROR(E23/E10,""),"")</f>
        <v/>
      </c>
      <c r="F25" s="22" t="str">
        <f aca="false">IF(AND(ISNUMBER(F23),ISNUMBER(F10)),IFERROR(F23/F10,""),"")</f>
        <v/>
      </c>
      <c r="G25" s="22" t="str">
        <f aca="false">IF(AND(ISNUMBER(G23),ISNUMBER(G10)),IFERROR(G23/G10,""),"")</f>
        <v/>
      </c>
      <c r="H25" s="22" t="str">
        <f aca="false">IF(AND(ISNUMBER(H23),ISNUMBER(H10)),IFERROR(H23/H10,""),"")</f>
        <v/>
      </c>
      <c r="I25" s="22" t="str">
        <f aca="false">IF(AND(ISNUMBER(I23),ISNUMBER(I10)),IFERROR(I23/I10,""),"")</f>
        <v/>
      </c>
      <c r="J25" s="22" t="str">
        <f aca="false">IF(AND(ISNUMBER(J23),ISNUMBER(J10)),IFERROR(J23/J10,""),"")</f>
        <v/>
      </c>
      <c r="K25" s="22" t="str">
        <f aca="false">IF(AND(ISNUMBER(K23),ISNUMBER(K10)),IFERROR(K23/K10,""),"")</f>
        <v/>
      </c>
      <c r="L25" s="22" t="str">
        <f aca="false">IF(AND(ISNUMBER(L23),ISNUMBER(L10)),IFERROR(L23/L10,""),"")</f>
        <v/>
      </c>
      <c r="M25" s="22" t="str">
        <f aca="false">IF(AND(ISNUMBER(M23),ISNUMBER(M10)),IFERROR(M23/M10,""),"")</f>
        <v/>
      </c>
      <c r="N25" s="22" t="n">
        <f aca="false">IF(AND(ISNUMBER(N23),ISNUMBER(N10)),IFERROR(N23/N10,""),"")</f>
        <v>0.204167011510481</v>
      </c>
      <c r="O25" s="22" t="n">
        <f aca="false">IF(AND(ISNUMBER(O23),ISNUMBER(O10)),IFERROR(O23/O10,""),"")</f>
        <v>0.189404072431985</v>
      </c>
      <c r="P25" s="22" t="n">
        <f aca="false">IF(AND(ISNUMBER(P23),ISNUMBER(P10)),IFERROR(P23/P10,""),"")</f>
        <v>0.206092489323859</v>
      </c>
      <c r="Q25" s="22" t="n">
        <f aca="false">IF(AND(ISNUMBER(Q23),ISNUMBER(Q10)),IFERROR(Q23/Q10,""),"")</f>
        <v>0.179011056903641</v>
      </c>
      <c r="R25" s="22" t="n">
        <f aca="false">IF(AND(ISNUMBER(R23),ISNUMBER(R10)),IFERROR(R23/R10,""),"")</f>
        <v>0.194399303981063</v>
      </c>
      <c r="S25" s="22" t="n">
        <f aca="false">IF(AND(ISNUMBER(S23),ISNUMBER(S10)),IFERROR(S23/S10,""),"")</f>
        <v>0.192229834518711</v>
      </c>
      <c r="T25" s="22" t="n">
        <f aca="false">IF(AND(ISNUMBER(T23),ISNUMBER(T10)),IFERROR(T23/T10,""),"")</f>
        <v>0.168023135347576</v>
      </c>
      <c r="U25" s="22" t="n">
        <f aca="false">IF(AND(ISNUMBER(U23),ISNUMBER(U10)),IFERROR(U23/U10,""),"")</f>
        <v>0.176099387806236</v>
      </c>
      <c r="V25" s="22" t="n">
        <f aca="false">IF(AND(ISNUMBER(V23),ISNUMBER(V10)),IFERROR(V23/V10,""),"")</f>
        <v>0.182232722404728</v>
      </c>
      <c r="W25" s="22" t="n">
        <f aca="false">IF(AND(ISNUMBER(W23),ISNUMBER(W10)),IFERROR(W23/W10,""),"")</f>
        <v>0.204182372076212</v>
      </c>
      <c r="X25" s="22" t="n">
        <f aca="false">IF(AND(ISNUMBER(X23),ISNUMBER(X10)),IFERROR(X23/X10,""),"")</f>
        <v>0.181864070979413</v>
      </c>
      <c r="Y25" s="22" t="n">
        <f aca="false">IF(AND(ISNUMBER(Y23),ISNUMBER(Y10)),IFERROR(Y23/Y10,""),"")</f>
        <v>0.171132676709154</v>
      </c>
      <c r="Z25" s="22" t="n">
        <f aca="false">IF(AND(ISNUMBER(Z23),ISNUMBER(Z10)),IFERROR(Z23/Z10,""),"")</f>
        <v>0.16788285458272</v>
      </c>
      <c r="AA25" s="22" t="n">
        <f aca="false">IF(AND(ISNUMBER(AA23),ISNUMBER(AA10)),IFERROR(AA23/AA10,""),"")</f>
        <v>0.180877834286925</v>
      </c>
      <c r="AB25" s="22" t="n">
        <f aca="false">IF(AND(ISNUMBER(AB23),ISNUMBER(AB10)),IFERROR(AB23/AB10,""),"")</f>
        <v>0.193765165557903</v>
      </c>
      <c r="AC25" s="22" t="n">
        <f aca="false">IF(AND(ISNUMBER(AC23),ISNUMBER(AC10)),IFERROR(AC23/AC10,""),"")</f>
        <v>0.178351980157621</v>
      </c>
      <c r="AD25" s="22" t="n">
        <f aca="false">IF(AND(ISNUMBER(AD23),ISNUMBER(AD10)),IFERROR(AD23/AD10,""),"")</f>
        <v>0.179281756425374</v>
      </c>
      <c r="AE25" s="22" t="n">
        <f aca="false">IF(AND(ISNUMBER(AE23),ISNUMBER(AE10)),IFERROR(AE23/AE10,""),"")</f>
        <v>0.183878937768267</v>
      </c>
      <c r="AF25" s="22" t="n">
        <f aca="false">IF(AND(ISNUMBER(AF23),ISNUMBER(AF10)),IFERROR(AF23/AF10,""),"")</f>
        <v>0.18603576799761</v>
      </c>
      <c r="AG25" s="22" t="n">
        <f aca="false">IF(AND(ISNUMBER(AG23),ISNUMBER(AG10)),IFERROR(AG23/AG10,""),"")</f>
        <v>0.176230854878859</v>
      </c>
      <c r="AH25" s="22" t="n">
        <f aca="false">IF(AND(ISNUMBER(AH23),ISNUMBER(AH10)),IFERROR(AH23/AH10,""),"")</f>
        <v>0.181308117449662</v>
      </c>
      <c r="AI25" s="22" t="n">
        <f aca="false">IF(AND(ISNUMBER(AI23),ISNUMBER(AI10)),IFERROR(AI23/AI10,""),"")</f>
        <v>0.178114045982722</v>
      </c>
      <c r="AJ25" s="22" t="n">
        <f aca="false">IF(AND(ISNUMBER(AJ23),ISNUMBER(AJ10)),IFERROR(AJ23/AJ10,""),"")</f>
        <v>0.190605710085078</v>
      </c>
      <c r="AK25" s="22" t="n">
        <f aca="false">IF(AND(ISNUMBER(AK23),ISNUMBER(AK10)),IFERROR(AK23/AK10,""),"")</f>
        <v>0.196588180877073</v>
      </c>
      <c r="AL25" s="22" t="n">
        <f aca="false">IF(AND(ISNUMBER(AL23),ISNUMBER(AL10)),IFERROR(AL23/AL10,""),"")</f>
        <v>0.188688032301078</v>
      </c>
      <c r="AM25" s="22" t="n">
        <f aca="false">IF(AND(ISNUMBER(AM23),ISNUMBER(AM10)),IFERROR(AM23/AM10,""),"")</f>
        <v>0.188619628743536</v>
      </c>
      <c r="AN25" s="22" t="n">
        <f aca="false">IF(AND(ISNUMBER(AN23),ISNUMBER(AN10)),IFERROR(AN23/AN10,""),"")</f>
        <v>0.178607398862621</v>
      </c>
      <c r="AO25" s="22" t="n">
        <f aca="false">IF(AND(ISNUMBER(AO23),ISNUMBER(AO10)),IFERROR(AO23/AO10,""),"")</f>
        <v>0.178031375955452</v>
      </c>
      <c r="AP25" s="22" t="n">
        <f aca="false">IF(AND(ISNUMBER(AP23),ISNUMBER(AP10)),IFERROR(AP23/AP10,""),"")</f>
        <v>0.167094680973392</v>
      </c>
      <c r="AQ25" s="22" t="n">
        <f aca="false">IF(AND(ISNUMBER(AQ23),ISNUMBER(AQ10)),IFERROR(AQ23/AQ10,""),"")</f>
        <v>0.171286072815878</v>
      </c>
      <c r="AR25" s="22" t="n">
        <f aca="false">IF(AND(ISNUMBER(AR23),ISNUMBER(AR10)),IFERROR(AR23/AR10,""),"")</f>
        <v>0.173878394885628</v>
      </c>
      <c r="AS25" s="22" t="n">
        <f aca="false">IF(AND(ISNUMBER(AS23),ISNUMBER(AS10)),IFERROR(AS23/AS10,""),"")</f>
        <v>0.168927329852939</v>
      </c>
      <c r="AT25" s="22" t="n">
        <f aca="false">IF(AND(ISNUMBER(AT23),ISNUMBER(AT10)),IFERROR(AT23/AT10,""),"")</f>
        <v>0.140149866908342</v>
      </c>
      <c r="AU25" s="22" t="n">
        <f aca="false">IF(AND(ISNUMBER(AU23),ISNUMBER(AU10)),IFERROR(AU23/AU10,""),"")</f>
        <v>0.159123635727455</v>
      </c>
      <c r="AV25" s="22" t="n">
        <f aca="false">IF(AND(ISNUMBER(AV23),ISNUMBER(AV10)),IFERROR(AV23/AV10,""),"")</f>
        <v>0.179020154124339</v>
      </c>
      <c r="AW25" s="22" t="n">
        <f aca="false">IF(AND(ISNUMBER(AW23),ISNUMBER(AW10)),IFERROR(AW23/AW10,""),"")</f>
        <v>0.162747786233252</v>
      </c>
      <c r="AX25" s="22" t="n">
        <f aca="false">IF(AND(ISNUMBER(AX23),ISNUMBER(AX10)),IFERROR(AX23/AX10,""),"")</f>
        <v>0.180172701661642</v>
      </c>
      <c r="AY25" s="22" t="n">
        <f aca="false">IF(AND(ISNUMBER(AY23),ISNUMBER(AY10)),IFERROR(AY23/AY10,""),"")</f>
        <v>0.183912317364275</v>
      </c>
      <c r="AZ25" s="22" t="n">
        <f aca="false">IF(AND(ISNUMBER(AZ23),ISNUMBER(AZ10)),IFERROR(AZ23/AZ10,""),"")</f>
        <v>0.183218925782435</v>
      </c>
      <c r="BA25" s="22" t="n">
        <f aca="false">IF(AND(ISNUMBER(BA23),ISNUMBER(BA10)),IFERROR(BA23/BA10,""),"")</f>
        <v>0.17429616689189</v>
      </c>
      <c r="BB25" s="22" t="n">
        <f aca="false">IF(AND(ISNUMBER(BB23),ISNUMBER(BB10)),IFERROR(BB23/BB10,""),"")</f>
        <v>0.180334023757989</v>
      </c>
      <c r="BC25" s="22" t="n">
        <f aca="false">IF(AND(ISNUMBER(BC23),ISNUMBER(BC10)),IFERROR(BC23/BC10,""),"")</f>
        <v>0.208907322279541</v>
      </c>
      <c r="BD25" s="22" t="n">
        <f aca="false">IF(AND(ISNUMBER(BD23),ISNUMBER(BD10)),IFERROR(BD23/BD10,""),"")</f>
        <v>0.198212400047678</v>
      </c>
      <c r="BE25" s="22" t="n">
        <f aca="false">IF(AND(ISNUMBER(BE23),ISNUMBER(BE10)),IFERROR(BE23/BE10,""),"")</f>
        <v>0.202865983183864</v>
      </c>
      <c r="BF25" s="22" t="n">
        <f aca="false">IF(AND(ISNUMBER(BF23),ISNUMBER(BF10)),IFERROR(BF23/BF10,""),"")</f>
        <v>0.199410033612742</v>
      </c>
      <c r="BG25" s="22" t="n">
        <f aca="false">IF(AND(ISNUMBER(BG23),ISNUMBER(BG10)),IFERROR(BG23/BG10,""),"")</f>
        <v>0.202198490651107</v>
      </c>
      <c r="BH25" s="22" t="n">
        <f aca="false">IF(AND(ISNUMBER(BH23),ISNUMBER(BH10)),IFERROR(BH23/BH10,""),"")</f>
        <v>0.201099226442165</v>
      </c>
      <c r="BI25" s="22" t="n">
        <f aca="false">IF(AND(ISNUMBER(BI23),ISNUMBER(BI10)),IFERROR(BI23/BI10,""),"")</f>
        <v>0.206613035218903</v>
      </c>
      <c r="BJ25" s="22" t="n">
        <f aca="false">IF(AND(ISNUMBER(BJ23),ISNUMBER(BJ10)),IFERROR(BJ23/BJ10,""),"")</f>
        <v>0.205156728219498</v>
      </c>
      <c r="BK25" s="22" t="n">
        <f aca="false">IF(AND(ISNUMBER(BK23),ISNUMBER(BK10)),IFERROR(BK23/BK10,""),"")</f>
        <v>0.197751055052107</v>
      </c>
      <c r="BL25" s="22" t="n">
        <f aca="false">IF(AND(ISNUMBER(BL23),ISNUMBER(BL10)),IFERROR(BL23/BL10,""),"")</f>
        <v>0.202696168697511</v>
      </c>
      <c r="BM25" s="22" t="n">
        <f aca="false">IF(AND(ISNUMBER(BM23),ISNUMBER(BM10)),IFERROR(BM23/BM10,""),"")</f>
        <v>0.218074376020471</v>
      </c>
      <c r="BN25" s="22" t="n">
        <f aca="false">IF(AND(ISNUMBER(BN23),ISNUMBER(BN10)),IFERROR(BN23/BN10,""),"")</f>
        <v>0.210577006052985</v>
      </c>
      <c r="BO25" s="22" t="n">
        <f aca="false">IF(AND(ISNUMBER(BO23),ISNUMBER(BO10)),IFERROR(BO23/BO10,""),"")</f>
        <v>0.197032774172483</v>
      </c>
      <c r="BP25" s="22" t="n">
        <f aca="false">IF(AND(ISNUMBER(BP23),ISNUMBER(BP10)),IFERROR(BP23/BP10,""),"")</f>
        <v>0.201474985720526</v>
      </c>
      <c r="BQ25" s="22" t="n">
        <f aca="false">IF(AND(ISNUMBER(BQ23),ISNUMBER(BQ10)),IFERROR(BQ23/BQ10,""),"")</f>
        <v>0.206713304926181</v>
      </c>
      <c r="BR25" s="22" t="n">
        <f aca="false">IF(AND(ISNUMBER(BR23),ISNUMBER(BR10)),IFERROR(BR23/BR10,""),"")</f>
        <v>0.190164858131975</v>
      </c>
      <c r="BS25" s="22" t="n">
        <f aca="false">IF(AND(ISNUMBER(BS23),ISNUMBER(BS10)),IFERROR(BS23/BS10,""),"")</f>
        <v>0.197946119730742</v>
      </c>
      <c r="BT25" s="22" t="n">
        <f aca="false">IF(AND(ISNUMBER(BT23),ISNUMBER(BT10)),IFERROR(BT23/BT10,""),"")</f>
        <v>0.190251722333527</v>
      </c>
      <c r="BU25" s="22" t="n">
        <f aca="false">IF(AND(ISNUMBER(BU23),ISNUMBER(BU10)),IFERROR(BU23/BU10,""),"")</f>
        <v>0.206928863666359</v>
      </c>
      <c r="BV25" s="22" t="n">
        <f aca="false">IF(AND(ISNUMBER(BV23),ISNUMBER(BV10)),IFERROR(BV23/BV10,""),"")</f>
        <v>0.1963748930169</v>
      </c>
      <c r="BW25" s="22" t="n">
        <f aca="false">IF(AND(ISNUMBER(BW23),ISNUMBER(BW10)),IFERROR(BW23/BW10,""),"")</f>
        <v>0.180492052816029</v>
      </c>
      <c r="BX25" s="22" t="n">
        <f aca="false">IF(AND(ISNUMBER(BX23),ISNUMBER(BX10)),IFERROR(BX23/BX10,""),"")</f>
        <v>0.204141583961531</v>
      </c>
      <c r="BY25" s="23" t="n">
        <f aca="false">BY24+BY123</f>
        <v>0.202152508234854</v>
      </c>
      <c r="BZ25" s="23" t="n">
        <f aca="false">BZ24+BZ123</f>
        <v>0.218829649567686</v>
      </c>
      <c r="CA25" s="23" t="n">
        <f aca="false">IFERROR(CA23/CA10,"")</f>
        <v>0.201804293309133</v>
      </c>
      <c r="CB25" s="23" t="n">
        <f aca="false">CHOOSE(MATCH($CF$2,{"Bull","Base","Bear"},0),$CO$37,$CP$37,$CQ$37)</f>
        <v>0.205</v>
      </c>
      <c r="CC25" s="23" t="n">
        <f aca="false">CHOOSE(MATCH($CF$2,{"Bull","Base","Bear"},0),$CO$38,$CP$38,$CQ$38)</f>
        <v>0.208</v>
      </c>
      <c r="CD25" s="23" t="n">
        <f aca="false">CHOOSE(MATCH($CF$2,{"Bull","Base","Bear"},0),$CO$39,$CP$39,$CQ$39)</f>
        <v>0.21</v>
      </c>
      <c r="CE25" s="23" t="n">
        <f aca="false">CHOOSE(MATCH($CF$2,{"Bull","Base","Bear"},0),$CO$40,$CP$40,$CQ$40)</f>
        <v>0.21</v>
      </c>
      <c r="CF25" s="19" t="s">
        <v>158</v>
      </c>
      <c r="CH25" s="41" t="n">
        <f aca="false">IFERROR(AVERAGE(CA25,CB25,CC25,CD25,CE25),"n/m")</f>
        <v>0.206960858661827</v>
      </c>
      <c r="CI25" s="41" t="n">
        <f aca="false">IFERROR(AVERAGE(BB25,BG25,BL25,BQ25,BV25),"n/m")</f>
        <v>0.197663376209937</v>
      </c>
      <c r="CJ25" s="41" t="n">
        <f aca="false">IFERROR(AVERAGE(AC25,AH25,AM25,AR25,AW25,BB25,BG25,BL25,BQ25,BV25),"n/m")</f>
        <v>0.187322278851939</v>
      </c>
      <c r="CK25" s="41" t="n">
        <f aca="false">IFERROR(AVERAGE(C25,D25,E25,F25,G25,H25,I25,N25,S25,X25,AC25,AH25,AM25,AR25,AW25,BB25,BG25,BL25,BQ25,BV25),"n/m")</f>
        <v>0.188575669655999</v>
      </c>
    </row>
    <row r="26" customFormat="false" ht="15" hidden="false" customHeight="false" outlineLevel="0" collapsed="false">
      <c r="B26" s="21" t="s">
        <v>159</v>
      </c>
      <c r="D26" s="22" t="str">
        <f aca="false">IF(AND(ISNUMBER(D23),ISNUMBER(C23)),IFERROR((D23-C23)/(D10-C10),""),"")</f>
        <v/>
      </c>
      <c r="E26" s="22" t="str">
        <f aca="false">IF(AND(ISNUMBER(E23),ISNUMBER(D23)),IFERROR((E23-D23)/(E10-D10),""),"")</f>
        <v/>
      </c>
      <c r="F26" s="22" t="str">
        <f aca="false">IF(AND(ISNUMBER(F23),ISNUMBER(E23)),IFERROR((F23-E23)/(F10-E10),""),"")</f>
        <v/>
      </c>
      <c r="G26" s="22" t="str">
        <f aca="false">IF(AND(ISNUMBER(G23),ISNUMBER(F23)),IFERROR((G23-F23)/(G10-F10),""),"")</f>
        <v/>
      </c>
      <c r="H26" s="22" t="str">
        <f aca="false">IF(AND(ISNUMBER(H23),ISNUMBER(G23)),IFERROR((H23-G23)/(H10-G10),""),"")</f>
        <v/>
      </c>
      <c r="I26" s="22" t="str">
        <f aca="false">IF(AND(ISNUMBER(I23),ISNUMBER(H23)),IFERROR((I23-H23)/(I10-H10),""),"")</f>
        <v/>
      </c>
      <c r="N26" s="22" t="str">
        <f aca="false">IF(AND(ISNUMBER(N23),ISNUMBER(I23)),IFERROR((N23-I23)/(N10-I10),""),"")</f>
        <v/>
      </c>
      <c r="O26" s="22" t="str">
        <f aca="false">IF(AND(ISNUMBER(O23),ISNUMBER(J23)),IFERROR((O23-J23)/(O10-J10),""),"")</f>
        <v/>
      </c>
      <c r="P26" s="22" t="str">
        <f aca="false">IF(AND(ISNUMBER(P23),ISNUMBER(K23)),IFERROR((P23-K23)/(P10-K10),""),"")</f>
        <v/>
      </c>
      <c r="Q26" s="22" t="str">
        <f aca="false">IF(AND(ISNUMBER(Q23),ISNUMBER(L23)),IFERROR((Q23-L23)/(Q10-L10),""),"")</f>
        <v/>
      </c>
      <c r="R26" s="22" t="str">
        <f aca="false">IF(AND(ISNUMBER(R23),ISNUMBER(M23)),IFERROR((R23-M23)/(R10-M10),""),"")</f>
        <v/>
      </c>
      <c r="S26" s="22" t="n">
        <f aca="false">IF(AND(ISNUMBER(S23),ISNUMBER(N23)),IFERROR((S23-N23)/(S10-N10),""),"")</f>
        <v>2.19967251887566</v>
      </c>
      <c r="T26" s="22" t="n">
        <f aca="false">IF(AND(ISNUMBER(T23),ISNUMBER(O23)),IFERROR((T23-O23)/(T10-O10),""),"")</f>
        <v>-1.1838866628506</v>
      </c>
      <c r="U26" s="22" t="n">
        <f aca="false">IF(AND(ISNUMBER(U23),ISNUMBER(P23)),IFERROR((U23-P23)/(U10-P10),""),"")</f>
        <v>1.13750602492598</v>
      </c>
      <c r="V26" s="22" t="n">
        <f aca="false">IF(AND(ISNUMBER(V23),ISNUMBER(Q23)),IFERROR((V23-Q23)/(V10-Q10),""),"")</f>
        <v>0.0828623997897226</v>
      </c>
      <c r="W26" s="22" t="n">
        <f aca="false">IF(AND(ISNUMBER(W23),ISNUMBER(R23)),IFERROR((W23-R23)/(W10-R10),""),"")</f>
        <v>0.142890154552993</v>
      </c>
      <c r="X26" s="22" t="n">
        <f aca="false">IF(AND(ISNUMBER(X23),ISNUMBER(S23)),IFERROR((X23-S23)/(X10-S10),""),"")</f>
        <v>0.379630398671095</v>
      </c>
      <c r="Y26" s="22" t="n">
        <f aca="false">IF(AND(ISNUMBER(Y23),ISNUMBER(T23)),IFERROR((Y23-T23)/(Y10-T10),""),"")</f>
        <v>0.15559563170023</v>
      </c>
      <c r="Z26" s="22" t="n">
        <f aca="false">IF(AND(ISNUMBER(Z23),ISNUMBER(U23)),IFERROR((Z23-U23)/(Z10-U10),""),"")</f>
        <v>0.227051365980616</v>
      </c>
      <c r="AA26" s="22" t="n">
        <f aca="false">IF(AND(ISNUMBER(AA23),ISNUMBER(V23)),IFERROR((AA23-V23)/(AA10-V10),""),"")</f>
        <v>0.188905703699838</v>
      </c>
      <c r="AB26" s="22" t="n">
        <f aca="false">IF(AND(ISNUMBER(AB23),ISNUMBER(W23)),IFERROR((AB23-W23)/(AB10-W10),""),"")</f>
        <v>0.427569822690926</v>
      </c>
      <c r="AC26" s="22" t="n">
        <f aca="false">IF(AND(ISNUMBER(AC23),ISNUMBER(X23)),IFERROR((AC23-X23)/(AC10-X10),""),"")</f>
        <v>0.203175737108716</v>
      </c>
      <c r="AD26" s="22" t="n">
        <f aca="false">IF(AND(ISNUMBER(AD23),ISNUMBER(Y23)),IFERROR((AD23-Y23)/(AD10-Y10),""),"")</f>
        <v>0.299596973186379</v>
      </c>
      <c r="AE26" s="22" t="n">
        <f aca="false">IF(AND(ISNUMBER(AE23),ISNUMBER(Z23)),IFERROR((AE23-Z23)/(AE10-Z10),""),"")</f>
        <v>0.554217585692997</v>
      </c>
      <c r="AF26" s="22" t="n">
        <f aca="false">IF(AND(ISNUMBER(AF23),ISNUMBER(AA23)),IFERROR((AF23-AA23)/(AF10-AA10),""),"")</f>
        <v>0.279791997688864</v>
      </c>
      <c r="AG26" s="22" t="n">
        <f aca="false">IF(AND(ISNUMBER(AG23),ISNUMBER(AB23)),IFERROR((AG23-AB23)/(AG10-AB10),""),"")</f>
        <v>0.053648676728942</v>
      </c>
      <c r="AH26" s="22" t="n">
        <f aca="false">IF(AND(ISNUMBER(AH23),ISNUMBER(AC23)),IFERROR((AH23-AC23)/(AH10-AC10),""),"")</f>
        <v>0.219805395611384</v>
      </c>
      <c r="AI26" s="22" t="n">
        <f aca="false">IF(AND(ISNUMBER(AI23),ISNUMBER(AD23)),IFERROR((AI23-AD23)/(AI10-AD10),""),"")</f>
        <v>0.169413777017571</v>
      </c>
      <c r="AJ26" s="22" t="n">
        <f aca="false">IF(AND(ISNUMBER(AJ23),ISNUMBER(AE23)),IFERROR((AJ23-AE23)/(AJ10-AE10),""),"")</f>
        <v>0.238111839352949</v>
      </c>
      <c r="AK26" s="22" t="n">
        <f aca="false">IF(AND(ISNUMBER(AK23),ISNUMBER(AF23)),IFERROR((AK23-AF23)/(AK10-AF10),""),"")</f>
        <v>0.272015936540981</v>
      </c>
      <c r="AL26" s="22" t="n">
        <f aca="false">IF(AND(ISNUMBER(AL23),ISNUMBER(AG23)),IFERROR((AL23-AG23)/(AL10-AG10),""),"")</f>
        <v>0.35235107770669</v>
      </c>
      <c r="AM26" s="22" t="n">
        <f aca="false">IF(AND(ISNUMBER(AM23),ISNUMBER(AH23)),IFERROR((AM23-AH23)/(AM10-AH10),""),"")</f>
        <v>0.248445878974255</v>
      </c>
      <c r="AN26" s="22" t="n">
        <f aca="false">IF(AND(ISNUMBER(AN23),ISNUMBER(AI23)),IFERROR((AN23-AI23)/(AN10-AI10),""),"")</f>
        <v>0.187954852486164</v>
      </c>
      <c r="AO26" s="22" t="n">
        <f aca="false">IF(AND(ISNUMBER(AO23),ISNUMBER(AJ23)),IFERROR((AO23-AJ23)/(AO10-AJ10),""),"")</f>
        <v>-0.234672154413851</v>
      </c>
      <c r="AP26" s="22" t="n">
        <f aca="false">IF(AND(ISNUMBER(AP23),ISNUMBER(AK23)),IFERROR((AP23-AK23)/(AP10-AK10),""),"")</f>
        <v>1.44370292687578</v>
      </c>
      <c r="AQ26" s="22" t="n">
        <f aca="false">IF(AND(ISNUMBER(AQ23),ISNUMBER(AL23)),IFERROR((AQ23-AL23)/(AQ10-AL10),""),"")</f>
        <v>0.628710012703546</v>
      </c>
      <c r="AR26" s="22" t="n">
        <f aca="false">IF(AND(ISNUMBER(AR23),ISNUMBER(AM23)),IFERROR((AR23-AM23)/(AR10-AM10),""),"")</f>
        <v>-2.71068024263426</v>
      </c>
      <c r="AS26" s="22" t="n">
        <f aca="false">IF(AND(ISNUMBER(AS23),ISNUMBER(AN23)),IFERROR((AS23-AN23)/(AS10-AN10),""),"")</f>
        <v>0.282002858309514</v>
      </c>
      <c r="AT26" s="22" t="n">
        <f aca="false">IF(AND(ISNUMBER(AT23),ISNUMBER(AO23)),IFERROR((AT23-AO23)/(AT10-AO10),""),"")</f>
        <v>0.266072898213115</v>
      </c>
      <c r="AU26" s="22" t="n">
        <f aca="false">IF(AND(ISNUMBER(AU23),ISNUMBER(AP23)),IFERROR((AU23-AP23)/(AU10-AP10),""),"")</f>
        <v>0.208234934570611</v>
      </c>
      <c r="AV26" s="22" t="n">
        <f aca="false">IF(AND(ISNUMBER(AV23),ISNUMBER(AQ23)),IFERROR((AV23-AQ23)/(AV10-AQ10),""),"")</f>
        <v>0.113037718204489</v>
      </c>
      <c r="AW26" s="22" t="n">
        <f aca="false">IF(AND(ISNUMBER(AW23),ISNUMBER(AR23)),IFERROR((AW23-AR23)/(AW10-AR10),""),"")</f>
        <v>0.22882148321542</v>
      </c>
      <c r="AX26" s="22" t="n">
        <f aca="false">IF(AND(ISNUMBER(AX23),ISNUMBER(AS23)),IFERROR((AX23-AS23)/(AX10-AS10),""),"")</f>
        <v>0.881914417772478</v>
      </c>
      <c r="AY26" s="22" t="n">
        <f aca="false">IF(AND(ISNUMBER(AY23),ISNUMBER(AT23)),IFERROR((AY23-AT23)/(AY10-AT10),""),"")</f>
        <v>0.301290255072884</v>
      </c>
      <c r="AZ26" s="22" t="n">
        <f aca="false">IF(AND(ISNUMBER(AZ23),ISNUMBER(AU23)),IFERROR((AZ23-AU23)/(AZ10-AU10),""),"")</f>
        <v>0.282718148777967</v>
      </c>
      <c r="BA26" s="22" t="n">
        <f aca="false">IF(AND(ISNUMBER(BA23),ISNUMBER(AV23)),IFERROR((BA23-AV23)/(BA10-AV10),""),"")</f>
        <v>0.154805106092303</v>
      </c>
      <c r="BB26" s="22" t="n">
        <f aca="false">IF(AND(ISNUMBER(BB23),ISNUMBER(AW23)),IFERROR((BB23-AW23)/(BB10-AW10),""),"")</f>
        <v>0.264733273788901</v>
      </c>
      <c r="BC26" s="22" t="n">
        <f aca="false">IF(AND(ISNUMBER(BC23),ISNUMBER(AX23)),IFERROR((BC23-AX23)/(BC10-AX10),""),"")</f>
        <v>0.321202429856727</v>
      </c>
      <c r="BD26" s="22" t="n">
        <f aca="false">IF(AND(ISNUMBER(BD23),ISNUMBER(AY23)),IFERROR((BD23-AY23)/(BD10-AY10),""),"")</f>
        <v>0.245551446910436</v>
      </c>
      <c r="BE26" s="22" t="n">
        <f aca="false">IF(AND(ISNUMBER(BE23),ISNUMBER(AZ23)),IFERROR((BE23-AZ23)/(BE10-AZ10),""),"")</f>
        <v>0.275918466000644</v>
      </c>
      <c r="BF26" s="22" t="n">
        <f aca="false">IF(AND(ISNUMBER(BF23),ISNUMBER(BA23)),IFERROR((BF23-BA23)/(BF10-BA10),""),"")</f>
        <v>0.328643829892102</v>
      </c>
      <c r="BG26" s="22" t="n">
        <f aca="false">IF(AND(ISNUMBER(BG23),ISNUMBER(BB23)),IFERROR((BG23-BB23)/(BG10-BB10),""),"")</f>
        <v>0.288087276861168</v>
      </c>
      <c r="BH26" s="22" t="n">
        <f aca="false">IF(AND(ISNUMBER(BH23),ISNUMBER(BC23)),IFERROR((BH23-BC23)/(BH10-BC10),""),"")</f>
        <v>0.167629825828718</v>
      </c>
      <c r="BI26" s="22" t="n">
        <f aca="false">IF(AND(ISNUMBER(BI23),ISNUMBER(BD23)),IFERROR((BI23-BD23)/(BI10-BD10),""),"")</f>
        <v>0.268156493290861</v>
      </c>
      <c r="BJ26" s="22" t="n">
        <f aca="false">IF(AND(ISNUMBER(BJ23),ISNUMBER(BE23)),IFERROR((BJ23-BE23)/(BJ10-BE10),""),"")</f>
        <v>0.222010050251257</v>
      </c>
      <c r="BK26" s="22" t="n">
        <f aca="false">IF(AND(ISNUMBER(BK23),ISNUMBER(BF23)),IFERROR((BK23-BF23)/(BK10-BF10),""),"")</f>
        <v>0.186019848363435</v>
      </c>
      <c r="BL26" s="22" t="n">
        <f aca="false">IF(AND(ISNUMBER(BL23),ISNUMBER(BG23)),IFERROR((BL23-BG23)/(BL10-BG10),""),"")</f>
        <v>0.205803410690321</v>
      </c>
      <c r="BM26" s="22" t="n">
        <f aca="false">IF(AND(ISNUMBER(BM23),ISNUMBER(BH23)),IFERROR((BM23-BH23)/(BM10-BH10),""),"")</f>
        <v>-0.105569385746541</v>
      </c>
      <c r="BN26" s="22" t="n">
        <f aca="false">IF(AND(ISNUMBER(BN23),ISNUMBER(BI23)),IFERROR((BN23-BI23)/(BN10-BI10),""),"")</f>
        <v>0.114841241526935</v>
      </c>
      <c r="BO26" s="22" t="n">
        <f aca="false">IF(AND(ISNUMBER(BO23),ISNUMBER(BJ23)),IFERROR((BO23-BJ23)/(BO10-BJ10),""),"")</f>
        <v>0.388660378696546</v>
      </c>
      <c r="BP26" s="22" t="n">
        <f aca="false">IF(AND(ISNUMBER(BP23),ISNUMBER(BK23)),IFERROR((BP23-BK23)/(BP10-BK10),""),"")</f>
        <v>31.0632911392599</v>
      </c>
      <c r="BQ26" s="22" t="n">
        <f aca="false">IF(AND(ISNUMBER(BQ23),ISNUMBER(BL23)),IFERROR((BQ23-BL23)/(BQ10-BL10),""),"")</f>
        <v>0.0890969029427011</v>
      </c>
      <c r="BR26" s="22" t="n">
        <f aca="false">IF(AND(ISNUMBER(BR23),ISNUMBER(BM23)),IFERROR((BR23-BM23)/(BR10-BM10),""),"")</f>
        <v>-0.410300606729179</v>
      </c>
      <c r="BS26" s="22" t="n">
        <f aca="false">IF(AND(ISNUMBER(BS23),ISNUMBER(BN23)),IFERROR((BS23-BN23)/(BS10-BN10),""),"")</f>
        <v>0.0264468343306687</v>
      </c>
      <c r="BT26" s="22" t="n">
        <f aca="false">IF(AND(ISNUMBER(BT23),ISNUMBER(BO23)),IFERROR((BT23-BO23)/(BT10-BO10),""),"")</f>
        <v>0.111378907391177</v>
      </c>
      <c r="BU26" s="22" t="n">
        <f aca="false">IF(AND(ISNUMBER(BU23),ISNUMBER(BP23)),IFERROR((BU23-BP23)/(BU10-BP10),""),"")</f>
        <v>0.338491010904804</v>
      </c>
      <c r="BV26" s="22" t="n">
        <f aca="false">IF(AND(ISNUMBER(BV23),ISNUMBER(BQ23)),IFERROR((BV23-BQ23)/(BV10-BQ10),""),"")</f>
        <v>0.0293042831760278</v>
      </c>
      <c r="BW26" s="22" t="n">
        <f aca="false">IF(AND(ISNUMBER(BW23),ISNUMBER(BR23)),IFERROR((BW23-BR23)/(BW10-BR10),""),"")</f>
        <v>0.0615610527504802</v>
      </c>
      <c r="BX26" s="22" t="n">
        <f aca="false">IF(AND(ISNUMBER(BX23),ISNUMBER(BS23)),IFERROR((BX23-BS23)/(BX10-BS10),""),"")</f>
        <v>0.259690121995162</v>
      </c>
      <c r="BY26" s="23" t="n">
        <f aca="false">IF(AND(ISNUMBER(BY23),ISNUMBER(BT23)),IFERROR((BY23-BT23)/(BY10-BT10),""),"")</f>
        <v>0.303605963040907</v>
      </c>
      <c r="BZ26" s="23" t="n">
        <f aca="false">IF(AND(ISNUMBER(BZ23),ISNUMBER(BU23)),IFERROR((BZ23-BU23)/(BZ10-BU10),""),"")</f>
        <v>0.320283104373738</v>
      </c>
      <c r="CA26" s="23" t="n">
        <f aca="false">IF(AND(ISNUMBER(CA23),ISNUMBER(BV23)),IFERROR((CA23-BV23)/(CA10-BV10),""),"")</f>
        <v>0.252451321672055</v>
      </c>
      <c r="CB26" s="23" t="n">
        <f aca="false">IF(AND(ISNUMBER(CB23),ISNUMBER(CA23)),IFERROR((CB23-CA23)/(CB10-CA10),""),"")</f>
        <v>0.258261778181114</v>
      </c>
      <c r="CC26" s="23" t="n">
        <f aca="false">IF(AND(ISNUMBER(CC23),ISNUMBER(CB23)),IFERROR((CC23-CB23)/(CC10-CB10),""),"")</f>
        <v>0.262545454545455</v>
      </c>
      <c r="CD26" s="23" t="n">
        <f aca="false">IF(AND(ISNUMBER(CD23),ISNUMBER(CC23)),IFERROR((CD23-CC23)/(CD10-CC10),""),"")</f>
        <v>0.25</v>
      </c>
      <c r="CE26" s="23" t="n">
        <f aca="false">IF(AND(ISNUMBER(CE23),ISNUMBER(CD23)),IFERROR((CE23-CD23)/(CE10-CD10),""),"")</f>
        <v>0.21</v>
      </c>
      <c r="CN26" s="42" t="s">
        <v>160</v>
      </c>
      <c r="CO26" s="43" t="n">
        <v>0.02</v>
      </c>
      <c r="CP26" s="44" t="s">
        <v>161</v>
      </c>
      <c r="CQ26" s="43" t="n">
        <v>-0.02</v>
      </c>
      <c r="CR26" s="14" t="s">
        <v>162</v>
      </c>
    </row>
    <row r="27" customFormat="false" ht="15" hidden="false" customHeight="false" outlineLevel="0" collapsed="false">
      <c r="CN27" s="26" t="s">
        <v>163</v>
      </c>
      <c r="CO27" s="45" t="n">
        <f aca="false">CP27+$CO$26</f>
        <v>0.05</v>
      </c>
      <c r="CP27" s="27" t="n">
        <v>0.03</v>
      </c>
      <c r="CQ27" s="45" t="n">
        <f aca="false">CP27+$CQ$26</f>
        <v>0.01</v>
      </c>
    </row>
    <row r="28" customFormat="false" ht="15" hidden="false" customHeight="false" outlineLevel="0" collapsed="false">
      <c r="B28" s="11" t="s">
        <v>164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 t="s">
        <v>165</v>
      </c>
      <c r="CN28" s="26" t="s">
        <v>166</v>
      </c>
      <c r="CO28" s="45" t="n">
        <f aca="false">CP28+$CO$26</f>
        <v>0.05</v>
      </c>
      <c r="CP28" s="27" t="n">
        <v>0.03</v>
      </c>
      <c r="CQ28" s="45" t="n">
        <f aca="false">CP28+$CQ$26</f>
        <v>0.01</v>
      </c>
    </row>
    <row r="29" customFormat="false" ht="15" hidden="false" customHeight="false" outlineLevel="0" collapsed="false">
      <c r="B29" s="15" t="s">
        <v>105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7" t="n">
        <v>695.831</v>
      </c>
      <c r="O29" s="17" t="n">
        <v>170.742</v>
      </c>
      <c r="P29" s="17" t="n">
        <v>185.588</v>
      </c>
      <c r="Q29" s="17" t="n">
        <v>168.004</v>
      </c>
      <c r="R29" s="17" t="n">
        <v>157.09</v>
      </c>
      <c r="S29" s="17" t="n">
        <v>681.424</v>
      </c>
      <c r="T29" s="17" t="n">
        <v>139.247</v>
      </c>
      <c r="U29" s="17" t="n">
        <v>141.927</v>
      </c>
      <c r="V29" s="17" t="n">
        <v>128.072</v>
      </c>
      <c r="W29" s="17" t="n">
        <v>121.214</v>
      </c>
      <c r="X29" s="17" t="n">
        <v>530.46</v>
      </c>
      <c r="Y29" s="17" t="n">
        <v>124.305</v>
      </c>
      <c r="Z29" s="17" t="n">
        <v>132.815</v>
      </c>
      <c r="AA29" s="17" t="n">
        <v>119.564</v>
      </c>
      <c r="AB29" s="17" t="n">
        <v>130.605</v>
      </c>
      <c r="AC29" s="17" t="n">
        <v>507.289</v>
      </c>
      <c r="AD29" s="17" t="n">
        <v>128.888</v>
      </c>
      <c r="AE29" s="17" t="n">
        <v>141.498</v>
      </c>
      <c r="AF29" s="17" t="n">
        <v>197.617</v>
      </c>
      <c r="AG29" s="17" t="n">
        <v>256.021</v>
      </c>
      <c r="AH29" s="17" t="n">
        <v>724.024</v>
      </c>
      <c r="AI29" s="17" t="n">
        <v>247.32</v>
      </c>
      <c r="AJ29" s="17" t="n">
        <v>243.373</v>
      </c>
      <c r="AK29" s="17" t="n">
        <v>209.622</v>
      </c>
      <c r="AL29" s="17" t="n">
        <v>219.456</v>
      </c>
      <c r="AM29" s="17" t="n">
        <v>919.771</v>
      </c>
      <c r="AN29" s="17" t="n">
        <v>218.086</v>
      </c>
      <c r="AO29" s="17" t="n">
        <v>212.306</v>
      </c>
      <c r="AP29" s="17" t="n">
        <v>205.378</v>
      </c>
      <c r="AQ29" s="17" t="n">
        <v>218.606</v>
      </c>
      <c r="AR29" s="17" t="n">
        <v>854.376</v>
      </c>
      <c r="AS29" s="17" t="n">
        <v>197.923</v>
      </c>
      <c r="AT29" s="17" t="n">
        <v>177.167</v>
      </c>
      <c r="AU29" s="17" t="n">
        <v>196.937</v>
      </c>
      <c r="AV29" s="17" t="n">
        <v>214.782</v>
      </c>
      <c r="AW29" s="17" t="n">
        <v>786.809</v>
      </c>
      <c r="AX29" s="17" t="n">
        <v>223.079</v>
      </c>
      <c r="AY29" s="17" t="n">
        <v>252.352</v>
      </c>
      <c r="AZ29" s="17" t="n">
        <v>227.165</v>
      </c>
      <c r="BA29" s="17" t="n">
        <v>245.529</v>
      </c>
      <c r="BB29" s="17" t="n">
        <v>948.125</v>
      </c>
      <c r="BC29" s="17" t="n">
        <v>258.041</v>
      </c>
      <c r="BD29" s="17" t="n">
        <v>236.629</v>
      </c>
      <c r="BE29" s="17" t="n">
        <v>216.497</v>
      </c>
      <c r="BF29" s="17" t="n">
        <v>243.114</v>
      </c>
      <c r="BG29" s="17" t="n">
        <v>954.281</v>
      </c>
      <c r="BH29" s="17" t="n">
        <v>252.416</v>
      </c>
      <c r="BI29" s="17" t="n">
        <v>253.403</v>
      </c>
      <c r="BJ29" s="17" t="n">
        <v>242.01</v>
      </c>
      <c r="BK29" s="17" t="n">
        <v>292.177</v>
      </c>
      <c r="BL29" s="17" t="n">
        <v>1040.006</v>
      </c>
      <c r="BM29" s="17" t="n">
        <v>235.761</v>
      </c>
      <c r="BN29" s="17" t="n">
        <v>238.758</v>
      </c>
      <c r="BO29" s="17" t="n">
        <v>216.224</v>
      </c>
      <c r="BP29" s="17" t="n">
        <v>242.979</v>
      </c>
      <c r="BQ29" s="17" t="n">
        <v>933.722</v>
      </c>
      <c r="BR29" s="17" t="n">
        <v>219.061</v>
      </c>
      <c r="BS29" s="17" t="n">
        <v>232.824</v>
      </c>
      <c r="BT29" s="17" t="n">
        <v>219.629</v>
      </c>
      <c r="BU29" s="17" t="n">
        <v>259.351</v>
      </c>
      <c r="BV29" s="17" t="n">
        <v>930.865</v>
      </c>
      <c r="BW29" s="17" t="n">
        <v>227.035</v>
      </c>
      <c r="BX29" s="17" t="n">
        <v>243.292</v>
      </c>
      <c r="BY29" s="18" t="n">
        <f aca="false">BT29*(1+BY36)</f>
        <v>223.182797998163</v>
      </c>
      <c r="BZ29" s="18" t="n">
        <f aca="false">BU29*(1+BZ36)</f>
        <v>254.470251270809</v>
      </c>
      <c r="CA29" s="18" t="n">
        <f aca="false">SUM(BW29:BZ29)</f>
        <v>947.980049268972</v>
      </c>
      <c r="CB29" s="18" t="n">
        <f aca="false">CA29*(1+CB36)</f>
        <v>981.159350993386</v>
      </c>
      <c r="CC29" s="18" t="n">
        <f aca="false">CB29*(1+CC36)</f>
        <v>1015.49992827815</v>
      </c>
      <c r="CD29" s="18" t="n">
        <f aca="false">CC29*(1+CD36)</f>
        <v>1051.04242576789</v>
      </c>
      <c r="CE29" s="18" t="n">
        <f aca="false">CD29*(1+CE36)</f>
        <v>1087.82891066977</v>
      </c>
      <c r="CF29" s="19" t="s">
        <v>106</v>
      </c>
      <c r="CH29" s="20" t="n">
        <f aca="false">IFERROR((CE29/BV29)^(1/5)-1,"n/m")</f>
        <v>0.0316556929059946</v>
      </c>
      <c r="CI29" s="20" t="n">
        <f aca="false">IFERROR((BV29/AW29)^(1/5)-1,"n/m")</f>
        <v>0.0341974830299001</v>
      </c>
      <c r="CJ29" s="20" t="n">
        <f aca="false">IFERROR((BV29/X29)^(1/10)-1,"n/m")</f>
        <v>0.0578483330703257</v>
      </c>
      <c r="CK29" s="20" t="str">
        <f aca="false">IFERROR((BV29/C29)^(1/19)-1,"n/m")</f>
        <v>n/m</v>
      </c>
      <c r="CN29" s="26" t="s">
        <v>167</v>
      </c>
      <c r="CO29" s="45" t="n">
        <f aca="false">CP29+$CO$26</f>
        <v>0.045</v>
      </c>
      <c r="CP29" s="27" t="n">
        <v>0.025</v>
      </c>
      <c r="CQ29" s="45" t="n">
        <f aca="false">CP29+$CQ$26</f>
        <v>0.005</v>
      </c>
    </row>
    <row r="30" customFormat="false" ht="15" hidden="false" customHeight="false" outlineLevel="0" collapsed="false">
      <c r="B30" s="21" t="s">
        <v>107</v>
      </c>
      <c r="D30" s="22" t="str">
        <f aca="false">IF(AND(ISNUMBER(D29),ISNUMBER(C29)),IFERROR(D29/C29-1,""),"")</f>
        <v/>
      </c>
      <c r="E30" s="22" t="str">
        <f aca="false">IF(AND(ISNUMBER(E29),ISNUMBER(D29)),IFERROR(E29/D29-1,""),"")</f>
        <v/>
      </c>
      <c r="F30" s="22" t="str">
        <f aca="false">IF(AND(ISNUMBER(F29),ISNUMBER(E29)),IFERROR(F29/E29-1,""),"")</f>
        <v/>
      </c>
      <c r="G30" s="22" t="str">
        <f aca="false">IF(AND(ISNUMBER(G29),ISNUMBER(F29)),IFERROR(G29/F29-1,""),"")</f>
        <v/>
      </c>
      <c r="H30" s="22" t="str">
        <f aca="false">IF(AND(ISNUMBER(H29),ISNUMBER(G29)),IFERROR(H29/G29-1,""),"")</f>
        <v/>
      </c>
      <c r="I30" s="22" t="str">
        <f aca="false">IF(AND(ISNUMBER(I29),ISNUMBER(H29)),IFERROR(I29/H29-1,""),"")</f>
        <v/>
      </c>
      <c r="N30" s="22" t="str">
        <f aca="false">IF(AND(ISNUMBER(N29),ISNUMBER(I29)),IFERROR(N29/I29-1,""),"")</f>
        <v/>
      </c>
      <c r="O30" s="22" t="str">
        <f aca="false">IF(AND(ISNUMBER(O29),ISNUMBER(J29)),IFERROR(O29/J29-1,""),"")</f>
        <v/>
      </c>
      <c r="P30" s="22" t="str">
        <f aca="false">IF(AND(ISNUMBER(P29),ISNUMBER(K29)),IFERROR(P29/K29-1,""),"")</f>
        <v/>
      </c>
      <c r="Q30" s="22" t="str">
        <f aca="false">IF(AND(ISNUMBER(Q29),ISNUMBER(L29)),IFERROR(Q29/L29-1,""),"")</f>
        <v/>
      </c>
      <c r="R30" s="22" t="str">
        <f aca="false">IF(AND(ISNUMBER(R29),ISNUMBER(M29)),IFERROR(R29/M29-1,""),"")</f>
        <v/>
      </c>
      <c r="S30" s="22" t="n">
        <f aca="false">IF(AND(ISNUMBER(S29),ISNUMBER(N29)),IFERROR(S29/N29-1,""),"")</f>
        <v>-0.0207047400877513</v>
      </c>
      <c r="T30" s="22" t="n">
        <f aca="false">IF(AND(ISNUMBER(T29),ISNUMBER(O29)),IFERROR(T29/O29-1,""),"")</f>
        <v>-0.184459594007333</v>
      </c>
      <c r="U30" s="22" t="n">
        <f aca="false">IF(AND(ISNUMBER(U29),ISNUMBER(P29)),IFERROR(U29/P29-1,""),"")</f>
        <v>-0.235257667521607</v>
      </c>
      <c r="V30" s="22" t="n">
        <f aca="false">IF(AND(ISNUMBER(V29),ISNUMBER(Q29)),IFERROR(V29/Q29-1,""),"")</f>
        <v>-0.237684817028166</v>
      </c>
      <c r="W30" s="22" t="n">
        <f aca="false">IF(AND(ISNUMBER(W29),ISNUMBER(R29)),IFERROR(W29/R29-1,""),"")</f>
        <v>-0.228378636450442</v>
      </c>
      <c r="X30" s="22" t="n">
        <f aca="false">IF(AND(ISNUMBER(X29),ISNUMBER(S29)),IFERROR(X29/S29-1,""),"")</f>
        <v>-0.22154194745122</v>
      </c>
      <c r="Y30" s="22" t="n">
        <f aca="false">IF(AND(ISNUMBER(Y29),ISNUMBER(T29)),IFERROR(Y29/T29-1,""),"")</f>
        <v>-0.107305722924013</v>
      </c>
      <c r="Z30" s="22" t="n">
        <f aca="false">IF(AND(ISNUMBER(Z29),ISNUMBER(U29)),IFERROR(Z29/U29-1,""),"")</f>
        <v>-0.0642020193479747</v>
      </c>
      <c r="AA30" s="22" t="n">
        <f aca="false">IF(AND(ISNUMBER(AA29),ISNUMBER(V29)),IFERROR(AA29/V29-1,""),"")</f>
        <v>-0.0664313823474296</v>
      </c>
      <c r="AB30" s="22" t="n">
        <f aca="false">IF(AND(ISNUMBER(AB29),ISNUMBER(W29)),IFERROR(AB29/W29-1,""),"")</f>
        <v>0.0774745491444882</v>
      </c>
      <c r="AC30" s="22" t="n">
        <f aca="false">IF(AND(ISNUMBER(AC29),ISNUMBER(X29)),IFERROR(AC29/X29-1,""),"")</f>
        <v>-0.043680956151265</v>
      </c>
      <c r="AD30" s="22" t="n">
        <f aca="false">IF(AND(ISNUMBER(AD29),ISNUMBER(Y29)),IFERROR(AD29/Y29-1,""),"")</f>
        <v>0.0368689915932585</v>
      </c>
      <c r="AE30" s="22" t="n">
        <f aca="false">IF(AND(ISNUMBER(AE29),ISNUMBER(Z29)),IFERROR(AE29/Z29-1,""),"")</f>
        <v>0.0653766517336143</v>
      </c>
      <c r="AF30" s="22" t="n">
        <f aca="false">IF(AND(ISNUMBER(AF29),ISNUMBER(AA29)),IFERROR(AF29/AA29-1,""),"")</f>
        <v>0.652813555919842</v>
      </c>
      <c r="AG30" s="22" t="n">
        <f aca="false">IF(AND(ISNUMBER(AG29),ISNUMBER(AB29)),IFERROR(AG29/AB29-1,""),"")</f>
        <v>0.960269514949658</v>
      </c>
      <c r="AH30" s="22" t="n">
        <f aca="false">IF(AND(ISNUMBER(AH29),ISNUMBER(AC29)),IFERROR(AH29/AC29-1,""),"")</f>
        <v>0.427241670921309</v>
      </c>
      <c r="AI30" s="22" t="n">
        <f aca="false">IF(AND(ISNUMBER(AI29),ISNUMBER(AD29)),IFERROR(AI29/AD29-1,""),"")</f>
        <v>0.918875302588294</v>
      </c>
      <c r="AJ30" s="22" t="n">
        <f aca="false">IF(AND(ISNUMBER(AJ29),ISNUMBER(AE29)),IFERROR(AJ29/AE29-1,""),"")</f>
        <v>0.71997484063379</v>
      </c>
      <c r="AK30" s="22" t="n">
        <f aca="false">IF(AND(ISNUMBER(AK29),ISNUMBER(AF29)),IFERROR(AK29/AF29-1,""),"")</f>
        <v>0.0607488222167123</v>
      </c>
      <c r="AL30" s="22" t="n">
        <f aca="false">IF(AND(ISNUMBER(AL29),ISNUMBER(AG29)),IFERROR(AL29/AG29-1,""),"")</f>
        <v>-0.142820315520993</v>
      </c>
      <c r="AM30" s="22" t="n">
        <f aca="false">IF(AND(ISNUMBER(AM29),ISNUMBER(AH29)),IFERROR(AM29/AH29-1,""),"")</f>
        <v>0.270359822326332</v>
      </c>
      <c r="AN30" s="22" t="n">
        <f aca="false">IF(AND(ISNUMBER(AN29),ISNUMBER(AI29)),IFERROR(AN29/AI29-1,""),"")</f>
        <v>-0.118203137635452</v>
      </c>
      <c r="AO30" s="22" t="n">
        <f aca="false">IF(AND(ISNUMBER(AO29),ISNUMBER(AJ29)),IFERROR(AO29/AJ29-1,""),"")</f>
        <v>-0.12765179374869</v>
      </c>
      <c r="AP30" s="22" t="n">
        <f aca="false">IF(AND(ISNUMBER(AP29),ISNUMBER(AK29)),IFERROR(AP29/AK29-1,""),"")</f>
        <v>-0.0202459665493127</v>
      </c>
      <c r="AQ30" s="22" t="n">
        <f aca="false">IF(AND(ISNUMBER(AQ29),ISNUMBER(AL29)),IFERROR(AQ29/AL29-1,""),"")</f>
        <v>-0.00387321376494598</v>
      </c>
      <c r="AR30" s="22" t="n">
        <f aca="false">IF(AND(ISNUMBER(AR29),ISNUMBER(AM29)),IFERROR(AR29/AM29-1,""),"")</f>
        <v>-0.0710992192621859</v>
      </c>
      <c r="AS30" s="22" t="n">
        <f aca="false">IF(AND(ISNUMBER(AS29),ISNUMBER(AN29)),IFERROR(AS29/AN29-1,""),"")</f>
        <v>-0.0924543528699687</v>
      </c>
      <c r="AT30" s="22" t="n">
        <f aca="false">IF(AND(ISNUMBER(AT29),ISNUMBER(AO29)),IFERROR(AT29/AO29-1,""),"")</f>
        <v>-0.165511101900088</v>
      </c>
      <c r="AU30" s="22" t="n">
        <f aca="false">IF(AND(ISNUMBER(AU29),ISNUMBER(AP29)),IFERROR(AU29/AP29-1,""),"")</f>
        <v>-0.0410998256872692</v>
      </c>
      <c r="AV30" s="22" t="n">
        <f aca="false">IF(AND(ISNUMBER(AV29),ISNUMBER(AQ29)),IFERROR(AV29/AQ29-1,""),"")</f>
        <v>-0.0174926580240249</v>
      </c>
      <c r="AW30" s="22" t="n">
        <f aca="false">IF(AND(ISNUMBER(AW29),ISNUMBER(AR29)),IFERROR(AW29/AR29-1,""),"")</f>
        <v>-0.0790834480369299</v>
      </c>
      <c r="AX30" s="22" t="n">
        <f aca="false">IF(AND(ISNUMBER(AX29),ISNUMBER(AS29)),IFERROR(AX29/AS29-1,""),"")</f>
        <v>0.12709993280215</v>
      </c>
      <c r="AY30" s="22" t="n">
        <f aca="false">IF(AND(ISNUMBER(AY29),ISNUMBER(AT29)),IFERROR(AY29/AT29-1,""),"")</f>
        <v>0.424373613596212</v>
      </c>
      <c r="AZ30" s="22" t="n">
        <f aca="false">IF(AND(ISNUMBER(AZ29),ISNUMBER(AU29)),IFERROR(AZ29/AU29-1,""),"")</f>
        <v>0.153490710227128</v>
      </c>
      <c r="BA30" s="22" t="n">
        <f aca="false">IF(AND(ISNUMBER(BA29),ISNUMBER(AV29)),IFERROR(BA29/AV29-1,""),"")</f>
        <v>0.143154454283879</v>
      </c>
      <c r="BB30" s="22" t="n">
        <f aca="false">IF(AND(ISNUMBER(BB29),ISNUMBER(AW29)),IFERROR(BB29/AW29-1,""),"")</f>
        <v>0.205025616127929</v>
      </c>
      <c r="BC30" s="22" t="n">
        <f aca="false">IF(AND(ISNUMBER(BC29),ISNUMBER(AX29)),IFERROR(BC29/AX29-1,""),"")</f>
        <v>0.156724747735107</v>
      </c>
      <c r="BD30" s="22" t="n">
        <f aca="false">IF(AND(ISNUMBER(BD29),ISNUMBER(AY29)),IFERROR(BD29/AY29-1,""),"")</f>
        <v>-0.0623058267816384</v>
      </c>
      <c r="BE30" s="22" t="n">
        <f aca="false">IF(AND(ISNUMBER(BE29),ISNUMBER(AZ29)),IFERROR(BE29/AZ29-1,""),"")</f>
        <v>-0.0469614597319128</v>
      </c>
      <c r="BF30" s="22" t="n">
        <f aca="false">IF(AND(ISNUMBER(BF29),ISNUMBER(BA29)),IFERROR(BF29/BA29-1,""),"")</f>
        <v>-0.00983590533093848</v>
      </c>
      <c r="BG30" s="22" t="n">
        <f aca="false">IF(AND(ISNUMBER(BG29),ISNUMBER(BB29)),IFERROR(BG29/BB29-1,""),"")</f>
        <v>0.00649281476598551</v>
      </c>
      <c r="BH30" s="22" t="n">
        <f aca="false">IF(AND(ISNUMBER(BH29),ISNUMBER(BC29)),IFERROR(BH29/BC29-1,""),"")</f>
        <v>-0.021798861421247</v>
      </c>
      <c r="BI30" s="22" t="n">
        <f aca="false">IF(AND(ISNUMBER(BI29),ISNUMBER(BD29)),IFERROR(BI29/BD29-1,""),"")</f>
        <v>0.0708873384073803</v>
      </c>
      <c r="BJ30" s="22" t="n">
        <f aca="false">IF(AND(ISNUMBER(BJ29),ISNUMBER(BE29)),IFERROR(BJ29/BE29-1,""),"")</f>
        <v>0.117844589070518</v>
      </c>
      <c r="BK30" s="22" t="n">
        <f aca="false">IF(AND(ISNUMBER(BK29),ISNUMBER(BF29)),IFERROR(BK29/BF29-1,""),"")</f>
        <v>0.201810673182129</v>
      </c>
      <c r="BL30" s="22" t="n">
        <f aca="false">IF(AND(ISNUMBER(BL29),ISNUMBER(BG29)),IFERROR(BL29/BG29-1,""),"")</f>
        <v>0.089832030607337</v>
      </c>
      <c r="BM30" s="22" t="n">
        <f aca="false">IF(AND(ISNUMBER(BM29),ISNUMBER(BH29)),IFERROR(BM29/BH29-1,""),"")</f>
        <v>-0.0659823466024341</v>
      </c>
      <c r="BN30" s="22" t="n">
        <f aca="false">IF(AND(ISNUMBER(BN29),ISNUMBER(BI29)),IFERROR(BN29/BI29-1,""),"")</f>
        <v>-0.0577933173640406</v>
      </c>
      <c r="BO30" s="22" t="n">
        <f aca="false">IF(AND(ISNUMBER(BO29),ISNUMBER(BJ29)),IFERROR(BO29/BJ29-1,""),"")</f>
        <v>-0.106549316143961</v>
      </c>
      <c r="BP30" s="22" t="n">
        <f aca="false">IF(AND(ISNUMBER(BP29),ISNUMBER(BK29)),IFERROR(BP29/BK29-1,""),"")</f>
        <v>-0.168384232845159</v>
      </c>
      <c r="BQ30" s="22" t="n">
        <f aca="false">IF(AND(ISNUMBER(BQ29),ISNUMBER(BL29)),IFERROR(BQ29/BL29-1,""),"")</f>
        <v>-0.10219556425636</v>
      </c>
      <c r="BR30" s="22" t="n">
        <f aca="false">IF(AND(ISNUMBER(BR29),ISNUMBER(BM29)),IFERROR(BR29/BM29-1,""),"")</f>
        <v>-0.0708344467490382</v>
      </c>
      <c r="BS30" s="22" t="n">
        <f aca="false">IF(AND(ISNUMBER(BS29),ISNUMBER(BN29)),IFERROR(BS29/BN29-1,""),"")</f>
        <v>-0.0248536174704094</v>
      </c>
      <c r="BT30" s="22" t="n">
        <f aca="false">IF(AND(ISNUMBER(BT29),ISNUMBER(BO29)),IFERROR(BT29/BO29-1,""),"")</f>
        <v>0.0157475580879087</v>
      </c>
      <c r="BU30" s="22" t="n">
        <f aca="false">IF(AND(ISNUMBER(BU29),ISNUMBER(BP29)),IFERROR(BU29/BP29-1,""),"")</f>
        <v>0.0673803085863387</v>
      </c>
      <c r="BV30" s="22" t="n">
        <f aca="false">IF(AND(ISNUMBER(BV29),ISNUMBER(BQ29)),IFERROR(BV29/BQ29-1,""),"")</f>
        <v>-0.00305979724157723</v>
      </c>
      <c r="BW30" s="22" t="n">
        <f aca="false">IF(AND(ISNUMBER(BW29),ISNUMBER(BR29)),IFERROR(BW29/BR29-1,""),"")</f>
        <v>0.0364008198629604</v>
      </c>
      <c r="BX30" s="22" t="n">
        <f aca="false">IF(AND(ISNUMBER(BX29),ISNUMBER(BS29)),IFERROR(BX29/BS29-1,""),"")</f>
        <v>0.0449610005841321</v>
      </c>
      <c r="BY30" s="23" t="n">
        <f aca="false">IFERROR(BY29/BT29-1,"")</f>
        <v>0.0161809141696361</v>
      </c>
      <c r="BZ30" s="23" t="n">
        <f aca="false">IFERROR(BZ29/BU29-1,"")</f>
        <v>-0.0188190858303641</v>
      </c>
      <c r="CA30" s="23" t="n">
        <f aca="false">IFERROR(CA29/BV29-1,"")</f>
        <v>0.0183861776616074</v>
      </c>
      <c r="CB30" s="23" t="n">
        <f aca="false">IFERROR(CB29/CA29-1,"")</f>
        <v>0.0349999999999999</v>
      </c>
      <c r="CC30" s="23" t="n">
        <f aca="false">IFERROR(CC29/CB29-1,"")</f>
        <v>0.0349999999999999</v>
      </c>
      <c r="CD30" s="23" t="n">
        <f aca="false">IFERROR(CD29/CC29-1,"")</f>
        <v>0.0349999999999999</v>
      </c>
      <c r="CE30" s="23" t="n">
        <f aca="false">IFERROR(CE29/CD29-1,"")</f>
        <v>0.0349999999999999</v>
      </c>
      <c r="CN30" s="26" t="s">
        <v>168</v>
      </c>
      <c r="CO30" s="45" t="n">
        <f aca="false">CP30+$CO$26</f>
        <v>0.045</v>
      </c>
      <c r="CP30" s="27" t="n">
        <v>0.025</v>
      </c>
      <c r="CQ30" s="45" t="n">
        <f aca="false">CP30+$CQ$26</f>
        <v>0.005</v>
      </c>
    </row>
    <row r="31" customFormat="false" ht="15" hidden="false" customHeight="false" outlineLevel="0" collapsed="false">
      <c r="B31" s="25" t="s">
        <v>113</v>
      </c>
      <c r="BY31" s="23" t="n">
        <f aca="false">$BX$32</f>
        <v>-0.04695</v>
      </c>
      <c r="BZ31" s="23" t="n">
        <f aca="false">$BX$32</f>
        <v>-0.04695</v>
      </c>
      <c r="CF31" s="19" t="s">
        <v>114</v>
      </c>
      <c r="CN31" s="42" t="s">
        <v>169</v>
      </c>
      <c r="CO31" s="43" t="n">
        <v>0.01</v>
      </c>
      <c r="CP31" s="44" t="s">
        <v>161</v>
      </c>
      <c r="CQ31" s="43" t="n">
        <v>-0.01</v>
      </c>
      <c r="CR31" s="14" t="s">
        <v>170</v>
      </c>
    </row>
    <row r="32" customFormat="false" ht="15" hidden="false" customHeight="false" outlineLevel="0" collapsed="false">
      <c r="B32" s="26" t="s">
        <v>117</v>
      </c>
      <c r="Y32" s="28" t="n">
        <v>-0.070537</v>
      </c>
      <c r="Z32" s="28" t="n">
        <v>-0.036019</v>
      </c>
      <c r="AA32" s="28" t="n">
        <v>-0.049363</v>
      </c>
      <c r="AB32" s="28" t="n">
        <v>0.104171</v>
      </c>
      <c r="AC32" s="28" t="n">
        <v>-0.016267</v>
      </c>
      <c r="AD32" s="28" t="n">
        <v>0.026926</v>
      </c>
      <c r="AE32" s="28" t="n">
        <v>0.032956</v>
      </c>
      <c r="AF32" s="28" t="n">
        <v>0.066809</v>
      </c>
      <c r="AG32" s="28" t="n">
        <v>-0.02457</v>
      </c>
      <c r="AH32" s="28" t="n">
        <v>0.024647</v>
      </c>
      <c r="AI32" s="28" t="n">
        <v>-0.036753</v>
      </c>
      <c r="AJ32" s="28" t="n">
        <v>-0.045011</v>
      </c>
      <c r="AK32" s="28" t="n">
        <v>-0.104541</v>
      </c>
      <c r="AL32" s="28" t="n">
        <v>-0.137481</v>
      </c>
      <c r="AM32" s="28" t="n">
        <v>-0.092487</v>
      </c>
      <c r="AN32" s="28" t="n">
        <v>-0.072445</v>
      </c>
      <c r="AO32" s="28" t="n">
        <v>-0.096765</v>
      </c>
      <c r="AP32" s="28" t="n">
        <v>-0.061854</v>
      </c>
      <c r="AQ32" s="28" t="n">
        <v>-0.077811</v>
      </c>
      <c r="AR32" s="28" t="n">
        <v>-0.077747</v>
      </c>
      <c r="AS32" s="28" t="n">
        <v>-0.139885</v>
      </c>
      <c r="AT32" s="28" t="n">
        <v>-0.209377</v>
      </c>
      <c r="AU32" s="28" t="n">
        <v>-0.053384</v>
      </c>
      <c r="AV32" s="28" t="n">
        <v>-0.033581</v>
      </c>
      <c r="AW32" s="28" t="n">
        <v>-0.10916</v>
      </c>
      <c r="AX32" s="28" t="n">
        <v>0.05684</v>
      </c>
      <c r="AY32" s="28" t="n">
        <v>0.254534</v>
      </c>
      <c r="AZ32" s="28" t="n">
        <v>0.03784</v>
      </c>
      <c r="BA32" s="28" t="n">
        <v>-0.008213</v>
      </c>
      <c r="BB32" s="28" t="n">
        <v>0.078841</v>
      </c>
      <c r="BC32" s="28" t="n">
        <v>-0.00459</v>
      </c>
      <c r="BD32" s="28" t="n">
        <v>-0.066819</v>
      </c>
      <c r="BE32" s="28" t="n">
        <v>0.024379</v>
      </c>
      <c r="BF32" s="28" t="n">
        <v>0.013558</v>
      </c>
      <c r="BG32" s="28" t="n">
        <v>-0.009512</v>
      </c>
      <c r="BH32" s="28" t="n">
        <v>-0.056801</v>
      </c>
      <c r="BI32" s="28" t="n">
        <v>0.03806</v>
      </c>
      <c r="BJ32" s="28" t="n">
        <v>0.029081</v>
      </c>
      <c r="BK32" s="28" t="n">
        <v>0.048841</v>
      </c>
      <c r="BL32" s="28" t="n">
        <v>0.013119</v>
      </c>
      <c r="BM32" s="28" t="n">
        <v>-0.048618</v>
      </c>
      <c r="BN32" s="28" t="n">
        <v>-0.037715</v>
      </c>
      <c r="BO32" s="28" t="n">
        <v>-0.119412</v>
      </c>
      <c r="BP32" s="28" t="n">
        <v>-0.157199</v>
      </c>
      <c r="BQ32" s="28" t="n">
        <v>-0.09294</v>
      </c>
      <c r="BR32" s="28" t="n">
        <v>-0.057889</v>
      </c>
      <c r="BS32" s="28" t="n">
        <v>-0.067734</v>
      </c>
      <c r="BT32" s="28" t="n">
        <v>-0.042428</v>
      </c>
      <c r="BU32" s="28" t="n">
        <v>-0.035538</v>
      </c>
      <c r="BV32" s="28" t="n">
        <v>-0.05101</v>
      </c>
      <c r="BW32" s="28" t="n">
        <v>-0.098744</v>
      </c>
      <c r="BX32" s="28" t="n">
        <v>-0.04695</v>
      </c>
      <c r="BY32" s="23" t="n">
        <f aca="false">BY31+BY118</f>
        <v>-0.041179085830364</v>
      </c>
      <c r="BZ32" s="23" t="n">
        <f aca="false">BZ31+BZ118</f>
        <v>-0.041179085830364</v>
      </c>
      <c r="CA32" s="23" t="n">
        <f aca="false">IFERROR(SUMPRODUCT(BR29:BU29,BW32:BZ32)/SUM(BR29:BU29),"")</f>
        <v>-0.0561692669882612</v>
      </c>
      <c r="CB32" s="23" t="n">
        <f aca="false">CHOOSE(MATCH($CF$2,{"Bull","Base","Bear"},0),$CO$42,$CP$42,$CQ$42)</f>
        <v>0.02</v>
      </c>
      <c r="CC32" s="23" t="n">
        <f aca="false">CHOOSE(MATCH($CF$2,{"Bull","Base","Bear"},0),$CO$43,$CP$43,$CQ$43)</f>
        <v>0.02</v>
      </c>
      <c r="CD32" s="23" t="n">
        <f aca="false">CHOOSE(MATCH($CF$2,{"Bull","Base","Bear"},0),$CO$44,$CP$44,$CQ$44)</f>
        <v>0.02</v>
      </c>
      <c r="CE32" s="23" t="n">
        <f aca="false">CHOOSE(MATCH($CF$2,{"Bull","Base","Bear"},0),$CO$45,$CP$45,$CQ$45)</f>
        <v>0.02</v>
      </c>
      <c r="CF32" s="19" t="s">
        <v>118</v>
      </c>
      <c r="CN32" s="26" t="s">
        <v>163</v>
      </c>
      <c r="CO32" s="45" t="n">
        <f aca="false">CP32+$CO$31</f>
        <v>0.04</v>
      </c>
      <c r="CP32" s="27" t="n">
        <v>0.03</v>
      </c>
      <c r="CQ32" s="45" t="n">
        <f aca="false">CP32+$CQ$31</f>
        <v>0.02</v>
      </c>
    </row>
    <row r="33" customFormat="false" ht="15" hidden="false" customHeight="false" outlineLevel="0" collapsed="false">
      <c r="B33" s="26" t="s">
        <v>121</v>
      </c>
      <c r="Y33" s="28" t="n">
        <v>-0.022299</v>
      </c>
      <c r="Z33" s="28" t="n">
        <v>-0.027359</v>
      </c>
      <c r="AA33" s="28" t="n">
        <v>-0.009799</v>
      </c>
      <c r="AB33" s="28" t="n">
        <v>-0.001526</v>
      </c>
      <c r="AC33" s="28" t="n">
        <v>-0.015888</v>
      </c>
      <c r="AD33" s="28" t="n">
        <v>0.025735</v>
      </c>
      <c r="AE33" s="28" t="n">
        <v>0.033302</v>
      </c>
      <c r="AF33" s="28" t="n">
        <v>0.028821</v>
      </c>
      <c r="AG33" s="28" t="n">
        <v>0.05558</v>
      </c>
      <c r="AH33" s="28" t="n">
        <v>0.036127</v>
      </c>
      <c r="AI33" s="28" t="n">
        <v>0.054458</v>
      </c>
      <c r="AJ33" s="28" t="n">
        <v>0.054927</v>
      </c>
      <c r="AK33" s="28" t="n">
        <v>0.052425</v>
      </c>
      <c r="AL33" s="28" t="n">
        <v>0.037598</v>
      </c>
      <c r="AM33" s="28" t="n">
        <v>0.048033</v>
      </c>
      <c r="AN33" s="28" t="n">
        <v>0.026181</v>
      </c>
      <c r="AO33" s="28" t="n">
        <v>0.011657</v>
      </c>
      <c r="AP33" s="28" t="n">
        <v>0.002896</v>
      </c>
      <c r="AQ33" s="28" t="n">
        <v>-0.003463</v>
      </c>
      <c r="AR33" s="28" t="n">
        <v>0.009958</v>
      </c>
      <c r="AS33" s="28" t="n">
        <v>-0.007754</v>
      </c>
      <c r="AT33" s="28" t="n">
        <v>-0.006029</v>
      </c>
      <c r="AU33" s="28" t="n">
        <v>0.000341</v>
      </c>
      <c r="AV33" s="28" t="n">
        <v>0.005036</v>
      </c>
      <c r="AW33" s="28" t="n">
        <v>-0.002107</v>
      </c>
      <c r="AX33" s="28" t="n">
        <v>0.023342</v>
      </c>
      <c r="AY33" s="28" t="n">
        <v>0.08304</v>
      </c>
      <c r="AZ33" s="28" t="n">
        <v>0.107674</v>
      </c>
      <c r="BA33" s="28" t="n">
        <v>0.139304</v>
      </c>
      <c r="BB33" s="28" t="n">
        <v>0.089548</v>
      </c>
      <c r="BC33" s="28" t="n">
        <v>0.233953</v>
      </c>
      <c r="BD33" s="28" t="n">
        <v>0.185507</v>
      </c>
      <c r="BE33" s="28" t="n">
        <v>0.138358</v>
      </c>
      <c r="BF33" s="28" t="n">
        <v>0.116878</v>
      </c>
      <c r="BG33" s="28" t="n">
        <v>0.167837</v>
      </c>
      <c r="BH33" s="28" t="n">
        <v>0.057623</v>
      </c>
      <c r="BI33" s="28" t="n">
        <v>0.004222</v>
      </c>
      <c r="BJ33" s="28" t="n">
        <v>0.002203</v>
      </c>
      <c r="BK33" s="28" t="n">
        <v>-0.006803</v>
      </c>
      <c r="BL33" s="28" t="n">
        <v>0.015395</v>
      </c>
      <c r="BM33" s="28" t="n">
        <v>-0.015886</v>
      </c>
      <c r="BN33" s="28" t="n">
        <v>-0.012427</v>
      </c>
      <c r="BO33" s="28" t="n">
        <v>-0.005574</v>
      </c>
      <c r="BP33" s="28" t="n">
        <v>0.000325</v>
      </c>
      <c r="BQ33" s="28" t="n">
        <v>-0.008089</v>
      </c>
      <c r="BR33" s="28" t="n">
        <v>0.003512</v>
      </c>
      <c r="BS33" s="28" t="n">
        <v>0.003568</v>
      </c>
      <c r="BT33" s="28" t="n">
        <v>0.00043</v>
      </c>
      <c r="BU33" s="28" t="n">
        <v>0.005305</v>
      </c>
      <c r="BV33" s="28" t="n">
        <v>0.003279</v>
      </c>
      <c r="BW33" s="28" t="n">
        <v>0.001356</v>
      </c>
      <c r="BX33" s="28" t="n">
        <v>0.016218</v>
      </c>
      <c r="BY33" s="23" t="n">
        <f aca="false">$BX$33</f>
        <v>0.016218</v>
      </c>
      <c r="BZ33" s="23" t="n">
        <f aca="false">$BX$33</f>
        <v>0.016218</v>
      </c>
      <c r="CA33" s="23" t="n">
        <f aca="false">IFERROR(SUMPRODUCT(BR29:BU29,BW33:BZ33)/SUM(BR29:BU29),"")</f>
        <v>0.0127205169256552</v>
      </c>
      <c r="CB33" s="23" t="n">
        <f aca="false">CHOOSE(MATCH($CF$2,{"Bull","Base","Bear"},0),$CO$47,$CP$47,$CQ$47)</f>
        <v>0.015</v>
      </c>
      <c r="CC33" s="23" t="n">
        <f aca="false">CHOOSE(MATCH($CF$2,{"Bull","Base","Bear"},0),$CO$48,$CP$48,$CQ$48)</f>
        <v>0.015</v>
      </c>
      <c r="CD33" s="23" t="n">
        <f aca="false">CHOOSE(MATCH($CF$2,{"Bull","Base","Bear"},0),$CO$49,$CP$49,$CQ$49)</f>
        <v>0.015</v>
      </c>
      <c r="CE33" s="23" t="n">
        <f aca="false">CHOOSE(MATCH($CF$2,{"Bull","Base","Bear"},0),$CO$50,$CP$50,$CQ$50)</f>
        <v>0.015</v>
      </c>
      <c r="CF33" s="19" t="s">
        <v>122</v>
      </c>
      <c r="CN33" s="26" t="s">
        <v>166</v>
      </c>
      <c r="CO33" s="45" t="n">
        <f aca="false">CP33+$CO$31</f>
        <v>0.035</v>
      </c>
      <c r="CP33" s="27" t="n">
        <v>0.025</v>
      </c>
      <c r="CQ33" s="45" t="n">
        <f aca="false">CP33+$CQ$31</f>
        <v>0.015</v>
      </c>
    </row>
    <row r="34" customFormat="false" ht="15" hidden="false" customHeight="false" outlineLevel="0" collapsed="false">
      <c r="B34" s="26" t="s">
        <v>126</v>
      </c>
      <c r="Y34" s="28" t="n">
        <v>0.024884</v>
      </c>
      <c r="Z34" s="28" t="n">
        <v>0.026084</v>
      </c>
      <c r="AA34" s="28" t="n">
        <v>0.011353</v>
      </c>
      <c r="AB34" s="28" t="n">
        <v>0</v>
      </c>
      <c r="AC34" s="28" t="n">
        <v>0.016254</v>
      </c>
      <c r="AD34" s="28" t="n">
        <v>0</v>
      </c>
      <c r="AE34" s="28" t="n">
        <v>0</v>
      </c>
      <c r="AF34" s="28" t="n">
        <v>0.514536</v>
      </c>
      <c r="AG34" s="28" t="n">
        <v>0.856858</v>
      </c>
      <c r="AH34" s="28" t="n">
        <v>0.341876</v>
      </c>
      <c r="AI34" s="28" t="n">
        <v>0.798724</v>
      </c>
      <c r="AJ34" s="28" t="n">
        <v>0.680702</v>
      </c>
      <c r="AK34" s="28" t="n">
        <v>0.143378</v>
      </c>
      <c r="AL34" s="28" t="n">
        <v>0</v>
      </c>
      <c r="AM34" s="28" t="n">
        <v>0.314351</v>
      </c>
      <c r="AN34" s="28" t="n">
        <v>0</v>
      </c>
      <c r="AO34" s="28" t="n">
        <v>0</v>
      </c>
      <c r="AP34" s="28" t="n">
        <v>0.083069</v>
      </c>
      <c r="AQ34" s="28" t="n">
        <v>0.08953</v>
      </c>
      <c r="AR34" s="28" t="n">
        <v>0.040294</v>
      </c>
      <c r="AS34" s="28" t="n">
        <v>0.083921</v>
      </c>
      <c r="AT34" s="28" t="n">
        <v>0.071684</v>
      </c>
      <c r="AU34" s="28" t="n">
        <v>0</v>
      </c>
      <c r="AV34" s="28" t="n">
        <v>0</v>
      </c>
      <c r="AW34" s="28" t="n">
        <v>0.039234</v>
      </c>
      <c r="AX34" s="28" t="n">
        <v>0</v>
      </c>
      <c r="AY34" s="28" t="n">
        <v>0.020235</v>
      </c>
      <c r="AZ34" s="28" t="n">
        <v>0.017117</v>
      </c>
      <c r="BA34" s="28" t="n">
        <v>0.081557</v>
      </c>
      <c r="BB34" s="28" t="n">
        <v>0.031104</v>
      </c>
      <c r="BC34" s="28" t="n">
        <v>0.079039</v>
      </c>
      <c r="BD34" s="28" t="n">
        <v>0</v>
      </c>
      <c r="BE34" s="28" t="n">
        <v>0</v>
      </c>
      <c r="BF34" s="28" t="n">
        <v>0</v>
      </c>
      <c r="BG34" s="28" t="n">
        <v>0.018597</v>
      </c>
      <c r="BH34" s="28" t="n">
        <v>0.028507</v>
      </c>
      <c r="BI34" s="28" t="n">
        <v>0.025394</v>
      </c>
      <c r="BJ34" s="28" t="n">
        <v>0.048795</v>
      </c>
      <c r="BK34" s="28" t="n">
        <v>0.124012</v>
      </c>
      <c r="BL34" s="28" t="n">
        <v>0.056669</v>
      </c>
      <c r="BM34" s="28" t="n">
        <v>0</v>
      </c>
      <c r="BN34" s="28" t="n">
        <v>0.000225</v>
      </c>
      <c r="BO34" s="28" t="n">
        <v>0.004397</v>
      </c>
      <c r="BP34" s="28" t="n">
        <v>0.001845</v>
      </c>
      <c r="BQ34" s="28" t="n">
        <v>0.001596</v>
      </c>
      <c r="BR34" s="28" t="n">
        <v>0.003457</v>
      </c>
      <c r="BS34" s="28" t="n">
        <v>0.001319</v>
      </c>
      <c r="BT34" s="28" t="n">
        <v>0.036388</v>
      </c>
      <c r="BU34" s="28" t="n">
        <v>0.045761</v>
      </c>
      <c r="BV34" s="28" t="n">
        <v>0.021545</v>
      </c>
      <c r="BW34" s="28" t="n">
        <v>0.072099</v>
      </c>
      <c r="BX34" s="28" t="n">
        <v>0.06955</v>
      </c>
      <c r="BY34" s="30" t="n">
        <v>0.035</v>
      </c>
      <c r="BZ34" s="30" t="n">
        <v>0</v>
      </c>
      <c r="CA34" s="23" t="n">
        <f aca="false">IFERROR(SUMPRODUCT(BR29:BU29,BW34:BZ34)/SUM(BR29:BU29),"")</f>
        <v>0.0426205768172614</v>
      </c>
      <c r="CB34" s="30" t="n">
        <v>0</v>
      </c>
      <c r="CC34" s="30" t="n">
        <v>0</v>
      </c>
      <c r="CD34" s="30" t="n">
        <v>0</v>
      </c>
      <c r="CE34" s="30" t="n">
        <v>0</v>
      </c>
      <c r="CF34" s="19" t="s">
        <v>127</v>
      </c>
      <c r="CN34" s="26" t="s">
        <v>167</v>
      </c>
      <c r="CO34" s="45" t="n">
        <f aca="false">CP34+$CO$31</f>
        <v>0.035</v>
      </c>
      <c r="CP34" s="27" t="n">
        <v>0.025</v>
      </c>
      <c r="CQ34" s="45" t="n">
        <f aca="false">CP34+$CQ$31</f>
        <v>0.015</v>
      </c>
    </row>
    <row r="35" customFormat="false" ht="15" hidden="false" customHeight="false" outlineLevel="0" collapsed="false">
      <c r="B35" s="26" t="s">
        <v>129</v>
      </c>
      <c r="Y35" s="28" t="n">
        <v>-0.039355</v>
      </c>
      <c r="Z35" s="28" t="n">
        <v>-0.026908</v>
      </c>
      <c r="AA35" s="28" t="n">
        <v>-0.018622</v>
      </c>
      <c r="AB35" s="28" t="n">
        <v>-0.02517</v>
      </c>
      <c r="AC35" s="28" t="n">
        <v>-0.02778</v>
      </c>
      <c r="AD35" s="28" t="n">
        <v>-0.015792</v>
      </c>
      <c r="AE35" s="28" t="n">
        <v>-0.000881</v>
      </c>
      <c r="AF35" s="28" t="n">
        <v>0.042647</v>
      </c>
      <c r="AG35" s="28" t="n">
        <v>0.072402</v>
      </c>
      <c r="AH35" s="28" t="n">
        <v>0.024592</v>
      </c>
      <c r="AI35" s="28" t="n">
        <v>0.102446</v>
      </c>
      <c r="AJ35" s="28" t="n">
        <v>0.029357</v>
      </c>
      <c r="AK35" s="28" t="n">
        <v>-0.030514</v>
      </c>
      <c r="AL35" s="28" t="n">
        <v>-0.042938</v>
      </c>
      <c r="AM35" s="28" t="n">
        <v>0.000463</v>
      </c>
      <c r="AN35" s="28" t="n">
        <v>-0.071939</v>
      </c>
      <c r="AO35" s="28" t="n">
        <v>-0.042544</v>
      </c>
      <c r="AP35" s="28" t="n">
        <v>-0.044356</v>
      </c>
      <c r="AQ35" s="28" t="n">
        <v>-0.01213</v>
      </c>
      <c r="AR35" s="28" t="n">
        <v>-0.043604</v>
      </c>
      <c r="AS35" s="28" t="n">
        <v>-0.028736</v>
      </c>
      <c r="AT35" s="28" t="n">
        <v>-0.021789</v>
      </c>
      <c r="AU35" s="28" t="n">
        <v>0.011944</v>
      </c>
      <c r="AV35" s="28" t="n">
        <v>0.011052</v>
      </c>
      <c r="AW35" s="28" t="n">
        <v>-0.007051</v>
      </c>
      <c r="AX35" s="28" t="n">
        <v>0.046917</v>
      </c>
      <c r="AY35" s="28" t="n">
        <v>0.066564</v>
      </c>
      <c r="AZ35" s="28" t="n">
        <v>-0.00914</v>
      </c>
      <c r="BA35" s="28" t="n">
        <v>-0.069494</v>
      </c>
      <c r="BB35" s="28" t="n">
        <v>0.005532</v>
      </c>
      <c r="BC35" s="28" t="n">
        <v>-0.151677</v>
      </c>
      <c r="BD35" s="28" t="n">
        <v>-0.180993</v>
      </c>
      <c r="BE35" s="28" t="n">
        <v>-0.209698</v>
      </c>
      <c r="BF35" s="28" t="n">
        <v>-0.140273</v>
      </c>
      <c r="BG35" s="28" t="n">
        <v>-0.170428</v>
      </c>
      <c r="BH35" s="28" t="n">
        <v>-0.051128</v>
      </c>
      <c r="BI35" s="28" t="n">
        <v>0.003212</v>
      </c>
      <c r="BJ35" s="28" t="n">
        <v>0.037765</v>
      </c>
      <c r="BK35" s="28" t="n">
        <v>0.035761</v>
      </c>
      <c r="BL35" s="28" t="n">
        <v>0.00465</v>
      </c>
      <c r="BM35" s="28" t="n">
        <v>-0.001478</v>
      </c>
      <c r="BN35" s="28" t="n">
        <v>-0.007877</v>
      </c>
      <c r="BO35" s="28" t="n">
        <v>0.014041</v>
      </c>
      <c r="BP35" s="28" t="n">
        <v>-0.013355</v>
      </c>
      <c r="BQ35" s="28" t="n">
        <v>-0.002762</v>
      </c>
      <c r="BR35" s="28" t="n">
        <v>-0.019914</v>
      </c>
      <c r="BS35" s="28" t="n">
        <v>0.037992</v>
      </c>
      <c r="BT35" s="28" t="n">
        <v>0.021357</v>
      </c>
      <c r="BU35" s="28" t="n">
        <v>0.051852</v>
      </c>
      <c r="BV35" s="28" t="n">
        <v>0.023126</v>
      </c>
      <c r="BW35" s="28" t="n">
        <v>0.061691</v>
      </c>
      <c r="BX35" s="28" t="n">
        <v>0.006142</v>
      </c>
      <c r="BY35" s="23" t="n">
        <f aca="false">$BX$35</f>
        <v>0.006142</v>
      </c>
      <c r="BZ35" s="23" t="n">
        <f aca="false">$BX$35</f>
        <v>0.006142</v>
      </c>
      <c r="CA35" s="23" t="n">
        <f aca="false">IFERROR(SUMPRODUCT(BR29:BU29,BW35:BZ35)/SUM(BR29:BU29),"")</f>
        <v>0.0192143783674324</v>
      </c>
      <c r="CB35" s="30" t="n">
        <v>0</v>
      </c>
      <c r="CC35" s="30" t="n">
        <v>0</v>
      </c>
      <c r="CD35" s="30" t="n">
        <v>0</v>
      </c>
      <c r="CE35" s="30" t="n">
        <v>0</v>
      </c>
      <c r="CF35" s="19" t="s">
        <v>130</v>
      </c>
      <c r="CN35" s="26" t="s">
        <v>168</v>
      </c>
      <c r="CO35" s="45" t="n">
        <f aca="false">CP35+$CO$31</f>
        <v>0.035</v>
      </c>
      <c r="CP35" s="27" t="n">
        <v>0.025</v>
      </c>
      <c r="CQ35" s="45" t="n">
        <f aca="false">CP35+$CQ$31</f>
        <v>0.015</v>
      </c>
    </row>
    <row r="36" customFormat="false" ht="15" hidden="false" customHeight="false" outlineLevel="0" collapsed="false">
      <c r="B36" s="15" t="s">
        <v>133</v>
      </c>
      <c r="C36" s="32" t="str">
        <f aca="false">IF(ISNUMBER(C32),C32+C33+C34+C35,"")</f>
        <v/>
      </c>
      <c r="D36" s="32" t="str">
        <f aca="false">IF(ISNUMBER(D32),D32+D33+D34+D35,"")</f>
        <v/>
      </c>
      <c r="E36" s="32" t="str">
        <f aca="false">IF(ISNUMBER(E32),E32+E33+E34+E35,"")</f>
        <v/>
      </c>
      <c r="F36" s="32" t="str">
        <f aca="false">IF(ISNUMBER(F32),F32+F33+F34+F35,"")</f>
        <v/>
      </c>
      <c r="G36" s="32" t="str">
        <f aca="false">IF(ISNUMBER(G32),G32+G33+G34+G35,"")</f>
        <v/>
      </c>
      <c r="H36" s="32" t="str">
        <f aca="false">IF(ISNUMBER(H32),H32+H33+H34+H35,"")</f>
        <v/>
      </c>
      <c r="I36" s="32" t="str">
        <f aca="false">IF(ISNUMBER(I32),I32+I33+I34+I35,"")</f>
        <v/>
      </c>
      <c r="J36" s="32" t="str">
        <f aca="false">IF(ISNUMBER(J32),J32+J33+J34+J35,"")</f>
        <v/>
      </c>
      <c r="K36" s="32" t="str">
        <f aca="false">IF(ISNUMBER(K32),K32+K33+K34+K35,"")</f>
        <v/>
      </c>
      <c r="L36" s="32" t="str">
        <f aca="false">IF(ISNUMBER(L32),L32+L33+L34+L35,"")</f>
        <v/>
      </c>
      <c r="M36" s="32" t="str">
        <f aca="false">IF(ISNUMBER(M32),M32+M33+M34+M35,"")</f>
        <v/>
      </c>
      <c r="N36" s="32" t="str">
        <f aca="false">IF(ISNUMBER(N32),N32+N33+N34+N35,"")</f>
        <v/>
      </c>
      <c r="O36" s="32" t="str">
        <f aca="false">IF(ISNUMBER(O32),O32+O33+O34+O35,"")</f>
        <v/>
      </c>
      <c r="P36" s="32" t="str">
        <f aca="false">IF(ISNUMBER(P32),P32+P33+P34+P35,"")</f>
        <v/>
      </c>
      <c r="Q36" s="32" t="str">
        <f aca="false">IF(ISNUMBER(Q32),Q32+Q33+Q34+Q35,"")</f>
        <v/>
      </c>
      <c r="R36" s="32" t="str">
        <f aca="false">IF(ISNUMBER(R32),R32+R33+R34+R35,"")</f>
        <v/>
      </c>
      <c r="S36" s="32" t="str">
        <f aca="false">IF(ISNUMBER(S32),S32+S33+S34+S35,"")</f>
        <v/>
      </c>
      <c r="T36" s="32" t="str">
        <f aca="false">IF(ISNUMBER(T32),T32+T33+T34+T35,"")</f>
        <v/>
      </c>
      <c r="U36" s="32" t="str">
        <f aca="false">IF(ISNUMBER(U32),U32+U33+U34+U35,"")</f>
        <v/>
      </c>
      <c r="V36" s="32" t="str">
        <f aca="false">IF(ISNUMBER(V32),V32+V33+V34+V35,"")</f>
        <v/>
      </c>
      <c r="W36" s="32" t="str">
        <f aca="false">IF(ISNUMBER(W32),W32+W33+W34+W35,"")</f>
        <v/>
      </c>
      <c r="X36" s="32" t="str">
        <f aca="false">IF(ISNUMBER(X32),X32+X33+X34+X35,"")</f>
        <v/>
      </c>
      <c r="Y36" s="32" t="n">
        <f aca="false">IF(ISNUMBER(Y32),Y32+Y33+Y34+Y35,"")</f>
        <v>-0.107307</v>
      </c>
      <c r="Z36" s="32" t="n">
        <f aca="false">IF(ISNUMBER(Z32),Z32+Z33+Z34+Z35,"")</f>
        <v>-0.064202</v>
      </c>
      <c r="AA36" s="32" t="n">
        <f aca="false">IF(ISNUMBER(AA32),AA32+AA33+AA34+AA35,"")</f>
        <v>-0.066431</v>
      </c>
      <c r="AB36" s="32" t="n">
        <f aca="false">IF(ISNUMBER(AB32),AB32+AB33+AB34+AB35,"")</f>
        <v>0.077475</v>
      </c>
      <c r="AC36" s="32" t="n">
        <f aca="false">IF(ISNUMBER(AC32),AC32+AC33+AC34+AC35,"")</f>
        <v>-0.043681</v>
      </c>
      <c r="AD36" s="32" t="n">
        <f aca="false">IF(ISNUMBER(AD32),AD32+AD33+AD34+AD35,"")</f>
        <v>0.036869</v>
      </c>
      <c r="AE36" s="32" t="n">
        <f aca="false">IF(ISNUMBER(AE32),AE32+AE33+AE34+AE35,"")</f>
        <v>0.065377</v>
      </c>
      <c r="AF36" s="32" t="n">
        <f aca="false">IF(ISNUMBER(AF32),AF32+AF33+AF34+AF35,"")</f>
        <v>0.652813</v>
      </c>
      <c r="AG36" s="32" t="n">
        <f aca="false">IF(ISNUMBER(AG32),AG32+AG33+AG34+AG35,"")</f>
        <v>0.96027</v>
      </c>
      <c r="AH36" s="32" t="n">
        <f aca="false">IF(ISNUMBER(AH32),AH32+AH33+AH34+AH35,"")</f>
        <v>0.427242</v>
      </c>
      <c r="AI36" s="32" t="n">
        <f aca="false">IF(ISNUMBER(AI32),AI32+AI33+AI34+AI35,"")</f>
        <v>0.918875</v>
      </c>
      <c r="AJ36" s="32" t="n">
        <f aca="false">IF(ISNUMBER(AJ32),AJ32+AJ33+AJ34+AJ35,"")</f>
        <v>0.719975</v>
      </c>
      <c r="AK36" s="32" t="n">
        <f aca="false">IF(ISNUMBER(AK32),AK32+AK33+AK34+AK35,"")</f>
        <v>0.060748</v>
      </c>
      <c r="AL36" s="32" t="n">
        <f aca="false">IF(ISNUMBER(AL32),AL32+AL33+AL34+AL35,"")</f>
        <v>-0.142821</v>
      </c>
      <c r="AM36" s="32" t="n">
        <f aca="false">IF(ISNUMBER(AM32),AM32+AM33+AM34+AM35,"")</f>
        <v>0.27036</v>
      </c>
      <c r="AN36" s="32" t="n">
        <f aca="false">IF(ISNUMBER(AN32),AN32+AN33+AN34+AN35,"")</f>
        <v>-0.118203</v>
      </c>
      <c r="AO36" s="32" t="n">
        <f aca="false">IF(ISNUMBER(AO32),AO32+AO33+AO34+AO35,"")</f>
        <v>-0.127652</v>
      </c>
      <c r="AP36" s="32" t="n">
        <f aca="false">IF(ISNUMBER(AP32),AP32+AP33+AP34+AP35,"")</f>
        <v>-0.020245</v>
      </c>
      <c r="AQ36" s="32" t="n">
        <f aca="false">IF(ISNUMBER(AQ32),AQ32+AQ33+AQ34+AQ35,"")</f>
        <v>-0.003874</v>
      </c>
      <c r="AR36" s="32" t="n">
        <f aca="false">IF(ISNUMBER(AR32),AR32+AR33+AR34+AR35,"")</f>
        <v>-0.071099</v>
      </c>
      <c r="AS36" s="32" t="n">
        <f aca="false">IF(ISNUMBER(AS32),AS32+AS33+AS34+AS35,"")</f>
        <v>-0.092454</v>
      </c>
      <c r="AT36" s="32" t="n">
        <f aca="false">IF(ISNUMBER(AT32),AT32+AT33+AT34+AT35,"")</f>
        <v>-0.165511</v>
      </c>
      <c r="AU36" s="32" t="n">
        <f aca="false">IF(ISNUMBER(AU32),AU32+AU33+AU34+AU35,"")</f>
        <v>-0.041099</v>
      </c>
      <c r="AV36" s="32" t="n">
        <f aca="false">IF(ISNUMBER(AV32),AV32+AV33+AV34+AV35,"")</f>
        <v>-0.017493</v>
      </c>
      <c r="AW36" s="32" t="n">
        <f aca="false">IF(ISNUMBER(AW32),AW32+AW33+AW34+AW35,"")</f>
        <v>-0.079084</v>
      </c>
      <c r="AX36" s="32" t="n">
        <f aca="false">IF(ISNUMBER(AX32),AX32+AX33+AX34+AX35,"")</f>
        <v>0.127099</v>
      </c>
      <c r="AY36" s="32" t="n">
        <f aca="false">IF(ISNUMBER(AY32),AY32+AY33+AY34+AY35,"")</f>
        <v>0.424373</v>
      </c>
      <c r="AZ36" s="32" t="n">
        <f aca="false">IF(ISNUMBER(AZ32),AZ32+AZ33+AZ34+AZ35,"")</f>
        <v>0.153491</v>
      </c>
      <c r="BA36" s="32" t="n">
        <f aca="false">IF(ISNUMBER(BA32),BA32+BA33+BA34+BA35,"")</f>
        <v>0.143154</v>
      </c>
      <c r="BB36" s="32" t="n">
        <f aca="false">IF(ISNUMBER(BB32),BB32+BB33+BB34+BB35,"")</f>
        <v>0.205025</v>
      </c>
      <c r="BC36" s="32" t="n">
        <f aca="false">IF(ISNUMBER(BC32),BC32+BC33+BC34+BC35,"")</f>
        <v>0.156725</v>
      </c>
      <c r="BD36" s="32" t="n">
        <f aca="false">IF(ISNUMBER(BD32),BD32+BD33+BD34+BD35,"")</f>
        <v>-0.062305</v>
      </c>
      <c r="BE36" s="32" t="n">
        <f aca="false">IF(ISNUMBER(BE32),BE32+BE33+BE34+BE35,"")</f>
        <v>-0.046961</v>
      </c>
      <c r="BF36" s="32" t="n">
        <f aca="false">IF(ISNUMBER(BF32),BF32+BF33+BF34+BF35,"")</f>
        <v>-0.00983700000000001</v>
      </c>
      <c r="BG36" s="32" t="n">
        <f aca="false">IF(ISNUMBER(BG32),BG32+BG33+BG34+BG35,"")</f>
        <v>0.006494</v>
      </c>
      <c r="BH36" s="32" t="n">
        <f aca="false">IF(ISNUMBER(BH32),BH32+BH33+BH34+BH35,"")</f>
        <v>-0.021799</v>
      </c>
      <c r="BI36" s="32" t="n">
        <f aca="false">IF(ISNUMBER(BI32),BI32+BI33+BI34+BI35,"")</f>
        <v>0.070888</v>
      </c>
      <c r="BJ36" s="32" t="n">
        <f aca="false">IF(ISNUMBER(BJ32),BJ32+BJ33+BJ34+BJ35,"")</f>
        <v>0.117844</v>
      </c>
      <c r="BK36" s="32" t="n">
        <f aca="false">IF(ISNUMBER(BK32),BK32+BK33+BK34+BK35,"")</f>
        <v>0.201811</v>
      </c>
      <c r="BL36" s="32" t="n">
        <f aca="false">IF(ISNUMBER(BL32),BL32+BL33+BL34+BL35,"")</f>
        <v>0.089833</v>
      </c>
      <c r="BM36" s="32" t="n">
        <f aca="false">IF(ISNUMBER(BM32),BM32+BM33+BM34+BM35,"")</f>
        <v>-0.065982</v>
      </c>
      <c r="BN36" s="32" t="n">
        <f aca="false">IF(ISNUMBER(BN32),BN32+BN33+BN34+BN35,"")</f>
        <v>-0.057794</v>
      </c>
      <c r="BO36" s="32" t="n">
        <f aca="false">IF(ISNUMBER(BO32),BO32+BO33+BO34+BO35,"")</f>
        <v>-0.106548</v>
      </c>
      <c r="BP36" s="32" t="n">
        <f aca="false">IF(ISNUMBER(BP32),BP32+BP33+BP34+BP35,"")</f>
        <v>-0.168384</v>
      </c>
      <c r="BQ36" s="32" t="n">
        <f aca="false">IF(ISNUMBER(BQ32),BQ32+BQ33+BQ34+BQ35,"")</f>
        <v>-0.102195</v>
      </c>
      <c r="BR36" s="32" t="n">
        <f aca="false">IF(ISNUMBER(BR32),BR32+BR33+BR34+BR35,"")</f>
        <v>-0.070834</v>
      </c>
      <c r="BS36" s="32" t="n">
        <f aca="false">IF(ISNUMBER(BS32),BS32+BS33+BS34+BS35,"")</f>
        <v>-0.024855</v>
      </c>
      <c r="BT36" s="32" t="n">
        <f aca="false">IF(ISNUMBER(BT32),BT32+BT33+BT34+BT35,"")</f>
        <v>0.015747</v>
      </c>
      <c r="BU36" s="32" t="n">
        <f aca="false">IF(ISNUMBER(BU32),BU32+BU33+BU34+BU35,"")</f>
        <v>0.06738</v>
      </c>
      <c r="BV36" s="32" t="n">
        <f aca="false">IF(ISNUMBER(BV32),BV32+BV33+BV34+BV35,"")</f>
        <v>-0.00306</v>
      </c>
      <c r="BW36" s="32" t="n">
        <f aca="false">IF(ISNUMBER(BW32),BW32+BW33+BW34+BW35,"")</f>
        <v>0.036402</v>
      </c>
      <c r="BX36" s="32" t="n">
        <f aca="false">IF(ISNUMBER(BX32),BX32+BX33+BX34+BX35,"")</f>
        <v>0.04496</v>
      </c>
      <c r="BY36" s="33" t="n">
        <f aca="false">BY32+BY33+BY34+BY35</f>
        <v>0.016180914169636</v>
      </c>
      <c r="BZ36" s="33" t="n">
        <f aca="false">BZ32+BZ33+BZ34+BZ35</f>
        <v>-0.018819085830364</v>
      </c>
      <c r="CA36" s="33" t="n">
        <f aca="false">CA32+CA33+CA34+CA35</f>
        <v>0.0183862051220878</v>
      </c>
      <c r="CB36" s="33" t="n">
        <f aca="false">CB32+CB33+CB34+CB35</f>
        <v>0.035</v>
      </c>
      <c r="CC36" s="33" t="n">
        <f aca="false">CC32+CC33+CC34+CC35</f>
        <v>0.035</v>
      </c>
      <c r="CD36" s="33" t="n">
        <f aca="false">CD32+CD33+CD34+CD35</f>
        <v>0.035</v>
      </c>
      <c r="CE36" s="33" t="n">
        <f aca="false">CE32+CE33+CE34+CE35</f>
        <v>0.035</v>
      </c>
      <c r="CN36" s="42" t="s">
        <v>171</v>
      </c>
      <c r="CO36" s="43" t="n">
        <v>0.015</v>
      </c>
      <c r="CP36" s="44" t="s">
        <v>161</v>
      </c>
      <c r="CQ36" s="43" t="n">
        <v>-0.015</v>
      </c>
      <c r="CR36" s="14" t="s">
        <v>172</v>
      </c>
    </row>
    <row r="37" customFormat="false" ht="15" hidden="false" customHeight="false" outlineLevel="0" collapsed="false">
      <c r="B37" s="26" t="s">
        <v>136</v>
      </c>
      <c r="C37" s="34" t="str">
        <f aca="false">IF(ISNUMBER(C32),C32+C33,"")</f>
        <v/>
      </c>
      <c r="D37" s="34" t="str">
        <f aca="false">IF(ISNUMBER(D32),D32+D33,"")</f>
        <v/>
      </c>
      <c r="E37" s="34" t="str">
        <f aca="false">IF(ISNUMBER(E32),E32+E33,"")</f>
        <v/>
      </c>
      <c r="F37" s="34" t="str">
        <f aca="false">IF(ISNUMBER(F32),F32+F33,"")</f>
        <v/>
      </c>
      <c r="G37" s="34" t="str">
        <f aca="false">IF(ISNUMBER(G32),G32+G33,"")</f>
        <v/>
      </c>
      <c r="H37" s="34" t="str">
        <f aca="false">IF(ISNUMBER(H32),H32+H33,"")</f>
        <v/>
      </c>
      <c r="I37" s="34" t="str">
        <f aca="false">IF(ISNUMBER(I32),I32+I33,"")</f>
        <v/>
      </c>
      <c r="J37" s="34" t="str">
        <f aca="false">IF(ISNUMBER(J32),J32+J33,"")</f>
        <v/>
      </c>
      <c r="K37" s="34" t="str">
        <f aca="false">IF(ISNUMBER(K32),K32+K33,"")</f>
        <v/>
      </c>
      <c r="L37" s="34" t="str">
        <f aca="false">IF(ISNUMBER(L32),L32+L33,"")</f>
        <v/>
      </c>
      <c r="M37" s="34" t="str">
        <f aca="false">IF(ISNUMBER(M32),M32+M33,"")</f>
        <v/>
      </c>
      <c r="N37" s="34" t="str">
        <f aca="false">IF(ISNUMBER(N32),N32+N33,"")</f>
        <v/>
      </c>
      <c r="O37" s="34" t="str">
        <f aca="false">IF(ISNUMBER(O32),O32+O33,"")</f>
        <v/>
      </c>
      <c r="P37" s="34" t="str">
        <f aca="false">IF(ISNUMBER(P32),P32+P33,"")</f>
        <v/>
      </c>
      <c r="Q37" s="34" t="str">
        <f aca="false">IF(ISNUMBER(Q32),Q32+Q33,"")</f>
        <v/>
      </c>
      <c r="R37" s="34" t="str">
        <f aca="false">IF(ISNUMBER(R32),R32+R33,"")</f>
        <v/>
      </c>
      <c r="S37" s="34" t="str">
        <f aca="false">IF(ISNUMBER(S32),S32+S33,"")</f>
        <v/>
      </c>
      <c r="T37" s="34" t="str">
        <f aca="false">IF(ISNUMBER(T32),T32+T33,"")</f>
        <v/>
      </c>
      <c r="U37" s="34" t="str">
        <f aca="false">IF(ISNUMBER(U32),U32+U33,"")</f>
        <v/>
      </c>
      <c r="V37" s="34" t="str">
        <f aca="false">IF(ISNUMBER(V32),V32+V33,"")</f>
        <v/>
      </c>
      <c r="W37" s="34" t="str">
        <f aca="false">IF(ISNUMBER(W32),W32+W33,"")</f>
        <v/>
      </c>
      <c r="X37" s="34" t="str">
        <f aca="false">IF(ISNUMBER(X32),X32+X33,"")</f>
        <v/>
      </c>
      <c r="Y37" s="34" t="n">
        <f aca="false">IF(ISNUMBER(Y32),Y32+Y33,"")</f>
        <v>-0.092836</v>
      </c>
      <c r="Z37" s="34" t="n">
        <f aca="false">IF(ISNUMBER(Z32),Z32+Z33,"")</f>
        <v>-0.063378</v>
      </c>
      <c r="AA37" s="34" t="n">
        <f aca="false">IF(ISNUMBER(AA32),AA32+AA33,"")</f>
        <v>-0.059162</v>
      </c>
      <c r="AB37" s="34" t="n">
        <f aca="false">IF(ISNUMBER(AB32),AB32+AB33,"")</f>
        <v>0.102645</v>
      </c>
      <c r="AC37" s="34" t="n">
        <f aca="false">IF(ISNUMBER(AC32),AC32+AC33,"")</f>
        <v>-0.032155</v>
      </c>
      <c r="AD37" s="34" t="n">
        <f aca="false">IF(ISNUMBER(AD32),AD32+AD33,"")</f>
        <v>0.052661</v>
      </c>
      <c r="AE37" s="34" t="n">
        <f aca="false">IF(ISNUMBER(AE32),AE32+AE33,"")</f>
        <v>0.066258</v>
      </c>
      <c r="AF37" s="34" t="n">
        <f aca="false">IF(ISNUMBER(AF32),AF32+AF33,"")</f>
        <v>0.09563</v>
      </c>
      <c r="AG37" s="34" t="n">
        <f aca="false">IF(ISNUMBER(AG32),AG32+AG33,"")</f>
        <v>0.03101</v>
      </c>
      <c r="AH37" s="34" t="n">
        <f aca="false">IF(ISNUMBER(AH32),AH32+AH33,"")</f>
        <v>0.060774</v>
      </c>
      <c r="AI37" s="34" t="n">
        <f aca="false">IF(ISNUMBER(AI32),AI32+AI33,"")</f>
        <v>0.017705</v>
      </c>
      <c r="AJ37" s="34" t="n">
        <f aca="false">IF(ISNUMBER(AJ32),AJ32+AJ33,"")</f>
        <v>0.00991599999999999</v>
      </c>
      <c r="AK37" s="34" t="n">
        <f aca="false">IF(ISNUMBER(AK32),AK32+AK33,"")</f>
        <v>-0.052116</v>
      </c>
      <c r="AL37" s="34" t="n">
        <f aca="false">IF(ISNUMBER(AL32),AL32+AL33,"")</f>
        <v>-0.099883</v>
      </c>
      <c r="AM37" s="34" t="n">
        <f aca="false">IF(ISNUMBER(AM32),AM32+AM33,"")</f>
        <v>-0.044454</v>
      </c>
      <c r="AN37" s="34" t="n">
        <f aca="false">IF(ISNUMBER(AN32),AN32+AN33,"")</f>
        <v>-0.046264</v>
      </c>
      <c r="AO37" s="34" t="n">
        <f aca="false">IF(ISNUMBER(AO32),AO32+AO33,"")</f>
        <v>-0.085108</v>
      </c>
      <c r="AP37" s="34" t="n">
        <f aca="false">IF(ISNUMBER(AP32),AP32+AP33,"")</f>
        <v>-0.058958</v>
      </c>
      <c r="AQ37" s="34" t="n">
        <f aca="false">IF(ISNUMBER(AQ32),AQ32+AQ33,"")</f>
        <v>-0.081274</v>
      </c>
      <c r="AR37" s="34" t="n">
        <f aca="false">IF(ISNUMBER(AR32),AR32+AR33,"")</f>
        <v>-0.067789</v>
      </c>
      <c r="AS37" s="34" t="n">
        <f aca="false">IF(ISNUMBER(AS32),AS32+AS33,"")</f>
        <v>-0.147639</v>
      </c>
      <c r="AT37" s="34" t="n">
        <f aca="false">IF(ISNUMBER(AT32),AT32+AT33,"")</f>
        <v>-0.215406</v>
      </c>
      <c r="AU37" s="34" t="n">
        <f aca="false">IF(ISNUMBER(AU32),AU32+AU33,"")</f>
        <v>-0.053043</v>
      </c>
      <c r="AV37" s="34" t="n">
        <f aca="false">IF(ISNUMBER(AV32),AV32+AV33,"")</f>
        <v>-0.028545</v>
      </c>
      <c r="AW37" s="34" t="n">
        <f aca="false">IF(ISNUMBER(AW32),AW32+AW33,"")</f>
        <v>-0.111267</v>
      </c>
      <c r="AX37" s="34" t="n">
        <f aca="false">IF(ISNUMBER(AX32),AX32+AX33,"")</f>
        <v>0.080182</v>
      </c>
      <c r="AY37" s="34" t="n">
        <f aca="false">IF(ISNUMBER(AY32),AY32+AY33,"")</f>
        <v>0.337574</v>
      </c>
      <c r="AZ37" s="34" t="n">
        <f aca="false">IF(ISNUMBER(AZ32),AZ32+AZ33,"")</f>
        <v>0.145514</v>
      </c>
      <c r="BA37" s="34" t="n">
        <f aca="false">IF(ISNUMBER(BA32),BA32+BA33,"")</f>
        <v>0.131091</v>
      </c>
      <c r="BB37" s="34" t="n">
        <f aca="false">IF(ISNUMBER(BB32),BB32+BB33,"")</f>
        <v>0.168389</v>
      </c>
      <c r="BC37" s="34" t="n">
        <f aca="false">IF(ISNUMBER(BC32),BC32+BC33,"")</f>
        <v>0.229363</v>
      </c>
      <c r="BD37" s="34" t="n">
        <f aca="false">IF(ISNUMBER(BD32),BD32+BD33,"")</f>
        <v>0.118688</v>
      </c>
      <c r="BE37" s="34" t="n">
        <f aca="false">IF(ISNUMBER(BE32),BE32+BE33,"")</f>
        <v>0.162737</v>
      </c>
      <c r="BF37" s="34" t="n">
        <f aca="false">IF(ISNUMBER(BF32),BF32+BF33,"")</f>
        <v>0.130436</v>
      </c>
      <c r="BG37" s="34" t="n">
        <f aca="false">IF(ISNUMBER(BG32),BG32+BG33,"")</f>
        <v>0.158325</v>
      </c>
      <c r="BH37" s="34" t="n">
        <f aca="false">IF(ISNUMBER(BH32),BH32+BH33,"")</f>
        <v>0.000822000000000003</v>
      </c>
      <c r="BI37" s="34" t="n">
        <f aca="false">IF(ISNUMBER(BI32),BI32+BI33,"")</f>
        <v>0.042282</v>
      </c>
      <c r="BJ37" s="34" t="n">
        <f aca="false">IF(ISNUMBER(BJ32),BJ32+BJ33,"")</f>
        <v>0.031284</v>
      </c>
      <c r="BK37" s="34" t="n">
        <f aca="false">IF(ISNUMBER(BK32),BK32+BK33,"")</f>
        <v>0.042038</v>
      </c>
      <c r="BL37" s="34" t="n">
        <f aca="false">IF(ISNUMBER(BL32),BL32+BL33,"")</f>
        <v>0.028514</v>
      </c>
      <c r="BM37" s="34" t="n">
        <f aca="false">IF(ISNUMBER(BM32),BM32+BM33,"")</f>
        <v>-0.064504</v>
      </c>
      <c r="BN37" s="34" t="n">
        <f aca="false">IF(ISNUMBER(BN32),BN32+BN33,"")</f>
        <v>-0.050142</v>
      </c>
      <c r="BO37" s="34" t="n">
        <f aca="false">IF(ISNUMBER(BO32),BO32+BO33,"")</f>
        <v>-0.124986</v>
      </c>
      <c r="BP37" s="34" t="n">
        <f aca="false">IF(ISNUMBER(BP32),BP32+BP33,"")</f>
        <v>-0.156874</v>
      </c>
      <c r="BQ37" s="34" t="n">
        <f aca="false">IF(ISNUMBER(BQ32),BQ32+BQ33,"")</f>
        <v>-0.101029</v>
      </c>
      <c r="BR37" s="34" t="n">
        <f aca="false">IF(ISNUMBER(BR32),BR32+BR33,"")</f>
        <v>-0.054377</v>
      </c>
      <c r="BS37" s="34" t="n">
        <f aca="false">IF(ISNUMBER(BS32),BS32+BS33,"")</f>
        <v>-0.064166</v>
      </c>
      <c r="BT37" s="34" t="n">
        <f aca="false">IF(ISNUMBER(BT32),BT32+BT33,"")</f>
        <v>-0.041998</v>
      </c>
      <c r="BU37" s="34" t="n">
        <f aca="false">IF(ISNUMBER(BU32),BU32+BU33,"")</f>
        <v>-0.030233</v>
      </c>
      <c r="BV37" s="34" t="n">
        <f aca="false">IF(ISNUMBER(BV32),BV32+BV33,"")</f>
        <v>-0.047731</v>
      </c>
      <c r="BW37" s="34" t="n">
        <f aca="false">IF(ISNUMBER(BW32),BW32+BW33,"")</f>
        <v>-0.097388</v>
      </c>
      <c r="BX37" s="34" t="n">
        <f aca="false">IF(ISNUMBER(BX32),BX32+BX33,"")</f>
        <v>-0.030732</v>
      </c>
      <c r="BY37" s="23" t="n">
        <f aca="false">BY32+BY33</f>
        <v>-0.024961085830364</v>
      </c>
      <c r="BZ37" s="23" t="n">
        <f aca="false">BZ32+BZ33</f>
        <v>-0.024961085830364</v>
      </c>
      <c r="CA37" s="23" t="n">
        <f aca="false">CA32+CA33</f>
        <v>-0.043448750062606</v>
      </c>
      <c r="CB37" s="23" t="n">
        <f aca="false">CB32+CB33</f>
        <v>0.035</v>
      </c>
      <c r="CC37" s="23" t="n">
        <f aca="false">CC32+CC33</f>
        <v>0.035</v>
      </c>
      <c r="CD37" s="23" t="n">
        <f aca="false">CD32+CD33</f>
        <v>0.035</v>
      </c>
      <c r="CE37" s="23" t="n">
        <f aca="false">CE32+CE33</f>
        <v>0.035</v>
      </c>
      <c r="CN37" s="26" t="s">
        <v>163</v>
      </c>
      <c r="CO37" s="45" t="n">
        <f aca="false">CP37+$CO$36</f>
        <v>0.22</v>
      </c>
      <c r="CP37" s="27" t="n">
        <v>0.205</v>
      </c>
      <c r="CQ37" s="45" t="n">
        <f aca="false">CP37+$CQ$36</f>
        <v>0.19</v>
      </c>
    </row>
    <row r="38" customFormat="false" ht="15" hidden="false" customHeight="false" outlineLevel="0" collapsed="false">
      <c r="B38" s="36" t="s">
        <v>139</v>
      </c>
      <c r="C38" s="34" t="str">
        <f aca="false">IF(AND(ISNUMBER(C36),ISNUMBER(C30)),ROUND(C36-C30,3),"")</f>
        <v/>
      </c>
      <c r="D38" s="34" t="str">
        <f aca="false">IF(AND(ISNUMBER(D36),ISNUMBER(D30)),ROUND(D36-D30,3),"")</f>
        <v/>
      </c>
      <c r="E38" s="34" t="str">
        <f aca="false">IF(AND(ISNUMBER(E36),ISNUMBER(E30)),ROUND(E36-E30,3),"")</f>
        <v/>
      </c>
      <c r="F38" s="34" t="str">
        <f aca="false">IF(AND(ISNUMBER(F36),ISNUMBER(F30)),ROUND(F36-F30,3),"")</f>
        <v/>
      </c>
      <c r="G38" s="34" t="str">
        <f aca="false">IF(AND(ISNUMBER(G36),ISNUMBER(G30)),ROUND(G36-G30,3),"")</f>
        <v/>
      </c>
      <c r="H38" s="34" t="str">
        <f aca="false">IF(AND(ISNUMBER(H36),ISNUMBER(H30)),ROUND(H36-H30,3),"")</f>
        <v/>
      </c>
      <c r="I38" s="34" t="str">
        <f aca="false">IF(AND(ISNUMBER(I36),ISNUMBER(I30)),ROUND(I36-I30,3),"")</f>
        <v/>
      </c>
      <c r="J38" s="34" t="str">
        <f aca="false">IF(AND(ISNUMBER(J36),ISNUMBER(J30)),ROUND(J36-J30,3),"")</f>
        <v/>
      </c>
      <c r="K38" s="34" t="str">
        <f aca="false">IF(AND(ISNUMBER(K36),ISNUMBER(K30)),ROUND(K36-K30,3),"")</f>
        <v/>
      </c>
      <c r="L38" s="34" t="str">
        <f aca="false">IF(AND(ISNUMBER(L36),ISNUMBER(L30)),ROUND(L36-L30,3),"")</f>
        <v/>
      </c>
      <c r="M38" s="34" t="str">
        <f aca="false">IF(AND(ISNUMBER(M36),ISNUMBER(M30)),ROUND(M36-M30,3),"")</f>
        <v/>
      </c>
      <c r="N38" s="34" t="str">
        <f aca="false">IF(AND(ISNUMBER(N36),ISNUMBER(N30)),ROUND(N36-N30,3),"")</f>
        <v/>
      </c>
      <c r="O38" s="34" t="str">
        <f aca="false">IF(AND(ISNUMBER(O36),ISNUMBER(O30)),ROUND(O36-O30,3),"")</f>
        <v/>
      </c>
      <c r="P38" s="34" t="str">
        <f aca="false">IF(AND(ISNUMBER(P36),ISNUMBER(P30)),ROUND(P36-P30,3),"")</f>
        <v/>
      </c>
      <c r="Q38" s="34" t="str">
        <f aca="false">IF(AND(ISNUMBER(Q36),ISNUMBER(Q30)),ROUND(Q36-Q30,3),"")</f>
        <v/>
      </c>
      <c r="R38" s="34" t="str">
        <f aca="false">IF(AND(ISNUMBER(R36),ISNUMBER(R30)),ROUND(R36-R30,3),"")</f>
        <v/>
      </c>
      <c r="S38" s="34" t="str">
        <f aca="false">IF(AND(ISNUMBER(S36),ISNUMBER(S30)),ROUND(S36-S30,3),"")</f>
        <v/>
      </c>
      <c r="T38" s="34" t="str">
        <f aca="false">IF(AND(ISNUMBER(T36),ISNUMBER(T30)),ROUND(T36-T30,3),"")</f>
        <v/>
      </c>
      <c r="U38" s="34" t="str">
        <f aca="false">IF(AND(ISNUMBER(U36),ISNUMBER(U30)),ROUND(U36-U30,3),"")</f>
        <v/>
      </c>
      <c r="V38" s="34" t="str">
        <f aca="false">IF(AND(ISNUMBER(V36),ISNUMBER(V30)),ROUND(V36-V30,3),"")</f>
        <v/>
      </c>
      <c r="W38" s="34" t="str">
        <f aca="false">IF(AND(ISNUMBER(W36),ISNUMBER(W30)),ROUND(W36-W30,3),"")</f>
        <v/>
      </c>
      <c r="X38" s="34" t="str">
        <f aca="false">IF(AND(ISNUMBER(X36),ISNUMBER(X30)),ROUND(X36-X30,3),"")</f>
        <v/>
      </c>
      <c r="Y38" s="34" t="n">
        <f aca="false">IF(AND(ISNUMBER(Y36),ISNUMBER(Y30)),ROUND(Y36-Y30,3),"")</f>
        <v>-0</v>
      </c>
      <c r="Z38" s="34" t="n">
        <f aca="false">IF(AND(ISNUMBER(Z36),ISNUMBER(Z30)),ROUND(Z36-Z30,3),"")</f>
        <v>0</v>
      </c>
      <c r="AA38" s="34" t="n">
        <f aca="false">IF(AND(ISNUMBER(AA36),ISNUMBER(AA30)),ROUND(AA36-AA30,3),"")</f>
        <v>0</v>
      </c>
      <c r="AB38" s="34" t="n">
        <f aca="false">IF(AND(ISNUMBER(AB36),ISNUMBER(AB30)),ROUND(AB36-AB30,3),"")</f>
        <v>0</v>
      </c>
      <c r="AC38" s="34" t="n">
        <f aca="false">IF(AND(ISNUMBER(AC36),ISNUMBER(AC30)),ROUND(AC36-AC30,3),"")</f>
        <v>-0</v>
      </c>
      <c r="AD38" s="34" t="n">
        <f aca="false">IF(AND(ISNUMBER(AD36),ISNUMBER(AD30)),ROUND(AD36-AD30,3),"")</f>
        <v>0</v>
      </c>
      <c r="AE38" s="34" t="n">
        <f aca="false">IF(AND(ISNUMBER(AE36),ISNUMBER(AE30)),ROUND(AE36-AE30,3),"")</f>
        <v>0</v>
      </c>
      <c r="AF38" s="34" t="n">
        <f aca="false">IF(AND(ISNUMBER(AF36),ISNUMBER(AF30)),ROUND(AF36-AF30,3),"")</f>
        <v>-0</v>
      </c>
      <c r="AG38" s="34" t="n">
        <f aca="false">IF(AND(ISNUMBER(AG36),ISNUMBER(AG30)),ROUND(AG36-AG30,3),"")</f>
        <v>0</v>
      </c>
      <c r="AH38" s="34" t="n">
        <f aca="false">IF(AND(ISNUMBER(AH36),ISNUMBER(AH30)),ROUND(AH36-AH30,3),"")</f>
        <v>0</v>
      </c>
      <c r="AI38" s="34" t="n">
        <f aca="false">IF(AND(ISNUMBER(AI36),ISNUMBER(AI30)),ROUND(AI36-AI30,3),"")</f>
        <v>-0</v>
      </c>
      <c r="AJ38" s="34" t="n">
        <f aca="false">IF(AND(ISNUMBER(AJ36),ISNUMBER(AJ30)),ROUND(AJ36-AJ30,3),"")</f>
        <v>0</v>
      </c>
      <c r="AK38" s="34" t="n">
        <f aca="false">IF(AND(ISNUMBER(AK36),ISNUMBER(AK30)),ROUND(AK36-AK30,3),"")</f>
        <v>-0</v>
      </c>
      <c r="AL38" s="34" t="n">
        <f aca="false">IF(AND(ISNUMBER(AL36),ISNUMBER(AL30)),ROUND(AL36-AL30,3),"")</f>
        <v>-0</v>
      </c>
      <c r="AM38" s="34" t="n">
        <f aca="false">IF(AND(ISNUMBER(AM36),ISNUMBER(AM30)),ROUND(AM36-AM30,3),"")</f>
        <v>0</v>
      </c>
      <c r="AN38" s="34" t="n">
        <f aca="false">IF(AND(ISNUMBER(AN36),ISNUMBER(AN30)),ROUND(AN36-AN30,3),"")</f>
        <v>0</v>
      </c>
      <c r="AO38" s="34" t="n">
        <f aca="false">IF(AND(ISNUMBER(AO36),ISNUMBER(AO30)),ROUND(AO36-AO30,3),"")</f>
        <v>-0</v>
      </c>
      <c r="AP38" s="34" t="n">
        <f aca="false">IF(AND(ISNUMBER(AP36),ISNUMBER(AP30)),ROUND(AP36-AP30,3),"")</f>
        <v>0</v>
      </c>
      <c r="AQ38" s="34" t="n">
        <f aca="false">IF(AND(ISNUMBER(AQ36),ISNUMBER(AQ30)),ROUND(AQ36-AQ30,3),"")</f>
        <v>-0</v>
      </c>
      <c r="AR38" s="34" t="n">
        <f aca="false">IF(AND(ISNUMBER(AR36),ISNUMBER(AR30)),ROUND(AR36-AR30,3),"")</f>
        <v>0</v>
      </c>
      <c r="AS38" s="34" t="n">
        <f aca="false">IF(AND(ISNUMBER(AS36),ISNUMBER(AS30)),ROUND(AS36-AS30,3),"")</f>
        <v>0</v>
      </c>
      <c r="AT38" s="34" t="n">
        <f aca="false">IF(AND(ISNUMBER(AT36),ISNUMBER(AT30)),ROUND(AT36-AT30,3),"")</f>
        <v>0</v>
      </c>
      <c r="AU38" s="34" t="n">
        <f aca="false">IF(AND(ISNUMBER(AU36),ISNUMBER(AU30)),ROUND(AU36-AU30,3),"")</f>
        <v>0</v>
      </c>
      <c r="AV38" s="34" t="n">
        <f aca="false">IF(AND(ISNUMBER(AV36),ISNUMBER(AV30)),ROUND(AV36-AV30,3),"")</f>
        <v>-0</v>
      </c>
      <c r="AW38" s="34" t="n">
        <f aca="false">IF(AND(ISNUMBER(AW36),ISNUMBER(AW30)),ROUND(AW36-AW30,3),"")</f>
        <v>-0</v>
      </c>
      <c r="AX38" s="34" t="n">
        <f aca="false">IF(AND(ISNUMBER(AX36),ISNUMBER(AX30)),ROUND(AX36-AX30,3),"")</f>
        <v>-0</v>
      </c>
      <c r="AY38" s="34" t="n">
        <f aca="false">IF(AND(ISNUMBER(AY36),ISNUMBER(AY30)),ROUND(AY36-AY30,3),"")</f>
        <v>-0</v>
      </c>
      <c r="AZ38" s="34" t="n">
        <f aca="false">IF(AND(ISNUMBER(AZ36),ISNUMBER(AZ30)),ROUND(AZ36-AZ30,3),"")</f>
        <v>0</v>
      </c>
      <c r="BA38" s="34" t="n">
        <f aca="false">IF(AND(ISNUMBER(BA36),ISNUMBER(BA30)),ROUND(BA36-BA30,3),"")</f>
        <v>-0</v>
      </c>
      <c r="BB38" s="34" t="n">
        <f aca="false">IF(AND(ISNUMBER(BB36),ISNUMBER(BB30)),ROUND(BB36-BB30,3),"")</f>
        <v>-0</v>
      </c>
      <c r="BC38" s="34" t="n">
        <f aca="false">IF(AND(ISNUMBER(BC36),ISNUMBER(BC30)),ROUND(BC36-BC30,3),"")</f>
        <v>0</v>
      </c>
      <c r="BD38" s="34" t="n">
        <f aca="false">IF(AND(ISNUMBER(BD36),ISNUMBER(BD30)),ROUND(BD36-BD30,3),"")</f>
        <v>0</v>
      </c>
      <c r="BE38" s="34" t="n">
        <f aca="false">IF(AND(ISNUMBER(BE36),ISNUMBER(BE30)),ROUND(BE36-BE30,3),"")</f>
        <v>0</v>
      </c>
      <c r="BF38" s="34" t="n">
        <f aca="false">IF(AND(ISNUMBER(BF36),ISNUMBER(BF30)),ROUND(BF36-BF30,3),"")</f>
        <v>-0</v>
      </c>
      <c r="BG38" s="34" t="n">
        <f aca="false">IF(AND(ISNUMBER(BG36),ISNUMBER(BG30)),ROUND(BG36-BG30,3),"")</f>
        <v>0</v>
      </c>
      <c r="BH38" s="34" t="n">
        <f aca="false">IF(AND(ISNUMBER(BH36),ISNUMBER(BH30)),ROUND(BH36-BH30,3),"")</f>
        <v>-0</v>
      </c>
      <c r="BI38" s="34" t="n">
        <f aca="false">IF(AND(ISNUMBER(BI36),ISNUMBER(BI30)),ROUND(BI36-BI30,3),"")</f>
        <v>0</v>
      </c>
      <c r="BJ38" s="34" t="n">
        <f aca="false">IF(AND(ISNUMBER(BJ36),ISNUMBER(BJ30)),ROUND(BJ36-BJ30,3),"")</f>
        <v>-0</v>
      </c>
      <c r="BK38" s="34" t="n">
        <f aca="false">IF(AND(ISNUMBER(BK36),ISNUMBER(BK30)),ROUND(BK36-BK30,3),"")</f>
        <v>0</v>
      </c>
      <c r="BL38" s="34" t="n">
        <f aca="false">IF(AND(ISNUMBER(BL36),ISNUMBER(BL30)),ROUND(BL36-BL30,3),"")</f>
        <v>0</v>
      </c>
      <c r="BM38" s="34" t="n">
        <f aca="false">IF(AND(ISNUMBER(BM36),ISNUMBER(BM30)),ROUND(BM36-BM30,3),"")</f>
        <v>0</v>
      </c>
      <c r="BN38" s="34" t="n">
        <f aca="false">IF(AND(ISNUMBER(BN36),ISNUMBER(BN30)),ROUND(BN36-BN30,3),"")</f>
        <v>-0</v>
      </c>
      <c r="BO38" s="34" t="n">
        <f aca="false">IF(AND(ISNUMBER(BO36),ISNUMBER(BO30)),ROUND(BO36-BO30,3),"")</f>
        <v>0</v>
      </c>
      <c r="BP38" s="34" t="n">
        <f aca="false">IF(AND(ISNUMBER(BP36),ISNUMBER(BP30)),ROUND(BP36-BP30,3),"")</f>
        <v>0</v>
      </c>
      <c r="BQ38" s="34" t="n">
        <f aca="false">IF(AND(ISNUMBER(BQ36),ISNUMBER(BQ30)),ROUND(BQ36-BQ30,3),"")</f>
        <v>0</v>
      </c>
      <c r="BR38" s="34" t="n">
        <f aca="false">IF(AND(ISNUMBER(BR36),ISNUMBER(BR30)),ROUND(BR36-BR30,3),"")</f>
        <v>0</v>
      </c>
      <c r="BS38" s="34" t="n">
        <f aca="false">IF(AND(ISNUMBER(BS36),ISNUMBER(BS30)),ROUND(BS36-BS30,3),"")</f>
        <v>-0</v>
      </c>
      <c r="BT38" s="34" t="n">
        <f aca="false">IF(AND(ISNUMBER(BT36),ISNUMBER(BT30)),ROUND(BT36-BT30,3),"")</f>
        <v>-0</v>
      </c>
      <c r="BU38" s="34" t="n">
        <f aca="false">IF(AND(ISNUMBER(BU36),ISNUMBER(BU30)),ROUND(BU36-BU30,3),"")</f>
        <v>-0</v>
      </c>
      <c r="BV38" s="34" t="n">
        <f aca="false">IF(AND(ISNUMBER(BV36),ISNUMBER(BV30)),ROUND(BV36-BV30,3),"")</f>
        <v>-0</v>
      </c>
      <c r="BW38" s="34" t="n">
        <f aca="false">IF(AND(ISNUMBER(BW36),ISNUMBER(BW30)),ROUND(BW36-BW30,3),"")</f>
        <v>0</v>
      </c>
      <c r="BX38" s="34" t="n">
        <f aca="false">IF(AND(ISNUMBER(BX36),ISNUMBER(BX30)),ROUND(BX36-BX30,3),"")</f>
        <v>-0</v>
      </c>
      <c r="CN38" s="26" t="s">
        <v>166</v>
      </c>
      <c r="CO38" s="45" t="n">
        <f aca="false">CP38+$CO$36</f>
        <v>0.223</v>
      </c>
      <c r="CP38" s="27" t="n">
        <v>0.208</v>
      </c>
      <c r="CQ38" s="45" t="n">
        <f aca="false">CP38+$CQ$36</f>
        <v>0.193</v>
      </c>
    </row>
    <row r="39" customFormat="false" ht="15" hidden="false" customHeight="false" outlineLevel="0" collapsed="false">
      <c r="B39" s="37" t="s">
        <v>142</v>
      </c>
      <c r="N39" s="38" t="n">
        <v>22.668</v>
      </c>
      <c r="O39" s="38" t="n">
        <v>5.988</v>
      </c>
      <c r="P39" s="38" t="n">
        <v>6.08</v>
      </c>
      <c r="Q39" s="38" t="n">
        <v>4.715</v>
      </c>
      <c r="R39" s="38" t="n">
        <v>4.825</v>
      </c>
      <c r="S39" s="38" t="n">
        <v>21.608</v>
      </c>
      <c r="T39" s="38" t="n">
        <v>5.027</v>
      </c>
      <c r="U39" s="38" t="n">
        <v>5.311</v>
      </c>
      <c r="V39" s="38" t="n">
        <v>5.4</v>
      </c>
      <c r="W39" s="38" t="n">
        <v>3.009</v>
      </c>
      <c r="X39" s="38" t="n">
        <v>18.747</v>
      </c>
      <c r="Y39" s="38" t="n">
        <v>4.426</v>
      </c>
      <c r="Z39" s="38" t="n">
        <v>3.841</v>
      </c>
      <c r="AA39" s="38" t="n">
        <v>3.688</v>
      </c>
      <c r="AB39" s="38" t="n">
        <v>4.02</v>
      </c>
      <c r="AC39" s="38" t="n">
        <v>15.975</v>
      </c>
      <c r="AD39" s="38" t="n">
        <v>4.285</v>
      </c>
      <c r="AE39" s="38" t="n">
        <v>5.478</v>
      </c>
      <c r="AF39" s="38" t="n">
        <v>5.451</v>
      </c>
      <c r="AG39" s="38" t="n">
        <v>3.646</v>
      </c>
      <c r="AH39" s="38" t="n">
        <v>18.86</v>
      </c>
      <c r="AI39" s="38" t="n">
        <v>4.509</v>
      </c>
      <c r="AJ39" s="38" t="n">
        <v>5.497</v>
      </c>
      <c r="AK39" s="38" t="n">
        <v>3.663</v>
      </c>
      <c r="AL39" s="38" t="n">
        <v>4.907</v>
      </c>
      <c r="AM39" s="38" t="n">
        <v>18.576</v>
      </c>
      <c r="AN39" s="38" t="n">
        <v>4.209</v>
      </c>
      <c r="AO39" s="38" t="n">
        <v>4.188</v>
      </c>
      <c r="AP39" s="38" t="n">
        <v>4.441</v>
      </c>
      <c r="AQ39" s="38" t="n">
        <v>4.853</v>
      </c>
      <c r="AR39" s="38" t="n">
        <v>17.691</v>
      </c>
      <c r="AS39" s="38" t="n">
        <v>4.483</v>
      </c>
      <c r="AT39" s="38" t="n">
        <v>4.286</v>
      </c>
      <c r="AU39" s="38" t="n">
        <v>4.898</v>
      </c>
      <c r="AV39" s="38" t="n">
        <v>4.827</v>
      </c>
      <c r="AW39" s="38" t="n">
        <v>18.494</v>
      </c>
      <c r="AX39" s="38" t="n">
        <v>4.285</v>
      </c>
      <c r="AY39" s="38" t="n">
        <v>6.897</v>
      </c>
      <c r="AZ39" s="38" t="n">
        <v>7.078</v>
      </c>
      <c r="BA39" s="38" t="n">
        <v>8.071</v>
      </c>
      <c r="BB39" s="38" t="n">
        <v>26.331</v>
      </c>
      <c r="BC39" s="38" t="n">
        <v>6.228</v>
      </c>
      <c r="BD39" s="38" t="n">
        <v>9.527</v>
      </c>
      <c r="BE39" s="38" t="n">
        <v>9.994</v>
      </c>
      <c r="BF39" s="38" t="n">
        <v>5.754</v>
      </c>
      <c r="BG39" s="38" t="n">
        <v>31.503</v>
      </c>
      <c r="BH39" s="38" t="n">
        <v>6.753</v>
      </c>
      <c r="BI39" s="38" t="n">
        <v>8.292</v>
      </c>
      <c r="BJ39" s="38" t="n">
        <v>4.896</v>
      </c>
      <c r="BK39" s="38" t="n">
        <v>11.557</v>
      </c>
      <c r="BL39" s="38" t="n">
        <v>31.498</v>
      </c>
      <c r="BM39" s="38" t="n">
        <v>8.408</v>
      </c>
      <c r="BN39" s="38" t="n">
        <v>8.849</v>
      </c>
      <c r="BO39" s="38" t="n">
        <v>7.371</v>
      </c>
      <c r="BP39" s="38" t="n">
        <v>11.233</v>
      </c>
      <c r="BQ39" s="38" t="n">
        <v>35.861</v>
      </c>
      <c r="BR39" s="38" t="n">
        <v>6.832</v>
      </c>
      <c r="BS39" s="38" t="n">
        <v>7.641</v>
      </c>
      <c r="BT39" s="38" t="n">
        <v>9.83</v>
      </c>
      <c r="BU39" s="38" t="n">
        <v>5.857</v>
      </c>
      <c r="BV39" s="38" t="n">
        <v>30.16</v>
      </c>
      <c r="BW39" s="38" t="n">
        <v>5.807</v>
      </c>
      <c r="BX39" s="38" t="n">
        <v>7.564</v>
      </c>
      <c r="CN39" s="26" t="s">
        <v>167</v>
      </c>
      <c r="CO39" s="45" t="n">
        <f aca="false">CP39+$CO$36</f>
        <v>0.225</v>
      </c>
      <c r="CP39" s="27" t="n">
        <v>0.21</v>
      </c>
      <c r="CQ39" s="45" t="n">
        <f aca="false">CP39+$CQ$36</f>
        <v>0.195</v>
      </c>
    </row>
    <row r="40" customFormat="false" ht="15" hidden="false" customHeight="false" outlineLevel="0" collapsed="false">
      <c r="B40" s="26" t="s">
        <v>145</v>
      </c>
      <c r="N40" s="38" t="n">
        <v>29.921</v>
      </c>
      <c r="O40" s="38" t="n">
        <v>8.284</v>
      </c>
      <c r="P40" s="38" t="n">
        <v>14.471</v>
      </c>
      <c r="Q40" s="38" t="n">
        <v>-13.757</v>
      </c>
      <c r="R40" s="38" t="n">
        <v>10.183</v>
      </c>
      <c r="S40" s="38" t="n">
        <v>19.181</v>
      </c>
      <c r="T40" s="38" t="n">
        <v>10.934</v>
      </c>
      <c r="U40" s="38" t="n">
        <v>9.778</v>
      </c>
      <c r="V40" s="38" t="n">
        <v>-5.676</v>
      </c>
      <c r="W40" s="38" t="n">
        <v>2.804</v>
      </c>
      <c r="X40" s="38" t="n">
        <v>17.84</v>
      </c>
      <c r="Y40" s="38" t="n">
        <v>6.233</v>
      </c>
      <c r="Z40" s="38" t="n">
        <v>9.67</v>
      </c>
      <c r="AA40" s="38" t="n">
        <v>5.796</v>
      </c>
      <c r="AB40" s="38" t="n">
        <v>7.447</v>
      </c>
      <c r="AC40" s="38" t="n">
        <v>29.146</v>
      </c>
      <c r="AD40" s="38" t="n">
        <v>9.605</v>
      </c>
      <c r="AE40" s="38" t="n">
        <v>9.496</v>
      </c>
      <c r="AF40" s="38" t="n">
        <v>8.298</v>
      </c>
      <c r="AG40" s="38" t="n">
        <v>4.246</v>
      </c>
      <c r="AH40" s="38" t="n">
        <v>31.645</v>
      </c>
      <c r="AI40" s="38" t="n">
        <v>4.798</v>
      </c>
      <c r="AJ40" s="38" t="n">
        <v>4.734</v>
      </c>
      <c r="AK40" s="38" t="n">
        <v>8.085</v>
      </c>
      <c r="AL40" s="38" t="n">
        <v>11.371</v>
      </c>
      <c r="AM40" s="38" t="n">
        <v>28.988</v>
      </c>
      <c r="AN40" s="38" t="n">
        <v>11.138</v>
      </c>
      <c r="AO40" s="38" t="n">
        <v>17.805</v>
      </c>
      <c r="AP40" s="38" t="n">
        <v>14.681</v>
      </c>
      <c r="AQ40" s="38" t="n">
        <v>4.501</v>
      </c>
      <c r="AR40" s="38" t="n">
        <v>48.125</v>
      </c>
      <c r="AS40" s="38" t="n">
        <v>0.478</v>
      </c>
      <c r="AT40" s="38" t="n">
        <v>9.117</v>
      </c>
      <c r="AU40" s="38" t="n">
        <v>11.031</v>
      </c>
      <c r="AV40" s="38" t="n">
        <v>4.949</v>
      </c>
      <c r="AW40" s="38" t="n">
        <v>25.575</v>
      </c>
      <c r="AX40" s="38" t="n">
        <v>14.207</v>
      </c>
      <c r="AY40" s="38" t="n">
        <v>27.526</v>
      </c>
      <c r="AZ40" s="38" t="n">
        <v>22.417</v>
      </c>
      <c r="BA40" s="38" t="n">
        <v>26.824</v>
      </c>
      <c r="BB40" s="38" t="n">
        <v>90.974</v>
      </c>
      <c r="BC40" s="38" t="n">
        <v>35.74</v>
      </c>
      <c r="BD40" s="38" t="n">
        <v>34.855</v>
      </c>
      <c r="BE40" s="38" t="n">
        <v>16.861</v>
      </c>
      <c r="BF40" s="38" t="n">
        <v>21.02</v>
      </c>
      <c r="BG40" s="38" t="n">
        <v>108.476</v>
      </c>
      <c r="BH40" s="38" t="n">
        <v>29.296</v>
      </c>
      <c r="BI40" s="38" t="n">
        <v>30.519</v>
      </c>
      <c r="BJ40" s="38" t="n">
        <v>22.369</v>
      </c>
      <c r="BK40" s="38" t="n">
        <v>64.035</v>
      </c>
      <c r="BL40" s="38" t="n">
        <v>146.218</v>
      </c>
      <c r="BM40" s="38" t="n">
        <v>24.707</v>
      </c>
      <c r="BN40" s="38" t="n">
        <v>-5.525</v>
      </c>
      <c r="BO40" s="38" t="n">
        <v>17.175</v>
      </c>
      <c r="BP40" s="38" t="n">
        <v>32.013</v>
      </c>
      <c r="BQ40" s="38" t="n">
        <v>68.37</v>
      </c>
      <c r="BR40" s="38" t="n">
        <v>21.6</v>
      </c>
      <c r="BS40" s="38" t="n">
        <v>28.999</v>
      </c>
      <c r="BT40" s="38" t="n">
        <v>23.059</v>
      </c>
      <c r="BU40" s="38" t="n">
        <v>25.485</v>
      </c>
      <c r="BV40" s="38" t="n">
        <v>99.143</v>
      </c>
      <c r="BW40" s="38" t="n">
        <v>20.89</v>
      </c>
      <c r="BX40" s="38" t="n">
        <v>24.313</v>
      </c>
      <c r="CN40" s="26" t="s">
        <v>168</v>
      </c>
      <c r="CO40" s="45" t="n">
        <f aca="false">CP40+$CO$36</f>
        <v>0.225</v>
      </c>
      <c r="CP40" s="27" t="n">
        <v>0.21</v>
      </c>
      <c r="CQ40" s="45" t="n">
        <f aca="false">CP40+$CQ$36</f>
        <v>0.195</v>
      </c>
    </row>
    <row r="41" customFormat="false" ht="15" hidden="false" customHeight="false" outlineLevel="0" collapsed="false">
      <c r="B41" s="26" t="s">
        <v>148</v>
      </c>
      <c r="C41" s="39" t="str">
        <f aca="false">IF(AND(ISNUMBER(C42),ISNUMBER(C40)),C42-C40,"")</f>
        <v/>
      </c>
      <c r="D41" s="39" t="str">
        <f aca="false">IF(AND(ISNUMBER(D42),ISNUMBER(D40)),D42-D40,"")</f>
        <v/>
      </c>
      <c r="E41" s="39" t="str">
        <f aca="false">IF(AND(ISNUMBER(E42),ISNUMBER(E40)),E42-E40,"")</f>
        <v/>
      </c>
      <c r="F41" s="39" t="str">
        <f aca="false">IF(AND(ISNUMBER(F42),ISNUMBER(F40)),F42-F40,"")</f>
        <v/>
      </c>
      <c r="G41" s="39" t="str">
        <f aca="false">IF(AND(ISNUMBER(G42),ISNUMBER(G40)),G42-G40,"")</f>
        <v/>
      </c>
      <c r="H41" s="39" t="str">
        <f aca="false">IF(AND(ISNUMBER(H42),ISNUMBER(H40)),H42-H40,"")</f>
        <v/>
      </c>
      <c r="I41" s="39" t="str">
        <f aca="false">IF(AND(ISNUMBER(I42),ISNUMBER(I40)),I42-I40,"")</f>
        <v/>
      </c>
      <c r="J41" s="39" t="str">
        <f aca="false">IF(AND(ISNUMBER(J42),ISNUMBER(J40)),J42-J40,"")</f>
        <v/>
      </c>
      <c r="K41" s="39" t="str">
        <f aca="false">IF(AND(ISNUMBER(K42),ISNUMBER(K40)),K42-K40,"")</f>
        <v/>
      </c>
      <c r="L41" s="39" t="str">
        <f aca="false">IF(AND(ISNUMBER(L42),ISNUMBER(L40)),L42-L40,"")</f>
        <v/>
      </c>
      <c r="M41" s="39" t="str">
        <f aca="false">IF(AND(ISNUMBER(M42),ISNUMBER(M40)),M42-M40,"")</f>
        <v/>
      </c>
      <c r="N41" s="39" t="n">
        <f aca="false">IF(AND(ISNUMBER(N42),ISNUMBER(N40)),N42-N40,"")</f>
        <v>8.116</v>
      </c>
      <c r="O41" s="39" t="n">
        <f aca="false">IF(AND(ISNUMBER(O42),ISNUMBER(O40)),O42-O40,"")</f>
        <v>0.0299999999999994</v>
      </c>
      <c r="P41" s="39" t="n">
        <f aca="false">IF(AND(ISNUMBER(P42),ISNUMBER(P40)),P42-P40,"")</f>
        <v>0.856999999999999</v>
      </c>
      <c r="Q41" s="39" t="n">
        <f aca="false">IF(AND(ISNUMBER(Q42),ISNUMBER(Q40)),Q42-Q40,"")</f>
        <v>28.486</v>
      </c>
      <c r="R41" s="39" t="n">
        <f aca="false">IF(AND(ISNUMBER(R42),ISNUMBER(R40)),R42-R40,"")</f>
        <v>0.166</v>
      </c>
      <c r="S41" s="39" t="n">
        <f aca="false">IF(AND(ISNUMBER(S42),ISNUMBER(S40)),S42-S40,"")</f>
        <v>29.539</v>
      </c>
      <c r="T41" s="39" t="n">
        <f aca="false">IF(AND(ISNUMBER(T42),ISNUMBER(T40)),T42-T40,"")</f>
        <v>0</v>
      </c>
      <c r="U41" s="39" t="n">
        <f aca="false">IF(AND(ISNUMBER(U42),ISNUMBER(U40)),U42-U40,"")</f>
        <v>1.239</v>
      </c>
      <c r="V41" s="39" t="n">
        <f aca="false">IF(AND(ISNUMBER(V42),ISNUMBER(V40)),V42-V40,"")</f>
        <v>14.944</v>
      </c>
      <c r="W41" s="39" t="n">
        <f aca="false">IF(AND(ISNUMBER(W42),ISNUMBER(W40)),W42-W40,"")</f>
        <v>0.488</v>
      </c>
      <c r="X41" s="39" t="n">
        <f aca="false">IF(AND(ISNUMBER(X42),ISNUMBER(X40)),X42-X40,"")</f>
        <v>16.671</v>
      </c>
      <c r="Y41" s="39" t="n">
        <f aca="false">IF(AND(ISNUMBER(Y42),ISNUMBER(Y40)),Y42-Y40,"")</f>
        <v>0</v>
      </c>
      <c r="Z41" s="39" t="n">
        <f aca="false">IF(AND(ISNUMBER(Z42),ISNUMBER(Z40)),Z42-Z40,"")</f>
        <v>0</v>
      </c>
      <c r="AA41" s="39" t="n">
        <f aca="false">IF(AND(ISNUMBER(AA42),ISNUMBER(AA40)),AA42-AA40,"")</f>
        <v>0</v>
      </c>
      <c r="AB41" s="39" t="n">
        <f aca="false">IF(AND(ISNUMBER(AB42),ISNUMBER(AB40)),AB42-AB40,"")</f>
        <v>0</v>
      </c>
      <c r="AC41" s="39" t="n">
        <f aca="false">IF(AND(ISNUMBER(AC42),ISNUMBER(AC40)),AC42-AC40,"")</f>
        <v>0</v>
      </c>
      <c r="AD41" s="39" t="n">
        <f aca="false">IF(AND(ISNUMBER(AD42),ISNUMBER(AD40)),AD42-AD40,"")</f>
        <v>0</v>
      </c>
      <c r="AE41" s="39" t="n">
        <f aca="false">IF(AND(ISNUMBER(AE42),ISNUMBER(AE40)),AE42-AE40,"")</f>
        <v>0</v>
      </c>
      <c r="AF41" s="39" t="n">
        <f aca="false">IF(AND(ISNUMBER(AF42),ISNUMBER(AF40)),AF42-AF40,"")</f>
        <v>2.314</v>
      </c>
      <c r="AG41" s="39" t="n">
        <f aca="false">IF(AND(ISNUMBER(AG42),ISNUMBER(AG40)),AG42-AG40,"")</f>
        <v>7.762</v>
      </c>
      <c r="AH41" s="39" t="n">
        <f aca="false">IF(AND(ISNUMBER(AH42),ISNUMBER(AH40)),AH42-AH40,"")</f>
        <v>10.076</v>
      </c>
      <c r="AI41" s="39" t="n">
        <f aca="false">IF(AND(ISNUMBER(AI42),ISNUMBER(AI40)),AI42-AI40,"")</f>
        <v>10.175</v>
      </c>
      <c r="AJ41" s="39" t="n">
        <f aca="false">IF(AND(ISNUMBER(AJ42),ISNUMBER(AJ40)),AJ42-AJ40,"")</f>
        <v>11.542</v>
      </c>
      <c r="AK41" s="39" t="n">
        <f aca="false">IF(AND(ISNUMBER(AK42),ISNUMBER(AK40)),AK42-AK40,"")</f>
        <v>2.636</v>
      </c>
      <c r="AL41" s="39" t="n">
        <f aca="false">IF(AND(ISNUMBER(AL42),ISNUMBER(AL40)),AL42-AL40,"")</f>
        <v>0.932</v>
      </c>
      <c r="AM41" s="39" t="n">
        <f aca="false">IF(AND(ISNUMBER(AM42),ISNUMBER(AM40)),AM42-AM40,"")</f>
        <v>25.285</v>
      </c>
      <c r="AN41" s="39" t="n">
        <f aca="false">IF(AND(ISNUMBER(AN42),ISNUMBER(AN40)),AN42-AN40,"")</f>
        <v>2.199</v>
      </c>
      <c r="AO41" s="39" t="n">
        <f aca="false">IF(AND(ISNUMBER(AO42),ISNUMBER(AO40)),AO42-AO40,"")</f>
        <v>-2.627</v>
      </c>
      <c r="AP41" s="39" t="n">
        <f aca="false">IF(AND(ISNUMBER(AP42),ISNUMBER(AP40)),AP42-AP40,"")</f>
        <v>-4.497</v>
      </c>
      <c r="AQ41" s="39" t="n">
        <f aca="false">IF(AND(ISNUMBER(AQ42),ISNUMBER(AQ40)),AQ42-AQ40,"")</f>
        <v>7.081</v>
      </c>
      <c r="AR41" s="39" t="n">
        <f aca="false">IF(AND(ISNUMBER(AR42),ISNUMBER(AR40)),AR42-AR40,"")</f>
        <v>2.156</v>
      </c>
      <c r="AS41" s="39" t="n">
        <f aca="false">IF(AND(ISNUMBER(AS42),ISNUMBER(AS40)),AS42-AS40,"")</f>
        <v>6.137</v>
      </c>
      <c r="AT41" s="39" t="n">
        <f aca="false">IF(AND(ISNUMBER(AT42),ISNUMBER(AT40)),AT42-AT40,"")</f>
        <v>0.565</v>
      </c>
      <c r="AU41" s="39" t="n">
        <f aca="false">IF(AND(ISNUMBER(AU42),ISNUMBER(AU40)),AU42-AU40,"")</f>
        <v>2.401</v>
      </c>
      <c r="AV41" s="39" t="n">
        <f aca="false">IF(AND(ISNUMBER(AV42),ISNUMBER(AV40)),AV42-AV40,"")</f>
        <v>10.301</v>
      </c>
      <c r="AW41" s="39" t="n">
        <f aca="false">IF(AND(ISNUMBER(AW42),ISNUMBER(AW40)),AW42-AW40,"")</f>
        <v>19.404</v>
      </c>
      <c r="AX41" s="39" t="n">
        <f aca="false">IF(AND(ISNUMBER(AX42),ISNUMBER(AX40)),AX42-AX40,"")</f>
        <v>4.609</v>
      </c>
      <c r="AY41" s="39" t="n">
        <f aca="false">IF(AND(ISNUMBER(AY42),ISNUMBER(AY40)),AY42-AY40,"")</f>
        <v>2.471</v>
      </c>
      <c r="AZ41" s="39" t="n">
        <f aca="false">IF(AND(ISNUMBER(AZ42),ISNUMBER(AZ40)),AZ42-AZ40,"")</f>
        <v>6.615</v>
      </c>
      <c r="BA41" s="39" t="n">
        <f aca="false">IF(AND(ISNUMBER(BA42),ISNUMBER(BA40)),BA42-BA40,"")</f>
        <v>1.539</v>
      </c>
      <c r="BB41" s="39" t="n">
        <f aca="false">IF(AND(ISNUMBER(BB42),ISNUMBER(BB40)),BB42-BB40,"")</f>
        <v>15.234</v>
      </c>
      <c r="BC41" s="39" t="n">
        <f aca="false">IF(AND(ISNUMBER(BC42),ISNUMBER(BC40)),BC42-BC40,"")</f>
        <v>1.347</v>
      </c>
      <c r="BD41" s="39" t="n">
        <f aca="false">IF(AND(ISNUMBER(BD42),ISNUMBER(BD40)),BD42-BD40,"")</f>
        <v>0.154000000000003</v>
      </c>
      <c r="BE41" s="39" t="n">
        <f aca="false">IF(AND(ISNUMBER(BE42),ISNUMBER(BE40)),BE42-BE40,"")</f>
        <v>8.364</v>
      </c>
      <c r="BF41" s="39" t="n">
        <f aca="false">IF(AND(ISNUMBER(BF42),ISNUMBER(BF40)),BF42-BF40,"")</f>
        <v>1.816</v>
      </c>
      <c r="BG41" s="39" t="n">
        <f aca="false">IF(AND(ISNUMBER(BG42),ISNUMBER(BG40)),BG42-BG40,"")</f>
        <v>11.681</v>
      </c>
      <c r="BH41" s="39" t="n">
        <f aca="false">IF(AND(ISNUMBER(BH42),ISNUMBER(BH40)),BH42-BH40,"")</f>
        <v>0.302</v>
      </c>
      <c r="BI41" s="39" t="n">
        <f aca="false">IF(AND(ISNUMBER(BI42),ISNUMBER(BI40)),BI42-BI40,"")</f>
        <v>3.255</v>
      </c>
      <c r="BJ41" s="39" t="n">
        <f aca="false">IF(AND(ISNUMBER(BJ42),ISNUMBER(BJ40)),BJ42-BJ40,"")</f>
        <v>7.87</v>
      </c>
      <c r="BK41" s="39" t="n">
        <f aca="false">IF(AND(ISNUMBER(BK42),ISNUMBER(BK40)),BK42-BK40,"")</f>
        <v>-21.147</v>
      </c>
      <c r="BL41" s="39" t="n">
        <f aca="false">IF(AND(ISNUMBER(BL42),ISNUMBER(BL40)),BL42-BL40,"")</f>
        <v>-9.72099999999998</v>
      </c>
      <c r="BM41" s="39" t="n">
        <f aca="false">IF(AND(ISNUMBER(BM42),ISNUMBER(BM40)),BM42-BM40,"")</f>
        <v>3.069</v>
      </c>
      <c r="BN41" s="39" t="n">
        <f aca="false">IF(AND(ISNUMBER(BN42),ISNUMBER(BN40)),BN42-BN40,"")</f>
        <v>31.234</v>
      </c>
      <c r="BO41" s="39" t="n">
        <f aca="false">IF(AND(ISNUMBER(BO42),ISNUMBER(BO40)),BO42-BO40,"")</f>
        <v>2.926</v>
      </c>
      <c r="BP41" s="39" t="n">
        <f aca="false">IF(AND(ISNUMBER(BP42),ISNUMBER(BP40)),BP42-BP40,"")</f>
        <v>0.517000000000003</v>
      </c>
      <c r="BQ41" s="39" t="n">
        <f aca="false">IF(AND(ISNUMBER(BQ42),ISNUMBER(BQ40)),BQ42-BQ40,"")</f>
        <v>37.747</v>
      </c>
      <c r="BR41" s="39" t="n">
        <f aca="false">IF(AND(ISNUMBER(BR42),ISNUMBER(BR40)),BR42-BR40,"")</f>
        <v>1.412</v>
      </c>
      <c r="BS41" s="39" t="n">
        <f aca="false">IF(AND(ISNUMBER(BS42),ISNUMBER(BS40)),BS42-BS40,"")</f>
        <v>1.551</v>
      </c>
      <c r="BT41" s="39" t="n">
        <f aca="false">IF(AND(ISNUMBER(BT42),ISNUMBER(BT40)),BT42-BT40,"")</f>
        <v>2.762</v>
      </c>
      <c r="BU41" s="39" t="n">
        <f aca="false">IF(AND(ISNUMBER(BU42),ISNUMBER(BU40)),BU42-BU40,"")</f>
        <v>5.717</v>
      </c>
      <c r="BV41" s="39" t="n">
        <f aca="false">IF(AND(ISNUMBER(BV42),ISNUMBER(BV40)),BV42-BV40,"")</f>
        <v>11.442</v>
      </c>
      <c r="BW41" s="39" t="n">
        <f aca="false">IF(AND(ISNUMBER(BW42),ISNUMBER(BW40)),BW42-BW40,"")</f>
        <v>1.772</v>
      </c>
      <c r="BX41" s="39" t="n">
        <f aca="false">IF(AND(ISNUMBER(BX42),ISNUMBER(BX40)),BX42-BX40,"")</f>
        <v>2.282</v>
      </c>
      <c r="CN41" s="42" t="s">
        <v>173</v>
      </c>
      <c r="CO41" s="43" t="n">
        <v>0.02</v>
      </c>
      <c r="CP41" s="44" t="s">
        <v>161</v>
      </c>
      <c r="CQ41" s="43" t="n">
        <v>-0.02</v>
      </c>
      <c r="CR41" s="14" t="s">
        <v>174</v>
      </c>
    </row>
    <row r="42" customFormat="false" ht="15" hidden="false" customHeight="false" outlineLevel="0" collapsed="false">
      <c r="B42" s="15" t="s">
        <v>151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7" t="n">
        <v>38.037</v>
      </c>
      <c r="O42" s="17" t="n">
        <v>8.314</v>
      </c>
      <c r="P42" s="17" t="n">
        <v>15.328</v>
      </c>
      <c r="Q42" s="17" t="n">
        <v>14.729</v>
      </c>
      <c r="R42" s="17" t="n">
        <v>10.349</v>
      </c>
      <c r="S42" s="17" t="n">
        <v>48.72</v>
      </c>
      <c r="T42" s="17" t="n">
        <v>10.934</v>
      </c>
      <c r="U42" s="17" t="n">
        <v>11.017</v>
      </c>
      <c r="V42" s="17" t="n">
        <v>9.268</v>
      </c>
      <c r="W42" s="17" t="n">
        <v>3.292</v>
      </c>
      <c r="X42" s="17" t="n">
        <v>34.511</v>
      </c>
      <c r="Y42" s="17" t="n">
        <v>6.233</v>
      </c>
      <c r="Z42" s="17" t="n">
        <v>9.67</v>
      </c>
      <c r="AA42" s="17" t="n">
        <v>5.796</v>
      </c>
      <c r="AB42" s="17" t="n">
        <v>7.447</v>
      </c>
      <c r="AC42" s="17" t="n">
        <v>29.146</v>
      </c>
      <c r="AD42" s="17" t="n">
        <v>9.605</v>
      </c>
      <c r="AE42" s="17" t="n">
        <v>9.496</v>
      </c>
      <c r="AF42" s="17" t="n">
        <v>10.612</v>
      </c>
      <c r="AG42" s="17" t="n">
        <v>12.008</v>
      </c>
      <c r="AH42" s="17" t="n">
        <v>41.721</v>
      </c>
      <c r="AI42" s="17" t="n">
        <v>14.973</v>
      </c>
      <c r="AJ42" s="17" t="n">
        <v>16.276</v>
      </c>
      <c r="AK42" s="17" t="n">
        <v>10.721</v>
      </c>
      <c r="AL42" s="17" t="n">
        <v>12.303</v>
      </c>
      <c r="AM42" s="17" t="n">
        <v>54.273</v>
      </c>
      <c r="AN42" s="17" t="n">
        <v>13.337</v>
      </c>
      <c r="AO42" s="17" t="n">
        <v>15.178</v>
      </c>
      <c r="AP42" s="17" t="n">
        <v>10.184</v>
      </c>
      <c r="AQ42" s="17" t="n">
        <v>11.582</v>
      </c>
      <c r="AR42" s="17" t="n">
        <v>50.281</v>
      </c>
      <c r="AS42" s="17" t="n">
        <v>6.615</v>
      </c>
      <c r="AT42" s="17" t="n">
        <v>9.682</v>
      </c>
      <c r="AU42" s="17" t="n">
        <v>13.432</v>
      </c>
      <c r="AV42" s="17" t="n">
        <v>15.25</v>
      </c>
      <c r="AW42" s="17" t="n">
        <v>44.979</v>
      </c>
      <c r="AX42" s="17" t="n">
        <v>18.816</v>
      </c>
      <c r="AY42" s="17" t="n">
        <v>29.997</v>
      </c>
      <c r="AZ42" s="17" t="n">
        <v>29.032</v>
      </c>
      <c r="BA42" s="17" t="n">
        <v>28.363</v>
      </c>
      <c r="BB42" s="17" t="n">
        <v>106.208</v>
      </c>
      <c r="BC42" s="17" t="n">
        <v>37.087</v>
      </c>
      <c r="BD42" s="17" t="n">
        <v>35.009</v>
      </c>
      <c r="BE42" s="17" t="n">
        <v>25.225</v>
      </c>
      <c r="BF42" s="17" t="n">
        <v>22.836</v>
      </c>
      <c r="BG42" s="17" t="n">
        <v>120.157</v>
      </c>
      <c r="BH42" s="17" t="n">
        <v>29.598</v>
      </c>
      <c r="BI42" s="17" t="n">
        <v>33.774</v>
      </c>
      <c r="BJ42" s="17" t="n">
        <v>30.239</v>
      </c>
      <c r="BK42" s="17" t="n">
        <v>42.888</v>
      </c>
      <c r="BL42" s="17" t="n">
        <v>136.497</v>
      </c>
      <c r="BM42" s="17" t="n">
        <v>27.776</v>
      </c>
      <c r="BN42" s="17" t="n">
        <v>25.709</v>
      </c>
      <c r="BO42" s="17" t="n">
        <v>20.101</v>
      </c>
      <c r="BP42" s="17" t="n">
        <v>32.53</v>
      </c>
      <c r="BQ42" s="17" t="n">
        <v>106.117</v>
      </c>
      <c r="BR42" s="17" t="n">
        <v>23.012</v>
      </c>
      <c r="BS42" s="17" t="n">
        <v>30.55</v>
      </c>
      <c r="BT42" s="17" t="n">
        <v>25.821</v>
      </c>
      <c r="BU42" s="17" t="n">
        <v>31.202</v>
      </c>
      <c r="BV42" s="17" t="n">
        <v>110.585</v>
      </c>
      <c r="BW42" s="17" t="n">
        <v>22.662</v>
      </c>
      <c r="BX42" s="17" t="n">
        <v>26.595</v>
      </c>
      <c r="BY42" s="18" t="n">
        <f aca="false">BY29*BY44</f>
        <v>22.6240083272235</v>
      </c>
      <c r="BZ42" s="18" t="n">
        <f aca="false">BZ29*BZ44</f>
        <v>26.4932579441323</v>
      </c>
      <c r="CA42" s="18" t="n">
        <f aca="false">SUM(BW42:BZ42)</f>
        <v>98.3742662713558</v>
      </c>
      <c r="CB42" s="18" t="n">
        <f aca="false">CB29*CB44</f>
        <v>112.833325364239</v>
      </c>
      <c r="CC42" s="18" t="n">
        <f aca="false">CC29*CC44</f>
        <v>121.859991393379</v>
      </c>
      <c r="CD42" s="18" t="n">
        <f aca="false">CD29*CD44</f>
        <v>131.380303220986</v>
      </c>
      <c r="CE42" s="18" t="n">
        <f aca="false">CE29*CE44</f>
        <v>135.978613833721</v>
      </c>
      <c r="CF42" s="19" t="s">
        <v>152</v>
      </c>
      <c r="CH42" s="20" t="n">
        <f aca="false">IFERROR((CE42/BV42)^(1/5)-1,"n/m")</f>
        <v>0.0422091398553031</v>
      </c>
      <c r="CI42" s="20" t="n">
        <f aca="false">IFERROR((BV42/AW42)^(1/5)-1,"n/m")</f>
        <v>0.197118894089464</v>
      </c>
      <c r="CJ42" s="20" t="n">
        <f aca="false">IFERROR((BV42/X42)^(1/10)-1,"n/m")</f>
        <v>0.123502046545876</v>
      </c>
      <c r="CK42" s="20" t="str">
        <f aca="false">IFERROR((BV42/C42)^(1/19)-1,"n/m")</f>
        <v>n/m</v>
      </c>
      <c r="CN42" s="26" t="s">
        <v>163</v>
      </c>
      <c r="CO42" s="45" t="n">
        <f aca="false">CP42+$CO$41</f>
        <v>0.04</v>
      </c>
      <c r="CP42" s="27" t="n">
        <v>0.02</v>
      </c>
      <c r="CQ42" s="45" t="n">
        <f aca="false">CP42+$CQ$41</f>
        <v>0</v>
      </c>
    </row>
    <row r="43" customFormat="false" ht="15" hidden="false" customHeight="false" outlineLevel="0" collapsed="false">
      <c r="B43" s="25" t="s">
        <v>153</v>
      </c>
      <c r="BY43" s="23" t="n">
        <f aca="false">BT44+($BX$44-$BS$44)</f>
        <v>0.0956645353710856</v>
      </c>
      <c r="BZ43" s="23" t="n">
        <f aca="false">BU44+($BX$44-$BS$44)</f>
        <v>0.0984060933645254</v>
      </c>
      <c r="CF43" s="19" t="s">
        <v>154</v>
      </c>
      <c r="CN43" s="26" t="s">
        <v>166</v>
      </c>
      <c r="CO43" s="45" t="n">
        <f aca="false">CP43+$CO$41</f>
        <v>0.04</v>
      </c>
      <c r="CP43" s="27" t="n">
        <v>0.02</v>
      </c>
      <c r="CQ43" s="45" t="n">
        <f aca="false">CP43+$CQ$41</f>
        <v>0</v>
      </c>
    </row>
    <row r="44" customFormat="false" ht="15" hidden="false" customHeight="false" outlineLevel="0" collapsed="false">
      <c r="B44" s="21" t="s">
        <v>157</v>
      </c>
      <c r="C44" s="22" t="str">
        <f aca="false">IF(AND(ISNUMBER(C42),ISNUMBER(C29)),IFERROR(C42/C29,""),"")</f>
        <v/>
      </c>
      <c r="D44" s="22" t="str">
        <f aca="false">IF(AND(ISNUMBER(D42),ISNUMBER(D29)),IFERROR(D42/D29,""),"")</f>
        <v/>
      </c>
      <c r="E44" s="22" t="str">
        <f aca="false">IF(AND(ISNUMBER(E42),ISNUMBER(E29)),IFERROR(E42/E29,""),"")</f>
        <v/>
      </c>
      <c r="F44" s="22" t="str">
        <f aca="false">IF(AND(ISNUMBER(F42),ISNUMBER(F29)),IFERROR(F42/F29,""),"")</f>
        <v/>
      </c>
      <c r="G44" s="22" t="str">
        <f aca="false">IF(AND(ISNUMBER(G42),ISNUMBER(G29)),IFERROR(G42/G29,""),"")</f>
        <v/>
      </c>
      <c r="H44" s="22" t="str">
        <f aca="false">IF(AND(ISNUMBER(H42),ISNUMBER(H29)),IFERROR(H42/H29,""),"")</f>
        <v/>
      </c>
      <c r="I44" s="22" t="str">
        <f aca="false">IF(AND(ISNUMBER(I42),ISNUMBER(I29)),IFERROR(I42/I29,""),"")</f>
        <v/>
      </c>
      <c r="J44" s="22" t="str">
        <f aca="false">IF(AND(ISNUMBER(J42),ISNUMBER(J29)),IFERROR(J42/J29,""),"")</f>
        <v/>
      </c>
      <c r="K44" s="22" t="str">
        <f aca="false">IF(AND(ISNUMBER(K42),ISNUMBER(K29)),IFERROR(K42/K29,""),"")</f>
        <v/>
      </c>
      <c r="L44" s="22" t="str">
        <f aca="false">IF(AND(ISNUMBER(L42),ISNUMBER(L29)),IFERROR(L42/L29,""),"")</f>
        <v/>
      </c>
      <c r="M44" s="22" t="str">
        <f aca="false">IF(AND(ISNUMBER(M42),ISNUMBER(M29)),IFERROR(M42/M29,""),"")</f>
        <v/>
      </c>
      <c r="N44" s="22" t="n">
        <f aca="false">IF(AND(ISNUMBER(N42),ISNUMBER(N29)),IFERROR(N42/N29,""),"")</f>
        <v>0.0546641354006936</v>
      </c>
      <c r="O44" s="22" t="n">
        <f aca="false">IF(AND(ISNUMBER(O42),ISNUMBER(O29)),IFERROR(O42/O29,""),"")</f>
        <v>0.0486933502008879</v>
      </c>
      <c r="P44" s="22" t="n">
        <f aca="false">IF(AND(ISNUMBER(P42),ISNUMBER(P29)),IFERROR(P42/P29,""),"")</f>
        <v>0.0825915468672544</v>
      </c>
      <c r="Q44" s="22" t="n">
        <f aca="false">IF(AND(ISNUMBER(Q42),ISNUMBER(Q29)),IFERROR(Q42/Q29,""),"")</f>
        <v>0.0876705316540082</v>
      </c>
      <c r="R44" s="22" t="n">
        <f aca="false">IF(AND(ISNUMBER(R42),ISNUMBER(R29)),IFERROR(R42/R29,""),"")</f>
        <v>0.0658794321726399</v>
      </c>
      <c r="S44" s="22" t="n">
        <f aca="false">IF(AND(ISNUMBER(S42),ISNUMBER(S29)),IFERROR(S42/S29,""),"")</f>
        <v>0.0714973349926037</v>
      </c>
      <c r="T44" s="22" t="n">
        <f aca="false">IF(AND(ISNUMBER(T42),ISNUMBER(T29)),IFERROR(T42/T29,""),"")</f>
        <v>0.0785223380036913</v>
      </c>
      <c r="U44" s="22" t="n">
        <f aca="false">IF(AND(ISNUMBER(U42),ISNUMBER(U29)),IFERROR(U42/U29,""),"")</f>
        <v>0.0776244125501138</v>
      </c>
      <c r="V44" s="22" t="n">
        <f aca="false">IF(AND(ISNUMBER(V42),ISNUMBER(V29)),IFERROR(V42/V29,""),"")</f>
        <v>0.0723655443812855</v>
      </c>
      <c r="W44" s="22" t="n">
        <f aca="false">IF(AND(ISNUMBER(W42),ISNUMBER(W29)),IFERROR(W42/W29,""),"")</f>
        <v>0.0271585790420248</v>
      </c>
      <c r="X44" s="22" t="n">
        <f aca="false">IF(AND(ISNUMBER(X42),ISNUMBER(X29)),IFERROR(X42/X29,""),"")</f>
        <v>0.0650586283602911</v>
      </c>
      <c r="Y44" s="22" t="n">
        <f aca="false">IF(AND(ISNUMBER(Y42),ISNUMBER(Y29)),IFERROR(Y42/Y29,""),"")</f>
        <v>0.0501427939342746</v>
      </c>
      <c r="Z44" s="22" t="n">
        <f aca="false">IF(AND(ISNUMBER(Z42),ISNUMBER(Z29)),IFERROR(Z42/Z29,""),"")</f>
        <v>0.0728080412603998</v>
      </c>
      <c r="AA44" s="22" t="n">
        <f aca="false">IF(AND(ISNUMBER(AA42),ISNUMBER(AA29)),IFERROR(AA42/AA29,""),"")</f>
        <v>0.0484761299387776</v>
      </c>
      <c r="AB44" s="22" t="n">
        <f aca="false">IF(AND(ISNUMBER(AB42),ISNUMBER(AB29)),IFERROR(AB42/AB29,""),"")</f>
        <v>0.057019256536886</v>
      </c>
      <c r="AC44" s="22" t="n">
        <f aca="false">IF(AND(ISNUMBER(AC42),ISNUMBER(AC29)),IFERROR(AC42/AC29,""),"")</f>
        <v>0.0574544293292384</v>
      </c>
      <c r="AD44" s="22" t="n">
        <f aca="false">IF(AND(ISNUMBER(AD42),ISNUMBER(AD29)),IFERROR(AD42/AD29,""),"")</f>
        <v>0.0745220656694184</v>
      </c>
      <c r="AE44" s="22" t="n">
        <f aca="false">IF(AND(ISNUMBER(AE42),ISNUMBER(AE29)),IFERROR(AE42/AE29,""),"")</f>
        <v>0.0671104891941936</v>
      </c>
      <c r="AF44" s="22" t="n">
        <f aca="false">IF(AND(ISNUMBER(AF42),ISNUMBER(AF29)),IFERROR(AF42/AF29,""),"")</f>
        <v>0.0536998335163473</v>
      </c>
      <c r="AG44" s="22" t="n">
        <f aca="false">IF(AND(ISNUMBER(AG42),ISNUMBER(AG29)),IFERROR(AG42/AG29,""),"")</f>
        <v>0.0469024025372919</v>
      </c>
      <c r="AH44" s="22" t="n">
        <f aca="false">IF(AND(ISNUMBER(AH42),ISNUMBER(AH29)),IFERROR(AH42/AH29,""),"")</f>
        <v>0.0576237804271682</v>
      </c>
      <c r="AI44" s="22" t="n">
        <f aca="false">IF(AND(ISNUMBER(AI42),ISNUMBER(AI29)),IFERROR(AI42/AI29,""),"")</f>
        <v>0.0605409995147986</v>
      </c>
      <c r="AJ44" s="22" t="n">
        <f aca="false">IF(AND(ISNUMBER(AJ42),ISNUMBER(AJ29)),IFERROR(AJ42/AJ29,""),"")</f>
        <v>0.0668767694033439</v>
      </c>
      <c r="AK44" s="22" t="n">
        <f aca="false">IF(AND(ISNUMBER(AK42),ISNUMBER(AK29)),IFERROR(AK42/AK29,""),"")</f>
        <v>0.0511444409460839</v>
      </c>
      <c r="AL44" s="22" t="n">
        <f aca="false">IF(AND(ISNUMBER(AL42),ISNUMBER(AL29)),IFERROR(AL42/AL29,""),"")</f>
        <v>0.0560613517060368</v>
      </c>
      <c r="AM44" s="22" t="n">
        <f aca="false">IF(AND(ISNUMBER(AM42),ISNUMBER(AM29)),IFERROR(AM42/AM29,""),"")</f>
        <v>0.0590070789359525</v>
      </c>
      <c r="AN44" s="22" t="n">
        <f aca="false">IF(AND(ISNUMBER(AN42),ISNUMBER(AN29)),IFERROR(AN42/AN29,""),"")</f>
        <v>0.0611547738048293</v>
      </c>
      <c r="AO44" s="22" t="n">
        <f aca="false">IF(AND(ISNUMBER(AO42),ISNUMBER(AO29)),IFERROR(AO42/AO29,""),"")</f>
        <v>0.0714911495671342</v>
      </c>
      <c r="AP44" s="22" t="n">
        <f aca="false">IF(AND(ISNUMBER(AP42),ISNUMBER(AP29)),IFERROR(AP42/AP29,""),"")</f>
        <v>0.0495866158984896</v>
      </c>
      <c r="AQ44" s="22" t="n">
        <f aca="false">IF(AND(ISNUMBER(AQ42),ISNUMBER(AQ29)),IFERROR(AQ42/AQ29,""),"")</f>
        <v>0.0529811624566572</v>
      </c>
      <c r="AR44" s="22" t="n">
        <f aca="false">IF(AND(ISNUMBER(AR42),ISNUMBER(AR29)),IFERROR(AR42/AR29,""),"")</f>
        <v>0.0588511381405845</v>
      </c>
      <c r="AS44" s="22" t="n">
        <f aca="false">IF(AND(ISNUMBER(AS42),ISNUMBER(AS29)),IFERROR(AS42/AS29,""),"")</f>
        <v>0.0334220883879084</v>
      </c>
      <c r="AT44" s="22" t="n">
        <f aca="false">IF(AND(ISNUMBER(AT42),ISNUMBER(AT29)),IFERROR(AT42/AT29,""),"")</f>
        <v>0.0546490034825899</v>
      </c>
      <c r="AU44" s="22" t="n">
        <f aca="false">IF(AND(ISNUMBER(AU42),ISNUMBER(AU29)),IFERROR(AU42/AU29,""),"")</f>
        <v>0.0682045527249831</v>
      </c>
      <c r="AV44" s="22" t="n">
        <f aca="false">IF(AND(ISNUMBER(AV42),ISNUMBER(AV29)),IFERROR(AV42/AV29,""),"")</f>
        <v>0.07100222551238</v>
      </c>
      <c r="AW44" s="22" t="n">
        <f aca="false">IF(AND(ISNUMBER(AW42),ISNUMBER(AW29)),IFERROR(AW42/AW29,""),"")</f>
        <v>0.0571663516812848</v>
      </c>
      <c r="AX44" s="22" t="n">
        <f aca="false">IF(AND(ISNUMBER(AX42),ISNUMBER(AX29)),IFERROR(AX42/AX29,""),"")</f>
        <v>0.084346800909095</v>
      </c>
      <c r="AY44" s="22" t="n">
        <f aca="false">IF(AND(ISNUMBER(AY42),ISNUMBER(AY29)),IFERROR(AY42/AY29,""),"")</f>
        <v>0.118869674106011</v>
      </c>
      <c r="AZ44" s="22" t="n">
        <f aca="false">IF(AND(ISNUMBER(AZ42),ISNUMBER(AZ29)),IFERROR(AZ42/AZ29,""),"")</f>
        <v>0.127801377853102</v>
      </c>
      <c r="BA44" s="22" t="n">
        <f aca="false">IF(AND(ISNUMBER(BA42),ISNUMBER(BA29)),IFERROR(BA42/BA29,""),"")</f>
        <v>0.115517922526463</v>
      </c>
      <c r="BB44" s="22" t="n">
        <f aca="false">IF(AND(ISNUMBER(BB42),ISNUMBER(BB29)),IFERROR(BB42/BB29,""),"")</f>
        <v>0.112018984838497</v>
      </c>
      <c r="BC44" s="22" t="n">
        <f aca="false">IF(AND(ISNUMBER(BC42),ISNUMBER(BC29)),IFERROR(BC42/BC29,""),"")</f>
        <v>0.143725221960851</v>
      </c>
      <c r="BD44" s="22" t="n">
        <f aca="false">IF(AND(ISNUMBER(BD42),ISNUMBER(BD29)),IFERROR(BD42/BD29,""),"")</f>
        <v>0.147948898909263</v>
      </c>
      <c r="BE44" s="22" t="n">
        <f aca="false">IF(AND(ISNUMBER(BE42),ISNUMBER(BE29)),IFERROR(BE42/BE29,""),"")</f>
        <v>0.116514316595611</v>
      </c>
      <c r="BF44" s="22" t="n">
        <f aca="false">IF(AND(ISNUMBER(BF42),ISNUMBER(BF29)),IFERROR(BF42/BF29,""),"")</f>
        <v>0.0939312421333202</v>
      </c>
      <c r="BG44" s="22" t="n">
        <f aca="false">IF(AND(ISNUMBER(BG42),ISNUMBER(BG29)),IFERROR(BG42/BG29,""),"")</f>
        <v>0.125913645980586</v>
      </c>
      <c r="BH44" s="22" t="n">
        <f aca="false">IF(AND(ISNUMBER(BH42),ISNUMBER(BH29)),IFERROR(BH42/BH29,""),"")</f>
        <v>0.117258810851927</v>
      </c>
      <c r="BI44" s="22" t="n">
        <f aca="false">IF(AND(ISNUMBER(BI42),ISNUMBER(BI29)),IFERROR(BI42/BI29,""),"")</f>
        <v>0.133281768566276</v>
      </c>
      <c r="BJ44" s="22" t="n">
        <f aca="false">IF(AND(ISNUMBER(BJ42),ISNUMBER(BJ29)),IFERROR(BJ42/BJ29,""),"")</f>
        <v>0.124949382256932</v>
      </c>
      <c r="BK44" s="22" t="n">
        <f aca="false">IF(AND(ISNUMBER(BK42),ISNUMBER(BK29)),IFERROR(BK42/BK29,""),"")</f>
        <v>0.146787734831968</v>
      </c>
      <c r="BL44" s="22" t="n">
        <f aca="false">IF(AND(ISNUMBER(BL42),ISNUMBER(BL29)),IFERROR(BL42/BL29,""),"")</f>
        <v>0.131246358194087</v>
      </c>
      <c r="BM44" s="22" t="n">
        <f aca="false">IF(AND(ISNUMBER(BM42),ISNUMBER(BM29)),IFERROR(BM42/BM29,""),"")</f>
        <v>0.117814227119837</v>
      </c>
      <c r="BN44" s="22" t="n">
        <f aca="false">IF(AND(ISNUMBER(BN42),ISNUMBER(BN29)),IFERROR(BN42/BN29,""),"")</f>
        <v>0.107678067331775</v>
      </c>
      <c r="BO44" s="22" t="n">
        <f aca="false">IF(AND(ISNUMBER(BO42),ISNUMBER(BO29)),IFERROR(BO42/BO29,""),"")</f>
        <v>0.0929637783039811</v>
      </c>
      <c r="BP44" s="22" t="n">
        <f aca="false">IF(AND(ISNUMBER(BP42),ISNUMBER(BP29)),IFERROR(BP42/BP29,""),"")</f>
        <v>0.133879882623601</v>
      </c>
      <c r="BQ44" s="22" t="n">
        <f aca="false">IF(AND(ISNUMBER(BQ42),ISNUMBER(BQ29)),IFERROR(BQ42/BQ29,""),"")</f>
        <v>0.1136494588325</v>
      </c>
      <c r="BR44" s="22" t="n">
        <f aca="false">IF(AND(ISNUMBER(BR42),ISNUMBER(BR29)),IFERROR(BR42/BR29,""),"")</f>
        <v>0.105048365523758</v>
      </c>
      <c r="BS44" s="22" t="n">
        <f aca="false">IF(AND(ISNUMBER(BS42),ISNUMBER(BS29)),IFERROR(BS42/BS29,""),"")</f>
        <v>0.131214995017696</v>
      </c>
      <c r="BT44" s="22" t="n">
        <f aca="false">IF(AND(ISNUMBER(BT42),ISNUMBER(BT29)),IFERROR(BT42/BT29,""),"")</f>
        <v>0.117566441590136</v>
      </c>
      <c r="BU44" s="22" t="n">
        <f aca="false">IF(AND(ISNUMBER(BU42),ISNUMBER(BU29)),IFERROR(BU42/BU29,""),"")</f>
        <v>0.120307999583576</v>
      </c>
      <c r="BV44" s="22" t="n">
        <f aca="false">IF(AND(ISNUMBER(BV42),ISNUMBER(BV29)),IFERROR(BV42/BV29,""),"")</f>
        <v>0.11879810713691</v>
      </c>
      <c r="BW44" s="22" t="n">
        <f aca="false">IF(AND(ISNUMBER(BW42),ISNUMBER(BW29)),IFERROR(BW42/BW29,""),"")</f>
        <v>0.0998172088004052</v>
      </c>
      <c r="BX44" s="22" t="n">
        <f aca="false">IF(AND(ISNUMBER(BX42),ISNUMBER(BX29)),IFERROR(BX42/BX29,""),"")</f>
        <v>0.109313088798645</v>
      </c>
      <c r="BY44" s="23" t="n">
        <f aca="false">BY43+BY123</f>
        <v>0.101369857041624</v>
      </c>
      <c r="BZ44" s="23" t="n">
        <f aca="false">BZ43+BZ123</f>
        <v>0.104111415035064</v>
      </c>
      <c r="CA44" s="23" t="n">
        <f aca="false">IFERROR(CA42/CA29,"")</f>
        <v>0.103772506971235</v>
      </c>
      <c r="CB44" s="23" t="n">
        <f aca="false">CHOOSE(MATCH($CF$2,{"Bull","Base","Bear"},0),$CO$52,$CP$52,$CQ$52)</f>
        <v>0.115</v>
      </c>
      <c r="CC44" s="23" t="n">
        <f aca="false">CHOOSE(MATCH($CF$2,{"Bull","Base","Bear"},0),$CO$53,$CP$53,$CQ$53)</f>
        <v>0.12</v>
      </c>
      <c r="CD44" s="23" t="n">
        <f aca="false">CHOOSE(MATCH($CF$2,{"Bull","Base","Bear"},0),$CO$54,$CP$54,$CQ$54)</f>
        <v>0.125</v>
      </c>
      <c r="CE44" s="23" t="n">
        <f aca="false">CHOOSE(MATCH($CF$2,{"Bull","Base","Bear"},0),$CO$55,$CP$55,$CQ$55)</f>
        <v>0.125</v>
      </c>
      <c r="CF44" s="19" t="s">
        <v>158</v>
      </c>
      <c r="CH44" s="41" t="n">
        <f aca="false">IFERROR(AVERAGE(CA44,CB44,CC44,CD44,CE44),"n/m")</f>
        <v>0.117754501394247</v>
      </c>
      <c r="CI44" s="41" t="n">
        <f aca="false">IFERROR(AVERAGE(BB44,BG44,BL44,BQ44,BV44),"n/m")</f>
        <v>0.120325310996516</v>
      </c>
      <c r="CJ44" s="41" t="n">
        <f aca="false">IFERROR(AVERAGE(AC44,AH44,AM44,AR44,AW44,BB44,BG44,BL44,BQ44,BV44),"n/m")</f>
        <v>0.089172933349681</v>
      </c>
      <c r="CK44" s="41" t="n">
        <f aca="false">IFERROR(AVERAGE(C44,D44,E44,F44,G44,H44,I44,N44,S44,X44,AC44,AH44,AM44,AR44,AW44,BB44,BG44,BL44,BQ44,BV44),"n/m")</f>
        <v>0.0833038024807999</v>
      </c>
      <c r="CN44" s="26" t="s">
        <v>167</v>
      </c>
      <c r="CO44" s="45" t="n">
        <f aca="false">CP44+$CO$41</f>
        <v>0.04</v>
      </c>
      <c r="CP44" s="27" t="n">
        <v>0.02</v>
      </c>
      <c r="CQ44" s="45" t="n">
        <f aca="false">CP44+$CQ$41</f>
        <v>0</v>
      </c>
    </row>
    <row r="45" customFormat="false" ht="15" hidden="false" customHeight="false" outlineLevel="0" collapsed="false">
      <c r="B45" s="21" t="s">
        <v>159</v>
      </c>
      <c r="D45" s="22" t="str">
        <f aca="false">IF(AND(ISNUMBER(D42),ISNUMBER(C42)),IFERROR((D42-C42)/(D29-C29),""),"")</f>
        <v/>
      </c>
      <c r="E45" s="22" t="str">
        <f aca="false">IF(AND(ISNUMBER(E42),ISNUMBER(D42)),IFERROR((E42-D42)/(E29-D29),""),"")</f>
        <v/>
      </c>
      <c r="F45" s="22" t="str">
        <f aca="false">IF(AND(ISNUMBER(F42),ISNUMBER(E42)),IFERROR((F42-E42)/(F29-E29),""),"")</f>
        <v/>
      </c>
      <c r="G45" s="22" t="str">
        <f aca="false">IF(AND(ISNUMBER(G42),ISNUMBER(F42)),IFERROR((G42-F42)/(G29-F29),""),"")</f>
        <v/>
      </c>
      <c r="H45" s="22" t="str">
        <f aca="false">IF(AND(ISNUMBER(H42),ISNUMBER(G42)),IFERROR((H42-G42)/(H29-G29),""),"")</f>
        <v/>
      </c>
      <c r="I45" s="22" t="str">
        <f aca="false">IF(AND(ISNUMBER(I42),ISNUMBER(H42)),IFERROR((I42-H42)/(I29-H29),""),"")</f>
        <v/>
      </c>
      <c r="N45" s="22" t="str">
        <f aca="false">IF(AND(ISNUMBER(N42),ISNUMBER(I42)),IFERROR((N42-I42)/(N29-I29),""),"")</f>
        <v/>
      </c>
      <c r="O45" s="22" t="str">
        <f aca="false">IF(AND(ISNUMBER(O42),ISNUMBER(J42)),IFERROR((O42-J42)/(O29-J29),""),"")</f>
        <v/>
      </c>
      <c r="P45" s="22" t="str">
        <f aca="false">IF(AND(ISNUMBER(P42),ISNUMBER(K42)),IFERROR((P42-K42)/(P29-K29),""),"")</f>
        <v/>
      </c>
      <c r="Q45" s="22" t="str">
        <f aca="false">IF(AND(ISNUMBER(Q42),ISNUMBER(L42)),IFERROR((Q42-L42)/(Q29-L29),""),"")</f>
        <v/>
      </c>
      <c r="R45" s="22" t="str">
        <f aca="false">IF(AND(ISNUMBER(R42),ISNUMBER(M42)),IFERROR((R42-M42)/(R29-M29),""),"")</f>
        <v/>
      </c>
      <c r="S45" s="22" t="n">
        <f aca="false">IF(AND(ISNUMBER(S42),ISNUMBER(N42)),IFERROR((S42-N42)/(S29-N29),""),"")</f>
        <v>-0.741514541542304</v>
      </c>
      <c r="T45" s="22" t="n">
        <f aca="false">IF(AND(ISNUMBER(T42),ISNUMBER(O42)),IFERROR((T42-O42)/(T29-O29),""),"")</f>
        <v>-0.0831878075885062</v>
      </c>
      <c r="U45" s="22" t="n">
        <f aca="false">IF(AND(ISNUMBER(U42),ISNUMBER(P42)),IFERROR((U42-P42)/(U29-P29),""),"")</f>
        <v>0.0987380041684799</v>
      </c>
      <c r="V45" s="22" t="n">
        <f aca="false">IF(AND(ISNUMBER(V42),ISNUMBER(Q42)),IFERROR((V42-Q42)/(V29-Q29),""),"")</f>
        <v>0.13675748772914</v>
      </c>
      <c r="W45" s="22" t="n">
        <f aca="false">IF(AND(ISNUMBER(W42),ISNUMBER(R42)),IFERROR((W42-R42)/(W29-R29),""),"")</f>
        <v>0.196705318318653</v>
      </c>
      <c r="X45" s="22" t="n">
        <f aca="false">IF(AND(ISNUMBER(X42),ISNUMBER(S42)),IFERROR((X42-S42)/(X29-S29),""),"")</f>
        <v>0.094121777377388</v>
      </c>
      <c r="Y45" s="22" t="n">
        <f aca="false">IF(AND(ISNUMBER(Y42),ISNUMBER(T42)),IFERROR((Y42-T42)/(Y29-T29),""),"")</f>
        <v>0.314616517199839</v>
      </c>
      <c r="Z45" s="22" t="n">
        <f aca="false">IF(AND(ISNUMBER(Z42),ISNUMBER(U42)),IFERROR((Z42-U42)/(Z29-U29),""),"")</f>
        <v>0.147827041264267</v>
      </c>
      <c r="AA45" s="22" t="n">
        <f aca="false">IF(AND(ISNUMBER(AA42),ISNUMBER(V42)),IFERROR((AA42-V42)/(AA29-V29),""),"")</f>
        <v>0.408086506817113</v>
      </c>
      <c r="AB45" s="22" t="n">
        <f aca="false">IF(AND(ISNUMBER(AB42),ISNUMBER(W42)),IFERROR((AB42-W42)/(AB29-W29),""),"")</f>
        <v>0.442444894047493</v>
      </c>
      <c r="AC45" s="22" t="n">
        <f aca="false">IF(AND(ISNUMBER(AC42),ISNUMBER(X42)),IFERROR((AC42-X42)/(AC29-X29),""),"")</f>
        <v>0.23153942428035</v>
      </c>
      <c r="AD45" s="22" t="n">
        <f aca="false">IF(AND(ISNUMBER(AD42),ISNUMBER(Y42)),IFERROR((AD42-Y42)/(AD29-Y29),""),"")</f>
        <v>0.735762600916431</v>
      </c>
      <c r="AE45" s="22" t="n">
        <f aca="false">IF(AND(ISNUMBER(AE42),ISNUMBER(Z42)),IFERROR((AE42-Z42)/(AE29-Z29),""),"")</f>
        <v>-0.0200391569733962</v>
      </c>
      <c r="AF45" s="22" t="n">
        <f aca="false">IF(AND(ISNUMBER(AF42),ISNUMBER(AA42)),IFERROR((AF42-AA42)/(AF29-AA29),""),"")</f>
        <v>0.0617016642537763</v>
      </c>
      <c r="AG45" s="22" t="n">
        <f aca="false">IF(AND(ISNUMBER(AG42),ISNUMBER(AB42)),IFERROR((AG42-AB42)/(AG29-AB29),""),"")</f>
        <v>0.036366970721439</v>
      </c>
      <c r="AH45" s="22" t="n">
        <f aca="false">IF(AND(ISNUMBER(AH42),ISNUMBER(AC42)),IFERROR((AH42-AC42)/(AH29-AC29),""),"")</f>
        <v>0.0580201628717097</v>
      </c>
      <c r="AI45" s="22" t="n">
        <f aca="false">IF(AND(ISNUMBER(AI42),ISNUMBER(AD42)),IFERROR((AI42-AD42)/(AI29-AD29),""),"")</f>
        <v>0.0453255876790057</v>
      </c>
      <c r="AJ45" s="22" t="n">
        <f aca="false">IF(AND(ISNUMBER(AJ42),ISNUMBER(AE42)),IFERROR((AJ42-AE42)/(AJ29-AE29),""),"")</f>
        <v>0.0665521472392638</v>
      </c>
      <c r="AK45" s="22" t="n">
        <f aca="false">IF(AND(ISNUMBER(AK42),ISNUMBER(AF42)),IFERROR((AK42-AF42)/(AK29-AF29),""),"")</f>
        <v>0.00907955018742189</v>
      </c>
      <c r="AL45" s="22" t="n">
        <f aca="false">IF(AND(ISNUMBER(AL42),ISNUMBER(AG42)),IFERROR((AL42-AG42)/(AL29-AG29),""),"")</f>
        <v>-0.00806782442226177</v>
      </c>
      <c r="AM45" s="22" t="n">
        <f aca="false">IF(AND(ISNUMBER(AM42),ISNUMBER(AH42)),IFERROR((AM42-AH42)/(AM29-AH29),""),"")</f>
        <v>0.0641235881009671</v>
      </c>
      <c r="AN45" s="22" t="n">
        <f aca="false">IF(AND(ISNUMBER(AN42),ISNUMBER(AI42)),IFERROR((AN42-AI42)/(AN29-AI29),""),"")</f>
        <v>0.0559622357528905</v>
      </c>
      <c r="AO45" s="22" t="n">
        <f aca="false">IF(AND(ISNUMBER(AO42),ISNUMBER(AJ42)),IFERROR((AO42-AJ42)/(AO29-AJ29),""),"")</f>
        <v>0.0353429684230856</v>
      </c>
      <c r="AP45" s="22" t="n">
        <f aca="false">IF(AND(ISNUMBER(AP42),ISNUMBER(AK42)),IFERROR((AP42-AK42)/(AP29-AK29),""),"")</f>
        <v>0.126531573986804</v>
      </c>
      <c r="AQ45" s="22" t="n">
        <f aca="false">IF(AND(ISNUMBER(AQ42),ISNUMBER(AL42)),IFERROR((AQ42-AL42)/(AQ29-AL29),""),"")</f>
        <v>0.848235294117653</v>
      </c>
      <c r="AR45" s="22" t="n">
        <f aca="false">IF(AND(ISNUMBER(AR42),ISNUMBER(AM42)),IFERROR((AR42-AM42)/(AR29-AM29),""),"")</f>
        <v>0.0610444223564494</v>
      </c>
      <c r="AS45" s="22" t="n">
        <f aca="false">IF(AND(ISNUMBER(AS42),ISNUMBER(AN42)),IFERROR((AS42-AN42)/(AS29-AN29),""),"")</f>
        <v>0.33338292912761</v>
      </c>
      <c r="AT45" s="22" t="n">
        <f aca="false">IF(AND(ISNUMBER(AT42),ISNUMBER(AO42)),IFERROR((AT42-AO42)/(AT29-AO29),""),"")</f>
        <v>0.156407410569453</v>
      </c>
      <c r="AU45" s="22" t="n">
        <f aca="false">IF(AND(ISNUMBER(AU42),ISNUMBER(AP42)),IFERROR((AU42-AP42)/(AU29-AP29),""),"")</f>
        <v>-0.384788532164437</v>
      </c>
      <c r="AV45" s="22" t="n">
        <f aca="false">IF(AND(ISNUMBER(AV42),ISNUMBER(AQ42)),IFERROR((AV42-AQ42)/(AV29-AQ29),""),"")</f>
        <v>-0.959205020920506</v>
      </c>
      <c r="AW45" s="22" t="n">
        <f aca="false">IF(AND(ISNUMBER(AW42),ISNUMBER(AR42)),IFERROR((AW42-AR42)/(AW29-AR29),""),"")</f>
        <v>0.0784702591501768</v>
      </c>
      <c r="AX45" s="22" t="n">
        <f aca="false">IF(AND(ISNUMBER(AX42),ISNUMBER(AS42)),IFERROR((AX42-AS42)/(AX29-AS29),""),"")</f>
        <v>0.485013515662267</v>
      </c>
      <c r="AY45" s="22" t="n">
        <f aca="false">IF(AND(ISNUMBER(AY42),ISNUMBER(AT42)),IFERROR((AY42-AT42)/(AY29-AT29),""),"")</f>
        <v>0.27020017290683</v>
      </c>
      <c r="AZ45" s="22" t="n">
        <f aca="false">IF(AND(ISNUMBER(AZ42),ISNUMBER(AU42)),IFERROR((AZ42-AU42)/(AZ29-AU29),""),"")</f>
        <v>0.516077808654228</v>
      </c>
      <c r="BA45" s="22" t="n">
        <f aca="false">IF(AND(ISNUMBER(BA42),ISNUMBER(AV42)),IFERROR((BA42-AV42)/(BA29-AV29),""),"")</f>
        <v>0.426480632256806</v>
      </c>
      <c r="BB45" s="22" t="n">
        <f aca="false">IF(AND(ISNUMBER(BB42),ISNUMBER(AW42)),IFERROR((BB42-AW42)/(BB29-AW29),""),"")</f>
        <v>0.379559374147636</v>
      </c>
      <c r="BC45" s="22" t="n">
        <f aca="false">IF(AND(ISNUMBER(BC42),ISNUMBER(AX42)),IFERROR((BC42-AX42)/(BC29-AX29),""),"")</f>
        <v>0.522595961329444</v>
      </c>
      <c r="BD45" s="22" t="n">
        <f aca="false">IF(AND(ISNUMBER(BD42),ISNUMBER(AY42)),IFERROR((BD42-AY42)/(BD29-AY29),""),"")</f>
        <v>-0.318768682821344</v>
      </c>
      <c r="BE45" s="22" t="n">
        <f aca="false">IF(AND(ISNUMBER(BE42),ISNUMBER(AZ42)),IFERROR((BE42-AZ42)/(BE29-AZ29),""),"")</f>
        <v>0.356861642294714</v>
      </c>
      <c r="BF45" s="22" t="n">
        <f aca="false">IF(AND(ISNUMBER(BF42),ISNUMBER(BA42)),IFERROR((BF42-BA42)/(BF29-BA29),""),"")</f>
        <v>2.28861283643893</v>
      </c>
      <c r="BG45" s="22" t="n">
        <f aca="false">IF(AND(ISNUMBER(BG42),ISNUMBER(BB42)),IFERROR((BG42-BB42)/(BG29-BB29),""),"")</f>
        <v>2.26591942820015</v>
      </c>
      <c r="BH45" s="22" t="n">
        <f aca="false">IF(AND(ISNUMBER(BH42),ISNUMBER(BC42)),IFERROR((BH42-BC42)/(BH29-BC29),""),"")</f>
        <v>1.33137777777778</v>
      </c>
      <c r="BI45" s="22" t="n">
        <f aca="false">IF(AND(ISNUMBER(BI42),ISNUMBER(BD42)),IFERROR((BI42-BD42)/(BI29-BD29),""),"")</f>
        <v>-0.073625849529033</v>
      </c>
      <c r="BJ45" s="22" t="n">
        <f aca="false">IF(AND(ISNUMBER(BJ42),ISNUMBER(BE42)),IFERROR((BJ42-BE42)/(BJ29-BE29),""),"")</f>
        <v>0.196527260612237</v>
      </c>
      <c r="BK45" s="22" t="n">
        <f aca="false">IF(AND(ISNUMBER(BK42),ISNUMBER(BF42)),IFERROR((BK42-BF42)/(BK29-BF29),""),"")</f>
        <v>0.408699019627825</v>
      </c>
      <c r="BL45" s="22" t="n">
        <f aca="false">IF(AND(ISNUMBER(BL42),ISNUMBER(BG42)),IFERROR((BL42-BG42)/(BL29-BG29),""),"")</f>
        <v>0.19060950714494</v>
      </c>
      <c r="BM45" s="22" t="n">
        <f aca="false">IF(AND(ISNUMBER(BM42),ISNUMBER(BH42)),IFERROR((BM42-BH42)/(BM29-BH29),""),"")</f>
        <v>0.109396577604323</v>
      </c>
      <c r="BN45" s="22" t="n">
        <f aca="false">IF(AND(ISNUMBER(BN42),ISNUMBER(BI42)),IFERROR((BN42-BI42)/(BN29-BI29),""),"")</f>
        <v>0.550699897575965</v>
      </c>
      <c r="BO45" s="22" t="n">
        <f aca="false">IF(AND(ISNUMBER(BO42),ISNUMBER(BJ42)),IFERROR((BO42-BJ42)/(BO29-BJ29),""),"")</f>
        <v>0.393159078569767</v>
      </c>
      <c r="BP45" s="22" t="n">
        <f aca="false">IF(AND(ISNUMBER(BP42),ISNUMBER(BK42)),IFERROR((BP42-BK42)/(BP29-BK29),""),"")</f>
        <v>0.210537013699744</v>
      </c>
      <c r="BQ45" s="22" t="n">
        <f aca="false">IF(AND(ISNUMBER(BQ42),ISNUMBER(BL42)),IFERROR((BQ42-BL42)/(BQ29-BL29),""),"")</f>
        <v>0.285837943622746</v>
      </c>
      <c r="BR45" s="22" t="n">
        <f aca="false">IF(AND(ISNUMBER(BR42),ISNUMBER(BM42)),IFERROR((BR42-BM42)/(BR29-BM29),""),"")</f>
        <v>0.285269461077844</v>
      </c>
      <c r="BS45" s="22" t="n">
        <f aca="false">IF(AND(ISNUMBER(BS42),ISNUMBER(BN42)),IFERROR((BS42-BN42)/(BS29-BN29),""),"")</f>
        <v>-0.815807212672734</v>
      </c>
      <c r="BT45" s="22" t="n">
        <f aca="false">IF(AND(ISNUMBER(BT42),ISNUMBER(BO42)),IFERROR((BT42-BO42)/(BT29-BO29),""),"")</f>
        <v>1.6798825256975</v>
      </c>
      <c r="BU45" s="22" t="n">
        <f aca="false">IF(AND(ISNUMBER(BU42),ISNUMBER(BP42)),IFERROR((BU42-BP42)/(BU29-BP29),""),"")</f>
        <v>-0.0811140972391889</v>
      </c>
      <c r="BV45" s="22" t="n">
        <f aca="false">IF(AND(ISNUMBER(BV42),ISNUMBER(BQ42)),IFERROR((BV42-BQ42)/(BV29-BQ29),""),"")</f>
        <v>-1.56387819390971</v>
      </c>
      <c r="BW45" s="22" t="n">
        <f aca="false">IF(AND(ISNUMBER(BW42),ISNUMBER(BR42)),IFERROR((BW42-BR42)/(BW29-BR29),""),"")</f>
        <v>-0.0438926511161277</v>
      </c>
      <c r="BX45" s="22" t="n">
        <f aca="false">IF(AND(ISNUMBER(BX42),ISNUMBER(BS42)),IFERROR((BX42-BS42)/(BX29-BS29),""),"")</f>
        <v>-0.377818112342377</v>
      </c>
      <c r="BY45" s="23" t="n">
        <f aca="false">IF(AND(ISNUMBER(BY42),ISNUMBER(BT42)),IFERROR((BY42-BT42)/(BY29-BT29),""),"")</f>
        <v>-0.899598591261819</v>
      </c>
      <c r="BZ45" s="23" t="n">
        <f aca="false">IF(AND(ISNUMBER(BZ42),ISNUMBER(BU42)),IFERROR((BZ42-BU42)/(BZ29-BU29),""),"")</f>
        <v>0.964758137968814</v>
      </c>
      <c r="CA45" s="23" t="n">
        <f aca="false">IF(AND(ISNUMBER(CA42),ISNUMBER(BV42)),IFERROR((CA42-BV42)/(CA29-BV29),""),"")</f>
        <v>-0.713450106788822</v>
      </c>
      <c r="CB45" s="23" t="n">
        <f aca="false">IF(AND(ISNUMBER(CB42),ISNUMBER(CA42)),IFERROR((CB42-CA42)/(CB29-CA29),""),"")</f>
        <v>0.435785515107583</v>
      </c>
      <c r="CC45" s="23" t="n">
        <f aca="false">IF(AND(ISNUMBER(CC42),ISNUMBER(CB42)),IFERROR((CC42-CB42)/(CC29-CB29),""),"")</f>
        <v>0.262857142857143</v>
      </c>
      <c r="CD45" s="23" t="n">
        <f aca="false">IF(AND(ISNUMBER(CD42),ISNUMBER(CC42)),IFERROR((CD42-CC42)/(CD29-CC29),""),"")</f>
        <v>0.267857142857143</v>
      </c>
      <c r="CE45" s="23" t="n">
        <f aca="false">IF(AND(ISNUMBER(CE42),ISNUMBER(CD42)),IFERROR((CE42-CD42)/(CE29-CD29),""),"")</f>
        <v>0.125</v>
      </c>
      <c r="CN45" s="26" t="s">
        <v>168</v>
      </c>
      <c r="CO45" s="45" t="n">
        <f aca="false">CP45+$CO$41</f>
        <v>0.04</v>
      </c>
      <c r="CP45" s="27" t="n">
        <v>0.02</v>
      </c>
      <c r="CQ45" s="45" t="n">
        <f aca="false">CP45+$CQ$41</f>
        <v>0</v>
      </c>
    </row>
    <row r="46" customFormat="false" ht="15" hidden="false" customHeight="false" outlineLevel="0" collapsed="false">
      <c r="CN46" s="42" t="s">
        <v>175</v>
      </c>
      <c r="CO46" s="43" t="n">
        <v>0.01</v>
      </c>
      <c r="CP46" s="44" t="s">
        <v>161</v>
      </c>
      <c r="CQ46" s="43" t="n">
        <v>-0.01</v>
      </c>
      <c r="CR46" s="14" t="s">
        <v>176</v>
      </c>
    </row>
    <row r="47" customFormat="false" ht="15" hidden="false" customHeight="false" outlineLevel="0" collapsed="false">
      <c r="B47" s="11" t="s">
        <v>177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 t="s">
        <v>178</v>
      </c>
      <c r="CN47" s="26" t="s">
        <v>163</v>
      </c>
      <c r="CO47" s="45" t="n">
        <f aca="false">CP47+$CO$46</f>
        <v>0.025</v>
      </c>
      <c r="CP47" s="27" t="n">
        <v>0.015</v>
      </c>
      <c r="CQ47" s="45" t="n">
        <f aca="false">CP47+$CQ$46</f>
        <v>0.005</v>
      </c>
    </row>
    <row r="48" customFormat="false" ht="15" hidden="false" customHeight="false" outlineLevel="0" collapsed="false">
      <c r="B48" s="15" t="s">
        <v>105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7" t="n">
        <v>308.177</v>
      </c>
      <c r="O48" s="17" t="n">
        <v>72.471</v>
      </c>
      <c r="P48" s="17" t="n">
        <v>77.419</v>
      </c>
      <c r="Q48" s="17" t="n">
        <v>78.383</v>
      </c>
      <c r="R48" s="17" t="n">
        <v>65.957</v>
      </c>
      <c r="S48" s="17" t="n">
        <v>294.23</v>
      </c>
      <c r="T48" s="17" t="n">
        <v>69.816</v>
      </c>
      <c r="U48" s="17" t="n">
        <v>71.812</v>
      </c>
      <c r="V48" s="17" t="n">
        <v>62.922</v>
      </c>
      <c r="W48" s="17" t="n">
        <v>59.431</v>
      </c>
      <c r="X48" s="17" t="n">
        <v>263.981</v>
      </c>
      <c r="Y48" s="17" t="n">
        <v>67.409</v>
      </c>
      <c r="Z48" s="17" t="n">
        <v>71.231</v>
      </c>
      <c r="AA48" s="17" t="n">
        <v>70.562</v>
      </c>
      <c r="AB48" s="17" t="n">
        <v>63.141</v>
      </c>
      <c r="AC48" s="17" t="n">
        <v>272.343</v>
      </c>
      <c r="AD48" s="17" t="n">
        <v>68.685</v>
      </c>
      <c r="AE48" s="17" t="n">
        <v>80.213</v>
      </c>
      <c r="AF48" s="17" t="n">
        <v>73.585</v>
      </c>
      <c r="AG48" s="17" t="n">
        <v>68.145</v>
      </c>
      <c r="AH48" s="17" t="n">
        <v>290.628</v>
      </c>
      <c r="AI48" s="17" t="n">
        <v>75.604</v>
      </c>
      <c r="AJ48" s="17" t="n">
        <v>84.164</v>
      </c>
      <c r="AK48" s="17" t="n">
        <v>73.467</v>
      </c>
      <c r="AL48" s="17" t="n">
        <v>69.154</v>
      </c>
      <c r="AM48" s="17" t="n">
        <v>302.389</v>
      </c>
      <c r="AN48" s="17" t="n">
        <v>83.369</v>
      </c>
      <c r="AO48" s="17" t="n">
        <v>88.095</v>
      </c>
      <c r="AP48" s="17" t="n">
        <v>81.884</v>
      </c>
      <c r="AQ48" s="17" t="n">
        <v>79.802</v>
      </c>
      <c r="AR48" s="17" t="n">
        <v>333.15</v>
      </c>
      <c r="AS48" s="17" t="n">
        <v>85.533</v>
      </c>
      <c r="AT48" s="17" t="n">
        <v>80.331</v>
      </c>
      <c r="AU48" s="17" t="n">
        <v>100.416</v>
      </c>
      <c r="AV48" s="17" t="n">
        <v>92.441</v>
      </c>
      <c r="AW48" s="17" t="n">
        <v>358.721</v>
      </c>
      <c r="AX48" s="17" t="n">
        <v>108.7</v>
      </c>
      <c r="AY48" s="17" t="n">
        <v>116.634</v>
      </c>
      <c r="AZ48" s="17" t="n">
        <v>117.781</v>
      </c>
      <c r="BA48" s="17" t="n">
        <v>118.459</v>
      </c>
      <c r="BB48" s="17" t="n">
        <v>461.574</v>
      </c>
      <c r="BC48" s="17" t="n">
        <v>133.352</v>
      </c>
      <c r="BD48" s="17" t="n">
        <v>137.301</v>
      </c>
      <c r="BE48" s="17" t="n">
        <v>133.115</v>
      </c>
      <c r="BF48" s="17" t="n">
        <v>114.228</v>
      </c>
      <c r="BG48" s="17" t="n">
        <v>517.996</v>
      </c>
      <c r="BH48" s="17" t="n">
        <v>128.282</v>
      </c>
      <c r="BI48" s="17" t="n">
        <v>130.196</v>
      </c>
      <c r="BJ48" s="17" t="n">
        <v>125.976</v>
      </c>
      <c r="BK48" s="17" t="n">
        <v>111.63</v>
      </c>
      <c r="BL48" s="17" t="n">
        <v>496.084</v>
      </c>
      <c r="BM48" s="17" t="n">
        <v>121.337</v>
      </c>
      <c r="BN48" s="17" t="n">
        <v>133.989</v>
      </c>
      <c r="BO48" s="17" t="n">
        <v>130.509</v>
      </c>
      <c r="BP48" s="17" t="n">
        <v>124.266</v>
      </c>
      <c r="BQ48" s="17" t="n">
        <v>510.101</v>
      </c>
      <c r="BR48" s="17" t="n">
        <v>132.22</v>
      </c>
      <c r="BS48" s="17" t="n">
        <v>159.119</v>
      </c>
      <c r="BT48" s="17" t="n">
        <v>149.804</v>
      </c>
      <c r="BU48" s="17" t="n">
        <v>137.434</v>
      </c>
      <c r="BV48" s="17" t="n">
        <v>578.577</v>
      </c>
      <c r="BW48" s="17" t="n">
        <v>188.174</v>
      </c>
      <c r="BX48" s="17" t="n">
        <v>201.933</v>
      </c>
      <c r="BY48" s="18" t="n">
        <f aca="false">BT48*(1+BY55)</f>
        <v>190.976118502268</v>
      </c>
      <c r="BZ48" s="18" t="n">
        <f aca="false">BU48*(1+BZ55)</f>
        <v>175.20634876399</v>
      </c>
      <c r="CA48" s="18" t="n">
        <f aca="false">SUM(BW48:BZ48)</f>
        <v>756.289467266258</v>
      </c>
      <c r="CB48" s="18" t="n">
        <f aca="false">CA48*(1+CB55)</f>
        <v>778.978151284246</v>
      </c>
      <c r="CC48" s="18" t="n">
        <f aca="false">CB48*(1+CC55)</f>
        <v>817.927058848458</v>
      </c>
      <c r="CD48" s="18" t="n">
        <f aca="false">CC48*(1+CD55)</f>
        <v>858.823411790881</v>
      </c>
      <c r="CE48" s="18" t="n">
        <f aca="false">CD48*(1+CE55)</f>
        <v>901.764582380425</v>
      </c>
      <c r="CF48" s="19" t="s">
        <v>106</v>
      </c>
      <c r="CH48" s="20" t="n">
        <f aca="false">IFERROR((CE48/BV48)^(1/5)-1,"n/m")</f>
        <v>0.0928143815728482</v>
      </c>
      <c r="CI48" s="20" t="n">
        <f aca="false">IFERROR((BV48/AW48)^(1/5)-1,"n/m")</f>
        <v>0.100324727009547</v>
      </c>
      <c r="CJ48" s="20" t="n">
        <f aca="false">IFERROR((BV48/X48)^(1/10)-1,"n/m")</f>
        <v>0.08163031190819</v>
      </c>
      <c r="CK48" s="20" t="str">
        <f aca="false">IFERROR((BV48/C48)^(1/19)-1,"n/m")</f>
        <v>n/m</v>
      </c>
      <c r="CN48" s="26" t="s">
        <v>166</v>
      </c>
      <c r="CO48" s="45" t="n">
        <f aca="false">CP48+$CO$46</f>
        <v>0.025</v>
      </c>
      <c r="CP48" s="27" t="n">
        <v>0.015</v>
      </c>
      <c r="CQ48" s="45" t="n">
        <f aca="false">CP48+$CQ$46</f>
        <v>0.005</v>
      </c>
    </row>
    <row r="49" customFormat="false" ht="15" hidden="false" customHeight="false" outlineLevel="0" collapsed="false">
      <c r="B49" s="21" t="s">
        <v>107</v>
      </c>
      <c r="D49" s="22" t="str">
        <f aca="false">IF(AND(ISNUMBER(D48),ISNUMBER(C48)),IFERROR(D48/C48-1,""),"")</f>
        <v/>
      </c>
      <c r="E49" s="22" t="str">
        <f aca="false">IF(AND(ISNUMBER(E48),ISNUMBER(D48)),IFERROR(E48/D48-1,""),"")</f>
        <v/>
      </c>
      <c r="F49" s="22" t="str">
        <f aca="false">IF(AND(ISNUMBER(F48),ISNUMBER(E48)),IFERROR(F48/E48-1,""),"")</f>
        <v/>
      </c>
      <c r="G49" s="22" t="str">
        <f aca="false">IF(AND(ISNUMBER(G48),ISNUMBER(F48)),IFERROR(G48/F48-1,""),"")</f>
        <v/>
      </c>
      <c r="H49" s="22" t="str">
        <f aca="false">IF(AND(ISNUMBER(H48),ISNUMBER(G48)),IFERROR(H48/G48-1,""),"")</f>
        <v/>
      </c>
      <c r="I49" s="22" t="str">
        <f aca="false">IF(AND(ISNUMBER(I48),ISNUMBER(H48)),IFERROR(I48/H48-1,""),"")</f>
        <v/>
      </c>
      <c r="N49" s="22" t="str">
        <f aca="false">IF(AND(ISNUMBER(N48),ISNUMBER(I48)),IFERROR(N48/I48-1,""),"")</f>
        <v/>
      </c>
      <c r="O49" s="22" t="str">
        <f aca="false">IF(AND(ISNUMBER(O48),ISNUMBER(J48)),IFERROR(O48/J48-1,""),"")</f>
        <v/>
      </c>
      <c r="P49" s="22" t="str">
        <f aca="false">IF(AND(ISNUMBER(P48),ISNUMBER(K48)),IFERROR(P48/K48-1,""),"")</f>
        <v/>
      </c>
      <c r="Q49" s="22" t="str">
        <f aca="false">IF(AND(ISNUMBER(Q48),ISNUMBER(L48)),IFERROR(Q48/L48-1,""),"")</f>
        <v/>
      </c>
      <c r="R49" s="22" t="str">
        <f aca="false">IF(AND(ISNUMBER(R48),ISNUMBER(M48)),IFERROR(R48/M48-1,""),"")</f>
        <v/>
      </c>
      <c r="S49" s="22" t="n">
        <f aca="false">IF(AND(ISNUMBER(S48),ISNUMBER(N48)),IFERROR(S48/N48-1,""),"")</f>
        <v>-0.0452564597617603</v>
      </c>
      <c r="T49" s="22" t="n">
        <f aca="false">IF(AND(ISNUMBER(T48),ISNUMBER(O48)),IFERROR(T48/O48-1,""),"")</f>
        <v>-0.0366353437926895</v>
      </c>
      <c r="U49" s="22" t="n">
        <f aca="false">IF(AND(ISNUMBER(U48),ISNUMBER(P48)),IFERROR(U48/P48-1,""),"")</f>
        <v>-0.0724240819437089</v>
      </c>
      <c r="V49" s="22" t="n">
        <f aca="false">IF(AND(ISNUMBER(V48),ISNUMBER(Q48)),IFERROR(V48/Q48-1,""),"")</f>
        <v>-0.197249403569652</v>
      </c>
      <c r="W49" s="22" t="n">
        <f aca="false">IF(AND(ISNUMBER(W48),ISNUMBER(R48)),IFERROR(W48/R48-1,""),"")</f>
        <v>-0.0989432509058932</v>
      </c>
      <c r="X49" s="22" t="n">
        <f aca="false">IF(AND(ISNUMBER(X48),ISNUMBER(S48)),IFERROR(X48/S48-1,""),"")</f>
        <v>-0.102807327600857</v>
      </c>
      <c r="Y49" s="22" t="n">
        <f aca="false">IF(AND(ISNUMBER(Y48),ISNUMBER(T48)),IFERROR(Y48/T48-1,""),"")</f>
        <v>-0.0344763378022229</v>
      </c>
      <c r="Z49" s="22" t="n">
        <f aca="false">IF(AND(ISNUMBER(Z48),ISNUMBER(U48)),IFERROR(Z48/U48-1,""),"")</f>
        <v>-0.00809056982119982</v>
      </c>
      <c r="AA49" s="22" t="n">
        <f aca="false">IF(AND(ISNUMBER(AA48),ISNUMBER(V48)),IFERROR(AA48/V48-1,""),"")</f>
        <v>0.121420171005372</v>
      </c>
      <c r="AB49" s="22" t="n">
        <f aca="false">IF(AND(ISNUMBER(AB48),ISNUMBER(W48)),IFERROR(AB48/W48-1,""),"")</f>
        <v>0.0624253335801182</v>
      </c>
      <c r="AC49" s="22" t="n">
        <f aca="false">IF(AND(ISNUMBER(AC48),ISNUMBER(X48)),IFERROR(AC48/X48-1,""),"")</f>
        <v>0.0316765221739443</v>
      </c>
      <c r="AD49" s="22" t="n">
        <f aca="false">IF(AND(ISNUMBER(AD48),ISNUMBER(Y48)),IFERROR(AD48/Y48-1,""),"")</f>
        <v>0.0189292231007729</v>
      </c>
      <c r="AE49" s="22" t="n">
        <f aca="false">IF(AND(ISNUMBER(AE48),ISNUMBER(Z48)),IFERROR(AE48/Z48-1,""),"")</f>
        <v>0.126096783703725</v>
      </c>
      <c r="AF49" s="22" t="n">
        <f aca="false">IF(AND(ISNUMBER(AF48),ISNUMBER(AA48)),IFERROR(AF48/AA48-1,""),"")</f>
        <v>0.042841756186049</v>
      </c>
      <c r="AG49" s="22" t="n">
        <f aca="false">IF(AND(ISNUMBER(AG48),ISNUMBER(AB48)),IFERROR(AG48/AB48-1,""),"")</f>
        <v>0.0792511996959187</v>
      </c>
      <c r="AH49" s="22" t="n">
        <f aca="false">IF(AND(ISNUMBER(AH48),ISNUMBER(AC48)),IFERROR(AH48/AC48-1,""),"")</f>
        <v>0.0671395996959716</v>
      </c>
      <c r="AI49" s="22" t="n">
        <f aca="false">IF(AND(ISNUMBER(AI48),ISNUMBER(AD48)),IFERROR(AI48/AD48-1,""),"")</f>
        <v>0.100735240591104</v>
      </c>
      <c r="AJ49" s="22" t="n">
        <f aca="false">IF(AND(ISNUMBER(AJ48),ISNUMBER(AE48)),IFERROR(AJ48/AE48-1,""),"")</f>
        <v>0.0492563549549325</v>
      </c>
      <c r="AK49" s="22" t="n">
        <f aca="false">IF(AND(ISNUMBER(AK48),ISNUMBER(AF48)),IFERROR(AK48/AF48-1,""),"")</f>
        <v>-0.00160358768770807</v>
      </c>
      <c r="AL49" s="22" t="n">
        <f aca="false">IF(AND(ISNUMBER(AL48),ISNUMBER(AG48)),IFERROR(AL48/AG48-1,""),"")</f>
        <v>0.0148066622642893</v>
      </c>
      <c r="AM49" s="22" t="n">
        <f aca="false">IF(AND(ISNUMBER(AM48),ISNUMBER(AH48)),IFERROR(AM48/AH48-1,""),"")</f>
        <v>0.04046753925981</v>
      </c>
      <c r="AN49" s="22" t="n">
        <f aca="false">IF(AND(ISNUMBER(AN48),ISNUMBER(AI48)),IFERROR(AN48/AI48-1,""),"")</f>
        <v>0.102706206020845</v>
      </c>
      <c r="AO49" s="22" t="n">
        <f aca="false">IF(AND(ISNUMBER(AO48),ISNUMBER(AJ48)),IFERROR(AO48/AJ48-1,""),"")</f>
        <v>0.0467064303027422</v>
      </c>
      <c r="AP49" s="22" t="n">
        <f aca="false">IF(AND(ISNUMBER(AP48),ISNUMBER(AK48)),IFERROR(AP48/AK48-1,""),"")</f>
        <v>0.114568445696707</v>
      </c>
      <c r="AQ49" s="22" t="n">
        <f aca="false">IF(AND(ISNUMBER(AQ48),ISNUMBER(AL48)),IFERROR(AQ48/AL48-1,""),"")</f>
        <v>0.153975185817162</v>
      </c>
      <c r="AR49" s="22" t="n">
        <f aca="false">IF(AND(ISNUMBER(AR48),ISNUMBER(AM48)),IFERROR(AR48/AM48-1,""),"")</f>
        <v>0.101726583969655</v>
      </c>
      <c r="AS49" s="22" t="n">
        <f aca="false">IF(AND(ISNUMBER(AS48),ISNUMBER(AN48)),IFERROR(AS48/AN48-1,""),"")</f>
        <v>0.0259568904508871</v>
      </c>
      <c r="AT49" s="22" t="n">
        <f aca="false">IF(AND(ISNUMBER(AT48),ISNUMBER(AO48)),IFERROR(AT48/AO48-1,""),"")</f>
        <v>-0.0881321300868381</v>
      </c>
      <c r="AU49" s="22" t="n">
        <f aca="false">IF(AND(ISNUMBER(AU48),ISNUMBER(AP48)),IFERROR(AU48/AP48-1,""),"")</f>
        <v>0.226320160226662</v>
      </c>
      <c r="AV49" s="22" t="n">
        <f aca="false">IF(AND(ISNUMBER(AV48),ISNUMBER(AQ48)),IFERROR(AV48/AQ48-1,""),"")</f>
        <v>0.158379489235859</v>
      </c>
      <c r="AW49" s="22" t="n">
        <f aca="false">IF(AND(ISNUMBER(AW48),ISNUMBER(AR48)),IFERROR(AW48/AR48-1,""),"")</f>
        <v>0.0767552153684528</v>
      </c>
      <c r="AX49" s="22" t="n">
        <f aca="false">IF(AND(ISNUMBER(AX48),ISNUMBER(AS48)),IFERROR(AX48/AS48-1,""),"")</f>
        <v>0.270854523984895</v>
      </c>
      <c r="AY49" s="22" t="n">
        <f aca="false">IF(AND(ISNUMBER(AY48),ISNUMBER(AT48)),IFERROR(AY48/AT48-1,""),"")</f>
        <v>0.451917690555327</v>
      </c>
      <c r="AZ49" s="22" t="n">
        <f aca="false">IF(AND(ISNUMBER(AZ48),ISNUMBER(AU48)),IFERROR(AZ48/AU48-1,""),"")</f>
        <v>0.172930608667941</v>
      </c>
      <c r="BA49" s="22" t="n">
        <f aca="false">IF(AND(ISNUMBER(BA48),ISNUMBER(AV48)),IFERROR(BA48/AV48-1,""),"")</f>
        <v>0.281455198450904</v>
      </c>
      <c r="BB49" s="22" t="n">
        <f aca="false">IF(AND(ISNUMBER(BB48),ISNUMBER(AW48)),IFERROR(BB48/AW48-1,""),"")</f>
        <v>0.286721435321601</v>
      </c>
      <c r="BC49" s="22" t="n">
        <f aca="false">IF(AND(ISNUMBER(BC48),ISNUMBER(AX48)),IFERROR(BC48/AX48-1,""),"")</f>
        <v>0.226789328426863</v>
      </c>
      <c r="BD49" s="22" t="n">
        <f aca="false">IF(AND(ISNUMBER(BD48),ISNUMBER(AY48)),IFERROR(BD48/AY48-1,""),"")</f>
        <v>0.177195328977828</v>
      </c>
      <c r="BE49" s="22" t="n">
        <f aca="false">IF(AND(ISNUMBER(BE48),ISNUMBER(AZ48)),IFERROR(BE48/AZ48-1,""),"")</f>
        <v>0.130190777799475</v>
      </c>
      <c r="BF49" s="22" t="n">
        <f aca="false">IF(AND(ISNUMBER(BF48),ISNUMBER(BA48)),IFERROR(BF48/BA48-1,""),"")</f>
        <v>-0.035716999130501</v>
      </c>
      <c r="BG49" s="22" t="n">
        <f aca="false">IF(AND(ISNUMBER(BG48),ISNUMBER(BB48)),IFERROR(BG48/BB48-1,""),"")</f>
        <v>0.122238254321084</v>
      </c>
      <c r="BH49" s="22" t="n">
        <f aca="false">IF(AND(ISNUMBER(BH48),ISNUMBER(BC48)),IFERROR(BH48/BC48-1,""),"")</f>
        <v>-0.0380196772451856</v>
      </c>
      <c r="BI49" s="22" t="n">
        <f aca="false">IF(AND(ISNUMBER(BI48),ISNUMBER(BD48)),IFERROR(BI48/BD48-1,""),"")</f>
        <v>-0.0517476201921325</v>
      </c>
      <c r="BJ49" s="22" t="n">
        <f aca="false">IF(AND(ISNUMBER(BJ48),ISNUMBER(BE48)),IFERROR(BJ48/BE48-1,""),"")</f>
        <v>-0.0536303196484244</v>
      </c>
      <c r="BK49" s="22" t="n">
        <f aca="false">IF(AND(ISNUMBER(BK48),ISNUMBER(BF48)),IFERROR(BK48/BF48-1,""),"")</f>
        <v>-0.0227439857127849</v>
      </c>
      <c r="BL49" s="22" t="n">
        <f aca="false">IF(AND(ISNUMBER(BL48),ISNUMBER(BG48)),IFERROR(BL48/BG48-1,""),"")</f>
        <v>-0.0423014849535517</v>
      </c>
      <c r="BM49" s="22" t="n">
        <f aca="false">IF(AND(ISNUMBER(BM48),ISNUMBER(BH48)),IFERROR(BM48/BH48-1,""),"")</f>
        <v>-0.0541385385322961</v>
      </c>
      <c r="BN49" s="22" t="n">
        <f aca="false">IF(AND(ISNUMBER(BN48),ISNUMBER(BI48)),IFERROR(BN48/BI48-1,""),"")</f>
        <v>0.0291329994777105</v>
      </c>
      <c r="BO49" s="22" t="n">
        <f aca="false">IF(AND(ISNUMBER(BO48),ISNUMBER(BJ48)),IFERROR(BO48/BJ48-1,""),"")</f>
        <v>0.0359830443894074</v>
      </c>
      <c r="BP49" s="22" t="n">
        <f aca="false">IF(AND(ISNUMBER(BP48),ISNUMBER(BK48)),IFERROR(BP48/BK48-1,""),"")</f>
        <v>0.11319537758667</v>
      </c>
      <c r="BQ49" s="22" t="n">
        <f aca="false">IF(AND(ISNUMBER(BQ48),ISNUMBER(BL48)),IFERROR(BQ48/BL48-1,""),"")</f>
        <v>0.0282552954741535</v>
      </c>
      <c r="BR49" s="22" t="n">
        <f aca="false">IF(AND(ISNUMBER(BR48),ISNUMBER(BM48)),IFERROR(BR48/BM48-1,""),"")</f>
        <v>0.0896923444621178</v>
      </c>
      <c r="BS49" s="22" t="n">
        <f aca="false">IF(AND(ISNUMBER(BS48),ISNUMBER(BN48)),IFERROR(BS48/BN48-1,""),"")</f>
        <v>0.187552709550784</v>
      </c>
      <c r="BT49" s="22" t="n">
        <f aca="false">IF(AND(ISNUMBER(BT48),ISNUMBER(BO48)),IFERROR(BT48/BO48-1,""),"")</f>
        <v>0.147844209977856</v>
      </c>
      <c r="BU49" s="22" t="n">
        <f aca="false">IF(AND(ISNUMBER(BU48),ISNUMBER(BP48)),IFERROR(BU48/BP48-1,""),"")</f>
        <v>0.10596623372443</v>
      </c>
      <c r="BV49" s="22" t="n">
        <f aca="false">IF(AND(ISNUMBER(BV48),ISNUMBER(BQ48)),IFERROR(BV48/BQ48-1,""),"")</f>
        <v>0.13424008186614</v>
      </c>
      <c r="BW49" s="22" t="n">
        <f aca="false">IF(AND(ISNUMBER(BW48),ISNUMBER(BR48)),IFERROR(BW48/BR48-1,""),"")</f>
        <v>0.423188625018908</v>
      </c>
      <c r="BX49" s="22" t="n">
        <f aca="false">IF(AND(ISNUMBER(BX48),ISNUMBER(BS48)),IFERROR(BX48/BS48-1,""),"")</f>
        <v>0.269069061519994</v>
      </c>
      <c r="BY49" s="23" t="n">
        <f aca="false">IFERROR(BY48/BT48-1,"")</f>
        <v>0.274839914169636</v>
      </c>
      <c r="BZ49" s="23" t="n">
        <f aca="false">IFERROR(BZ48/BU48-1,"")</f>
        <v>0.274839914169636</v>
      </c>
      <c r="CA49" s="23" t="n">
        <f aca="false">IFERROR(CA48/BV48-1,"")</f>
        <v>0.307154393047525</v>
      </c>
      <c r="CB49" s="23" t="n">
        <f aca="false">IFERROR(CB48/CA48-1,"")</f>
        <v>0.03</v>
      </c>
      <c r="CC49" s="23" t="n">
        <f aca="false">IFERROR(CC48/CB48-1,"")</f>
        <v>0.05</v>
      </c>
      <c r="CD49" s="23" t="n">
        <f aca="false">IFERROR(CD48/CC48-1,"")</f>
        <v>0.05</v>
      </c>
      <c r="CE49" s="23" t="n">
        <f aca="false">IFERROR(CE48/CD48-1,"")</f>
        <v>0.05</v>
      </c>
      <c r="CN49" s="26" t="s">
        <v>167</v>
      </c>
      <c r="CO49" s="45" t="n">
        <f aca="false">CP49+$CO$46</f>
        <v>0.025</v>
      </c>
      <c r="CP49" s="27" t="n">
        <v>0.015</v>
      </c>
      <c r="CQ49" s="45" t="n">
        <f aca="false">CP49+$CQ$46</f>
        <v>0.005</v>
      </c>
    </row>
    <row r="50" customFormat="false" ht="15" hidden="false" customHeight="false" outlineLevel="0" collapsed="false">
      <c r="B50" s="25" t="s">
        <v>113</v>
      </c>
      <c r="BY50" s="23" t="n">
        <f aca="false">$BX$51</f>
        <v>-0.081593</v>
      </c>
      <c r="BZ50" s="23" t="n">
        <f aca="false">$BX$51</f>
        <v>-0.081593</v>
      </c>
      <c r="CF50" s="19" t="s">
        <v>114</v>
      </c>
      <c r="CN50" s="26" t="s">
        <v>168</v>
      </c>
      <c r="CO50" s="45" t="n">
        <f aca="false">CP50+$CO$46</f>
        <v>0.025</v>
      </c>
      <c r="CP50" s="27" t="n">
        <v>0.015</v>
      </c>
      <c r="CQ50" s="45" t="n">
        <f aca="false">CP50+$CQ$46</f>
        <v>0.005</v>
      </c>
    </row>
    <row r="51" customFormat="false" ht="15" hidden="false" customHeight="false" outlineLevel="0" collapsed="false">
      <c r="B51" s="26" t="s">
        <v>117</v>
      </c>
      <c r="Y51" s="28" t="n">
        <v>0.019909</v>
      </c>
      <c r="Z51" s="28" t="n">
        <v>0.010249</v>
      </c>
      <c r="AA51" s="28" t="n">
        <v>0.083198</v>
      </c>
      <c r="AB51" s="28" t="n">
        <v>0.039071</v>
      </c>
      <c r="AC51" s="28" t="n">
        <v>0.036681</v>
      </c>
      <c r="AD51" s="28" t="n">
        <v>-0.029432</v>
      </c>
      <c r="AE51" s="28" t="n">
        <v>0.111131</v>
      </c>
      <c r="AF51" s="28" t="n">
        <v>0.071568</v>
      </c>
      <c r="AG51" s="28" t="n">
        <v>0.069369</v>
      </c>
      <c r="AH51" s="28" t="n">
        <v>0.056407</v>
      </c>
      <c r="AI51" s="28" t="n">
        <v>0.092888</v>
      </c>
      <c r="AJ51" s="28" t="n">
        <v>0.035194</v>
      </c>
      <c r="AK51" s="28" t="n">
        <v>0.002365</v>
      </c>
      <c r="AL51" s="28" t="n">
        <v>0.045785</v>
      </c>
      <c r="AM51" s="28" t="n">
        <v>0.043</v>
      </c>
      <c r="AN51" s="28" t="n">
        <v>0.039165</v>
      </c>
      <c r="AO51" s="28" t="n">
        <v>-0.004955</v>
      </c>
      <c r="AP51" s="28" t="n">
        <v>0.046674</v>
      </c>
      <c r="AQ51" s="28" t="n">
        <v>0.056757</v>
      </c>
      <c r="AR51" s="28" t="n">
        <v>0.032733</v>
      </c>
      <c r="AS51" s="28" t="n">
        <v>0.033586</v>
      </c>
      <c r="AT51" s="28" t="n">
        <v>-0.078222</v>
      </c>
      <c r="AU51" s="28" t="n">
        <v>0.127754</v>
      </c>
      <c r="AV51" s="28" t="n">
        <v>0.073582</v>
      </c>
      <c r="AW51" s="28" t="n">
        <v>0.036746</v>
      </c>
      <c r="AX51" s="28" t="n">
        <v>0.1361</v>
      </c>
      <c r="AY51" s="28" t="n">
        <v>0.229314</v>
      </c>
      <c r="AZ51" s="28" t="n">
        <v>-0.012817</v>
      </c>
      <c r="BA51" s="28" t="n">
        <v>0.054056</v>
      </c>
      <c r="BB51" s="28" t="n">
        <v>0.094146</v>
      </c>
      <c r="BC51" s="28" t="n">
        <v>0.028905</v>
      </c>
      <c r="BD51" s="28" t="n">
        <v>-0.004921</v>
      </c>
      <c r="BE51" s="28" t="n">
        <v>0.11113</v>
      </c>
      <c r="BF51" s="28" t="n">
        <v>-0.023949</v>
      </c>
      <c r="BG51" s="28" t="n">
        <v>0.027775</v>
      </c>
      <c r="BH51" s="28" t="n">
        <v>-0.037622</v>
      </c>
      <c r="BI51" s="28" t="n">
        <v>-0.064479</v>
      </c>
      <c r="BJ51" s="28" t="n">
        <v>-0.112076</v>
      </c>
      <c r="BK51" s="28" t="n">
        <v>-0.069195</v>
      </c>
      <c r="BL51" s="28" t="n">
        <v>-0.070836</v>
      </c>
      <c r="BM51" s="28" t="n">
        <v>-0.069035</v>
      </c>
      <c r="BN51" s="28" t="n">
        <v>-0.019378</v>
      </c>
      <c r="BO51" s="28" t="n">
        <v>-0.029585</v>
      </c>
      <c r="BP51" s="28" t="n">
        <v>0.027385</v>
      </c>
      <c r="BQ51" s="28" t="n">
        <v>-0.024288</v>
      </c>
      <c r="BR51" s="28" t="n">
        <v>0.006486</v>
      </c>
      <c r="BS51" s="28" t="n">
        <v>0.109494</v>
      </c>
      <c r="BT51" s="28" t="n">
        <v>0.022972</v>
      </c>
      <c r="BU51" s="28" t="n">
        <v>-0.088753</v>
      </c>
      <c r="BV51" s="28" t="n">
        <v>0.01456</v>
      </c>
      <c r="BW51" s="28" t="n">
        <v>-0.010399</v>
      </c>
      <c r="BX51" s="28" t="n">
        <v>-0.081593</v>
      </c>
      <c r="BY51" s="23" t="n">
        <f aca="false">BY50+BY118</f>
        <v>-0.075822085830364</v>
      </c>
      <c r="BZ51" s="23" t="n">
        <f aca="false">BZ50+BZ118</f>
        <v>-0.075822085830364</v>
      </c>
      <c r="CA51" s="23" t="n">
        <f aca="false">IFERROR(SUMPRODUCT(BR48:BU48,BW51:BZ51)/SUM(BR48:BU48),"")</f>
        <v>-0.0624583013786274</v>
      </c>
      <c r="CB51" s="23" t="n">
        <f aca="false">CHOOSE(MATCH($CF$2,{"Bull","Base","Bear"},0),$CO$57,$CP$57,$CQ$57)</f>
        <v>0.03</v>
      </c>
      <c r="CC51" s="23" t="n">
        <f aca="false">CHOOSE(MATCH($CF$2,{"Bull","Base","Bear"},0),$CO$58,$CP$58,$CQ$58)</f>
        <v>0.03</v>
      </c>
      <c r="CD51" s="23" t="n">
        <f aca="false">CHOOSE(MATCH($CF$2,{"Bull","Base","Bear"},0),$CO$59,$CP$59,$CQ$59)</f>
        <v>0.03</v>
      </c>
      <c r="CE51" s="23" t="n">
        <f aca="false">CHOOSE(MATCH($CF$2,{"Bull","Base","Bear"},0),$CO$60,$CP$60,$CQ$60)</f>
        <v>0.03</v>
      </c>
      <c r="CF51" s="19" t="s">
        <v>118</v>
      </c>
      <c r="CN51" s="42" t="s">
        <v>179</v>
      </c>
      <c r="CO51" s="43" t="n">
        <v>0.015</v>
      </c>
      <c r="CP51" s="44" t="s">
        <v>161</v>
      </c>
      <c r="CQ51" s="43" t="n">
        <v>-0.015</v>
      </c>
      <c r="CR51" s="14" t="s">
        <v>180</v>
      </c>
    </row>
    <row r="52" customFormat="false" ht="15" hidden="false" customHeight="false" outlineLevel="0" collapsed="false">
      <c r="B52" s="26" t="s">
        <v>121</v>
      </c>
      <c r="Y52" s="28" t="n">
        <v>-0.034433</v>
      </c>
      <c r="Z52" s="28" t="n">
        <v>-0.011266</v>
      </c>
      <c r="AA52" s="28" t="n">
        <v>0.035377</v>
      </c>
      <c r="AB52" s="28" t="n">
        <v>0.015177</v>
      </c>
      <c r="AC52" s="28" t="n">
        <v>-0.000322</v>
      </c>
      <c r="AD52" s="28" t="n">
        <v>0.040321</v>
      </c>
      <c r="AE52" s="28" t="n">
        <v>0.009715</v>
      </c>
      <c r="AF52" s="28" t="n">
        <v>-0.036904</v>
      </c>
      <c r="AG52" s="28" t="n">
        <v>-0.001014</v>
      </c>
      <c r="AH52" s="28" t="n">
        <v>0.002725</v>
      </c>
      <c r="AI52" s="28" t="n">
        <v>-0.007221</v>
      </c>
      <c r="AJ52" s="28" t="n">
        <v>0.014636</v>
      </c>
      <c r="AK52" s="28" t="n">
        <v>0.010233</v>
      </c>
      <c r="AL52" s="28" t="n">
        <v>-0.015452</v>
      </c>
      <c r="AM52" s="28" t="n">
        <v>0.001301</v>
      </c>
      <c r="AN52" s="28" t="n">
        <v>0.005952</v>
      </c>
      <c r="AO52" s="28" t="n">
        <v>-0.007545</v>
      </c>
      <c r="AP52" s="28" t="n">
        <v>0.010358</v>
      </c>
      <c r="AQ52" s="28" t="n">
        <v>0.032912</v>
      </c>
      <c r="AR52" s="28" t="n">
        <v>0.009432</v>
      </c>
      <c r="AS52" s="28" t="n">
        <v>0.003874</v>
      </c>
      <c r="AT52" s="28" t="n">
        <v>0.003156</v>
      </c>
      <c r="AU52" s="28" t="n">
        <v>0.115676</v>
      </c>
      <c r="AV52" s="28" t="n">
        <v>0.106489</v>
      </c>
      <c r="AW52" s="28" t="n">
        <v>0.055744</v>
      </c>
      <c r="AX52" s="28" t="n">
        <v>0.145476</v>
      </c>
      <c r="AY52" s="28" t="n">
        <v>0.211363</v>
      </c>
      <c r="AZ52" s="28" t="n">
        <v>0.085733</v>
      </c>
      <c r="BA52" s="28" t="n">
        <v>0.069536</v>
      </c>
      <c r="BB52" s="28" t="n">
        <v>0.123938</v>
      </c>
      <c r="BC52" s="28" t="n">
        <v>0.061849</v>
      </c>
      <c r="BD52" s="28" t="n">
        <v>0.041326</v>
      </c>
      <c r="BE52" s="28" t="n">
        <v>-0.004916</v>
      </c>
      <c r="BF52" s="28" t="n">
        <v>-0.000819</v>
      </c>
      <c r="BG52" s="28" t="n">
        <v>0.023543</v>
      </c>
      <c r="BH52" s="28" t="n">
        <v>0.004237</v>
      </c>
      <c r="BI52" s="28" t="n">
        <v>0.010255</v>
      </c>
      <c r="BJ52" s="28" t="n">
        <v>0.046809</v>
      </c>
      <c r="BK52" s="28" t="n">
        <v>0.036121</v>
      </c>
      <c r="BL52" s="28" t="n">
        <v>0.023803</v>
      </c>
      <c r="BM52" s="28" t="n">
        <v>0.011249</v>
      </c>
      <c r="BN52" s="28" t="n">
        <v>0.051676</v>
      </c>
      <c r="BO52" s="28" t="n">
        <v>0.070633</v>
      </c>
      <c r="BP52" s="28" t="n">
        <v>0.098289</v>
      </c>
      <c r="BQ52" s="28" t="n">
        <v>0.056525</v>
      </c>
      <c r="BR52" s="28" t="n">
        <v>0.095058</v>
      </c>
      <c r="BS52" s="28" t="n">
        <v>0.073573</v>
      </c>
      <c r="BT52" s="28" t="n">
        <v>0.118245</v>
      </c>
      <c r="BU52" s="28" t="n">
        <v>0.178416</v>
      </c>
      <c r="BV52" s="28" t="n">
        <v>0.115654</v>
      </c>
      <c r="BW52" s="28" t="n">
        <v>0.414325</v>
      </c>
      <c r="BX52" s="28" t="n">
        <v>0.342222</v>
      </c>
      <c r="BY52" s="23" t="n">
        <f aca="false">$BX$52</f>
        <v>0.342222</v>
      </c>
      <c r="BZ52" s="23" t="n">
        <f aca="false">$BX$52</f>
        <v>0.342222</v>
      </c>
      <c r="CA52" s="23" t="n">
        <f aca="false">IFERROR(SUMPRODUCT(BR48:BU48,BW52:BZ52)/SUM(BR48:BU48),"")</f>
        <v>0.358699424197644</v>
      </c>
      <c r="CB52" s="23" t="n">
        <f aca="false">CHOOSE(MATCH($CF$2,{"Bull","Base","Bear"},0),$CO$62,$CP$62,$CQ$62)</f>
        <v>0</v>
      </c>
      <c r="CC52" s="23" t="n">
        <f aca="false">CHOOSE(MATCH($CF$2,{"Bull","Base","Bear"},0),$CO$63,$CP$63,$CQ$63)</f>
        <v>0.02</v>
      </c>
      <c r="CD52" s="23" t="n">
        <f aca="false">CHOOSE(MATCH($CF$2,{"Bull","Base","Bear"},0),$CO$64,$CP$64,$CQ$64)</f>
        <v>0.02</v>
      </c>
      <c r="CE52" s="23" t="n">
        <f aca="false">CHOOSE(MATCH($CF$2,{"Bull","Base","Bear"},0),$CO$65,$CP$65,$CQ$65)</f>
        <v>0.02</v>
      </c>
      <c r="CF52" s="19" t="s">
        <v>122</v>
      </c>
      <c r="CN52" s="26" t="s">
        <v>163</v>
      </c>
      <c r="CO52" s="45" t="n">
        <f aca="false">CP52+$CO$51</f>
        <v>0.13</v>
      </c>
      <c r="CP52" s="27" t="n">
        <v>0.115</v>
      </c>
      <c r="CQ52" s="45" t="n">
        <f aca="false">CP52+$CQ$51</f>
        <v>0.1</v>
      </c>
    </row>
    <row r="53" customFormat="false" ht="15" hidden="false" customHeight="false" outlineLevel="0" collapsed="false">
      <c r="B53" s="26" t="s">
        <v>126</v>
      </c>
      <c r="Y53" s="28" t="n">
        <v>0</v>
      </c>
      <c r="Z53" s="28" t="n">
        <v>0</v>
      </c>
      <c r="AA53" s="28" t="n">
        <v>0</v>
      </c>
      <c r="AB53" s="28" t="n">
        <v>0</v>
      </c>
      <c r="AC53" s="28" t="n">
        <v>0</v>
      </c>
      <c r="AD53" s="28" t="n">
        <v>0</v>
      </c>
      <c r="AE53" s="28" t="n">
        <v>0</v>
      </c>
      <c r="AF53" s="28" t="n">
        <v>0</v>
      </c>
      <c r="AG53" s="28" t="n">
        <v>0</v>
      </c>
      <c r="AH53" s="28" t="n">
        <v>0</v>
      </c>
      <c r="AI53" s="28" t="n">
        <v>0</v>
      </c>
      <c r="AJ53" s="28" t="n">
        <v>0</v>
      </c>
      <c r="AK53" s="28" t="n">
        <v>0</v>
      </c>
      <c r="AL53" s="28" t="n">
        <v>0</v>
      </c>
      <c r="AM53" s="28" t="n">
        <v>0</v>
      </c>
      <c r="AN53" s="28" t="n">
        <v>0.076372</v>
      </c>
      <c r="AO53" s="28" t="n">
        <v>0.067202</v>
      </c>
      <c r="AP53" s="28" t="n">
        <v>0.064873</v>
      </c>
      <c r="AQ53" s="28" t="n">
        <v>0.069931</v>
      </c>
      <c r="AR53" s="28" t="n">
        <v>0.069553</v>
      </c>
      <c r="AS53" s="28" t="n">
        <v>0</v>
      </c>
      <c r="AT53" s="28" t="n">
        <v>0</v>
      </c>
      <c r="AU53" s="28" t="n">
        <v>0</v>
      </c>
      <c r="AV53" s="28" t="n">
        <v>0</v>
      </c>
      <c r="AW53" s="28" t="n">
        <v>0</v>
      </c>
      <c r="AX53" s="28" t="n">
        <v>0</v>
      </c>
      <c r="AY53" s="28" t="n">
        <v>0</v>
      </c>
      <c r="AZ53" s="28" t="n">
        <v>0.098391</v>
      </c>
      <c r="BA53" s="28" t="n">
        <v>0.163055</v>
      </c>
      <c r="BB53" s="28" t="n">
        <v>0.069561</v>
      </c>
      <c r="BC53" s="28" t="n">
        <v>0.142153</v>
      </c>
      <c r="BD53" s="28" t="n">
        <v>0.157818</v>
      </c>
      <c r="BE53" s="28" t="n">
        <v>0.047138</v>
      </c>
      <c r="BF53" s="28" t="n">
        <v>0</v>
      </c>
      <c r="BG53" s="28" t="n">
        <v>0.085384</v>
      </c>
      <c r="BH53" s="28" t="n">
        <v>0</v>
      </c>
      <c r="BI53" s="28" t="n">
        <v>0</v>
      </c>
      <c r="BJ53" s="28" t="n">
        <v>0</v>
      </c>
      <c r="BK53" s="28" t="n">
        <v>0</v>
      </c>
      <c r="BL53" s="28" t="n">
        <v>0</v>
      </c>
      <c r="BM53" s="28" t="n">
        <v>0</v>
      </c>
      <c r="BN53" s="28" t="n">
        <v>0</v>
      </c>
      <c r="BO53" s="28" t="n">
        <v>0</v>
      </c>
      <c r="BP53" s="28" t="n">
        <v>0</v>
      </c>
      <c r="BQ53" s="28" t="n">
        <v>0</v>
      </c>
      <c r="BR53" s="28" t="n">
        <v>0</v>
      </c>
      <c r="BS53" s="28" t="n">
        <v>0</v>
      </c>
      <c r="BT53" s="28" t="n">
        <v>0</v>
      </c>
      <c r="BU53" s="28" t="n">
        <v>0</v>
      </c>
      <c r="BV53" s="28" t="n">
        <v>0</v>
      </c>
      <c r="BW53" s="28" t="n">
        <v>0</v>
      </c>
      <c r="BX53" s="28" t="n">
        <v>0</v>
      </c>
      <c r="BY53" s="30" t="n">
        <v>0</v>
      </c>
      <c r="BZ53" s="30" t="n">
        <v>0</v>
      </c>
      <c r="CA53" s="23" t="n">
        <f aca="false">IFERROR(SUMPRODUCT(BR48:BU48,BW53:BZ53)/SUM(BR48:BU48),"")</f>
        <v>0</v>
      </c>
      <c r="CB53" s="30" t="n">
        <v>0</v>
      </c>
      <c r="CC53" s="30" t="n">
        <v>0</v>
      </c>
      <c r="CD53" s="30" t="n">
        <v>0</v>
      </c>
      <c r="CE53" s="30" t="n">
        <v>0</v>
      </c>
      <c r="CF53" s="19" t="s">
        <v>127</v>
      </c>
      <c r="CN53" s="26" t="s">
        <v>166</v>
      </c>
      <c r="CO53" s="45" t="n">
        <f aca="false">CP53+$CO$51</f>
        <v>0.135</v>
      </c>
      <c r="CP53" s="27" t="n">
        <v>0.12</v>
      </c>
      <c r="CQ53" s="45" t="n">
        <f aca="false">CP53+$CQ$51</f>
        <v>0.105</v>
      </c>
    </row>
    <row r="54" customFormat="false" ht="15" hidden="false" customHeight="false" outlineLevel="0" collapsed="false">
      <c r="B54" s="26" t="s">
        <v>129</v>
      </c>
      <c r="Y54" s="28" t="n">
        <v>-0.019952</v>
      </c>
      <c r="Z54" s="28" t="n">
        <v>-0.007074</v>
      </c>
      <c r="AA54" s="28" t="n">
        <v>0.002845</v>
      </c>
      <c r="AB54" s="28" t="n">
        <v>0.008178</v>
      </c>
      <c r="AC54" s="28" t="n">
        <v>-0.004682</v>
      </c>
      <c r="AD54" s="28" t="n">
        <v>0.00804</v>
      </c>
      <c r="AE54" s="28" t="n">
        <v>0.005251</v>
      </c>
      <c r="AF54" s="28" t="n">
        <v>0.008177</v>
      </c>
      <c r="AG54" s="28" t="n">
        <v>0.010896</v>
      </c>
      <c r="AH54" s="28" t="n">
        <v>0.008008</v>
      </c>
      <c r="AI54" s="28" t="n">
        <v>0.015069</v>
      </c>
      <c r="AJ54" s="28" t="n">
        <v>-0.000573</v>
      </c>
      <c r="AK54" s="28" t="n">
        <v>-0.014201</v>
      </c>
      <c r="AL54" s="28" t="n">
        <v>-0.015526</v>
      </c>
      <c r="AM54" s="28" t="n">
        <v>-0.003833</v>
      </c>
      <c r="AN54" s="28" t="n">
        <v>-0.018782</v>
      </c>
      <c r="AO54" s="28" t="n">
        <v>-0.007996</v>
      </c>
      <c r="AP54" s="28" t="n">
        <v>-0.007337</v>
      </c>
      <c r="AQ54" s="28" t="n">
        <v>-0.005625</v>
      </c>
      <c r="AR54" s="28" t="n">
        <v>-0.00999</v>
      </c>
      <c r="AS54" s="28" t="n">
        <v>-0.011503</v>
      </c>
      <c r="AT54" s="28" t="n">
        <v>-0.013065</v>
      </c>
      <c r="AU54" s="28" t="n">
        <v>-0.01711</v>
      </c>
      <c r="AV54" s="28" t="n">
        <v>-0.021691</v>
      </c>
      <c r="AW54" s="28" t="n">
        <v>-0.015735</v>
      </c>
      <c r="AX54" s="28" t="n">
        <v>-0.010721</v>
      </c>
      <c r="AY54" s="28" t="n">
        <v>0.011241</v>
      </c>
      <c r="AZ54" s="28" t="n">
        <v>0.001623</v>
      </c>
      <c r="BA54" s="28" t="n">
        <v>-0.005193</v>
      </c>
      <c r="BB54" s="28" t="n">
        <v>-0.000923</v>
      </c>
      <c r="BC54" s="28" t="n">
        <v>-0.006118</v>
      </c>
      <c r="BD54" s="28" t="n">
        <v>-0.017028</v>
      </c>
      <c r="BE54" s="28" t="n">
        <v>-0.023162</v>
      </c>
      <c r="BF54" s="28" t="n">
        <v>-0.010949</v>
      </c>
      <c r="BG54" s="28" t="n">
        <v>-0.014464</v>
      </c>
      <c r="BH54" s="28" t="n">
        <v>-0.004634</v>
      </c>
      <c r="BI54" s="28" t="n">
        <v>0.002476</v>
      </c>
      <c r="BJ54" s="28" t="n">
        <v>0.011637</v>
      </c>
      <c r="BK54" s="28" t="n">
        <v>0.01033</v>
      </c>
      <c r="BL54" s="28" t="n">
        <v>0.004732</v>
      </c>
      <c r="BM54" s="28" t="n">
        <v>0.003648</v>
      </c>
      <c r="BN54" s="28" t="n">
        <v>-0.003164</v>
      </c>
      <c r="BO54" s="28" t="n">
        <v>-0.005064</v>
      </c>
      <c r="BP54" s="28" t="n">
        <v>-0.012479</v>
      </c>
      <c r="BQ54" s="28" t="n">
        <v>-0.003981</v>
      </c>
      <c r="BR54" s="28" t="n">
        <v>-0.011851</v>
      </c>
      <c r="BS54" s="28" t="n">
        <v>0.004485</v>
      </c>
      <c r="BT54" s="28" t="n">
        <v>0.006628</v>
      </c>
      <c r="BU54" s="28" t="n">
        <v>0.016304</v>
      </c>
      <c r="BV54" s="28" t="n">
        <v>0.004027</v>
      </c>
      <c r="BW54" s="28" t="n">
        <v>0.019263</v>
      </c>
      <c r="BX54" s="28" t="n">
        <v>0.00844</v>
      </c>
      <c r="BY54" s="23" t="n">
        <f aca="false">$BX$54</f>
        <v>0.00844</v>
      </c>
      <c r="BZ54" s="23" t="n">
        <f aca="false">$BX$54</f>
        <v>0.00844</v>
      </c>
      <c r="CA54" s="23" t="n">
        <f aca="false">IFERROR(SUMPRODUCT(BR48:BU48,BW54:BZ54)/SUM(BR48:BU48),"")</f>
        <v>0.0109133390024145</v>
      </c>
      <c r="CB54" s="30" t="n">
        <v>0</v>
      </c>
      <c r="CC54" s="30" t="n">
        <v>0</v>
      </c>
      <c r="CD54" s="30" t="n">
        <v>0</v>
      </c>
      <c r="CE54" s="30" t="n">
        <v>0</v>
      </c>
      <c r="CF54" s="19" t="s">
        <v>130</v>
      </c>
      <c r="CN54" s="26" t="s">
        <v>167</v>
      </c>
      <c r="CO54" s="45" t="n">
        <f aca="false">CP54+$CO$51</f>
        <v>0.14</v>
      </c>
      <c r="CP54" s="27" t="n">
        <v>0.125</v>
      </c>
      <c r="CQ54" s="45" t="n">
        <f aca="false">CP54+$CQ$51</f>
        <v>0.11</v>
      </c>
    </row>
    <row r="55" customFormat="false" ht="15" hidden="false" customHeight="false" outlineLevel="0" collapsed="false">
      <c r="B55" s="15" t="s">
        <v>133</v>
      </c>
      <c r="C55" s="32" t="str">
        <f aca="false">IF(ISNUMBER(C51),C51+C52+C53+C54,"")</f>
        <v/>
      </c>
      <c r="D55" s="32" t="str">
        <f aca="false">IF(ISNUMBER(D51),D51+D52+D53+D54,"")</f>
        <v/>
      </c>
      <c r="E55" s="32" t="str">
        <f aca="false">IF(ISNUMBER(E51),E51+E52+E53+E54,"")</f>
        <v/>
      </c>
      <c r="F55" s="32" t="str">
        <f aca="false">IF(ISNUMBER(F51),F51+F52+F53+F54,"")</f>
        <v/>
      </c>
      <c r="G55" s="32" t="str">
        <f aca="false">IF(ISNUMBER(G51),G51+G52+G53+G54,"")</f>
        <v/>
      </c>
      <c r="H55" s="32" t="str">
        <f aca="false">IF(ISNUMBER(H51),H51+H52+H53+H54,"")</f>
        <v/>
      </c>
      <c r="I55" s="32" t="str">
        <f aca="false">IF(ISNUMBER(I51),I51+I52+I53+I54,"")</f>
        <v/>
      </c>
      <c r="J55" s="32" t="str">
        <f aca="false">IF(ISNUMBER(J51),J51+J52+J53+J54,"")</f>
        <v/>
      </c>
      <c r="K55" s="32" t="str">
        <f aca="false">IF(ISNUMBER(K51),K51+K52+K53+K54,"")</f>
        <v/>
      </c>
      <c r="L55" s="32" t="str">
        <f aca="false">IF(ISNUMBER(L51),L51+L52+L53+L54,"")</f>
        <v/>
      </c>
      <c r="M55" s="32" t="str">
        <f aca="false">IF(ISNUMBER(M51),M51+M52+M53+M54,"")</f>
        <v/>
      </c>
      <c r="N55" s="32" t="str">
        <f aca="false">IF(ISNUMBER(N51),N51+N52+N53+N54,"")</f>
        <v/>
      </c>
      <c r="O55" s="32" t="str">
        <f aca="false">IF(ISNUMBER(O51),O51+O52+O53+O54,"")</f>
        <v/>
      </c>
      <c r="P55" s="32" t="str">
        <f aca="false">IF(ISNUMBER(P51),P51+P52+P53+P54,"")</f>
        <v/>
      </c>
      <c r="Q55" s="32" t="str">
        <f aca="false">IF(ISNUMBER(Q51),Q51+Q52+Q53+Q54,"")</f>
        <v/>
      </c>
      <c r="R55" s="32" t="str">
        <f aca="false">IF(ISNUMBER(R51),R51+R52+R53+R54,"")</f>
        <v/>
      </c>
      <c r="S55" s="32" t="str">
        <f aca="false">IF(ISNUMBER(S51),S51+S52+S53+S54,"")</f>
        <v/>
      </c>
      <c r="T55" s="32" t="str">
        <f aca="false">IF(ISNUMBER(T51),T51+T52+T53+T54,"")</f>
        <v/>
      </c>
      <c r="U55" s="32" t="str">
        <f aca="false">IF(ISNUMBER(U51),U51+U52+U53+U54,"")</f>
        <v/>
      </c>
      <c r="V55" s="32" t="str">
        <f aca="false">IF(ISNUMBER(V51),V51+V52+V53+V54,"")</f>
        <v/>
      </c>
      <c r="W55" s="32" t="str">
        <f aca="false">IF(ISNUMBER(W51),W51+W52+W53+W54,"")</f>
        <v/>
      </c>
      <c r="X55" s="32" t="str">
        <f aca="false">IF(ISNUMBER(X51),X51+X52+X53+X54,"")</f>
        <v/>
      </c>
      <c r="Y55" s="32" t="n">
        <f aca="false">IF(ISNUMBER(Y51),Y51+Y52+Y53+Y54,"")</f>
        <v>-0.034476</v>
      </c>
      <c r="Z55" s="32" t="n">
        <f aca="false">IF(ISNUMBER(Z51),Z51+Z52+Z53+Z54,"")</f>
        <v>-0.008091</v>
      </c>
      <c r="AA55" s="32" t="n">
        <f aca="false">IF(ISNUMBER(AA51),AA51+AA52+AA53+AA54,"")</f>
        <v>0.12142</v>
      </c>
      <c r="AB55" s="32" t="n">
        <f aca="false">IF(ISNUMBER(AB51),AB51+AB52+AB53+AB54,"")</f>
        <v>0.062426</v>
      </c>
      <c r="AC55" s="32" t="n">
        <f aca="false">IF(ISNUMBER(AC51),AC51+AC52+AC53+AC54,"")</f>
        <v>0.031677</v>
      </c>
      <c r="AD55" s="32" t="n">
        <f aca="false">IF(ISNUMBER(AD51),AD51+AD52+AD53+AD54,"")</f>
        <v>0.018929</v>
      </c>
      <c r="AE55" s="32" t="n">
        <f aca="false">IF(ISNUMBER(AE51),AE51+AE52+AE53+AE54,"")</f>
        <v>0.126097</v>
      </c>
      <c r="AF55" s="32" t="n">
        <f aca="false">IF(ISNUMBER(AF51),AF51+AF52+AF53+AF54,"")</f>
        <v>0.042841</v>
      </c>
      <c r="AG55" s="32" t="n">
        <f aca="false">IF(ISNUMBER(AG51),AG51+AG52+AG53+AG54,"")</f>
        <v>0.079251</v>
      </c>
      <c r="AH55" s="32" t="n">
        <f aca="false">IF(ISNUMBER(AH51),AH51+AH52+AH53+AH54,"")</f>
        <v>0.06714</v>
      </c>
      <c r="AI55" s="32" t="n">
        <f aca="false">IF(ISNUMBER(AI51),AI51+AI52+AI53+AI54,"")</f>
        <v>0.100736</v>
      </c>
      <c r="AJ55" s="32" t="n">
        <f aca="false">IF(ISNUMBER(AJ51),AJ51+AJ52+AJ53+AJ54,"")</f>
        <v>0.049257</v>
      </c>
      <c r="AK55" s="32" t="n">
        <f aca="false">IF(ISNUMBER(AK51),AK51+AK52+AK53+AK54,"")</f>
        <v>-0.001603</v>
      </c>
      <c r="AL55" s="32" t="n">
        <f aca="false">IF(ISNUMBER(AL51),AL51+AL52+AL53+AL54,"")</f>
        <v>0.014807</v>
      </c>
      <c r="AM55" s="32" t="n">
        <f aca="false">IF(ISNUMBER(AM51),AM51+AM52+AM53+AM54,"")</f>
        <v>0.040468</v>
      </c>
      <c r="AN55" s="32" t="n">
        <f aca="false">IF(ISNUMBER(AN51),AN51+AN52+AN53+AN54,"")</f>
        <v>0.102707</v>
      </c>
      <c r="AO55" s="32" t="n">
        <f aca="false">IF(ISNUMBER(AO51),AO51+AO52+AO53+AO54,"")</f>
        <v>0.046706</v>
      </c>
      <c r="AP55" s="32" t="n">
        <f aca="false">IF(ISNUMBER(AP51),AP51+AP52+AP53+AP54,"")</f>
        <v>0.114568</v>
      </c>
      <c r="AQ55" s="32" t="n">
        <f aca="false">IF(ISNUMBER(AQ51),AQ51+AQ52+AQ53+AQ54,"")</f>
        <v>0.153975</v>
      </c>
      <c r="AR55" s="32" t="n">
        <f aca="false">IF(ISNUMBER(AR51),AR51+AR52+AR53+AR54,"")</f>
        <v>0.101728</v>
      </c>
      <c r="AS55" s="32" t="n">
        <f aca="false">IF(ISNUMBER(AS51),AS51+AS52+AS53+AS54,"")</f>
        <v>0.025957</v>
      </c>
      <c r="AT55" s="32" t="n">
        <f aca="false">IF(ISNUMBER(AT51),AT51+AT52+AT53+AT54,"")</f>
        <v>-0.088131</v>
      </c>
      <c r="AU55" s="32" t="n">
        <f aca="false">IF(ISNUMBER(AU51),AU51+AU52+AU53+AU54,"")</f>
        <v>0.22632</v>
      </c>
      <c r="AV55" s="32" t="n">
        <f aca="false">IF(ISNUMBER(AV51),AV51+AV52+AV53+AV54,"")</f>
        <v>0.15838</v>
      </c>
      <c r="AW55" s="32" t="n">
        <f aca="false">IF(ISNUMBER(AW51),AW51+AW52+AW53+AW54,"")</f>
        <v>0.076755</v>
      </c>
      <c r="AX55" s="32" t="n">
        <f aca="false">IF(ISNUMBER(AX51),AX51+AX52+AX53+AX54,"")</f>
        <v>0.270855</v>
      </c>
      <c r="AY55" s="32" t="n">
        <f aca="false">IF(ISNUMBER(AY51),AY51+AY52+AY53+AY54,"")</f>
        <v>0.451918</v>
      </c>
      <c r="AZ55" s="32" t="n">
        <f aca="false">IF(ISNUMBER(AZ51),AZ51+AZ52+AZ53+AZ54,"")</f>
        <v>0.17293</v>
      </c>
      <c r="BA55" s="32" t="n">
        <f aca="false">IF(ISNUMBER(BA51),BA51+BA52+BA53+BA54,"")</f>
        <v>0.281454</v>
      </c>
      <c r="BB55" s="32" t="n">
        <f aca="false">IF(ISNUMBER(BB51),BB51+BB52+BB53+BB54,"")</f>
        <v>0.286722</v>
      </c>
      <c r="BC55" s="32" t="n">
        <f aca="false">IF(ISNUMBER(BC51),BC51+BC52+BC53+BC54,"")</f>
        <v>0.226789</v>
      </c>
      <c r="BD55" s="32" t="n">
        <f aca="false">IF(ISNUMBER(BD51),BD51+BD52+BD53+BD54,"")</f>
        <v>0.177195</v>
      </c>
      <c r="BE55" s="32" t="n">
        <f aca="false">IF(ISNUMBER(BE51),BE51+BE52+BE53+BE54,"")</f>
        <v>0.13019</v>
      </c>
      <c r="BF55" s="32" t="n">
        <f aca="false">IF(ISNUMBER(BF51),BF51+BF52+BF53+BF54,"")</f>
        <v>-0.035717</v>
      </c>
      <c r="BG55" s="32" t="n">
        <f aca="false">IF(ISNUMBER(BG51),BG51+BG52+BG53+BG54,"")</f>
        <v>0.122238</v>
      </c>
      <c r="BH55" s="32" t="n">
        <f aca="false">IF(ISNUMBER(BH51),BH51+BH52+BH53+BH54,"")</f>
        <v>-0.038019</v>
      </c>
      <c r="BI55" s="32" t="n">
        <f aca="false">IF(ISNUMBER(BI51),BI51+BI52+BI53+BI54,"")</f>
        <v>-0.051748</v>
      </c>
      <c r="BJ55" s="32" t="n">
        <f aca="false">IF(ISNUMBER(BJ51),BJ51+BJ52+BJ53+BJ54,"")</f>
        <v>-0.05363</v>
      </c>
      <c r="BK55" s="32" t="n">
        <f aca="false">IF(ISNUMBER(BK51),BK51+BK52+BK53+BK54,"")</f>
        <v>-0.022744</v>
      </c>
      <c r="BL55" s="32" t="n">
        <f aca="false">IF(ISNUMBER(BL51),BL51+BL52+BL53+BL54,"")</f>
        <v>-0.042301</v>
      </c>
      <c r="BM55" s="32" t="n">
        <f aca="false">IF(ISNUMBER(BM51),BM51+BM52+BM53+BM54,"")</f>
        <v>-0.054138</v>
      </c>
      <c r="BN55" s="32" t="n">
        <f aca="false">IF(ISNUMBER(BN51),BN51+BN52+BN53+BN54,"")</f>
        <v>0.029134</v>
      </c>
      <c r="BO55" s="32" t="n">
        <f aca="false">IF(ISNUMBER(BO51),BO51+BO52+BO53+BO54,"")</f>
        <v>0.035984</v>
      </c>
      <c r="BP55" s="32" t="n">
        <f aca="false">IF(ISNUMBER(BP51),BP51+BP52+BP53+BP54,"")</f>
        <v>0.113195</v>
      </c>
      <c r="BQ55" s="32" t="n">
        <f aca="false">IF(ISNUMBER(BQ51),BQ51+BQ52+BQ53+BQ54,"")</f>
        <v>0.028256</v>
      </c>
      <c r="BR55" s="32" t="n">
        <f aca="false">IF(ISNUMBER(BR51),BR51+BR52+BR53+BR54,"")</f>
        <v>0.089693</v>
      </c>
      <c r="BS55" s="32" t="n">
        <f aca="false">IF(ISNUMBER(BS51),BS51+BS52+BS53+BS54,"")</f>
        <v>0.187552</v>
      </c>
      <c r="BT55" s="32" t="n">
        <f aca="false">IF(ISNUMBER(BT51),BT51+BT52+BT53+BT54,"")</f>
        <v>0.147845</v>
      </c>
      <c r="BU55" s="32" t="n">
        <f aca="false">IF(ISNUMBER(BU51),BU51+BU52+BU53+BU54,"")</f>
        <v>0.105967</v>
      </c>
      <c r="BV55" s="32" t="n">
        <f aca="false">IF(ISNUMBER(BV51),BV51+BV52+BV53+BV54,"")</f>
        <v>0.134241</v>
      </c>
      <c r="BW55" s="32" t="n">
        <f aca="false">IF(ISNUMBER(BW51),BW51+BW52+BW53+BW54,"")</f>
        <v>0.423189</v>
      </c>
      <c r="BX55" s="32" t="n">
        <f aca="false">IF(ISNUMBER(BX51),BX51+BX52+BX53+BX54,"")</f>
        <v>0.269069</v>
      </c>
      <c r="BY55" s="33" t="n">
        <f aca="false">BY51+BY52+BY53+BY54</f>
        <v>0.274839914169636</v>
      </c>
      <c r="BZ55" s="33" t="n">
        <f aca="false">BZ51+BZ52+BZ53+BZ54</f>
        <v>0.274839914169636</v>
      </c>
      <c r="CA55" s="33" t="n">
        <f aca="false">CA51+CA52+CA53+CA54</f>
        <v>0.307154461821431</v>
      </c>
      <c r="CB55" s="33" t="n">
        <f aca="false">CB51+CB52+CB53+CB54</f>
        <v>0.03</v>
      </c>
      <c r="CC55" s="33" t="n">
        <f aca="false">CC51+CC52+CC53+CC54</f>
        <v>0.05</v>
      </c>
      <c r="CD55" s="33" t="n">
        <f aca="false">CD51+CD52+CD53+CD54</f>
        <v>0.05</v>
      </c>
      <c r="CE55" s="33" t="n">
        <f aca="false">CE51+CE52+CE53+CE54</f>
        <v>0.05</v>
      </c>
      <c r="CN55" s="26" t="s">
        <v>168</v>
      </c>
      <c r="CO55" s="45" t="n">
        <f aca="false">CP55+$CO$51</f>
        <v>0.14</v>
      </c>
      <c r="CP55" s="27" t="n">
        <v>0.125</v>
      </c>
      <c r="CQ55" s="45" t="n">
        <f aca="false">CP55+$CQ$51</f>
        <v>0.11</v>
      </c>
    </row>
    <row r="56" customFormat="false" ht="15" hidden="false" customHeight="false" outlineLevel="0" collapsed="false">
      <c r="B56" s="26" t="s">
        <v>136</v>
      </c>
      <c r="C56" s="34" t="str">
        <f aca="false">IF(ISNUMBER(C51),C51+C52,"")</f>
        <v/>
      </c>
      <c r="D56" s="34" t="str">
        <f aca="false">IF(ISNUMBER(D51),D51+D52,"")</f>
        <v/>
      </c>
      <c r="E56" s="34" t="str">
        <f aca="false">IF(ISNUMBER(E51),E51+E52,"")</f>
        <v/>
      </c>
      <c r="F56" s="34" t="str">
        <f aca="false">IF(ISNUMBER(F51),F51+F52,"")</f>
        <v/>
      </c>
      <c r="G56" s="34" t="str">
        <f aca="false">IF(ISNUMBER(G51),G51+G52,"")</f>
        <v/>
      </c>
      <c r="H56" s="34" t="str">
        <f aca="false">IF(ISNUMBER(H51),H51+H52,"")</f>
        <v/>
      </c>
      <c r="I56" s="34" t="str">
        <f aca="false">IF(ISNUMBER(I51),I51+I52,"")</f>
        <v/>
      </c>
      <c r="J56" s="34" t="str">
        <f aca="false">IF(ISNUMBER(J51),J51+J52,"")</f>
        <v/>
      </c>
      <c r="K56" s="34" t="str">
        <f aca="false">IF(ISNUMBER(K51),K51+K52,"")</f>
        <v/>
      </c>
      <c r="L56" s="34" t="str">
        <f aca="false">IF(ISNUMBER(L51),L51+L52,"")</f>
        <v/>
      </c>
      <c r="M56" s="34" t="str">
        <f aca="false">IF(ISNUMBER(M51),M51+M52,"")</f>
        <v/>
      </c>
      <c r="N56" s="34" t="str">
        <f aca="false">IF(ISNUMBER(N51),N51+N52,"")</f>
        <v/>
      </c>
      <c r="O56" s="34" t="str">
        <f aca="false">IF(ISNUMBER(O51),O51+O52,"")</f>
        <v/>
      </c>
      <c r="P56" s="34" t="str">
        <f aca="false">IF(ISNUMBER(P51),P51+P52,"")</f>
        <v/>
      </c>
      <c r="Q56" s="34" t="str">
        <f aca="false">IF(ISNUMBER(Q51),Q51+Q52,"")</f>
        <v/>
      </c>
      <c r="R56" s="34" t="str">
        <f aca="false">IF(ISNUMBER(R51),R51+R52,"")</f>
        <v/>
      </c>
      <c r="S56" s="34" t="str">
        <f aca="false">IF(ISNUMBER(S51),S51+S52,"")</f>
        <v/>
      </c>
      <c r="T56" s="34" t="str">
        <f aca="false">IF(ISNUMBER(T51),T51+T52,"")</f>
        <v/>
      </c>
      <c r="U56" s="34" t="str">
        <f aca="false">IF(ISNUMBER(U51),U51+U52,"")</f>
        <v/>
      </c>
      <c r="V56" s="34" t="str">
        <f aca="false">IF(ISNUMBER(V51),V51+V52,"")</f>
        <v/>
      </c>
      <c r="W56" s="34" t="str">
        <f aca="false">IF(ISNUMBER(W51),W51+W52,"")</f>
        <v/>
      </c>
      <c r="X56" s="34" t="str">
        <f aca="false">IF(ISNUMBER(X51),X51+X52,"")</f>
        <v/>
      </c>
      <c r="Y56" s="34" t="n">
        <f aca="false">IF(ISNUMBER(Y51),Y51+Y52,"")</f>
        <v>-0.014524</v>
      </c>
      <c r="Z56" s="34" t="n">
        <f aca="false">IF(ISNUMBER(Z51),Z51+Z52,"")</f>
        <v>-0.001017</v>
      </c>
      <c r="AA56" s="34" t="n">
        <f aca="false">IF(ISNUMBER(AA51),AA51+AA52,"")</f>
        <v>0.118575</v>
      </c>
      <c r="AB56" s="34" t="n">
        <f aca="false">IF(ISNUMBER(AB51),AB51+AB52,"")</f>
        <v>0.054248</v>
      </c>
      <c r="AC56" s="34" t="n">
        <f aca="false">IF(ISNUMBER(AC51),AC51+AC52,"")</f>
        <v>0.036359</v>
      </c>
      <c r="AD56" s="34" t="n">
        <f aca="false">IF(ISNUMBER(AD51),AD51+AD52,"")</f>
        <v>0.010889</v>
      </c>
      <c r="AE56" s="34" t="n">
        <f aca="false">IF(ISNUMBER(AE51),AE51+AE52,"")</f>
        <v>0.120846</v>
      </c>
      <c r="AF56" s="34" t="n">
        <f aca="false">IF(ISNUMBER(AF51),AF51+AF52,"")</f>
        <v>0.034664</v>
      </c>
      <c r="AG56" s="34" t="n">
        <f aca="false">IF(ISNUMBER(AG51),AG51+AG52,"")</f>
        <v>0.068355</v>
      </c>
      <c r="AH56" s="34" t="n">
        <f aca="false">IF(ISNUMBER(AH51),AH51+AH52,"")</f>
        <v>0.059132</v>
      </c>
      <c r="AI56" s="34" t="n">
        <f aca="false">IF(ISNUMBER(AI51),AI51+AI52,"")</f>
        <v>0.085667</v>
      </c>
      <c r="AJ56" s="34" t="n">
        <f aca="false">IF(ISNUMBER(AJ51),AJ51+AJ52,"")</f>
        <v>0.04983</v>
      </c>
      <c r="AK56" s="34" t="n">
        <f aca="false">IF(ISNUMBER(AK51),AK51+AK52,"")</f>
        <v>0.012598</v>
      </c>
      <c r="AL56" s="34" t="n">
        <f aca="false">IF(ISNUMBER(AL51),AL51+AL52,"")</f>
        <v>0.030333</v>
      </c>
      <c r="AM56" s="34" t="n">
        <f aca="false">IF(ISNUMBER(AM51),AM51+AM52,"")</f>
        <v>0.044301</v>
      </c>
      <c r="AN56" s="34" t="n">
        <f aca="false">IF(ISNUMBER(AN51),AN51+AN52,"")</f>
        <v>0.045117</v>
      </c>
      <c r="AO56" s="34" t="n">
        <f aca="false">IF(ISNUMBER(AO51),AO51+AO52,"")</f>
        <v>-0.0125</v>
      </c>
      <c r="AP56" s="34" t="n">
        <f aca="false">IF(ISNUMBER(AP51),AP51+AP52,"")</f>
        <v>0.057032</v>
      </c>
      <c r="AQ56" s="34" t="n">
        <f aca="false">IF(ISNUMBER(AQ51),AQ51+AQ52,"")</f>
        <v>0.089669</v>
      </c>
      <c r="AR56" s="34" t="n">
        <f aca="false">IF(ISNUMBER(AR51),AR51+AR52,"")</f>
        <v>0.042165</v>
      </c>
      <c r="AS56" s="34" t="n">
        <f aca="false">IF(ISNUMBER(AS51),AS51+AS52,"")</f>
        <v>0.03746</v>
      </c>
      <c r="AT56" s="34" t="n">
        <f aca="false">IF(ISNUMBER(AT51),AT51+AT52,"")</f>
        <v>-0.075066</v>
      </c>
      <c r="AU56" s="34" t="n">
        <f aca="false">IF(ISNUMBER(AU51),AU51+AU52,"")</f>
        <v>0.24343</v>
      </c>
      <c r="AV56" s="34" t="n">
        <f aca="false">IF(ISNUMBER(AV51),AV51+AV52,"")</f>
        <v>0.180071</v>
      </c>
      <c r="AW56" s="34" t="n">
        <f aca="false">IF(ISNUMBER(AW51),AW51+AW52,"")</f>
        <v>0.09249</v>
      </c>
      <c r="AX56" s="34" t="n">
        <f aca="false">IF(ISNUMBER(AX51),AX51+AX52,"")</f>
        <v>0.281576</v>
      </c>
      <c r="AY56" s="34" t="n">
        <f aca="false">IF(ISNUMBER(AY51),AY51+AY52,"")</f>
        <v>0.440677</v>
      </c>
      <c r="AZ56" s="34" t="n">
        <f aca="false">IF(ISNUMBER(AZ51),AZ51+AZ52,"")</f>
        <v>0.072916</v>
      </c>
      <c r="BA56" s="34" t="n">
        <f aca="false">IF(ISNUMBER(BA51),BA51+BA52,"")</f>
        <v>0.123592</v>
      </c>
      <c r="BB56" s="34" t="n">
        <f aca="false">IF(ISNUMBER(BB51),BB51+BB52,"")</f>
        <v>0.218084</v>
      </c>
      <c r="BC56" s="34" t="n">
        <f aca="false">IF(ISNUMBER(BC51),BC51+BC52,"")</f>
        <v>0.090754</v>
      </c>
      <c r="BD56" s="34" t="n">
        <f aca="false">IF(ISNUMBER(BD51),BD51+BD52,"")</f>
        <v>0.036405</v>
      </c>
      <c r="BE56" s="34" t="n">
        <f aca="false">IF(ISNUMBER(BE51),BE51+BE52,"")</f>
        <v>0.106214</v>
      </c>
      <c r="BF56" s="34" t="n">
        <f aca="false">IF(ISNUMBER(BF51),BF51+BF52,"")</f>
        <v>-0.024768</v>
      </c>
      <c r="BG56" s="34" t="n">
        <f aca="false">IF(ISNUMBER(BG51),BG51+BG52,"")</f>
        <v>0.051318</v>
      </c>
      <c r="BH56" s="34" t="n">
        <f aca="false">IF(ISNUMBER(BH51),BH51+BH52,"")</f>
        <v>-0.033385</v>
      </c>
      <c r="BI56" s="34" t="n">
        <f aca="false">IF(ISNUMBER(BI51),BI51+BI52,"")</f>
        <v>-0.054224</v>
      </c>
      <c r="BJ56" s="34" t="n">
        <f aca="false">IF(ISNUMBER(BJ51),BJ51+BJ52,"")</f>
        <v>-0.065267</v>
      </c>
      <c r="BK56" s="34" t="n">
        <f aca="false">IF(ISNUMBER(BK51),BK51+BK52,"")</f>
        <v>-0.033074</v>
      </c>
      <c r="BL56" s="34" t="n">
        <f aca="false">IF(ISNUMBER(BL51),BL51+BL52,"")</f>
        <v>-0.047033</v>
      </c>
      <c r="BM56" s="34" t="n">
        <f aca="false">IF(ISNUMBER(BM51),BM51+BM52,"")</f>
        <v>-0.057786</v>
      </c>
      <c r="BN56" s="34" t="n">
        <f aca="false">IF(ISNUMBER(BN51),BN51+BN52,"")</f>
        <v>0.032298</v>
      </c>
      <c r="BO56" s="34" t="n">
        <f aca="false">IF(ISNUMBER(BO51),BO51+BO52,"")</f>
        <v>0.041048</v>
      </c>
      <c r="BP56" s="34" t="n">
        <f aca="false">IF(ISNUMBER(BP51),BP51+BP52,"")</f>
        <v>0.125674</v>
      </c>
      <c r="BQ56" s="34" t="n">
        <f aca="false">IF(ISNUMBER(BQ51),BQ51+BQ52,"")</f>
        <v>0.032237</v>
      </c>
      <c r="BR56" s="34" t="n">
        <f aca="false">IF(ISNUMBER(BR51),BR51+BR52,"")</f>
        <v>0.101544</v>
      </c>
      <c r="BS56" s="34" t="n">
        <f aca="false">IF(ISNUMBER(BS51),BS51+BS52,"")</f>
        <v>0.183067</v>
      </c>
      <c r="BT56" s="34" t="n">
        <f aca="false">IF(ISNUMBER(BT51),BT51+BT52,"")</f>
        <v>0.141217</v>
      </c>
      <c r="BU56" s="34" t="n">
        <f aca="false">IF(ISNUMBER(BU51),BU51+BU52,"")</f>
        <v>0.089663</v>
      </c>
      <c r="BV56" s="34" t="n">
        <f aca="false">IF(ISNUMBER(BV51),BV51+BV52,"")</f>
        <v>0.130214</v>
      </c>
      <c r="BW56" s="34" t="n">
        <f aca="false">IF(ISNUMBER(BW51),BW51+BW52,"")</f>
        <v>0.403926</v>
      </c>
      <c r="BX56" s="34" t="n">
        <f aca="false">IF(ISNUMBER(BX51),BX51+BX52,"")</f>
        <v>0.260629</v>
      </c>
      <c r="BY56" s="23" t="n">
        <f aca="false">BY51+BY52</f>
        <v>0.266399914169636</v>
      </c>
      <c r="BZ56" s="23" t="n">
        <f aca="false">BZ51+BZ52</f>
        <v>0.266399914169636</v>
      </c>
      <c r="CA56" s="23" t="n">
        <f aca="false">CA51+CA52</f>
        <v>0.296241122819016</v>
      </c>
      <c r="CB56" s="23" t="n">
        <f aca="false">CB51+CB52</f>
        <v>0.03</v>
      </c>
      <c r="CC56" s="23" t="n">
        <f aca="false">CC51+CC52</f>
        <v>0.05</v>
      </c>
      <c r="CD56" s="23" t="n">
        <f aca="false">CD51+CD52</f>
        <v>0.05</v>
      </c>
      <c r="CE56" s="23" t="n">
        <f aca="false">CE51+CE52</f>
        <v>0.05</v>
      </c>
      <c r="CN56" s="42" t="s">
        <v>181</v>
      </c>
      <c r="CO56" s="43" t="n">
        <v>0.02</v>
      </c>
      <c r="CP56" s="44" t="s">
        <v>161</v>
      </c>
      <c r="CQ56" s="43" t="n">
        <v>-0.02</v>
      </c>
      <c r="CR56" s="14" t="s">
        <v>182</v>
      </c>
    </row>
    <row r="57" customFormat="false" ht="15" hidden="false" customHeight="false" outlineLevel="0" collapsed="false">
      <c r="B57" s="36" t="s">
        <v>139</v>
      </c>
      <c r="C57" s="34" t="str">
        <f aca="false">IF(AND(ISNUMBER(C55),ISNUMBER(C49)),ROUND(C55-C49,3),"")</f>
        <v/>
      </c>
      <c r="D57" s="34" t="str">
        <f aca="false">IF(AND(ISNUMBER(D55),ISNUMBER(D49)),ROUND(D55-D49,3),"")</f>
        <v/>
      </c>
      <c r="E57" s="34" t="str">
        <f aca="false">IF(AND(ISNUMBER(E55),ISNUMBER(E49)),ROUND(E55-E49,3),"")</f>
        <v/>
      </c>
      <c r="F57" s="34" t="str">
        <f aca="false">IF(AND(ISNUMBER(F55),ISNUMBER(F49)),ROUND(F55-F49,3),"")</f>
        <v/>
      </c>
      <c r="G57" s="34" t="str">
        <f aca="false">IF(AND(ISNUMBER(G55),ISNUMBER(G49)),ROUND(G55-G49,3),"")</f>
        <v/>
      </c>
      <c r="H57" s="34" t="str">
        <f aca="false">IF(AND(ISNUMBER(H55),ISNUMBER(H49)),ROUND(H55-H49,3),"")</f>
        <v/>
      </c>
      <c r="I57" s="34" t="str">
        <f aca="false">IF(AND(ISNUMBER(I55),ISNUMBER(I49)),ROUND(I55-I49,3),"")</f>
        <v/>
      </c>
      <c r="J57" s="34" t="str">
        <f aca="false">IF(AND(ISNUMBER(J55),ISNUMBER(J49)),ROUND(J55-J49,3),"")</f>
        <v/>
      </c>
      <c r="K57" s="34" t="str">
        <f aca="false">IF(AND(ISNUMBER(K55),ISNUMBER(K49)),ROUND(K55-K49,3),"")</f>
        <v/>
      </c>
      <c r="L57" s="34" t="str">
        <f aca="false">IF(AND(ISNUMBER(L55),ISNUMBER(L49)),ROUND(L55-L49,3),"")</f>
        <v/>
      </c>
      <c r="M57" s="34" t="str">
        <f aca="false">IF(AND(ISNUMBER(M55),ISNUMBER(M49)),ROUND(M55-M49,3),"")</f>
        <v/>
      </c>
      <c r="N57" s="34" t="str">
        <f aca="false">IF(AND(ISNUMBER(N55),ISNUMBER(N49)),ROUND(N55-N49,3),"")</f>
        <v/>
      </c>
      <c r="O57" s="34" t="str">
        <f aca="false">IF(AND(ISNUMBER(O55),ISNUMBER(O49)),ROUND(O55-O49,3),"")</f>
        <v/>
      </c>
      <c r="P57" s="34" t="str">
        <f aca="false">IF(AND(ISNUMBER(P55),ISNUMBER(P49)),ROUND(P55-P49,3),"")</f>
        <v/>
      </c>
      <c r="Q57" s="34" t="str">
        <f aca="false">IF(AND(ISNUMBER(Q55),ISNUMBER(Q49)),ROUND(Q55-Q49,3),"")</f>
        <v/>
      </c>
      <c r="R57" s="34" t="str">
        <f aca="false">IF(AND(ISNUMBER(R55),ISNUMBER(R49)),ROUND(R55-R49,3),"")</f>
        <v/>
      </c>
      <c r="S57" s="34" t="str">
        <f aca="false">IF(AND(ISNUMBER(S55),ISNUMBER(S49)),ROUND(S55-S49,3),"")</f>
        <v/>
      </c>
      <c r="T57" s="34" t="str">
        <f aca="false">IF(AND(ISNUMBER(T55),ISNUMBER(T49)),ROUND(T55-T49,3),"")</f>
        <v/>
      </c>
      <c r="U57" s="34" t="str">
        <f aca="false">IF(AND(ISNUMBER(U55),ISNUMBER(U49)),ROUND(U55-U49,3),"")</f>
        <v/>
      </c>
      <c r="V57" s="34" t="str">
        <f aca="false">IF(AND(ISNUMBER(V55),ISNUMBER(V49)),ROUND(V55-V49,3),"")</f>
        <v/>
      </c>
      <c r="W57" s="34" t="str">
        <f aca="false">IF(AND(ISNUMBER(W55),ISNUMBER(W49)),ROUND(W55-W49,3),"")</f>
        <v/>
      </c>
      <c r="X57" s="34" t="str">
        <f aca="false">IF(AND(ISNUMBER(X55),ISNUMBER(X49)),ROUND(X55-X49,3),"")</f>
        <v/>
      </c>
      <c r="Y57" s="34" t="n">
        <f aca="false">IF(AND(ISNUMBER(Y55),ISNUMBER(Y49)),ROUND(Y55-Y49,3),"")</f>
        <v>0</v>
      </c>
      <c r="Z57" s="34" t="n">
        <f aca="false">IF(AND(ISNUMBER(Z55),ISNUMBER(Z49)),ROUND(Z55-Z49,3),"")</f>
        <v>-0</v>
      </c>
      <c r="AA57" s="34" t="n">
        <f aca="false">IF(AND(ISNUMBER(AA55),ISNUMBER(AA49)),ROUND(AA55-AA49,3),"")</f>
        <v>-0</v>
      </c>
      <c r="AB57" s="34" t="n">
        <f aca="false">IF(AND(ISNUMBER(AB55),ISNUMBER(AB49)),ROUND(AB55-AB49,3),"")</f>
        <v>0</v>
      </c>
      <c r="AC57" s="34" t="n">
        <f aca="false">IF(AND(ISNUMBER(AC55),ISNUMBER(AC49)),ROUND(AC55-AC49,3),"")</f>
        <v>0</v>
      </c>
      <c r="AD57" s="34" t="n">
        <f aca="false">IF(AND(ISNUMBER(AD55),ISNUMBER(AD49)),ROUND(AD55-AD49,3),"")</f>
        <v>-0</v>
      </c>
      <c r="AE57" s="34" t="n">
        <f aca="false">IF(AND(ISNUMBER(AE55),ISNUMBER(AE49)),ROUND(AE55-AE49,3),"")</f>
        <v>0</v>
      </c>
      <c r="AF57" s="34" t="n">
        <f aca="false">IF(AND(ISNUMBER(AF55),ISNUMBER(AF49)),ROUND(AF55-AF49,3),"")</f>
        <v>-0</v>
      </c>
      <c r="AG57" s="34" t="n">
        <f aca="false">IF(AND(ISNUMBER(AG55),ISNUMBER(AG49)),ROUND(AG55-AG49,3),"")</f>
        <v>-0</v>
      </c>
      <c r="AH57" s="34" t="n">
        <f aca="false">IF(AND(ISNUMBER(AH55),ISNUMBER(AH49)),ROUND(AH55-AH49,3),"")</f>
        <v>0</v>
      </c>
      <c r="AI57" s="34" t="n">
        <f aca="false">IF(AND(ISNUMBER(AI55),ISNUMBER(AI49)),ROUND(AI55-AI49,3),"")</f>
        <v>0</v>
      </c>
      <c r="AJ57" s="34" t="n">
        <f aca="false">IF(AND(ISNUMBER(AJ55),ISNUMBER(AJ49)),ROUND(AJ55-AJ49,3),"")</f>
        <v>0</v>
      </c>
      <c r="AK57" s="34" t="n">
        <f aca="false">IF(AND(ISNUMBER(AK55),ISNUMBER(AK49)),ROUND(AK55-AK49,3),"")</f>
        <v>0</v>
      </c>
      <c r="AL57" s="34" t="n">
        <f aca="false">IF(AND(ISNUMBER(AL55),ISNUMBER(AL49)),ROUND(AL55-AL49,3),"")</f>
        <v>0</v>
      </c>
      <c r="AM57" s="34" t="n">
        <f aca="false">IF(AND(ISNUMBER(AM55),ISNUMBER(AM49)),ROUND(AM55-AM49,3),"")</f>
        <v>0</v>
      </c>
      <c r="AN57" s="34" t="n">
        <f aca="false">IF(AND(ISNUMBER(AN55),ISNUMBER(AN49)),ROUND(AN55-AN49,3),"")</f>
        <v>0</v>
      </c>
      <c r="AO57" s="34" t="n">
        <f aca="false">IF(AND(ISNUMBER(AO55),ISNUMBER(AO49)),ROUND(AO55-AO49,3),"")</f>
        <v>-0</v>
      </c>
      <c r="AP57" s="34" t="n">
        <f aca="false">IF(AND(ISNUMBER(AP55),ISNUMBER(AP49)),ROUND(AP55-AP49,3),"")</f>
        <v>-0</v>
      </c>
      <c r="AQ57" s="34" t="n">
        <f aca="false">IF(AND(ISNUMBER(AQ55),ISNUMBER(AQ49)),ROUND(AQ55-AQ49,3),"")</f>
        <v>-0</v>
      </c>
      <c r="AR57" s="34" t="n">
        <f aca="false">IF(AND(ISNUMBER(AR55),ISNUMBER(AR49)),ROUND(AR55-AR49,3),"")</f>
        <v>0</v>
      </c>
      <c r="AS57" s="34" t="n">
        <f aca="false">IF(AND(ISNUMBER(AS55),ISNUMBER(AS49)),ROUND(AS55-AS49,3),"")</f>
        <v>0</v>
      </c>
      <c r="AT57" s="34" t="n">
        <f aca="false">IF(AND(ISNUMBER(AT55),ISNUMBER(AT49)),ROUND(AT55-AT49,3),"")</f>
        <v>0</v>
      </c>
      <c r="AU57" s="34" t="n">
        <f aca="false">IF(AND(ISNUMBER(AU55),ISNUMBER(AU49)),ROUND(AU55-AU49,3),"")</f>
        <v>-0</v>
      </c>
      <c r="AV57" s="34" t="n">
        <f aca="false">IF(AND(ISNUMBER(AV55),ISNUMBER(AV49)),ROUND(AV55-AV49,3),"")</f>
        <v>0</v>
      </c>
      <c r="AW57" s="34" t="n">
        <f aca="false">IF(AND(ISNUMBER(AW55),ISNUMBER(AW49)),ROUND(AW55-AW49,3),"")</f>
        <v>-0</v>
      </c>
      <c r="AX57" s="34" t="n">
        <f aca="false">IF(AND(ISNUMBER(AX55),ISNUMBER(AX49)),ROUND(AX55-AX49,3),"")</f>
        <v>0</v>
      </c>
      <c r="AY57" s="34" t="n">
        <f aca="false">IF(AND(ISNUMBER(AY55),ISNUMBER(AY49)),ROUND(AY55-AY49,3),"")</f>
        <v>0</v>
      </c>
      <c r="AZ57" s="34" t="n">
        <f aca="false">IF(AND(ISNUMBER(AZ55),ISNUMBER(AZ49)),ROUND(AZ55-AZ49,3),"")</f>
        <v>-0</v>
      </c>
      <c r="BA57" s="34" t="n">
        <f aca="false">IF(AND(ISNUMBER(BA55),ISNUMBER(BA49)),ROUND(BA55-BA49,3),"")</f>
        <v>-0</v>
      </c>
      <c r="BB57" s="34" t="n">
        <f aca="false">IF(AND(ISNUMBER(BB55),ISNUMBER(BB49)),ROUND(BB55-BB49,3),"")</f>
        <v>0</v>
      </c>
      <c r="BC57" s="34" t="n">
        <f aca="false">IF(AND(ISNUMBER(BC55),ISNUMBER(BC49)),ROUND(BC55-BC49,3),"")</f>
        <v>-0</v>
      </c>
      <c r="BD57" s="34" t="n">
        <f aca="false">IF(AND(ISNUMBER(BD55),ISNUMBER(BD49)),ROUND(BD55-BD49,3),"")</f>
        <v>-0</v>
      </c>
      <c r="BE57" s="34" t="n">
        <f aca="false">IF(AND(ISNUMBER(BE55),ISNUMBER(BE49)),ROUND(BE55-BE49,3),"")</f>
        <v>-0</v>
      </c>
      <c r="BF57" s="34" t="n">
        <f aca="false">IF(AND(ISNUMBER(BF55),ISNUMBER(BF49)),ROUND(BF55-BF49,3),"")</f>
        <v>-0</v>
      </c>
      <c r="BG57" s="34" t="n">
        <f aca="false">IF(AND(ISNUMBER(BG55),ISNUMBER(BG49)),ROUND(BG55-BG49,3),"")</f>
        <v>-0</v>
      </c>
      <c r="BH57" s="34" t="n">
        <f aca="false">IF(AND(ISNUMBER(BH55),ISNUMBER(BH49)),ROUND(BH55-BH49,3),"")</f>
        <v>0</v>
      </c>
      <c r="BI57" s="34" t="n">
        <f aca="false">IF(AND(ISNUMBER(BI55),ISNUMBER(BI49)),ROUND(BI55-BI49,3),"")</f>
        <v>-0</v>
      </c>
      <c r="BJ57" s="34" t="n">
        <f aca="false">IF(AND(ISNUMBER(BJ55),ISNUMBER(BJ49)),ROUND(BJ55-BJ49,3),"")</f>
        <v>0</v>
      </c>
      <c r="BK57" s="34" t="n">
        <f aca="false">IF(AND(ISNUMBER(BK55),ISNUMBER(BK49)),ROUND(BK55-BK49,3),"")</f>
        <v>-0</v>
      </c>
      <c r="BL57" s="34" t="n">
        <f aca="false">IF(AND(ISNUMBER(BL55),ISNUMBER(BL49)),ROUND(BL55-BL49,3),"")</f>
        <v>0</v>
      </c>
      <c r="BM57" s="34" t="n">
        <f aca="false">IF(AND(ISNUMBER(BM55),ISNUMBER(BM49)),ROUND(BM55-BM49,3),"")</f>
        <v>0</v>
      </c>
      <c r="BN57" s="34" t="n">
        <f aca="false">IF(AND(ISNUMBER(BN55),ISNUMBER(BN49)),ROUND(BN55-BN49,3),"")</f>
        <v>0</v>
      </c>
      <c r="BO57" s="34" t="n">
        <f aca="false">IF(AND(ISNUMBER(BO55),ISNUMBER(BO49)),ROUND(BO55-BO49,3),"")</f>
        <v>0</v>
      </c>
      <c r="BP57" s="34" t="n">
        <f aca="false">IF(AND(ISNUMBER(BP55),ISNUMBER(BP49)),ROUND(BP55-BP49,3),"")</f>
        <v>-0</v>
      </c>
      <c r="BQ57" s="34" t="n">
        <f aca="false">IF(AND(ISNUMBER(BQ55),ISNUMBER(BQ49)),ROUND(BQ55-BQ49,3),"")</f>
        <v>0</v>
      </c>
      <c r="BR57" s="34" t="n">
        <f aca="false">IF(AND(ISNUMBER(BR55),ISNUMBER(BR49)),ROUND(BR55-BR49,3),"")</f>
        <v>0</v>
      </c>
      <c r="BS57" s="34" t="n">
        <f aca="false">IF(AND(ISNUMBER(BS55),ISNUMBER(BS49)),ROUND(BS55-BS49,3),"")</f>
        <v>-0</v>
      </c>
      <c r="BT57" s="34" t="n">
        <f aca="false">IF(AND(ISNUMBER(BT55),ISNUMBER(BT49)),ROUND(BT55-BT49,3),"")</f>
        <v>0</v>
      </c>
      <c r="BU57" s="34" t="n">
        <f aca="false">IF(AND(ISNUMBER(BU55),ISNUMBER(BU49)),ROUND(BU55-BU49,3),"")</f>
        <v>0</v>
      </c>
      <c r="BV57" s="34" t="n">
        <f aca="false">IF(AND(ISNUMBER(BV55),ISNUMBER(BV49)),ROUND(BV55-BV49,3),"")</f>
        <v>0</v>
      </c>
      <c r="BW57" s="34" t="n">
        <f aca="false">IF(AND(ISNUMBER(BW55),ISNUMBER(BW49)),ROUND(BW55-BW49,3),"")</f>
        <v>0</v>
      </c>
      <c r="BX57" s="34" t="n">
        <f aca="false">IF(AND(ISNUMBER(BX55),ISNUMBER(BX49)),ROUND(BX55-BX49,3),"")</f>
        <v>-0</v>
      </c>
      <c r="CN57" s="26" t="s">
        <v>163</v>
      </c>
      <c r="CO57" s="45" t="n">
        <f aca="false">CP57+$CO$56</f>
        <v>0.05</v>
      </c>
      <c r="CP57" s="27" t="n">
        <v>0.03</v>
      </c>
      <c r="CQ57" s="45" t="n">
        <f aca="false">CP57+$CQ$56</f>
        <v>0.01</v>
      </c>
    </row>
    <row r="58" customFormat="false" ht="15" hidden="false" customHeight="false" outlineLevel="0" collapsed="false">
      <c r="B58" s="37" t="s">
        <v>142</v>
      </c>
      <c r="N58" s="38" t="n">
        <v>9.605</v>
      </c>
      <c r="O58" s="38" t="n">
        <v>2.118</v>
      </c>
      <c r="P58" s="38" t="n">
        <v>2.262</v>
      </c>
      <c r="Q58" s="38" t="n">
        <v>2.009</v>
      </c>
      <c r="R58" s="38" t="n">
        <v>1.821</v>
      </c>
      <c r="S58" s="38" t="n">
        <v>8.21</v>
      </c>
      <c r="T58" s="38" t="n">
        <v>2.011</v>
      </c>
      <c r="U58" s="38" t="n">
        <v>2.716</v>
      </c>
      <c r="V58" s="38" t="n">
        <v>2.307</v>
      </c>
      <c r="W58" s="38" t="n">
        <v>2.278</v>
      </c>
      <c r="X58" s="38" t="n">
        <v>9.312</v>
      </c>
      <c r="Y58" s="38" t="n">
        <v>2.303</v>
      </c>
      <c r="Z58" s="38" t="n">
        <v>2.824</v>
      </c>
      <c r="AA58" s="38" t="n">
        <v>1.856</v>
      </c>
      <c r="AB58" s="38" t="n">
        <v>1.726</v>
      </c>
      <c r="AC58" s="38" t="n">
        <v>8.709</v>
      </c>
      <c r="AD58" s="38" t="n">
        <v>2.3</v>
      </c>
      <c r="AE58" s="38" t="n">
        <v>2.399</v>
      </c>
      <c r="AF58" s="38" t="n">
        <v>2.064</v>
      </c>
      <c r="AG58" s="38" t="n">
        <v>1.427</v>
      </c>
      <c r="AH58" s="38" t="n">
        <v>8.19</v>
      </c>
      <c r="AI58" s="38" t="n">
        <v>1.907</v>
      </c>
      <c r="AJ58" s="38" t="n">
        <v>2.003</v>
      </c>
      <c r="AK58" s="38" t="n">
        <v>1.537</v>
      </c>
      <c r="AL58" s="38" t="n">
        <v>1.522</v>
      </c>
      <c r="AM58" s="38" t="n">
        <v>6.969</v>
      </c>
      <c r="AN58" s="38" t="n">
        <v>1.867</v>
      </c>
      <c r="AO58" s="38" t="n">
        <v>2.113</v>
      </c>
      <c r="AP58" s="38" t="n">
        <v>1.857</v>
      </c>
      <c r="AQ58" s="38" t="n">
        <v>1.65</v>
      </c>
      <c r="AR58" s="38" t="n">
        <v>7.487</v>
      </c>
      <c r="AS58" s="38" t="n">
        <v>1.725</v>
      </c>
      <c r="AT58" s="38" t="n">
        <v>1.753</v>
      </c>
      <c r="AU58" s="38" t="n">
        <v>1.898</v>
      </c>
      <c r="AV58" s="38" t="n">
        <v>1.658</v>
      </c>
      <c r="AW58" s="38" t="n">
        <v>7.034</v>
      </c>
      <c r="AX58" s="38" t="n">
        <v>2.147</v>
      </c>
      <c r="AY58" s="38" t="n">
        <v>2.284</v>
      </c>
      <c r="AZ58" s="38" t="n">
        <v>1.945</v>
      </c>
      <c r="BA58" s="38" t="n">
        <v>1.72</v>
      </c>
      <c r="BB58" s="38" t="n">
        <v>8.096</v>
      </c>
      <c r="BC58" s="38" t="n">
        <v>3.062</v>
      </c>
      <c r="BD58" s="38" t="n">
        <v>2.866</v>
      </c>
      <c r="BE58" s="38" t="n">
        <v>2.642</v>
      </c>
      <c r="BF58" s="38" t="n">
        <v>2.47</v>
      </c>
      <c r="BG58" s="38" t="n">
        <v>11.04</v>
      </c>
      <c r="BH58" s="38" t="n">
        <v>2.897</v>
      </c>
      <c r="BI58" s="38" t="n">
        <v>2.867</v>
      </c>
      <c r="BJ58" s="38" t="n">
        <v>2.299</v>
      </c>
      <c r="BK58" s="38" t="n">
        <v>2.578</v>
      </c>
      <c r="BL58" s="38" t="n">
        <v>10.641</v>
      </c>
      <c r="BM58" s="38" t="n">
        <v>3.093</v>
      </c>
      <c r="BN58" s="38" t="n">
        <v>3.272</v>
      </c>
      <c r="BO58" s="38" t="n">
        <v>3.155</v>
      </c>
      <c r="BP58" s="38" t="n">
        <v>2.801</v>
      </c>
      <c r="BQ58" s="38" t="n">
        <v>12.321</v>
      </c>
      <c r="BR58" s="38" t="n">
        <v>3.984</v>
      </c>
      <c r="BS58" s="38" t="n">
        <v>5.11</v>
      </c>
      <c r="BT58" s="38" t="n">
        <v>3.441</v>
      </c>
      <c r="BU58" s="38" t="n">
        <v>2.549</v>
      </c>
      <c r="BV58" s="38" t="n">
        <v>15.084</v>
      </c>
      <c r="BW58" s="38" t="n">
        <v>4.664</v>
      </c>
      <c r="BX58" s="38" t="n">
        <v>4.972</v>
      </c>
      <c r="CN58" s="26" t="s">
        <v>166</v>
      </c>
      <c r="CO58" s="45" t="n">
        <f aca="false">CP58+$CO$56</f>
        <v>0.05</v>
      </c>
      <c r="CP58" s="27" t="n">
        <v>0.03</v>
      </c>
      <c r="CQ58" s="45" t="n">
        <f aca="false">CP58+$CQ$56</f>
        <v>0.01</v>
      </c>
    </row>
    <row r="59" customFormat="false" ht="15" hidden="false" customHeight="false" outlineLevel="0" collapsed="false">
      <c r="B59" s="26" t="s">
        <v>145</v>
      </c>
      <c r="N59" s="38" t="n">
        <v>27.826</v>
      </c>
      <c r="O59" s="38" t="n">
        <v>6.058</v>
      </c>
      <c r="P59" s="38" t="n">
        <v>7.178</v>
      </c>
      <c r="Q59" s="38" t="n">
        <v>8.947</v>
      </c>
      <c r="R59" s="38" t="n">
        <v>6.38</v>
      </c>
      <c r="S59" s="38" t="n">
        <v>28.563</v>
      </c>
      <c r="T59" s="38" t="n">
        <v>7.549</v>
      </c>
      <c r="U59" s="38" t="n">
        <v>8.25</v>
      </c>
      <c r="V59" s="38" t="n">
        <v>6.422</v>
      </c>
      <c r="W59" s="38" t="n">
        <v>5.661</v>
      </c>
      <c r="X59" s="38" t="n">
        <v>27.882</v>
      </c>
      <c r="Y59" s="38" t="n">
        <v>7.711</v>
      </c>
      <c r="Z59" s="38" t="n">
        <v>9.284</v>
      </c>
      <c r="AA59" s="38" t="n">
        <v>8.757</v>
      </c>
      <c r="AB59" s="38" t="n">
        <v>6.628</v>
      </c>
      <c r="AC59" s="38" t="n">
        <v>32.38</v>
      </c>
      <c r="AD59" s="38" t="n">
        <v>8.46</v>
      </c>
      <c r="AE59" s="38" t="n">
        <v>9.787</v>
      </c>
      <c r="AF59" s="38" t="n">
        <v>9.244</v>
      </c>
      <c r="AG59" s="38" t="n">
        <v>8.951</v>
      </c>
      <c r="AH59" s="38" t="n">
        <v>36.442</v>
      </c>
      <c r="AI59" s="38" t="n">
        <v>9.225</v>
      </c>
      <c r="AJ59" s="38" t="n">
        <v>10.157</v>
      </c>
      <c r="AK59" s="38" t="n">
        <v>8.676</v>
      </c>
      <c r="AL59" s="38" t="n">
        <v>8.506</v>
      </c>
      <c r="AM59" s="38" t="n">
        <v>36.564</v>
      </c>
      <c r="AN59" s="38" t="n">
        <v>10.519</v>
      </c>
      <c r="AO59" s="38" t="n">
        <v>13.488</v>
      </c>
      <c r="AP59" s="38" t="n">
        <v>11.038</v>
      </c>
      <c r="AQ59" s="38" t="n">
        <v>8.886</v>
      </c>
      <c r="AR59" s="38" t="n">
        <v>43.931</v>
      </c>
      <c r="AS59" s="38" t="n">
        <v>12.492</v>
      </c>
      <c r="AT59" s="38" t="n">
        <v>11.713</v>
      </c>
      <c r="AU59" s="38" t="n">
        <v>17.587</v>
      </c>
      <c r="AV59" s="38" t="n">
        <v>13.362</v>
      </c>
      <c r="AW59" s="38" t="n">
        <v>55.154</v>
      </c>
      <c r="AX59" s="38" t="n">
        <v>18.697</v>
      </c>
      <c r="AY59" s="38" t="n">
        <v>18.212</v>
      </c>
      <c r="AZ59" s="38" t="n">
        <v>15.433</v>
      </c>
      <c r="BA59" s="38" t="n">
        <v>12.32</v>
      </c>
      <c r="BB59" s="38" t="n">
        <v>64.662</v>
      </c>
      <c r="BC59" s="38" t="n">
        <v>19.598</v>
      </c>
      <c r="BD59" s="38" t="n">
        <v>17.922</v>
      </c>
      <c r="BE59" s="38" t="n">
        <v>14.432</v>
      </c>
      <c r="BF59" s="38" t="n">
        <v>12.056</v>
      </c>
      <c r="BG59" s="38" t="n">
        <v>64.008</v>
      </c>
      <c r="BH59" s="38" t="n">
        <v>18.983</v>
      </c>
      <c r="BI59" s="38" t="n">
        <v>19.51</v>
      </c>
      <c r="BJ59" s="38" t="n">
        <v>20.405</v>
      </c>
      <c r="BK59" s="38" t="n">
        <v>15.246</v>
      </c>
      <c r="BL59" s="38" t="n">
        <v>74.144</v>
      </c>
      <c r="BM59" s="38" t="n">
        <v>18.342</v>
      </c>
      <c r="BN59" s="38" t="n">
        <v>25.063</v>
      </c>
      <c r="BO59" s="38" t="n">
        <v>20.69</v>
      </c>
      <c r="BP59" s="38" t="n">
        <v>20.278</v>
      </c>
      <c r="BQ59" s="38" t="n">
        <v>84.373</v>
      </c>
      <c r="BR59" s="38" t="n">
        <v>24.151</v>
      </c>
      <c r="BS59" s="38" t="n">
        <v>31.798</v>
      </c>
      <c r="BT59" s="38" t="n">
        <v>27.762</v>
      </c>
      <c r="BU59" s="38" t="n">
        <v>22.829</v>
      </c>
      <c r="BV59" s="38" t="n">
        <v>106.54</v>
      </c>
      <c r="BW59" s="38" t="n">
        <v>40.991</v>
      </c>
      <c r="BX59" s="38" t="n">
        <v>42.066</v>
      </c>
      <c r="CN59" s="26" t="s">
        <v>167</v>
      </c>
      <c r="CO59" s="45" t="n">
        <f aca="false">CP59+$CO$56</f>
        <v>0.05</v>
      </c>
      <c r="CP59" s="27" t="n">
        <v>0.03</v>
      </c>
      <c r="CQ59" s="45" t="n">
        <f aca="false">CP59+$CQ$56</f>
        <v>0.01</v>
      </c>
    </row>
    <row r="60" customFormat="false" ht="15" hidden="false" customHeight="false" outlineLevel="0" collapsed="false">
      <c r="B60" s="26" t="s">
        <v>148</v>
      </c>
      <c r="C60" s="39" t="str">
        <f aca="false">IF(AND(ISNUMBER(C61),ISNUMBER(C59)),C61-C59,"")</f>
        <v/>
      </c>
      <c r="D60" s="39" t="str">
        <f aca="false">IF(AND(ISNUMBER(D61),ISNUMBER(D59)),D61-D59,"")</f>
        <v/>
      </c>
      <c r="E60" s="39" t="str">
        <f aca="false">IF(AND(ISNUMBER(E61),ISNUMBER(E59)),E61-E59,"")</f>
        <v/>
      </c>
      <c r="F60" s="39" t="str">
        <f aca="false">IF(AND(ISNUMBER(F61),ISNUMBER(F59)),F61-F59,"")</f>
        <v/>
      </c>
      <c r="G60" s="39" t="str">
        <f aca="false">IF(AND(ISNUMBER(G61),ISNUMBER(G59)),G61-G59,"")</f>
        <v/>
      </c>
      <c r="H60" s="39" t="str">
        <f aca="false">IF(AND(ISNUMBER(H61),ISNUMBER(H59)),H61-H59,"")</f>
        <v/>
      </c>
      <c r="I60" s="39" t="str">
        <f aca="false">IF(AND(ISNUMBER(I61),ISNUMBER(I59)),I61-I59,"")</f>
        <v/>
      </c>
      <c r="J60" s="39" t="str">
        <f aca="false">IF(AND(ISNUMBER(J61),ISNUMBER(J59)),J61-J59,"")</f>
        <v/>
      </c>
      <c r="K60" s="39" t="str">
        <f aca="false">IF(AND(ISNUMBER(K61),ISNUMBER(K59)),K61-K59,"")</f>
        <v/>
      </c>
      <c r="L60" s="39" t="str">
        <f aca="false">IF(AND(ISNUMBER(L61),ISNUMBER(L59)),L61-L59,"")</f>
        <v/>
      </c>
      <c r="M60" s="39" t="str">
        <f aca="false">IF(AND(ISNUMBER(M61),ISNUMBER(M59)),M61-M59,"")</f>
        <v/>
      </c>
      <c r="N60" s="39" t="n">
        <f aca="false">IF(AND(ISNUMBER(N61),ISNUMBER(N59)),N61-N59,"")</f>
        <v>0</v>
      </c>
      <c r="O60" s="39" t="n">
        <f aca="false">IF(AND(ISNUMBER(O61),ISNUMBER(O59)),O61-O59,"")</f>
        <v>0</v>
      </c>
      <c r="P60" s="39" t="n">
        <f aca="false">IF(AND(ISNUMBER(P61),ISNUMBER(P59)),P61-P59,"")</f>
        <v>0</v>
      </c>
      <c r="Q60" s="39" t="n">
        <f aca="false">IF(AND(ISNUMBER(Q61),ISNUMBER(Q59)),Q61-Q59,"")</f>
        <v>0</v>
      </c>
      <c r="R60" s="39" t="n">
        <f aca="false">IF(AND(ISNUMBER(R61),ISNUMBER(R59)),R61-R59,"")</f>
        <v>0</v>
      </c>
      <c r="S60" s="39" t="n">
        <f aca="false">IF(AND(ISNUMBER(S61),ISNUMBER(S59)),S61-S59,"")</f>
        <v>0</v>
      </c>
      <c r="T60" s="39" t="n">
        <f aca="false">IF(AND(ISNUMBER(T61),ISNUMBER(T59)),T61-T59,"")</f>
        <v>0</v>
      </c>
      <c r="U60" s="39" t="n">
        <f aca="false">IF(AND(ISNUMBER(U61),ISNUMBER(U59)),U61-U59,"")</f>
        <v>0</v>
      </c>
      <c r="V60" s="39" t="n">
        <f aca="false">IF(AND(ISNUMBER(V61),ISNUMBER(V59)),V61-V59,"")</f>
        <v>0</v>
      </c>
      <c r="W60" s="39" t="n">
        <f aca="false">IF(AND(ISNUMBER(W61),ISNUMBER(W59)),W61-W59,"")</f>
        <v>0</v>
      </c>
      <c r="X60" s="39" t="n">
        <f aca="false">IF(AND(ISNUMBER(X61),ISNUMBER(X59)),X61-X59,"")</f>
        <v>0</v>
      </c>
      <c r="Y60" s="39" t="n">
        <f aca="false">IF(AND(ISNUMBER(Y61),ISNUMBER(Y59)),Y61-Y59,"")</f>
        <v>0</v>
      </c>
      <c r="Z60" s="39" t="n">
        <f aca="false">IF(AND(ISNUMBER(Z61),ISNUMBER(Z59)),Z61-Z59,"")</f>
        <v>0</v>
      </c>
      <c r="AA60" s="39" t="n">
        <f aca="false">IF(AND(ISNUMBER(AA61),ISNUMBER(AA59)),AA61-AA59,"")</f>
        <v>0</v>
      </c>
      <c r="AB60" s="39" t="n">
        <f aca="false">IF(AND(ISNUMBER(AB61),ISNUMBER(AB59)),AB61-AB59,"")</f>
        <v>0</v>
      </c>
      <c r="AC60" s="39" t="n">
        <f aca="false">IF(AND(ISNUMBER(AC61),ISNUMBER(AC59)),AC61-AC59,"")</f>
        <v>0</v>
      </c>
      <c r="AD60" s="39" t="n">
        <f aca="false">IF(AND(ISNUMBER(AD61),ISNUMBER(AD59)),AD61-AD59,"")</f>
        <v>0</v>
      </c>
      <c r="AE60" s="39" t="n">
        <f aca="false">IF(AND(ISNUMBER(AE61),ISNUMBER(AE59)),AE61-AE59,"")</f>
        <v>0</v>
      </c>
      <c r="AF60" s="39" t="n">
        <f aca="false">IF(AND(ISNUMBER(AF61),ISNUMBER(AF59)),AF61-AF59,"")</f>
        <v>0</v>
      </c>
      <c r="AG60" s="39" t="n">
        <f aca="false">IF(AND(ISNUMBER(AG61),ISNUMBER(AG59)),AG61-AG59,"")</f>
        <v>0</v>
      </c>
      <c r="AH60" s="39" t="n">
        <f aca="false">IF(AND(ISNUMBER(AH61),ISNUMBER(AH59)),AH61-AH59,"")</f>
        <v>0</v>
      </c>
      <c r="AI60" s="39" t="n">
        <f aca="false">IF(AND(ISNUMBER(AI61),ISNUMBER(AI59)),AI61-AI59,"")</f>
        <v>0</v>
      </c>
      <c r="AJ60" s="39" t="n">
        <f aca="false">IF(AND(ISNUMBER(AJ61),ISNUMBER(AJ59)),AJ61-AJ59,"")</f>
        <v>0</v>
      </c>
      <c r="AK60" s="39" t="n">
        <f aca="false">IF(AND(ISNUMBER(AK61),ISNUMBER(AK59)),AK61-AK59,"")</f>
        <v>0</v>
      </c>
      <c r="AL60" s="39" t="n">
        <f aca="false">IF(AND(ISNUMBER(AL61),ISNUMBER(AL59)),AL61-AL59,"")</f>
        <v>0</v>
      </c>
      <c r="AM60" s="39" t="n">
        <f aca="false">IF(AND(ISNUMBER(AM61),ISNUMBER(AM59)),AM61-AM59,"")</f>
        <v>0</v>
      </c>
      <c r="AN60" s="39" t="n">
        <f aca="false">IF(AND(ISNUMBER(AN61),ISNUMBER(AN59)),AN61-AN59,"")</f>
        <v>0</v>
      </c>
      <c r="AO60" s="39" t="n">
        <f aca="false">IF(AND(ISNUMBER(AO61),ISNUMBER(AO59)),AO61-AO59,"")</f>
        <v>0</v>
      </c>
      <c r="AP60" s="39" t="n">
        <f aca="false">IF(AND(ISNUMBER(AP61),ISNUMBER(AP59)),AP61-AP59,"")</f>
        <v>0</v>
      </c>
      <c r="AQ60" s="39" t="n">
        <f aca="false">IF(AND(ISNUMBER(AQ61),ISNUMBER(AQ59)),AQ61-AQ59,"")</f>
        <v>1.77</v>
      </c>
      <c r="AR60" s="39" t="n">
        <f aca="false">IF(AND(ISNUMBER(AR61),ISNUMBER(AR59)),AR61-AR59,"")</f>
        <v>1.77</v>
      </c>
      <c r="AS60" s="39" t="n">
        <f aca="false">IF(AND(ISNUMBER(AS61),ISNUMBER(AS59)),AS61-AS59,"")</f>
        <v>0</v>
      </c>
      <c r="AT60" s="39" t="n">
        <f aca="false">IF(AND(ISNUMBER(AT61),ISNUMBER(AT59)),AT61-AT59,"")</f>
        <v>0</v>
      </c>
      <c r="AU60" s="39" t="n">
        <f aca="false">IF(AND(ISNUMBER(AU61),ISNUMBER(AU59)),AU61-AU59,"")</f>
        <v>0</v>
      </c>
      <c r="AV60" s="39" t="n">
        <f aca="false">IF(AND(ISNUMBER(AV61),ISNUMBER(AV59)),AV61-AV59,"")</f>
        <v>0</v>
      </c>
      <c r="AW60" s="39" t="n">
        <f aca="false">IF(AND(ISNUMBER(AW61),ISNUMBER(AW59)),AW61-AW59,"")</f>
        <v>0</v>
      </c>
      <c r="AX60" s="39" t="n">
        <f aca="false">IF(AND(ISNUMBER(AX61),ISNUMBER(AX59)),AX61-AX59,"")</f>
        <v>0</v>
      </c>
      <c r="AY60" s="39" t="n">
        <f aca="false">IF(AND(ISNUMBER(AY61),ISNUMBER(AY59)),AY61-AY59,"")</f>
        <v>0</v>
      </c>
      <c r="AZ60" s="39" t="n">
        <f aca="false">IF(AND(ISNUMBER(AZ61),ISNUMBER(AZ59)),AZ61-AZ59,"")</f>
        <v>0.547000000000001</v>
      </c>
      <c r="BA60" s="39" t="n">
        <f aca="false">IF(AND(ISNUMBER(BA61),ISNUMBER(BA59)),BA61-BA59,"")</f>
        <v>3.238</v>
      </c>
      <c r="BB60" s="39" t="n">
        <f aca="false">IF(AND(ISNUMBER(BB61),ISNUMBER(BB59)),BB61-BB59,"")</f>
        <v>3.785</v>
      </c>
      <c r="BC60" s="39" t="n">
        <f aca="false">IF(AND(ISNUMBER(BC61),ISNUMBER(BC59)),BC61-BC59,"")</f>
        <v>0</v>
      </c>
      <c r="BD60" s="39" t="n">
        <f aca="false">IF(AND(ISNUMBER(BD61),ISNUMBER(BD59)),BD61-BD59,"")</f>
        <v>0</v>
      </c>
      <c r="BE60" s="39" t="n">
        <f aca="false">IF(AND(ISNUMBER(BE61),ISNUMBER(BE59)),BE61-BE59,"")</f>
        <v>0</v>
      </c>
      <c r="BF60" s="39" t="n">
        <f aca="false">IF(AND(ISNUMBER(BF61),ISNUMBER(BF59)),BF61-BF59,"")</f>
        <v>0</v>
      </c>
      <c r="BG60" s="39" t="n">
        <f aca="false">IF(AND(ISNUMBER(BG61),ISNUMBER(BG59)),BG61-BG59,"")</f>
        <v>0</v>
      </c>
      <c r="BH60" s="39" t="n">
        <f aca="false">IF(AND(ISNUMBER(BH61),ISNUMBER(BH59)),BH61-BH59,"")</f>
        <v>0</v>
      </c>
      <c r="BI60" s="39" t="n">
        <f aca="false">IF(AND(ISNUMBER(BI61),ISNUMBER(BI59)),BI61-BI59,"")</f>
        <v>0</v>
      </c>
      <c r="BJ60" s="39" t="n">
        <f aca="false">IF(AND(ISNUMBER(BJ61),ISNUMBER(BJ59)),BJ61-BJ59,"")</f>
        <v>0</v>
      </c>
      <c r="BK60" s="39" t="n">
        <f aca="false">IF(AND(ISNUMBER(BK61),ISNUMBER(BK59)),BK61-BK59,"")</f>
        <v>0</v>
      </c>
      <c r="BL60" s="39" t="n">
        <f aca="false">IF(AND(ISNUMBER(BL61),ISNUMBER(BL59)),BL61-BL59,"")</f>
        <v>0</v>
      </c>
      <c r="BM60" s="39" t="n">
        <f aca="false">IF(AND(ISNUMBER(BM61),ISNUMBER(BM59)),BM61-BM59,"")</f>
        <v>1.536</v>
      </c>
      <c r="BN60" s="39" t="n">
        <f aca="false">IF(AND(ISNUMBER(BN61),ISNUMBER(BN59)),BN61-BN59,"")</f>
        <v>-0.140000000000001</v>
      </c>
      <c r="BO60" s="39" t="n">
        <f aca="false">IF(AND(ISNUMBER(BO61),ISNUMBER(BO59)),BO61-BO59,"")</f>
        <v>1.269</v>
      </c>
      <c r="BP60" s="39" t="n">
        <f aca="false">IF(AND(ISNUMBER(BP61),ISNUMBER(BP59)),BP61-BP59,"")</f>
        <v>1.289</v>
      </c>
      <c r="BQ60" s="39" t="n">
        <f aca="false">IF(AND(ISNUMBER(BQ61),ISNUMBER(BQ59)),BQ61-BQ59,"")</f>
        <v>3.955</v>
      </c>
      <c r="BR60" s="39" t="n">
        <f aca="false">IF(AND(ISNUMBER(BR61),ISNUMBER(BR59)),BR61-BR59,"")</f>
        <v>0.178000000000001</v>
      </c>
      <c r="BS60" s="39" t="n">
        <f aca="false">IF(AND(ISNUMBER(BS61),ISNUMBER(BS59)),BS61-BS59,"")</f>
        <v>0.0860000000000021</v>
      </c>
      <c r="BT60" s="39" t="n">
        <f aca="false">IF(AND(ISNUMBER(BT61),ISNUMBER(BT59)),BT61-BT59,"")</f>
        <v>0.315999999999999</v>
      </c>
      <c r="BU60" s="39" t="n">
        <f aca="false">IF(AND(ISNUMBER(BU61),ISNUMBER(BU59)),BU61-BU59,"")</f>
        <v>0.488</v>
      </c>
      <c r="BV60" s="39" t="n">
        <f aca="false">IF(AND(ISNUMBER(BV61),ISNUMBER(BV59)),BV61-BV59,"")</f>
        <v>1.068</v>
      </c>
      <c r="BW60" s="39" t="n">
        <f aca="false">IF(AND(ISNUMBER(BW61),ISNUMBER(BW59)),BW61-BW59,"")</f>
        <v>-0.182000000000002</v>
      </c>
      <c r="BX60" s="39" t="n">
        <f aca="false">IF(AND(ISNUMBER(BX61),ISNUMBER(BX59)),BX61-BX59,"")</f>
        <v>0.186999999999998</v>
      </c>
      <c r="CN60" s="26" t="s">
        <v>168</v>
      </c>
      <c r="CO60" s="45" t="n">
        <f aca="false">CP60+$CO$56</f>
        <v>0.05</v>
      </c>
      <c r="CP60" s="27" t="n">
        <v>0.03</v>
      </c>
      <c r="CQ60" s="45" t="n">
        <f aca="false">CP60+$CQ$56</f>
        <v>0.01</v>
      </c>
    </row>
    <row r="61" customFormat="false" ht="15" hidden="false" customHeight="false" outlineLevel="0" collapsed="false">
      <c r="B61" s="15" t="s">
        <v>151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7" t="n">
        <v>27.826</v>
      </c>
      <c r="O61" s="17" t="n">
        <v>6.058</v>
      </c>
      <c r="P61" s="17" t="n">
        <v>7.178</v>
      </c>
      <c r="Q61" s="17" t="n">
        <v>8.947</v>
      </c>
      <c r="R61" s="17" t="n">
        <v>6.38</v>
      </c>
      <c r="S61" s="17" t="n">
        <v>28.563</v>
      </c>
      <c r="T61" s="17" t="n">
        <v>7.549</v>
      </c>
      <c r="U61" s="17" t="n">
        <v>8.25</v>
      </c>
      <c r="V61" s="17" t="n">
        <v>6.422</v>
      </c>
      <c r="W61" s="17" t="n">
        <v>5.661</v>
      </c>
      <c r="X61" s="17" t="n">
        <v>27.882</v>
      </c>
      <c r="Y61" s="17" t="n">
        <v>7.711</v>
      </c>
      <c r="Z61" s="17" t="n">
        <v>9.284</v>
      </c>
      <c r="AA61" s="17" t="n">
        <v>8.757</v>
      </c>
      <c r="AB61" s="17" t="n">
        <v>6.628</v>
      </c>
      <c r="AC61" s="17" t="n">
        <v>32.38</v>
      </c>
      <c r="AD61" s="17" t="n">
        <v>8.46</v>
      </c>
      <c r="AE61" s="17" t="n">
        <v>9.787</v>
      </c>
      <c r="AF61" s="17" t="n">
        <v>9.244</v>
      </c>
      <c r="AG61" s="17" t="n">
        <v>8.951</v>
      </c>
      <c r="AH61" s="17" t="n">
        <v>36.442</v>
      </c>
      <c r="AI61" s="17" t="n">
        <v>9.225</v>
      </c>
      <c r="AJ61" s="17" t="n">
        <v>10.157</v>
      </c>
      <c r="AK61" s="17" t="n">
        <v>8.676</v>
      </c>
      <c r="AL61" s="17" t="n">
        <v>8.506</v>
      </c>
      <c r="AM61" s="17" t="n">
        <v>36.564</v>
      </c>
      <c r="AN61" s="17" t="n">
        <v>10.519</v>
      </c>
      <c r="AO61" s="17" t="n">
        <v>13.488</v>
      </c>
      <c r="AP61" s="17" t="n">
        <v>11.038</v>
      </c>
      <c r="AQ61" s="17" t="n">
        <v>10.656</v>
      </c>
      <c r="AR61" s="17" t="n">
        <v>45.701</v>
      </c>
      <c r="AS61" s="17" t="n">
        <v>12.492</v>
      </c>
      <c r="AT61" s="17" t="n">
        <v>11.713</v>
      </c>
      <c r="AU61" s="17" t="n">
        <v>17.587</v>
      </c>
      <c r="AV61" s="17" t="n">
        <v>13.362</v>
      </c>
      <c r="AW61" s="17" t="n">
        <v>55.154</v>
      </c>
      <c r="AX61" s="17" t="n">
        <v>18.697</v>
      </c>
      <c r="AY61" s="17" t="n">
        <v>18.212</v>
      </c>
      <c r="AZ61" s="17" t="n">
        <v>15.98</v>
      </c>
      <c r="BA61" s="17" t="n">
        <v>15.558</v>
      </c>
      <c r="BB61" s="17" t="n">
        <v>68.447</v>
      </c>
      <c r="BC61" s="17" t="n">
        <v>19.598</v>
      </c>
      <c r="BD61" s="17" t="n">
        <v>17.922</v>
      </c>
      <c r="BE61" s="17" t="n">
        <v>14.432</v>
      </c>
      <c r="BF61" s="17" t="n">
        <v>12.056</v>
      </c>
      <c r="BG61" s="17" t="n">
        <v>64.008</v>
      </c>
      <c r="BH61" s="17" t="n">
        <v>18.983</v>
      </c>
      <c r="BI61" s="17" t="n">
        <v>19.51</v>
      </c>
      <c r="BJ61" s="17" t="n">
        <v>20.405</v>
      </c>
      <c r="BK61" s="17" t="n">
        <v>15.246</v>
      </c>
      <c r="BL61" s="17" t="n">
        <v>74.144</v>
      </c>
      <c r="BM61" s="17" t="n">
        <v>19.878</v>
      </c>
      <c r="BN61" s="17" t="n">
        <v>24.923</v>
      </c>
      <c r="BO61" s="17" t="n">
        <v>21.959</v>
      </c>
      <c r="BP61" s="17" t="n">
        <v>21.567</v>
      </c>
      <c r="BQ61" s="17" t="n">
        <v>88.328</v>
      </c>
      <c r="BR61" s="17" t="n">
        <v>24.329</v>
      </c>
      <c r="BS61" s="17" t="n">
        <v>31.884</v>
      </c>
      <c r="BT61" s="17" t="n">
        <v>28.078</v>
      </c>
      <c r="BU61" s="17" t="n">
        <v>23.317</v>
      </c>
      <c r="BV61" s="17" t="n">
        <v>107.608</v>
      </c>
      <c r="BW61" s="17" t="n">
        <v>40.809</v>
      </c>
      <c r="BX61" s="17" t="n">
        <v>42.253</v>
      </c>
      <c r="BY61" s="18" t="n">
        <f aca="false">BY48*BY63</f>
        <v>38.5774118564943</v>
      </c>
      <c r="BZ61" s="18" t="n">
        <f aca="false">BZ48*BZ63</f>
        <v>32.2781388721765</v>
      </c>
      <c r="CA61" s="18" t="n">
        <f aca="false">SUM(BW61:BZ61)</f>
        <v>153.917550728671</v>
      </c>
      <c r="CB61" s="18" t="n">
        <f aca="false">CB48*CB63</f>
        <v>151.900739500428</v>
      </c>
      <c r="CC61" s="18" t="n">
        <f aca="false">CC48*CC63</f>
        <v>159.495776475449</v>
      </c>
      <c r="CD61" s="18" t="n">
        <f aca="false">CD48*CD63</f>
        <v>167.470565299222</v>
      </c>
      <c r="CE61" s="18" t="n">
        <f aca="false">CE48*CE63</f>
        <v>175.844093564183</v>
      </c>
      <c r="CF61" s="19" t="s">
        <v>152</v>
      </c>
      <c r="CH61" s="20" t="n">
        <f aca="false">IFERROR((CE61/BV61)^(1/5)-1,"n/m")</f>
        <v>0.103206076121162</v>
      </c>
      <c r="CI61" s="20" t="n">
        <f aca="false">IFERROR((BV61/AW61)^(1/5)-1,"n/m")</f>
        <v>0.143019156339535</v>
      </c>
      <c r="CJ61" s="20" t="n">
        <f aca="false">IFERROR((BV61/X61)^(1/10)-1,"n/m")</f>
        <v>0.144595577863238</v>
      </c>
      <c r="CK61" s="20" t="str">
        <f aca="false">IFERROR((BV61/C61)^(1/19)-1,"n/m")</f>
        <v>n/m</v>
      </c>
      <c r="CN61" s="42" t="s">
        <v>183</v>
      </c>
      <c r="CO61" s="43" t="n">
        <v>0.01</v>
      </c>
      <c r="CP61" s="44" t="s">
        <v>161</v>
      </c>
      <c r="CQ61" s="43" t="n">
        <v>-0.01</v>
      </c>
      <c r="CR61" s="14" t="s">
        <v>184</v>
      </c>
    </row>
    <row r="62" customFormat="false" ht="15" hidden="false" customHeight="false" outlineLevel="0" collapsed="false">
      <c r="B62" s="25" t="s">
        <v>153</v>
      </c>
      <c r="BY62" s="23" t="n">
        <f aca="false">BT63+($BX$63-$BS$63)</f>
        <v>0.19629591366212</v>
      </c>
      <c r="BZ62" s="23" t="n">
        <f aca="false">BU63+($BX$63-$BS$63)</f>
        <v>0.178523954836196</v>
      </c>
      <c r="CF62" s="19" t="s">
        <v>154</v>
      </c>
      <c r="CN62" s="26" t="s">
        <v>163</v>
      </c>
      <c r="CO62" s="45" t="n">
        <f aca="false">CP62+$CO$61</f>
        <v>0.01</v>
      </c>
      <c r="CP62" s="27" t="n">
        <v>0</v>
      </c>
      <c r="CQ62" s="45" t="n">
        <f aca="false">CP62+$CQ$61</f>
        <v>-0.01</v>
      </c>
    </row>
    <row r="63" customFormat="false" ht="15" hidden="false" customHeight="false" outlineLevel="0" collapsed="false">
      <c r="B63" s="21" t="s">
        <v>157</v>
      </c>
      <c r="C63" s="22" t="str">
        <f aca="false">IF(AND(ISNUMBER(C61),ISNUMBER(C48)),IFERROR(C61/C48,""),"")</f>
        <v/>
      </c>
      <c r="D63" s="22" t="str">
        <f aca="false">IF(AND(ISNUMBER(D61),ISNUMBER(D48)),IFERROR(D61/D48,""),"")</f>
        <v/>
      </c>
      <c r="E63" s="22" t="str">
        <f aca="false">IF(AND(ISNUMBER(E61),ISNUMBER(E48)),IFERROR(E61/E48,""),"")</f>
        <v/>
      </c>
      <c r="F63" s="22" t="str">
        <f aca="false">IF(AND(ISNUMBER(F61),ISNUMBER(F48)),IFERROR(F61/F48,""),"")</f>
        <v/>
      </c>
      <c r="G63" s="22" t="str">
        <f aca="false">IF(AND(ISNUMBER(G61),ISNUMBER(G48)),IFERROR(G61/G48,""),"")</f>
        <v/>
      </c>
      <c r="H63" s="22" t="str">
        <f aca="false">IF(AND(ISNUMBER(H61),ISNUMBER(H48)),IFERROR(H61/H48,""),"")</f>
        <v/>
      </c>
      <c r="I63" s="22" t="str">
        <f aca="false">IF(AND(ISNUMBER(I61),ISNUMBER(I48)),IFERROR(I61/I48,""),"")</f>
        <v/>
      </c>
      <c r="J63" s="22" t="str">
        <f aca="false">IF(AND(ISNUMBER(J61),ISNUMBER(J48)),IFERROR(J61/J48,""),"")</f>
        <v/>
      </c>
      <c r="K63" s="22" t="str">
        <f aca="false">IF(AND(ISNUMBER(K61),ISNUMBER(K48)),IFERROR(K61/K48,""),"")</f>
        <v/>
      </c>
      <c r="L63" s="22" t="str">
        <f aca="false">IF(AND(ISNUMBER(L61),ISNUMBER(L48)),IFERROR(L61/L48,""),"")</f>
        <v/>
      </c>
      <c r="M63" s="22" t="str">
        <f aca="false">IF(AND(ISNUMBER(M61),ISNUMBER(M48)),IFERROR(M61/M48,""),"")</f>
        <v/>
      </c>
      <c r="N63" s="22" t="n">
        <f aca="false">IF(AND(ISNUMBER(N61),ISNUMBER(N48)),IFERROR(N61/N48,""),"")</f>
        <v>0.0902922671062409</v>
      </c>
      <c r="O63" s="22" t="n">
        <f aca="false">IF(AND(ISNUMBER(O61),ISNUMBER(O48)),IFERROR(O61/O48,""),"")</f>
        <v>0.0835920575126602</v>
      </c>
      <c r="P63" s="22" t="n">
        <f aca="false">IF(AND(ISNUMBER(P61),ISNUMBER(P48)),IFERROR(P61/P48,""),"")</f>
        <v>0.0927162582828505</v>
      </c>
      <c r="Q63" s="22" t="n">
        <f aca="false">IF(AND(ISNUMBER(Q61),ISNUMBER(Q48)),IFERROR(Q61/Q48,""),"")</f>
        <v>0.114144648712093</v>
      </c>
      <c r="R63" s="22" t="n">
        <f aca="false">IF(AND(ISNUMBER(R61),ISNUMBER(R48)),IFERROR(R61/R48,""),"")</f>
        <v>0.0967296875236897</v>
      </c>
      <c r="S63" s="22" t="n">
        <f aca="false">IF(AND(ISNUMBER(S61),ISNUMBER(S48)),IFERROR(S61/S48,""),"")</f>
        <v>0.0970771165414811</v>
      </c>
      <c r="T63" s="22" t="n">
        <f aca="false">IF(AND(ISNUMBER(T61),ISNUMBER(T48)),IFERROR(T61/T48,""),"")</f>
        <v>0.108127076887819</v>
      </c>
      <c r="U63" s="22" t="n">
        <f aca="false">IF(AND(ISNUMBER(U61),ISNUMBER(U48)),IFERROR(U61/U48,""),"")</f>
        <v>0.114883306411185</v>
      </c>
      <c r="V63" s="22" t="n">
        <f aca="false">IF(AND(ISNUMBER(V61),ISNUMBER(V48)),IFERROR(V61/V48,""),"")</f>
        <v>0.102062871491688</v>
      </c>
      <c r="W63" s="22" t="n">
        <f aca="false">IF(AND(ISNUMBER(W61),ISNUMBER(W48)),IFERROR(W61/W48,""),"")</f>
        <v>0.0952533189749457</v>
      </c>
      <c r="X63" s="22" t="n">
        <f aca="false">IF(AND(ISNUMBER(X61),ISNUMBER(X48)),IFERROR(X61/X48,""),"")</f>
        <v>0.105621237892121</v>
      </c>
      <c r="Y63" s="22" t="n">
        <f aca="false">IF(AND(ISNUMBER(Y61),ISNUMBER(Y48)),IFERROR(Y61/Y48,""),"")</f>
        <v>0.114391253393464</v>
      </c>
      <c r="Z63" s="22" t="n">
        <f aca="false">IF(AND(ISNUMBER(Z61),ISNUMBER(Z48)),IFERROR(Z61/Z48,""),"")</f>
        <v>0.130336510788842</v>
      </c>
      <c r="AA63" s="22" t="n">
        <f aca="false">IF(AND(ISNUMBER(AA61),ISNUMBER(AA48)),IFERROR(AA61/AA48,""),"")</f>
        <v>0.124103625180692</v>
      </c>
      <c r="AB63" s="22" t="n">
        <f aca="false">IF(AND(ISNUMBER(AB61),ISNUMBER(AB48)),IFERROR(AB61/AB48,""),"")</f>
        <v>0.104971413186361</v>
      </c>
      <c r="AC63" s="22" t="n">
        <f aca="false">IF(AND(ISNUMBER(AC61),ISNUMBER(AC48)),IFERROR(AC61/AC48,""),"")</f>
        <v>0.118894188578374</v>
      </c>
      <c r="AD63" s="22" t="n">
        <f aca="false">IF(AND(ISNUMBER(AD61),ISNUMBER(AD48)),IFERROR(AD61/AD48,""),"")</f>
        <v>0.123170998034505</v>
      </c>
      <c r="AE63" s="22" t="n">
        <f aca="false">IF(AND(ISNUMBER(AE61),ISNUMBER(AE48)),IFERROR(AE61/AE48,""),"")</f>
        <v>0.122012641342426</v>
      </c>
      <c r="AF63" s="22" t="n">
        <f aca="false">IF(AND(ISNUMBER(AF61),ISNUMBER(AF48)),IFERROR(AF61/AF48,""),"")</f>
        <v>0.125623428687912</v>
      </c>
      <c r="AG63" s="22" t="n">
        <f aca="false">IF(AND(ISNUMBER(AG61),ISNUMBER(AG48)),IFERROR(AG61/AG48,""),"")</f>
        <v>0.131352263555653</v>
      </c>
      <c r="AH63" s="22" t="n">
        <f aca="false">IF(AND(ISNUMBER(AH61),ISNUMBER(AH48)),IFERROR(AH61/AH48,""),"")</f>
        <v>0.125390533603094</v>
      </c>
      <c r="AI63" s="22" t="n">
        <f aca="false">IF(AND(ISNUMBER(AI61),ISNUMBER(AI48)),IFERROR(AI61/AI48,""),"")</f>
        <v>0.122017353579176</v>
      </c>
      <c r="AJ63" s="22" t="n">
        <f aca="false">IF(AND(ISNUMBER(AJ61),ISNUMBER(AJ48)),IFERROR(AJ61/AJ48,""),"")</f>
        <v>0.120681051280833</v>
      </c>
      <c r="AK63" s="22" t="n">
        <f aca="false">IF(AND(ISNUMBER(AK61),ISNUMBER(AK48)),IFERROR(AK61/AK48,""),"")</f>
        <v>0.118093838049737</v>
      </c>
      <c r="AL63" s="22" t="n">
        <f aca="false">IF(AND(ISNUMBER(AL61),ISNUMBER(AL48)),IFERROR(AL61/AL48,""),"")</f>
        <v>0.123000838707812</v>
      </c>
      <c r="AM63" s="22" t="n">
        <f aca="false">IF(AND(ISNUMBER(AM61),ISNUMBER(AM48)),IFERROR(AM61/AM48,""),"")</f>
        <v>0.120917096852068</v>
      </c>
      <c r="AN63" s="22" t="n">
        <f aca="false">IF(AND(ISNUMBER(AN61),ISNUMBER(AN48)),IFERROR(AN61/AN48,""),"")</f>
        <v>0.126173997529058</v>
      </c>
      <c r="AO63" s="22" t="n">
        <f aca="false">IF(AND(ISNUMBER(AO61),ISNUMBER(AO48)),IFERROR(AO61/AO48,""),"")</f>
        <v>0.153107440830921</v>
      </c>
      <c r="AP63" s="22" t="n">
        <f aca="false">IF(AND(ISNUMBER(AP61),ISNUMBER(AP48)),IFERROR(AP61/AP48,""),"")</f>
        <v>0.134800449416247</v>
      </c>
      <c r="AQ63" s="22" t="n">
        <f aca="false">IF(AND(ISNUMBER(AQ61),ISNUMBER(AQ48)),IFERROR(AQ61/AQ48,""),"")</f>
        <v>0.133530487957695</v>
      </c>
      <c r="AR63" s="22" t="n">
        <f aca="false">IF(AND(ISNUMBER(AR61),ISNUMBER(AR48)),IFERROR(AR61/AR48,""),"")</f>
        <v>0.137178448146481</v>
      </c>
      <c r="AS63" s="22" t="n">
        <f aca="false">IF(AND(ISNUMBER(AS61),ISNUMBER(AS48)),IFERROR(AS61/AS48,""),"")</f>
        <v>0.146048893409561</v>
      </c>
      <c r="AT63" s="22" t="n">
        <f aca="false">IF(AND(ISNUMBER(AT61),ISNUMBER(AT48)),IFERROR(AT61/AT48,""),"")</f>
        <v>0.145809214375521</v>
      </c>
      <c r="AU63" s="22" t="n">
        <f aca="false">IF(AND(ISNUMBER(AU61),ISNUMBER(AU48)),IFERROR(AU61/AU48,""),"")</f>
        <v>0.175141411727215</v>
      </c>
      <c r="AV63" s="22" t="n">
        <f aca="false">IF(AND(ISNUMBER(AV61),ISNUMBER(AV48)),IFERROR(AV61/AV48,""),"")</f>
        <v>0.144546251122338</v>
      </c>
      <c r="AW63" s="22" t="n">
        <f aca="false">IF(AND(ISNUMBER(AW61),ISNUMBER(AW48)),IFERROR(AW61/AW48,""),"")</f>
        <v>0.153751801539358</v>
      </c>
      <c r="AX63" s="22" t="n">
        <f aca="false">IF(AND(ISNUMBER(AX61),ISNUMBER(AX48)),IFERROR(AX61/AX48,""),"")</f>
        <v>0.172005519779209</v>
      </c>
      <c r="AY63" s="22" t="n">
        <f aca="false">IF(AND(ISNUMBER(AY61),ISNUMBER(AY48)),IFERROR(AY61/AY48,""),"")</f>
        <v>0.156146578184749</v>
      </c>
      <c r="AZ63" s="22" t="n">
        <f aca="false">IF(AND(ISNUMBER(AZ61),ISNUMBER(AZ48)),IFERROR(AZ61/AZ48,""),"")</f>
        <v>0.135675533405218</v>
      </c>
      <c r="BA63" s="22" t="n">
        <f aca="false">IF(AND(ISNUMBER(BA61),ISNUMBER(BA48)),IFERROR(BA61/BA48,""),"")</f>
        <v>0.131336580589065</v>
      </c>
      <c r="BB63" s="22" t="n">
        <f aca="false">IF(AND(ISNUMBER(BB61),ISNUMBER(BB48)),IFERROR(BB61/BB48,""),"")</f>
        <v>0.148290414971381</v>
      </c>
      <c r="BC63" s="22" t="n">
        <f aca="false">IF(AND(ISNUMBER(BC61),ISNUMBER(BC48)),IFERROR(BC61/BC48,""),"")</f>
        <v>0.146964424980503</v>
      </c>
      <c r="BD63" s="22" t="n">
        <f aca="false">IF(AND(ISNUMBER(BD61),ISNUMBER(BD48)),IFERROR(BD61/BD48,""),"")</f>
        <v>0.130530731749951</v>
      </c>
      <c r="BE63" s="22" t="n">
        <f aca="false">IF(AND(ISNUMBER(BE61),ISNUMBER(BE48)),IFERROR(BE61/BE48,""),"")</f>
        <v>0.108417533711453</v>
      </c>
      <c r="BF63" s="22" t="n">
        <f aca="false">IF(AND(ISNUMBER(BF61),ISNUMBER(BF48)),IFERROR(BF61/BF48,""),"")</f>
        <v>0.10554329936618</v>
      </c>
      <c r="BG63" s="22" t="n">
        <f aca="false">IF(AND(ISNUMBER(BG61),ISNUMBER(BG48)),IFERROR(BG61/BG48,""),"")</f>
        <v>0.123568521764647</v>
      </c>
      <c r="BH63" s="22" t="n">
        <f aca="false">IF(AND(ISNUMBER(BH61),ISNUMBER(BH48)),IFERROR(BH61/BH48,""),"")</f>
        <v>0.147978671988276</v>
      </c>
      <c r="BI63" s="22" t="n">
        <f aca="false">IF(AND(ISNUMBER(BI61),ISNUMBER(BI48)),IFERROR(BI61/BI48,""),"")</f>
        <v>0.149850993886141</v>
      </c>
      <c r="BJ63" s="22" t="n">
        <f aca="false">IF(AND(ISNUMBER(BJ61),ISNUMBER(BJ48)),IFERROR(BJ61/BJ48,""),"")</f>
        <v>0.161975296881946</v>
      </c>
      <c r="BK63" s="22" t="n">
        <f aca="false">IF(AND(ISNUMBER(BK61),ISNUMBER(BK48)),IFERROR(BK61/BK48,""),"")</f>
        <v>0.136576189196453</v>
      </c>
      <c r="BL63" s="22" t="n">
        <f aca="false">IF(AND(ISNUMBER(BL61),ISNUMBER(BL48)),IFERROR(BL61/BL48,""),"")</f>
        <v>0.149458559437515</v>
      </c>
      <c r="BM63" s="22" t="n">
        <f aca="false">IF(AND(ISNUMBER(BM61),ISNUMBER(BM48)),IFERROR(BM61/BM48,""),"")</f>
        <v>0.16382471958265</v>
      </c>
      <c r="BN63" s="22" t="n">
        <f aca="false">IF(AND(ISNUMBER(BN61),ISNUMBER(BN48)),IFERROR(BN61/BN48,""),"")</f>
        <v>0.18600780661099</v>
      </c>
      <c r="BO63" s="22" t="n">
        <f aca="false">IF(AND(ISNUMBER(BO61),ISNUMBER(BO48)),IFERROR(BO61/BO48,""),"")</f>
        <v>0.16825659533059</v>
      </c>
      <c r="BP63" s="22" t="n">
        <f aca="false">IF(AND(ISNUMBER(BP61),ISNUMBER(BP48)),IFERROR(BP61/BP48,""),"")</f>
        <v>0.173555115639032</v>
      </c>
      <c r="BQ63" s="22" t="n">
        <f aca="false">IF(AND(ISNUMBER(BQ61),ISNUMBER(BQ48)),IFERROR(BQ61/BQ48,""),"")</f>
        <v>0.173157864815007</v>
      </c>
      <c r="BR63" s="22" t="n">
        <f aca="false">IF(AND(ISNUMBER(BR61),ISNUMBER(BR48)),IFERROR(BR61/BR48,""),"")</f>
        <v>0.184003932839207</v>
      </c>
      <c r="BS63" s="22" t="n">
        <f aca="false">IF(AND(ISNUMBER(BS61),ISNUMBER(BS48)),IFERROR(BS61/BS48,""),"")</f>
        <v>0.200378333197167</v>
      </c>
      <c r="BT63" s="22" t="n">
        <f aca="false">IF(AND(ISNUMBER(BT61),ISNUMBER(BT48)),IFERROR(BT61/BT48,""),"")</f>
        <v>0.187431577260954</v>
      </c>
      <c r="BU63" s="22" t="n">
        <f aca="false">IF(AND(ISNUMBER(BU61),ISNUMBER(BU48)),IFERROR(BU61/BU48,""),"")</f>
        <v>0.169659618435031</v>
      </c>
      <c r="BV63" s="22" t="n">
        <f aca="false">IF(AND(ISNUMBER(BV61),ISNUMBER(BV48)),IFERROR(BV61/BV48,""),"")</f>
        <v>0.185987344813223</v>
      </c>
      <c r="BW63" s="22" t="n">
        <f aca="false">IF(AND(ISNUMBER(BW61),ISNUMBER(BW48)),IFERROR(BW61/BW48,""),"")</f>
        <v>0.216868430282611</v>
      </c>
      <c r="BX63" s="22" t="n">
        <f aca="false">IF(AND(ISNUMBER(BX61),ISNUMBER(BX48)),IFERROR(BX61/BX48,""),"")</f>
        <v>0.209242669598332</v>
      </c>
      <c r="BY63" s="23" t="n">
        <f aca="false">BY62+BY123</f>
        <v>0.202001235332658</v>
      </c>
      <c r="BZ63" s="23" t="n">
        <f aca="false">BZ62+BZ123</f>
        <v>0.184229276506735</v>
      </c>
      <c r="CA63" s="23" t="n">
        <f aca="false">IFERROR(CA61/CA48,"")</f>
        <v>0.203516718651435</v>
      </c>
      <c r="CB63" s="23" t="n">
        <f aca="false">CHOOSE(MATCH($CF$2,{"Bull","Base","Bear"},0),$CO$67,$CP$67,$CQ$67)</f>
        <v>0.195</v>
      </c>
      <c r="CC63" s="23" t="n">
        <f aca="false">CHOOSE(MATCH($CF$2,{"Bull","Base","Bear"},0),$CO$68,$CP$68,$CQ$68)</f>
        <v>0.195</v>
      </c>
      <c r="CD63" s="23" t="n">
        <f aca="false">CHOOSE(MATCH($CF$2,{"Bull","Base","Bear"},0),$CO$69,$CP$69,$CQ$69)</f>
        <v>0.195</v>
      </c>
      <c r="CE63" s="23" t="n">
        <f aca="false">CHOOSE(MATCH($CF$2,{"Bull","Base","Bear"},0),$CO$70,$CP$70,$CQ$70)</f>
        <v>0.195</v>
      </c>
      <c r="CF63" s="19" t="s">
        <v>158</v>
      </c>
      <c r="CH63" s="41" t="n">
        <f aca="false">IFERROR(AVERAGE(CA63,CB63,CC63,CD63,CE63),"n/m")</f>
        <v>0.196703343730287</v>
      </c>
      <c r="CI63" s="41" t="n">
        <f aca="false">IFERROR(AVERAGE(BB63,BG63,BL63,BQ63,BV63),"n/m")</f>
        <v>0.156092541160354</v>
      </c>
      <c r="CJ63" s="41" t="n">
        <f aca="false">IFERROR(AVERAGE(AC63,AH63,AM63,AR63,AW63,BB63,BG63,BL63,BQ63,BV63),"n/m")</f>
        <v>0.143659477452115</v>
      </c>
      <c r="CK63" s="41" t="n">
        <f aca="false">IFERROR(AVERAGE(C63,D63,E63,F63,G63,H63,I63,N63,S63,X63,AC63,AH63,AM63,AR63,AW63,BB63,BG63,BL63,BQ63,BV63),"n/m")</f>
        <v>0.13304503046623</v>
      </c>
      <c r="CN63" s="26" t="s">
        <v>166</v>
      </c>
      <c r="CO63" s="45" t="n">
        <f aca="false">CP63+$CO$61</f>
        <v>0.03</v>
      </c>
      <c r="CP63" s="27" t="n">
        <v>0.02</v>
      </c>
      <c r="CQ63" s="45" t="n">
        <f aca="false">CP63+$CQ$61</f>
        <v>0.01</v>
      </c>
    </row>
    <row r="64" customFormat="false" ht="15" hidden="false" customHeight="false" outlineLevel="0" collapsed="false">
      <c r="B64" s="21" t="s">
        <v>159</v>
      </c>
      <c r="D64" s="22" t="str">
        <f aca="false">IF(AND(ISNUMBER(D61),ISNUMBER(C61)),IFERROR((D61-C61)/(D48-C48),""),"")</f>
        <v/>
      </c>
      <c r="E64" s="22" t="str">
        <f aca="false">IF(AND(ISNUMBER(E61),ISNUMBER(D61)),IFERROR((E61-D61)/(E48-D48),""),"")</f>
        <v/>
      </c>
      <c r="F64" s="22" t="str">
        <f aca="false">IF(AND(ISNUMBER(F61),ISNUMBER(E61)),IFERROR((F61-E61)/(F48-E48),""),"")</f>
        <v/>
      </c>
      <c r="G64" s="22" t="str">
        <f aca="false">IF(AND(ISNUMBER(G61),ISNUMBER(F61)),IFERROR((G61-F61)/(G48-F48),""),"")</f>
        <v/>
      </c>
      <c r="H64" s="22" t="str">
        <f aca="false">IF(AND(ISNUMBER(H61),ISNUMBER(G61)),IFERROR((H61-G61)/(H48-G48),""),"")</f>
        <v/>
      </c>
      <c r="I64" s="22" t="str">
        <f aca="false">IF(AND(ISNUMBER(I61),ISNUMBER(H61)),IFERROR((I61-H61)/(I48-H48),""),"")</f>
        <v/>
      </c>
      <c r="N64" s="22" t="str">
        <f aca="false">IF(AND(ISNUMBER(N61),ISNUMBER(I61)),IFERROR((N61-I61)/(N48-I48),""),"")</f>
        <v/>
      </c>
      <c r="O64" s="22" t="str">
        <f aca="false">IF(AND(ISNUMBER(O61),ISNUMBER(J61)),IFERROR((O61-J61)/(O48-J48),""),"")</f>
        <v/>
      </c>
      <c r="P64" s="22" t="str">
        <f aca="false">IF(AND(ISNUMBER(P61),ISNUMBER(K61)),IFERROR((P61-K61)/(P48-K48),""),"")</f>
        <v/>
      </c>
      <c r="Q64" s="22" t="str">
        <f aca="false">IF(AND(ISNUMBER(Q61),ISNUMBER(L61)),IFERROR((Q61-L61)/(Q48-L48),""),"")</f>
        <v/>
      </c>
      <c r="R64" s="22" t="str">
        <f aca="false">IF(AND(ISNUMBER(R61),ISNUMBER(M61)),IFERROR((R61-M61)/(R48-M48),""),"")</f>
        <v/>
      </c>
      <c r="S64" s="22" t="n">
        <f aca="false">IF(AND(ISNUMBER(S61),ISNUMBER(N61)),IFERROR((S61-N61)/(S48-N48),""),"")</f>
        <v>-0.0528429052842904</v>
      </c>
      <c r="T64" s="22" t="n">
        <f aca="false">IF(AND(ISNUMBER(T61),ISNUMBER(O61)),IFERROR((T61-O61)/(T48-O48),""),"")</f>
        <v>-0.561581920903955</v>
      </c>
      <c r="U64" s="22" t="n">
        <f aca="false">IF(AND(ISNUMBER(U61),ISNUMBER(P61)),IFERROR((U61-P61)/(U48-P48),""),"")</f>
        <v>-0.191189584448011</v>
      </c>
      <c r="V64" s="22" t="n">
        <f aca="false">IF(AND(ISNUMBER(V61),ISNUMBER(Q61)),IFERROR((V61-Q61)/(V48-Q48),""),"")</f>
        <v>0.163314145268741</v>
      </c>
      <c r="W64" s="22" t="n">
        <f aca="false">IF(AND(ISNUMBER(W61),ISNUMBER(R61)),IFERROR((W61-R61)/(W48-R48),""),"")</f>
        <v>0.110174685871897</v>
      </c>
      <c r="X64" s="22" t="n">
        <f aca="false">IF(AND(ISNUMBER(X61),ISNUMBER(S61)),IFERROR((X61-S61)/(X48-S48),""),"")</f>
        <v>0.0225131409302786</v>
      </c>
      <c r="Y64" s="22" t="n">
        <f aca="false">IF(AND(ISNUMBER(Y61),ISNUMBER(T61)),IFERROR((Y61-T61)/(Y48-T48),""),"")</f>
        <v>-0.067303697548816</v>
      </c>
      <c r="Z64" s="22" t="n">
        <f aca="false">IF(AND(ISNUMBER(Z61),ISNUMBER(U61)),IFERROR((Z61-U61)/(Z48-U48),""),"")</f>
        <v>-1.77969018932874</v>
      </c>
      <c r="AA64" s="22" t="n">
        <f aca="false">IF(AND(ISNUMBER(AA61),ISNUMBER(V61)),IFERROR((AA61-V61)/(AA48-V48),""),"")</f>
        <v>0.305628272251309</v>
      </c>
      <c r="AB64" s="22" t="n">
        <f aca="false">IF(AND(ISNUMBER(AB61),ISNUMBER(W61)),IFERROR((AB61-W61)/(AB48-W48),""),"")</f>
        <v>0.260646900269542</v>
      </c>
      <c r="AC64" s="22" t="n">
        <f aca="false">IF(AND(ISNUMBER(AC61),ISNUMBER(X61)),IFERROR((AC61-X61)/(AC48-X48),""),"")</f>
        <v>0.537909591006935</v>
      </c>
      <c r="AD64" s="22" t="n">
        <f aca="false">IF(AND(ISNUMBER(AD61),ISNUMBER(Y61)),IFERROR((AD61-Y61)/(AD48-Y48),""),"")</f>
        <v>0.586990595611287</v>
      </c>
      <c r="AE64" s="22" t="n">
        <f aca="false">IF(AND(ISNUMBER(AE61),ISNUMBER(Z61)),IFERROR((AE61-Z61)/(AE48-Z48),""),"")</f>
        <v>0.0560008906702294</v>
      </c>
      <c r="AF64" s="22" t="n">
        <f aca="false">IF(AND(ISNUMBER(AF61),ISNUMBER(AA61)),IFERROR((AF61-AA61)/(AF48-AA48),""),"")</f>
        <v>0.161098246774727</v>
      </c>
      <c r="AG64" s="22" t="n">
        <f aca="false">IF(AND(ISNUMBER(AG61),ISNUMBER(AB61)),IFERROR((AG61-AB61)/(AG48-AB48),""),"")</f>
        <v>0.464228617106315</v>
      </c>
      <c r="AH64" s="22" t="n">
        <f aca="false">IF(AND(ISNUMBER(AH61),ISNUMBER(AC61)),IFERROR((AH61-AC61)/(AH48-AC48),""),"")</f>
        <v>0.222149302707137</v>
      </c>
      <c r="AI64" s="22" t="n">
        <f aca="false">IF(AND(ISNUMBER(AI61),ISNUMBER(AD61)),IFERROR((AI61-AD61)/(AI48-AD48),""),"")</f>
        <v>0.11056511056511</v>
      </c>
      <c r="AJ64" s="22" t="n">
        <f aca="false">IF(AND(ISNUMBER(AJ61),ISNUMBER(AE61)),IFERROR((AJ61-AE61)/(AJ48-AE48),""),"")</f>
        <v>0.0936471779296377</v>
      </c>
      <c r="AK64" s="22" t="n">
        <f aca="false">IF(AND(ISNUMBER(AK61),ISNUMBER(AF61)),IFERROR((AK61-AF61)/(AK48-AF48),""),"")</f>
        <v>4.8135593220341</v>
      </c>
      <c r="AL64" s="22" t="n">
        <f aca="false">IF(AND(ISNUMBER(AL61),ISNUMBER(AG61)),IFERROR((AL61-AG61)/(AL48-AG48),""),"")</f>
        <v>-0.441030723488603</v>
      </c>
      <c r="AM64" s="22" t="n">
        <f aca="false">IF(AND(ISNUMBER(AM61),ISNUMBER(AH61)),IFERROR((AM61-AH61)/(AM48-AH48),""),"")</f>
        <v>0.0103732675792874</v>
      </c>
      <c r="AN64" s="22" t="n">
        <f aca="false">IF(AND(ISNUMBER(AN61),ISNUMBER(AI61)),IFERROR((AN61-AI61)/(AN48-AI48),""),"")</f>
        <v>0.166645202833226</v>
      </c>
      <c r="AO64" s="22" t="n">
        <f aca="false">IF(AND(ISNUMBER(AO61),ISNUMBER(AJ61)),IFERROR((AO61-AJ61)/(AO48-AJ48),""),"")</f>
        <v>0.847367082167388</v>
      </c>
      <c r="AP64" s="22" t="n">
        <f aca="false">IF(AND(ISNUMBER(AP61),ISNUMBER(AK61)),IFERROR((AP61-AK61)/(AP48-AK48),""),"")</f>
        <v>0.280622549601996</v>
      </c>
      <c r="AQ64" s="22" t="n">
        <f aca="false">IF(AND(ISNUMBER(AQ61),ISNUMBER(AL61)),IFERROR((AQ61-AL61)/(AQ48-AL48),""),"")</f>
        <v>0.201915852742299</v>
      </c>
      <c r="AR64" s="22" t="n">
        <f aca="false">IF(AND(ISNUMBER(AR61),ISNUMBER(AM61)),IFERROR((AR61-AM61)/(AR48-AM48),""),"")</f>
        <v>0.297031956048243</v>
      </c>
      <c r="AS64" s="22" t="n">
        <f aca="false">IF(AND(ISNUMBER(AS61),ISNUMBER(AN61)),IFERROR((AS61-AN61)/(AS48-AN48),""),"")</f>
        <v>0.91173752310536</v>
      </c>
      <c r="AT64" s="22" t="n">
        <f aca="false">IF(AND(ISNUMBER(AT61),ISNUMBER(AO61)),IFERROR((AT61-AO61)/(AT48-AO48),""),"")</f>
        <v>0.228619268418341</v>
      </c>
      <c r="AU64" s="22" t="n">
        <f aca="false">IF(AND(ISNUMBER(AU61),ISNUMBER(AP61)),IFERROR((AU61-AP61)/(AU48-AP48),""),"")</f>
        <v>0.353388733002374</v>
      </c>
      <c r="AV64" s="22" t="n">
        <f aca="false">IF(AND(ISNUMBER(AV61),ISNUMBER(AQ61)),IFERROR((AV61-AQ61)/(AV48-AQ48),""),"")</f>
        <v>0.214099216710183</v>
      </c>
      <c r="AW64" s="22" t="n">
        <f aca="false">IF(AND(ISNUMBER(AW61),ISNUMBER(AR61)),IFERROR((AW61-AR61)/(AW48-AR48),""),"")</f>
        <v>0.369676586758437</v>
      </c>
      <c r="AX64" s="22" t="n">
        <f aca="false">IF(AND(ISNUMBER(AX61),ISNUMBER(AS61)),IFERROR((AX61-AS61)/(AX48-AS48),""),"")</f>
        <v>0.267837872836362</v>
      </c>
      <c r="AY64" s="22" t="n">
        <f aca="false">IF(AND(ISNUMBER(AY61),ISNUMBER(AT61)),IFERROR((AY61-AT61)/(AY48-AT48),""),"")</f>
        <v>0.179021017546759</v>
      </c>
      <c r="AZ64" s="22" t="n">
        <f aca="false">IF(AND(ISNUMBER(AZ61),ISNUMBER(AU61)),IFERROR((AZ61-AU61)/(AZ48-AU48),""),"")</f>
        <v>-0.0925424704866109</v>
      </c>
      <c r="BA64" s="22" t="n">
        <f aca="false">IF(AND(ISNUMBER(BA61),ISNUMBER(AV61)),IFERROR((BA61-AV61)/(BA48-AV48),""),"")</f>
        <v>0.0844031055423169</v>
      </c>
      <c r="BB64" s="22" t="n">
        <f aca="false">IF(AND(ISNUMBER(BB61),ISNUMBER(AW61)),IFERROR((BB61-AW61)/(BB48-AW48),""),"")</f>
        <v>0.129242705608976</v>
      </c>
      <c r="BC64" s="22" t="n">
        <f aca="false">IF(AND(ISNUMBER(BC61),ISNUMBER(AX61)),IFERROR((BC61-AX61)/(BC48-AX48),""),"")</f>
        <v>0.0365487587214019</v>
      </c>
      <c r="BD64" s="22" t="n">
        <f aca="false">IF(AND(ISNUMBER(BD61),ISNUMBER(AY61)),IFERROR((BD61-AY61)/(BD48-AY48),""),"")</f>
        <v>-0.0140320317414235</v>
      </c>
      <c r="BE64" s="22" t="n">
        <f aca="false">IF(AND(ISNUMBER(BE61),ISNUMBER(AZ61)),IFERROR((BE61-AZ61)/(BE48-AZ48),""),"")</f>
        <v>-0.100952132515978</v>
      </c>
      <c r="BF64" s="22" t="n">
        <f aca="false">IF(AND(ISNUMBER(BF61),ISNUMBER(BA61)),IFERROR((BF61-BA61)/(BF48-BA48),""),"")</f>
        <v>0.827700307255966</v>
      </c>
      <c r="BG64" s="22" t="n">
        <f aca="false">IF(AND(ISNUMBER(BG61),ISNUMBER(BB61)),IFERROR((BG61-BB61)/(BG48-BB48),""),"")</f>
        <v>-0.0786749849349546</v>
      </c>
      <c r="BH64" s="22" t="n">
        <f aca="false">IF(AND(ISNUMBER(BH61),ISNUMBER(BC61)),IFERROR((BH61-BC61)/(BH48-BC48),""),"")</f>
        <v>0.121301775147929</v>
      </c>
      <c r="BI64" s="22" t="n">
        <f aca="false">IF(AND(ISNUMBER(BI61),ISNUMBER(BD61)),IFERROR((BI61-BD61)/(BI48-BD48),""),"")</f>
        <v>-0.223504574243491</v>
      </c>
      <c r="BJ64" s="22" t="n">
        <f aca="false">IF(AND(ISNUMBER(BJ61),ISNUMBER(BE61)),IFERROR((BJ61-BE61)/(BJ48-BE48),""),"")</f>
        <v>-0.836671802773497</v>
      </c>
      <c r="BK64" s="22" t="n">
        <f aca="false">IF(AND(ISNUMBER(BK61),ISNUMBER(BF61)),IFERROR((BK61-BF61)/(BK48-BF48),""),"")</f>
        <v>-1.2278675904542</v>
      </c>
      <c r="BL64" s="22" t="n">
        <f aca="false">IF(AND(ISNUMBER(BL61),ISNUMBER(BG61)),IFERROR((BL61-BG61)/(BL48-BG48),""),"")</f>
        <v>-0.462577583059512</v>
      </c>
      <c r="BM64" s="22" t="n">
        <f aca="false">IF(AND(ISNUMBER(BM61),ISNUMBER(BH61)),IFERROR((BM61-BH61)/(BM48-BH48),""),"")</f>
        <v>-0.128869690424766</v>
      </c>
      <c r="BN64" s="22" t="n">
        <f aca="false">IF(AND(ISNUMBER(BN61),ISNUMBER(BI61)),IFERROR((BN61-BI61)/(BN48-BI48),""),"")</f>
        <v>1.42710255734247</v>
      </c>
      <c r="BO64" s="22" t="n">
        <f aca="false">IF(AND(ISNUMBER(BO61),ISNUMBER(BJ61)),IFERROR((BO61-BJ61)/(BO48-BJ48),""),"")</f>
        <v>0.342819324950365</v>
      </c>
      <c r="BP64" s="22" t="n">
        <f aca="false">IF(AND(ISNUMBER(BP61),ISNUMBER(BK61)),IFERROR((BP61-BK61)/(BP48-BK48),""),"")</f>
        <v>0.500237416904083</v>
      </c>
      <c r="BQ64" s="22" t="n">
        <f aca="false">IF(AND(ISNUMBER(BQ61),ISNUMBER(BL61)),IFERROR((BQ61-BL61)/(BQ48-BL48),""),"")</f>
        <v>1.01191410430192</v>
      </c>
      <c r="BR64" s="22" t="n">
        <f aca="false">IF(AND(ISNUMBER(BR61),ISNUMBER(BM61)),IFERROR((BR61-BM61)/(BR48-BM48),""),"")</f>
        <v>0.408986492695029</v>
      </c>
      <c r="BS64" s="22" t="n">
        <f aca="false">IF(AND(ISNUMBER(BS61),ISNUMBER(BN61)),IFERROR((BS61-BN61)/(BS48-BN48),""),"")</f>
        <v>0.27699960206924</v>
      </c>
      <c r="BT64" s="22" t="n">
        <f aca="false">IF(AND(ISNUMBER(BT61),ISNUMBER(BO61)),IFERROR((BT61-BO61)/(BT48-BO48),""),"")</f>
        <v>0.317128789841928</v>
      </c>
      <c r="BU64" s="22" t="n">
        <f aca="false">IF(AND(ISNUMBER(BU61),ISNUMBER(BP61)),IFERROR((BU61-BP61)/(BU48-BP48),""),"")</f>
        <v>0.132897934386391</v>
      </c>
      <c r="BV64" s="22" t="n">
        <f aca="false">IF(AND(ISNUMBER(BV61),ISNUMBER(BQ61)),IFERROR((BV61-BQ61)/(BV48-BQ48),""),"")</f>
        <v>0.281558502248963</v>
      </c>
      <c r="BW64" s="22" t="n">
        <f aca="false">IF(AND(ISNUMBER(BW61),ISNUMBER(BR61)),IFERROR((BW61-BR61)/(BW48-BR48),""),"")</f>
        <v>0.294527647710619</v>
      </c>
      <c r="BX64" s="22" t="n">
        <f aca="false">IF(AND(ISNUMBER(BX61),ISNUMBER(BS61)),IFERROR((BX61-BS61)/(BX48-BS48),""),"")</f>
        <v>0.242187135049283</v>
      </c>
      <c r="BY64" s="23" t="n">
        <f aca="false">IF(AND(ISNUMBER(BY61),ISNUMBER(BT61)),IFERROR((BY61-BT61)/(BY48-BT48),""),"")</f>
        <v>0.255012669700635</v>
      </c>
      <c r="BZ64" s="23" t="n">
        <f aca="false">IF(AND(ISNUMBER(BZ61),ISNUMBER(BU61)),IFERROR((BZ61-BU61)/(BZ48-BU48),""),"")</f>
        <v>0.237240710874711</v>
      </c>
      <c r="CA64" s="23" t="n">
        <f aca="false">IF(AND(ISNUMBER(CA61),ISNUMBER(BV61)),IFERROR((CA61-BV61)/(CA48-BV48),""),"")</f>
        <v>0.260586955102522</v>
      </c>
      <c r="CB64" s="23" t="n">
        <f aca="false">IF(AND(ISNUMBER(CB61),ISNUMBER(CA61)),IFERROR((CB61-CA61)/(CB48-CA48),""),"")</f>
        <v>-0.0888906217145039</v>
      </c>
      <c r="CC64" s="23" t="n">
        <f aca="false">IF(AND(ISNUMBER(CC61),ISNUMBER(CB61)),IFERROR((CC61-CB61)/(CC48-CB48),""),"")</f>
        <v>0.195</v>
      </c>
      <c r="CD64" s="23" t="n">
        <f aca="false">IF(AND(ISNUMBER(CD61),ISNUMBER(CC61)),IFERROR((CD61-CC61)/(CD48-CC48),""),"")</f>
        <v>0.195</v>
      </c>
      <c r="CE64" s="23" t="n">
        <f aca="false">IF(AND(ISNUMBER(CE61),ISNUMBER(CD61)),IFERROR((CE61-CD61)/(CE48-CD48),""),"")</f>
        <v>0.195</v>
      </c>
      <c r="CN64" s="26" t="s">
        <v>167</v>
      </c>
      <c r="CO64" s="45" t="n">
        <f aca="false">CP64+$CO$61</f>
        <v>0.03</v>
      </c>
      <c r="CP64" s="27" t="n">
        <v>0.02</v>
      </c>
      <c r="CQ64" s="45" t="n">
        <f aca="false">CP64+$CQ$61</f>
        <v>0.01</v>
      </c>
    </row>
    <row r="65" customFormat="false" ht="15" hidden="false" customHeight="false" outlineLevel="0" collapsed="false">
      <c r="CN65" s="26" t="s">
        <v>168</v>
      </c>
      <c r="CO65" s="45" t="n">
        <f aca="false">CP65+$CO$61</f>
        <v>0.03</v>
      </c>
      <c r="CP65" s="27" t="n">
        <v>0.02</v>
      </c>
      <c r="CQ65" s="45" t="n">
        <f aca="false">CP65+$CQ$61</f>
        <v>0.01</v>
      </c>
    </row>
    <row r="66" customFormat="false" ht="15" hidden="false" customHeight="false" outlineLevel="0" collapsed="false">
      <c r="B66" s="11" t="s">
        <v>185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N66" s="42" t="s">
        <v>186</v>
      </c>
      <c r="CO66" s="43" t="n">
        <v>0.015</v>
      </c>
      <c r="CP66" s="44" t="s">
        <v>161</v>
      </c>
      <c r="CQ66" s="43" t="n">
        <v>-0.015</v>
      </c>
      <c r="CR66" s="14" t="s">
        <v>187</v>
      </c>
    </row>
    <row r="67" customFormat="false" ht="15" hidden="false" customHeight="false" outlineLevel="0" collapsed="false">
      <c r="B67" s="15" t="s">
        <v>188</v>
      </c>
      <c r="C67" s="16"/>
      <c r="D67" s="16"/>
      <c r="E67" s="16"/>
      <c r="F67" s="46" t="n">
        <v>-3.344</v>
      </c>
      <c r="G67" s="46" t="n">
        <v>-6.675</v>
      </c>
      <c r="H67" s="46" t="n">
        <v>0.426</v>
      </c>
      <c r="I67" s="46" t="n">
        <v>-4.886</v>
      </c>
      <c r="J67" s="46" t="n">
        <v>-0.603</v>
      </c>
      <c r="K67" s="46" t="n">
        <v>-1.538</v>
      </c>
      <c r="L67" s="46" t="n">
        <v>-0.822</v>
      </c>
      <c r="M67" s="46" t="n">
        <v>-1.387</v>
      </c>
      <c r="N67" s="46" t="n">
        <v>-5.948</v>
      </c>
      <c r="O67" s="46" t="n">
        <v>2.67</v>
      </c>
      <c r="P67" s="46" t="n">
        <v>0.785</v>
      </c>
      <c r="Q67" s="46" t="n">
        <v>-0.302</v>
      </c>
      <c r="R67" s="46" t="n">
        <v>0.649</v>
      </c>
      <c r="S67" s="46" t="n">
        <v>3.802</v>
      </c>
      <c r="T67" s="46" t="n">
        <v>0.06</v>
      </c>
      <c r="U67" s="46" t="n">
        <v>0.634</v>
      </c>
      <c r="V67" s="46" t="n">
        <v>-0.748</v>
      </c>
      <c r="W67" s="46" t="n">
        <v>-0.221</v>
      </c>
      <c r="X67" s="46" t="n">
        <v>-0.275</v>
      </c>
      <c r="Y67" s="46" t="n">
        <v>1.197</v>
      </c>
      <c r="Z67" s="46" t="n">
        <v>-0.298</v>
      </c>
      <c r="AA67" s="46" t="n">
        <v>0.913</v>
      </c>
      <c r="AB67" s="46" t="n">
        <v>-1.248</v>
      </c>
      <c r="AC67" s="46" t="n">
        <v>0.564</v>
      </c>
      <c r="AD67" s="46" t="n">
        <v>0.064</v>
      </c>
      <c r="AE67" s="46" t="n">
        <v>-0.265</v>
      </c>
      <c r="AF67" s="46" t="n">
        <v>0.57</v>
      </c>
      <c r="AG67" s="46" t="n">
        <v>-0.06</v>
      </c>
      <c r="AH67" s="46" t="n">
        <v>0.309</v>
      </c>
      <c r="AI67" s="46" t="n">
        <v>-0.158</v>
      </c>
      <c r="AJ67" s="46" t="n">
        <v>-3.186</v>
      </c>
      <c r="AK67" s="46" t="n">
        <v>-1.099</v>
      </c>
      <c r="AL67" s="46" t="n">
        <v>-4.444</v>
      </c>
      <c r="AM67" s="46" t="n">
        <v>-8.887</v>
      </c>
      <c r="AN67" s="46" t="n">
        <v>-3.042</v>
      </c>
      <c r="AO67" s="46" t="n">
        <v>-3.969</v>
      </c>
      <c r="AP67" s="46" t="n">
        <v>-1.632</v>
      </c>
      <c r="AQ67" s="46" t="n">
        <v>-2.305</v>
      </c>
      <c r="AR67" s="46" t="n">
        <v>-10.948</v>
      </c>
      <c r="AS67" s="46" t="n">
        <v>-1.099</v>
      </c>
      <c r="AT67" s="46" t="n">
        <v>-1.964</v>
      </c>
      <c r="AU67" s="46" t="n">
        <v>-1.839</v>
      </c>
      <c r="AV67" s="46" t="n">
        <v>-0.553</v>
      </c>
      <c r="AW67" s="46" t="n">
        <v>-5.455</v>
      </c>
      <c r="AX67" s="46" t="n">
        <v>-1.456</v>
      </c>
      <c r="AY67" s="46" t="n">
        <v>-3.888</v>
      </c>
      <c r="AZ67" s="46" t="n">
        <v>-4.704</v>
      </c>
      <c r="BA67" s="46" t="n">
        <v>-2.355</v>
      </c>
      <c r="BB67" s="46" t="n">
        <v>-12.403</v>
      </c>
      <c r="BC67" s="46" t="n">
        <v>-4.801</v>
      </c>
      <c r="BD67" s="46" t="n">
        <v>-3.984</v>
      </c>
      <c r="BE67" s="46" t="n">
        <v>-1.685</v>
      </c>
      <c r="BF67" s="46" t="n">
        <v>0.437</v>
      </c>
      <c r="BG67" s="46" t="n">
        <v>-10.033</v>
      </c>
      <c r="BH67" s="46" t="n">
        <v>-9.374</v>
      </c>
      <c r="BI67" s="46" t="n">
        <v>-2.183</v>
      </c>
      <c r="BJ67" s="46" t="n">
        <v>-2.952</v>
      </c>
      <c r="BK67" s="46" t="n">
        <v>-2.997</v>
      </c>
      <c r="BL67" s="46" t="n">
        <v>-17.536</v>
      </c>
      <c r="BM67" s="46" t="n">
        <v>-10.078</v>
      </c>
      <c r="BN67" s="46" t="n">
        <v>-6.264</v>
      </c>
      <c r="BO67" s="46" t="n">
        <v>4.503</v>
      </c>
      <c r="BP67" s="46" t="n">
        <v>0.812</v>
      </c>
      <c r="BQ67" s="46" t="n">
        <v>-11.028</v>
      </c>
      <c r="BR67" s="46" t="n">
        <v>-1.65</v>
      </c>
      <c r="BS67" s="46" t="n">
        <v>-1.2</v>
      </c>
      <c r="BT67" s="46" t="n">
        <v>2.034</v>
      </c>
      <c r="BU67" s="46" t="n">
        <v>0.416</v>
      </c>
      <c r="BV67" s="46" t="n">
        <v>-0.4</v>
      </c>
      <c r="BW67" s="46" t="n">
        <v>-1.395</v>
      </c>
      <c r="BX67" s="46" t="n">
        <v>-3.044</v>
      </c>
      <c r="BY67" s="47" t="n">
        <f aca="false">BY102*BY68</f>
        <v>-2.21971190880551</v>
      </c>
      <c r="BZ67" s="47" t="n">
        <f aca="false">BZ102*BZ68</f>
        <v>-2.22811992287207</v>
      </c>
      <c r="CA67" s="47" t="n">
        <f aca="false">SUM(BW67:BZ67)</f>
        <v>-8.88683183167759</v>
      </c>
      <c r="CB67" s="47" t="n">
        <f aca="false">CB102*CB68</f>
        <v>-9.91319612090058</v>
      </c>
      <c r="CC67" s="47" t="n">
        <f aca="false">CC102*CC68</f>
        <v>-10.4113857519975</v>
      </c>
      <c r="CD67" s="47" t="n">
        <f aca="false">CD102*CD68</f>
        <v>-10.9014900417491</v>
      </c>
      <c r="CE67" s="47" t="n">
        <f aca="false">CE102*CE68</f>
        <v>-11.4150332710635</v>
      </c>
      <c r="CN67" s="26" t="s">
        <v>163</v>
      </c>
      <c r="CO67" s="45" t="n">
        <f aca="false">CP67+$CO$66</f>
        <v>0.21</v>
      </c>
      <c r="CP67" s="27" t="n">
        <v>0.195</v>
      </c>
      <c r="CQ67" s="45" t="n">
        <f aca="false">CP67+$CQ$66</f>
        <v>0.18</v>
      </c>
    </row>
    <row r="68" customFormat="false" ht="15" hidden="false" customHeight="false" outlineLevel="0" collapsed="false">
      <c r="B68" s="21" t="s">
        <v>189</v>
      </c>
      <c r="C68" s="22" t="str">
        <f aca="false">IF(AND(ISNUMBER(C67),ISNUMBER(C103)),IFERROR(C67/C103,""),"")</f>
        <v/>
      </c>
      <c r="D68" s="22" t="str">
        <f aca="false">IF(AND(ISNUMBER(D67),ISNUMBER(D103)),IFERROR(D67/D103,""),"")</f>
        <v/>
      </c>
      <c r="E68" s="22" t="str">
        <f aca="false">IF(AND(ISNUMBER(E67),ISNUMBER(E103)),IFERROR(E67/E103,""),"")</f>
        <v/>
      </c>
      <c r="F68" s="22" t="n">
        <f aca="false">IF(AND(ISNUMBER(F67),ISNUMBER(F103)),IFERROR(F67/F103,""),"")</f>
        <v>-0.00193374718453002</v>
      </c>
      <c r="G68" s="22" t="n">
        <f aca="false">IF(AND(ISNUMBER(G67),ISNUMBER(G103)),IFERROR(G67/G103,""),"")</f>
        <v>-0.00322436976251249</v>
      </c>
      <c r="H68" s="22" t="n">
        <f aca="false">IF(AND(ISNUMBER(H67),ISNUMBER(H103)),IFERROR(H67/H103,""),"")</f>
        <v>0.000158093437675002</v>
      </c>
      <c r="I68" s="22" t="n">
        <f aca="false">IF(AND(ISNUMBER(I67),ISNUMBER(I103)),IFERROR(I67/I103,""),"")</f>
        <v>-0.00171236297328735</v>
      </c>
      <c r="J68" s="22" t="n">
        <f aca="false">IF(AND(ISNUMBER(J67),ISNUMBER(J103)),IFERROR(J67/J103,""),"")</f>
        <v>-0.000839163174792262</v>
      </c>
      <c r="K68" s="22" t="n">
        <f aca="false">IF(AND(ISNUMBER(K67),ISNUMBER(K103)),IFERROR(K67/K103,""),"")</f>
        <v>-0.00211428697115332</v>
      </c>
      <c r="L68" s="22" t="n">
        <f aca="false">IF(AND(ISNUMBER(L67),ISNUMBER(L103)),IFERROR(L67/L103,""),"")</f>
        <v>-0.00118807588075881</v>
      </c>
      <c r="M68" s="22" t="n">
        <f aca="false">IF(AND(ISNUMBER(M67),ISNUMBER(M103)),IFERROR(M67/M103,""),"")</f>
        <v>-0.00194042734169848</v>
      </c>
      <c r="N68" s="22" t="n">
        <f aca="false">IF(AND(ISNUMBER(N67),ISNUMBER(N103)),IFERROR(N67/N103,""),"")</f>
        <v>-0.00208506343703848</v>
      </c>
      <c r="O68" s="22" t="n">
        <f aca="false">IF(AND(ISNUMBER(O67),ISNUMBER(O103)),IFERROR(O67/O103,""),"")</f>
        <v>0.00389745745640541</v>
      </c>
      <c r="P68" s="22" t="n">
        <f aca="false">IF(AND(ISNUMBER(P67),ISNUMBER(P103)),IFERROR(P67/P103,""),"")</f>
        <v>0.00107751077167615</v>
      </c>
      <c r="Q68" s="22" t="n">
        <f aca="false">IF(AND(ISNUMBER(Q67),ISNUMBER(Q103)),IFERROR(Q67/Q103,""),"")</f>
        <v>-0.00042191911726697</v>
      </c>
      <c r="R68" s="22" t="n">
        <f aca="false">IF(AND(ISNUMBER(R67),ISNUMBER(R103)),IFERROR(R67/R103,""),"")</f>
        <v>0.000948894223880554</v>
      </c>
      <c r="S68" s="22" t="n">
        <f aca="false">IF(AND(ISNUMBER(S67),ISNUMBER(S103)),IFERROR(S67/S103,""),"")</f>
        <v>0.0013514262843526</v>
      </c>
      <c r="T68" s="22" t="n">
        <f aca="false">IF(AND(ISNUMBER(T67),ISNUMBER(T103)),IFERROR(T67/T103,""),"")</f>
        <v>9.11992704058367E-005</v>
      </c>
      <c r="U68" s="22" t="n">
        <f aca="false">IF(AND(ISNUMBER(U67),ISNUMBER(U103)),IFERROR(U67/U103,""),"")</f>
        <v>0.00095375635586846</v>
      </c>
      <c r="V68" s="22" t="n">
        <f aca="false">IF(AND(ISNUMBER(V67),ISNUMBER(V103)),IFERROR(V67/V103,""),"")</f>
        <v>-0.00115939153644178</v>
      </c>
      <c r="W68" s="22" t="n">
        <f aca="false">IF(AND(ISNUMBER(W67),ISNUMBER(W103)),IFERROR(W67/W103,""),"")</f>
        <v>-0.000389094782432635</v>
      </c>
      <c r="X68" s="22" t="n">
        <f aca="false">IF(AND(ISNUMBER(X67),ISNUMBER(X103)),IFERROR(X67/X103,""),"")</f>
        <v>-0.00010844742330894</v>
      </c>
      <c r="Y68" s="22" t="n">
        <f aca="false">IF(AND(ISNUMBER(Y67),ISNUMBER(Y103)),IFERROR(Y67/Y103,""),"")</f>
        <v>0.00217351040997091</v>
      </c>
      <c r="Z68" s="22" t="n">
        <f aca="false">IF(AND(ISNUMBER(Z67),ISNUMBER(Z103)),IFERROR(Z67/Z103,""),"")</f>
        <v>-0.000503023203211246</v>
      </c>
      <c r="AA68" s="22" t="n">
        <f aca="false">IF(AND(ISNUMBER(AA67),ISNUMBER(AA103)),IFERROR(AA67/AA103,""),"")</f>
        <v>0.00160839678250177</v>
      </c>
      <c r="AB68" s="22" t="n">
        <f aca="false">IF(AND(ISNUMBER(AB67),ISNUMBER(AB103)),IFERROR(AB67/AB103,""),"")</f>
        <v>-0.00221344097845442</v>
      </c>
      <c r="AC68" s="22" t="n">
        <f aca="false">IF(AND(ISNUMBER(AC67),ISNUMBER(AC103)),IFERROR(AC67/AC103,""),"")</f>
        <v>0.000247954158375883</v>
      </c>
      <c r="AD68" s="22" t="n">
        <f aca="false">IF(AND(ISNUMBER(AD67),ISNUMBER(AD103)),IFERROR(AD67/AD103,""),"")</f>
        <v>0.000110174437120522</v>
      </c>
      <c r="AE68" s="22" t="n">
        <f aca="false">IF(AND(ISNUMBER(AE67),ISNUMBER(AE103)),IFERROR(AE67/AE103,""),"")</f>
        <v>-0.00042274326881048</v>
      </c>
      <c r="AF68" s="22" t="n">
        <f aca="false">IF(AND(ISNUMBER(AF67),ISNUMBER(AF103)),IFERROR(AF67/AF103,""),"")</f>
        <v>0.000851393073245197</v>
      </c>
      <c r="AG68" s="22" t="n">
        <f aca="false">IF(AND(ISNUMBER(AG67),ISNUMBER(AG103)),IFERROR(AG67/AG103,""),"")</f>
        <v>-8.0301397913502E-005</v>
      </c>
      <c r="AH68" s="22" t="n">
        <f aca="false">IF(AND(ISNUMBER(AH67),ISNUMBER(AH103)),IFERROR(AH67/AH103,""),"")</f>
        <v>0.000117739807219165</v>
      </c>
      <c r="AI68" s="22" t="n">
        <f aca="false">IF(AND(ISNUMBER(AI67),ISNUMBER(AI103)),IFERROR(AI67/AI103,""),"")</f>
        <v>-0.000208526902610018</v>
      </c>
      <c r="AJ68" s="22" t="n">
        <f aca="false">IF(AND(ISNUMBER(AJ67),ISNUMBER(AJ103)),IFERROR(AJ67/AJ103,""),"")</f>
        <v>-0.00403264595241832</v>
      </c>
      <c r="AK68" s="22" t="n">
        <f aca="false">IF(AND(ISNUMBER(AK67),ISNUMBER(AK103)),IFERROR(AK67/AK103,""),"")</f>
        <v>-0.00149098018040996</v>
      </c>
      <c r="AL68" s="22" t="n">
        <f aca="false">IF(AND(ISNUMBER(AL67),ISNUMBER(AL103)),IFERROR(AL67/AL103,""),"")</f>
        <v>-0.00597450751317175</v>
      </c>
      <c r="AM68" s="22" t="n">
        <f aca="false">IF(AND(ISNUMBER(AM67),ISNUMBER(AM103)),IFERROR(AM67/AM103,""),"")</f>
        <v>-0.00293428741422814</v>
      </c>
      <c r="AN68" s="22" t="n">
        <f aca="false">IF(AND(ISNUMBER(AN67),ISNUMBER(AN103)),IFERROR(AN67/AN103,""),"")</f>
        <v>-0.00400698654063495</v>
      </c>
      <c r="AO68" s="22" t="n">
        <f aca="false">IF(AND(ISNUMBER(AO67),ISNUMBER(AO103)),IFERROR(AO67/AO103,""),"")</f>
        <v>-0.00510805551551593</v>
      </c>
      <c r="AP68" s="22" t="n">
        <f aca="false">IF(AND(ISNUMBER(AP67),ISNUMBER(AP103)),IFERROR(AP67/AP103,""),"")</f>
        <v>-0.00223322107930808</v>
      </c>
      <c r="AQ68" s="22" t="n">
        <f aca="false">IF(AND(ISNUMBER(AQ67),ISNUMBER(AQ103)),IFERROR(AQ67/AQ103,""),"")</f>
        <v>-0.00313048769059645</v>
      </c>
      <c r="AR68" s="22" t="n">
        <f aca="false">IF(AND(ISNUMBER(AR67),ISNUMBER(AR103)),IFERROR(AR67/AR103,""),"")</f>
        <v>-0.00364535746345985</v>
      </c>
      <c r="AS68" s="22" t="n">
        <f aca="false">IF(AND(ISNUMBER(AS67),ISNUMBER(AS103)),IFERROR(AS67/AS103,""),"")</f>
        <v>-0.0015655471366442</v>
      </c>
      <c r="AT68" s="22" t="n">
        <f aca="false">IF(AND(ISNUMBER(AT67),ISNUMBER(AT103)),IFERROR(AT67/AT103,""),"")</f>
        <v>-0.00332471683197145</v>
      </c>
      <c r="AU68" s="22" t="n">
        <f aca="false">IF(AND(ISNUMBER(AU67),ISNUMBER(AU103)),IFERROR(AU67/AU103,""),"")</f>
        <v>-0.00274933920177967</v>
      </c>
      <c r="AV68" s="22" t="n">
        <f aca="false">IF(AND(ISNUMBER(AV67),ISNUMBER(AV103)),IFERROR(AV67/AV103,""),"")</f>
        <v>-0.000797066564426905</v>
      </c>
      <c r="AW68" s="22" t="n">
        <f aca="false">IF(AND(ISNUMBER(AW67),ISNUMBER(AW103)),IFERROR(AW67/AW103,""),"")</f>
        <v>-0.00205430443624313</v>
      </c>
      <c r="AX68" s="22" t="n">
        <f aca="false">IF(AND(ISNUMBER(AX67),ISNUMBER(AX103)),IFERROR(AX67/AX103,""),"")</f>
        <v>-0.00192332841493169</v>
      </c>
      <c r="AY68" s="22" t="n">
        <f aca="false">IF(AND(ISNUMBER(AY67),ISNUMBER(AY103)),IFERROR(AY67/AY103,""),"")</f>
        <v>-0.00470443606056719</v>
      </c>
      <c r="AZ68" s="22" t="n">
        <f aca="false">IF(AND(ISNUMBER(AZ67),ISNUMBER(AZ103)),IFERROR(AZ67/AZ103,""),"")</f>
        <v>-0.00583294273448951</v>
      </c>
      <c r="BA68" s="22" t="n">
        <f aca="false">IF(AND(ISNUMBER(BA67),ISNUMBER(BA103)),IFERROR(BA67/BA103,""),"")</f>
        <v>-0.00278945479484182</v>
      </c>
      <c r="BB68" s="22" t="n">
        <f aca="false">IF(AND(ISNUMBER(BB67),ISNUMBER(BB103)),IFERROR(BB67/BB103,""),"")</f>
        <v>-0.00383497517144995</v>
      </c>
      <c r="BC68" s="22" t="n">
        <f aca="false">IF(AND(ISNUMBER(BC67),ISNUMBER(BC103)),IFERROR(BC67/BC103,""),"")</f>
        <v>-0.00518775771302115</v>
      </c>
      <c r="BD68" s="22" t="n">
        <f aca="false">IF(AND(ISNUMBER(BD67),ISNUMBER(BD103)),IFERROR(BD67/BD103,""),"")</f>
        <v>-0.00410895750673739</v>
      </c>
      <c r="BE68" s="22" t="n">
        <f aca="false">IF(AND(ISNUMBER(BE67),ISNUMBER(BE103)),IFERROR(BE67/BE103,""),"")</f>
        <v>-0.00180167657499679</v>
      </c>
      <c r="BF68" s="22" t="n">
        <f aca="false">IF(AND(ISNUMBER(BF67),ISNUMBER(BF103)),IFERROR(BF67/BF103,""),"")</f>
        <v>0.000469421033070014</v>
      </c>
      <c r="BG68" s="22" t="n">
        <f aca="false">IF(AND(ISNUMBER(BG67),ISNUMBER(BG103)),IFERROR(BG67/BG103,""),"")</f>
        <v>-0.00266749193278441</v>
      </c>
      <c r="BH68" s="22" t="n">
        <f aca="false">IF(AND(ISNUMBER(BH67),ISNUMBER(BH103)),IFERROR(BH67/BH103,""),"")</f>
        <v>-0.00901915921885268</v>
      </c>
      <c r="BI68" s="22" t="n">
        <f aca="false">IF(AND(ISNUMBER(BI67),ISNUMBER(BI103)),IFERROR(BI67/BI103,""),"")</f>
        <v>-0.00205833682989727</v>
      </c>
      <c r="BJ68" s="22" t="n">
        <f aca="false">IF(AND(ISNUMBER(BJ67),ISNUMBER(BJ103)),IFERROR(BJ67/BJ103,""),"")</f>
        <v>-0.00285710414299458</v>
      </c>
      <c r="BK68" s="22" t="n">
        <f aca="false">IF(AND(ISNUMBER(BK67),ISNUMBER(BK103)),IFERROR(BK67/BK103,""),"")</f>
        <v>-0.0028313276914618</v>
      </c>
      <c r="BL68" s="22" t="n">
        <f aca="false">IF(AND(ISNUMBER(BL67),ISNUMBER(BL103)),IFERROR(BL67/BL103,""),"")</f>
        <v>-0.00418356937482167</v>
      </c>
      <c r="BM68" s="22" t="n">
        <f aca="false">IF(AND(ISNUMBER(BM67),ISNUMBER(BM103)),IFERROR(BM67/BM103,""),"")</f>
        <v>-0.0102711280201631</v>
      </c>
      <c r="BN68" s="22" t="n">
        <f aca="false">IF(AND(ISNUMBER(BN67),ISNUMBER(BN103)),IFERROR(BN67/BN103,""),"")</f>
        <v>-0.00613106022122322</v>
      </c>
      <c r="BO68" s="22" t="n">
        <f aca="false">IF(AND(ISNUMBER(BO67),ISNUMBER(BO103)),IFERROR(BO67/BO103,""),"")</f>
        <v>0.00457734058849779</v>
      </c>
      <c r="BP68" s="22" t="n">
        <f aca="false">IF(AND(ISNUMBER(BP67),ISNUMBER(BP103)),IFERROR(BP67/BP103,""),"")</f>
        <v>0.000794496448737856</v>
      </c>
      <c r="BQ68" s="22" t="n">
        <f aca="false">IF(AND(ISNUMBER(BQ67),ISNUMBER(BQ103)),IFERROR(BQ67/BQ103,""),"")</f>
        <v>-0.00275103712702717</v>
      </c>
      <c r="BR68" s="22" t="n">
        <f aca="false">IF(AND(ISNUMBER(BR67),ISNUMBER(BR103)),IFERROR(BR67/BR103,""),"")</f>
        <v>-0.00164279143119989</v>
      </c>
      <c r="BS68" s="22" t="n">
        <f aca="false">IF(AND(ISNUMBER(BS67),ISNUMBER(BS103)),IFERROR(BS67/BS103,""),"")</f>
        <v>-0.0011022593561152</v>
      </c>
      <c r="BT68" s="22" t="n">
        <f aca="false">IF(AND(ISNUMBER(BT67),ISNUMBER(BT103)),IFERROR(BT67/BT103,""),"")</f>
        <v>0.00191664931254105</v>
      </c>
      <c r="BU68" s="22" t="n">
        <f aca="false">IF(AND(ISNUMBER(BU67),ISNUMBER(BU103)),IFERROR(BU67/BU103,""),"")</f>
        <v>0.000385644030165521</v>
      </c>
      <c r="BV68" s="22" t="n">
        <f aca="false">IF(AND(ISNUMBER(BV67),ISNUMBER(BV103)),IFERROR(BV67/BV103,""),"")</f>
        <v>-9.44955626064994E-005</v>
      </c>
      <c r="BW68" s="22" t="n">
        <f aca="false">IF(AND(ISNUMBER(BW67),ISNUMBER(BW103)),IFERROR(BW67/BW103,""),"")</f>
        <v>-0.00124394302295097</v>
      </c>
      <c r="BX68" s="22" t="n">
        <f aca="false">IF(AND(ISNUMBER(BX67),ISNUMBER(BX103)),IFERROR(BX67/BX103,""),"")</f>
        <v>-0.00249577137291203</v>
      </c>
      <c r="BY68" s="23" t="n">
        <f aca="false">AVERAGE($BW$68,$BX$68)</f>
        <v>-0.0018698571979315</v>
      </c>
      <c r="BZ68" s="23" t="n">
        <f aca="false">AVERAGE($BW$68,$BX$68)</f>
        <v>-0.0018698571979315</v>
      </c>
      <c r="CA68" s="23" t="n">
        <f aca="false">IFERROR(CA67/CA102,"")</f>
        <v>-0.00188288379758682</v>
      </c>
      <c r="CB68" s="30" t="n">
        <v>-0.002</v>
      </c>
      <c r="CC68" s="30" t="n">
        <v>-0.002</v>
      </c>
      <c r="CD68" s="30" t="n">
        <v>-0.002</v>
      </c>
      <c r="CE68" s="30" t="n">
        <v>-0.002</v>
      </c>
      <c r="CF68" s="19" t="s">
        <v>190</v>
      </c>
      <c r="CN68" s="26" t="s">
        <v>166</v>
      </c>
      <c r="CO68" s="45" t="n">
        <f aca="false">CP68+$CO$66</f>
        <v>0.21</v>
      </c>
      <c r="CP68" s="27" t="n">
        <v>0.195</v>
      </c>
      <c r="CQ68" s="45" t="n">
        <f aca="false">CP68+$CQ$66</f>
        <v>0.18</v>
      </c>
    </row>
    <row r="69" customFormat="false" ht="15" hidden="false" customHeight="false" outlineLevel="0" collapsed="false">
      <c r="B69" s="37" t="s">
        <v>191</v>
      </c>
      <c r="F69" s="48" t="n">
        <v>-3.344</v>
      </c>
      <c r="G69" s="48" t="n">
        <v>-6.675</v>
      </c>
      <c r="H69" s="48" t="n">
        <v>0.426</v>
      </c>
      <c r="I69" s="48" t="n">
        <v>-4.886</v>
      </c>
      <c r="J69" s="48" t="n">
        <v>-0.603</v>
      </c>
      <c r="K69" s="48" t="n">
        <v>-1.538</v>
      </c>
      <c r="L69" s="48" t="n">
        <v>-0.822</v>
      </c>
      <c r="M69" s="48" t="n">
        <v>-1.387</v>
      </c>
      <c r="N69" s="48" t="n">
        <v>-5.948</v>
      </c>
      <c r="O69" s="48" t="n">
        <v>2.67</v>
      </c>
      <c r="P69" s="48" t="n">
        <v>0.785</v>
      </c>
      <c r="Q69" s="48" t="n">
        <v>-0.302</v>
      </c>
      <c r="R69" s="48" t="n">
        <v>0.649</v>
      </c>
      <c r="S69" s="48" t="n">
        <v>3.802</v>
      </c>
      <c r="T69" s="48" t="n">
        <v>0.06</v>
      </c>
      <c r="U69" s="48" t="n">
        <v>0.634</v>
      </c>
      <c r="V69" s="48" t="n">
        <v>-0.748</v>
      </c>
      <c r="W69" s="48" t="n">
        <v>-0.221</v>
      </c>
      <c r="X69" s="48" t="n">
        <v>-0.275</v>
      </c>
      <c r="Y69" s="48" t="n">
        <v>1.197</v>
      </c>
      <c r="Z69" s="48" t="n">
        <v>-34.646</v>
      </c>
      <c r="AA69" s="48" t="n">
        <v>0.913</v>
      </c>
      <c r="AB69" s="48" t="n">
        <v>-1.248</v>
      </c>
      <c r="AC69" s="48" t="n">
        <v>-33.784</v>
      </c>
      <c r="AD69" s="48" t="n">
        <v>-3.551</v>
      </c>
      <c r="AE69" s="48" t="n">
        <v>-4.763</v>
      </c>
      <c r="AF69" s="48" t="n">
        <v>48.882</v>
      </c>
      <c r="AG69" s="48" t="n">
        <v>-5.611</v>
      </c>
      <c r="AH69" s="48" t="n">
        <v>34.957</v>
      </c>
      <c r="AI69" s="48" t="n">
        <v>-2.065</v>
      </c>
      <c r="AJ69" s="48" t="n">
        <v>-3.974</v>
      </c>
      <c r="AK69" s="48" t="n">
        <v>-2.069</v>
      </c>
      <c r="AL69" s="48" t="n">
        <v>-5.277</v>
      </c>
      <c r="AM69" s="48" t="n">
        <v>-13.385</v>
      </c>
      <c r="AN69" s="48" t="n">
        <v>-3.832</v>
      </c>
      <c r="AO69" s="48" t="n">
        <v>-4.983</v>
      </c>
      <c r="AP69" s="48" t="n">
        <v>-1.632</v>
      </c>
      <c r="AQ69" s="48" t="n">
        <v>-2.305</v>
      </c>
      <c r="AR69" s="48" t="n">
        <v>-12.752</v>
      </c>
      <c r="AS69" s="48" t="n">
        <v>-1.099</v>
      </c>
      <c r="AT69" s="48" t="n">
        <v>-1.964</v>
      </c>
      <c r="AU69" s="48" t="n">
        <v>-1.839</v>
      </c>
      <c r="AV69" s="48" t="n">
        <v>-0.553</v>
      </c>
      <c r="AW69" s="48" t="n">
        <v>-5.455</v>
      </c>
      <c r="AX69" s="48" t="n">
        <v>-2.569</v>
      </c>
      <c r="AY69" s="48" t="n">
        <v>-4.698</v>
      </c>
      <c r="AZ69" s="48" t="n">
        <v>-4.704</v>
      </c>
      <c r="BA69" s="48" t="n">
        <v>-2.355</v>
      </c>
      <c r="BB69" s="48" t="n">
        <v>-14.326</v>
      </c>
      <c r="BC69" s="48" t="n">
        <v>-4.801</v>
      </c>
      <c r="BD69" s="48" t="n">
        <v>-3.984</v>
      </c>
      <c r="BE69" s="48" t="n">
        <v>-4.753</v>
      </c>
      <c r="BF69" s="48" t="n">
        <v>-2.498</v>
      </c>
      <c r="BG69" s="48" t="n">
        <v>-16.036</v>
      </c>
      <c r="BH69" s="48" t="n">
        <v>-9.374</v>
      </c>
      <c r="BI69" s="48" t="n">
        <v>-2.183</v>
      </c>
      <c r="BJ69" s="48" t="n">
        <v>-2.952</v>
      </c>
      <c r="BK69" s="48" t="n">
        <v>-2.997</v>
      </c>
      <c r="BL69" s="48" t="n">
        <v>-17.536</v>
      </c>
      <c r="BM69" s="48" t="n">
        <v>-11.84</v>
      </c>
      <c r="BN69" s="48" t="n">
        <v>-8.55</v>
      </c>
      <c r="BO69" s="48" t="n">
        <v>3.893</v>
      </c>
      <c r="BP69" s="48" t="n">
        <v>-1.679</v>
      </c>
      <c r="BQ69" s="48" t="n">
        <v>-18.175</v>
      </c>
      <c r="BR69" s="48" t="n">
        <v>-2.452</v>
      </c>
      <c r="BS69" s="48" t="n">
        <v>-1.629</v>
      </c>
      <c r="BT69" s="48" t="n">
        <v>1.582</v>
      </c>
      <c r="BU69" s="48" t="n">
        <v>-0.302</v>
      </c>
      <c r="BV69" s="48" t="n">
        <v>-2.801</v>
      </c>
      <c r="BW69" s="48" t="n">
        <v>-2.048</v>
      </c>
      <c r="BX69" s="48" t="n">
        <v>-3.059</v>
      </c>
      <c r="CN69" s="26" t="s">
        <v>167</v>
      </c>
      <c r="CO69" s="45" t="n">
        <f aca="false">CP69+$CO$66</f>
        <v>0.21</v>
      </c>
      <c r="CP69" s="27" t="n">
        <v>0.195</v>
      </c>
      <c r="CQ69" s="45" t="n">
        <f aca="false">CP69+$CQ$66</f>
        <v>0.18</v>
      </c>
    </row>
    <row r="70" customFormat="false" ht="15" hidden="false" customHeight="false" outlineLevel="0" collapsed="false">
      <c r="CN70" s="26" t="s">
        <v>168</v>
      </c>
      <c r="CO70" s="45" t="n">
        <f aca="false">CP70+$CO$66</f>
        <v>0.21</v>
      </c>
      <c r="CP70" s="27" t="n">
        <v>0.195</v>
      </c>
      <c r="CQ70" s="45" t="n">
        <f aca="false">CP70+$CQ$66</f>
        <v>0.18</v>
      </c>
    </row>
    <row r="71" customFormat="false" ht="15" hidden="false" customHeight="false" outlineLevel="0" collapsed="false">
      <c r="B71" s="11" t="s">
        <v>192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N71" s="42" t="s">
        <v>193</v>
      </c>
      <c r="CO71" s="49" t="n">
        <v>150</v>
      </c>
      <c r="CP71" s="44" t="s">
        <v>161</v>
      </c>
      <c r="CQ71" s="49" t="n">
        <v>-150</v>
      </c>
      <c r="CR71" s="14" t="s">
        <v>194</v>
      </c>
    </row>
    <row r="72" customFormat="false" ht="15" hidden="false" customHeight="false" outlineLevel="0" collapsed="false">
      <c r="B72" s="37" t="s">
        <v>195</v>
      </c>
      <c r="D72" s="38" t="n">
        <v>1248.382</v>
      </c>
      <c r="E72" s="38" t="n">
        <v>1313.881</v>
      </c>
      <c r="F72" s="38" t="n">
        <v>858.18</v>
      </c>
      <c r="G72" s="38" t="n">
        <v>1013.193</v>
      </c>
      <c r="H72" s="38" t="n">
        <v>1309.499</v>
      </c>
      <c r="I72" s="38" t="n">
        <v>1580.818</v>
      </c>
      <c r="J72" s="38" t="n">
        <v>419.554</v>
      </c>
      <c r="K72" s="38" t="n">
        <v>419.069</v>
      </c>
      <c r="L72" s="38" t="n">
        <v>404.113</v>
      </c>
      <c r="M72" s="38" t="n">
        <v>410.033</v>
      </c>
      <c r="N72" s="38" t="n">
        <v>1652.769</v>
      </c>
      <c r="O72" s="38" t="n">
        <v>401.906</v>
      </c>
      <c r="P72" s="38" t="n">
        <v>429.49</v>
      </c>
      <c r="Q72" s="38" t="n">
        <v>439.621</v>
      </c>
      <c r="R72" s="38" t="n">
        <v>429.907</v>
      </c>
      <c r="S72" s="38" t="n">
        <v>1700.924</v>
      </c>
      <c r="T72" s="38" t="n">
        <v>412.988</v>
      </c>
      <c r="U72" s="38" t="n">
        <v>415.075</v>
      </c>
      <c r="V72" s="38" t="n">
        <v>408.416</v>
      </c>
      <c r="W72" s="38" t="n">
        <v>373.878</v>
      </c>
      <c r="X72" s="38" t="n">
        <v>1610.357</v>
      </c>
      <c r="CN72" s="26" t="s">
        <v>163</v>
      </c>
      <c r="CO72" s="50" t="n">
        <f aca="false">CP72+$CO$71</f>
        <v>350</v>
      </c>
      <c r="CP72" s="35" t="n">
        <v>200</v>
      </c>
      <c r="CQ72" s="50" t="n">
        <f aca="false">CP72+$CQ$71</f>
        <v>50</v>
      </c>
    </row>
    <row r="73" customFormat="false" ht="15" hidden="false" customHeight="false" outlineLevel="0" collapsed="false">
      <c r="B73" s="37" t="s">
        <v>196</v>
      </c>
      <c r="D73" s="38" t="n">
        <v>474.388</v>
      </c>
      <c r="E73" s="38" t="n">
        <v>538.57</v>
      </c>
      <c r="F73" s="38" t="n">
        <v>346.383</v>
      </c>
      <c r="G73" s="38" t="n">
        <v>359.925</v>
      </c>
      <c r="H73" s="38" t="n">
        <v>508.692</v>
      </c>
      <c r="I73" s="38" t="n">
        <v>452.227</v>
      </c>
      <c r="J73" s="38" t="n">
        <v>110.491</v>
      </c>
      <c r="K73" s="38" t="n">
        <v>108.661</v>
      </c>
      <c r="L73" s="38" t="n">
        <v>98.522</v>
      </c>
      <c r="M73" s="38" t="n">
        <v>111.874</v>
      </c>
      <c r="N73" s="38" t="n">
        <v>429.548</v>
      </c>
      <c r="O73" s="38" t="n">
        <v>105.406</v>
      </c>
      <c r="P73" s="38" t="n">
        <v>115.574</v>
      </c>
      <c r="Q73" s="38" t="n">
        <v>107.507</v>
      </c>
      <c r="R73" s="38" t="n">
        <v>97.288</v>
      </c>
      <c r="S73" s="38" t="n">
        <v>425.775</v>
      </c>
      <c r="T73" s="38" t="n">
        <v>88.416</v>
      </c>
      <c r="U73" s="38" t="n">
        <v>90.903</v>
      </c>
      <c r="V73" s="38" t="n">
        <v>80.596</v>
      </c>
      <c r="W73" s="38" t="n">
        <v>76.909</v>
      </c>
      <c r="X73" s="38" t="n">
        <v>336.824</v>
      </c>
      <c r="CN73" s="26" t="s">
        <v>166</v>
      </c>
      <c r="CO73" s="50" t="n">
        <f aca="false">CP73+$CO$71</f>
        <v>350</v>
      </c>
      <c r="CP73" s="35" t="n">
        <v>200</v>
      </c>
      <c r="CQ73" s="50" t="n">
        <f aca="false">CP73+$CQ$71</f>
        <v>50</v>
      </c>
    </row>
    <row r="74" customFormat="false" ht="15" hidden="false" customHeight="false" outlineLevel="0" collapsed="false">
      <c r="B74" s="37" t="s">
        <v>197</v>
      </c>
      <c r="D74" s="38" t="n">
        <v>178.12</v>
      </c>
      <c r="E74" s="38" t="n">
        <v>230.661</v>
      </c>
      <c r="F74" s="38" t="n">
        <v>208.28</v>
      </c>
      <c r="G74" s="38" t="n">
        <v>324.092</v>
      </c>
      <c r="H74" s="38" t="n">
        <v>376.276</v>
      </c>
      <c r="I74" s="38" t="n">
        <v>324.482</v>
      </c>
      <c r="J74" s="38" t="n">
        <v>70.039</v>
      </c>
      <c r="K74" s="38" t="n">
        <v>69.239</v>
      </c>
      <c r="L74" s="38" t="n">
        <v>63.834</v>
      </c>
      <c r="M74" s="38" t="n">
        <v>63.17</v>
      </c>
      <c r="N74" s="38" t="n">
        <v>266.282</v>
      </c>
      <c r="O74" s="38" t="n">
        <v>61.286</v>
      </c>
      <c r="P74" s="38" t="n">
        <v>66.997</v>
      </c>
      <c r="Q74" s="38" t="n">
        <v>57.404</v>
      </c>
      <c r="R74" s="38" t="n">
        <v>58.113</v>
      </c>
      <c r="S74" s="38" t="n">
        <v>243.8</v>
      </c>
      <c r="T74" s="38" t="n">
        <v>49.25</v>
      </c>
      <c r="U74" s="38" t="n">
        <v>49.043</v>
      </c>
      <c r="V74" s="38" t="n">
        <v>45.505</v>
      </c>
      <c r="W74" s="38" t="n">
        <v>42.817</v>
      </c>
      <c r="X74" s="38" t="n">
        <v>186.615</v>
      </c>
      <c r="CN74" s="26" t="s">
        <v>167</v>
      </c>
      <c r="CO74" s="50" t="n">
        <f aca="false">CP74+$CO$71</f>
        <v>350</v>
      </c>
      <c r="CP74" s="35" t="n">
        <v>200</v>
      </c>
      <c r="CQ74" s="50" t="n">
        <f aca="false">CP74+$CQ$71</f>
        <v>50</v>
      </c>
    </row>
    <row r="75" customFormat="false" ht="15" hidden="false" customHeight="false" outlineLevel="0" collapsed="false">
      <c r="B75" s="37" t="s">
        <v>198</v>
      </c>
      <c r="D75" s="38" t="n">
        <v>101.426</v>
      </c>
      <c r="E75" s="38" t="n">
        <v>116.061</v>
      </c>
      <c r="F75" s="38" t="n">
        <v>99.171</v>
      </c>
      <c r="G75" s="38" t="n">
        <v>117.419</v>
      </c>
      <c r="H75" s="38" t="n">
        <v>156.684</v>
      </c>
      <c r="I75" s="38" t="n">
        <v>161.483</v>
      </c>
      <c r="J75" s="38" t="n">
        <v>36.374</v>
      </c>
      <c r="K75" s="38" t="n">
        <v>44.503</v>
      </c>
      <c r="L75" s="38" t="n">
        <v>51.715</v>
      </c>
      <c r="M75" s="38" t="n">
        <v>63.303</v>
      </c>
      <c r="N75" s="38" t="n">
        <v>195.895</v>
      </c>
      <c r="O75" s="38" t="n">
        <v>43.993</v>
      </c>
      <c r="P75" s="38" t="n">
        <v>39.051</v>
      </c>
      <c r="Q75" s="38" t="n">
        <v>32.862</v>
      </c>
      <c r="R75" s="38" t="n">
        <v>32.689</v>
      </c>
      <c r="S75" s="38" t="n">
        <v>148.595</v>
      </c>
      <c r="T75" s="38" t="n">
        <v>37.43</v>
      </c>
      <c r="U75" s="38" t="n">
        <v>37.907</v>
      </c>
      <c r="V75" s="38" t="n">
        <v>47.727</v>
      </c>
      <c r="W75" s="38" t="n">
        <v>14.95</v>
      </c>
      <c r="X75" s="38" t="n">
        <v>138.014</v>
      </c>
      <c r="CN75" s="26" t="s">
        <v>168</v>
      </c>
      <c r="CO75" s="50" t="n">
        <f aca="false">CP75+$CO$71</f>
        <v>350</v>
      </c>
      <c r="CP75" s="35" t="n">
        <v>200</v>
      </c>
      <c r="CQ75" s="50" t="n">
        <f aca="false">CP75+$CQ$71</f>
        <v>50</v>
      </c>
    </row>
    <row r="76" customFormat="false" ht="15" hidden="false" customHeight="false" outlineLevel="0" collapsed="false">
      <c r="B76" s="37" t="s">
        <v>199</v>
      </c>
      <c r="D76" s="38" t="n">
        <v>278.468</v>
      </c>
      <c r="E76" s="38" t="n">
        <v>279.958</v>
      </c>
      <c r="F76" s="38" t="n">
        <v>217.271</v>
      </c>
      <c r="G76" s="38" t="n">
        <v>255.543</v>
      </c>
      <c r="H76" s="38" t="n">
        <v>343.458</v>
      </c>
      <c r="I76" s="38" t="n">
        <v>334.357</v>
      </c>
      <c r="J76" s="38" t="n">
        <v>82.115</v>
      </c>
      <c r="K76" s="38" t="n">
        <v>85.96</v>
      </c>
      <c r="L76" s="38" t="n">
        <v>73.691</v>
      </c>
      <c r="M76" s="38" t="n">
        <v>66.411</v>
      </c>
      <c r="N76" s="38" t="n">
        <v>308.177</v>
      </c>
      <c r="O76" s="38" t="n">
        <v>72.471</v>
      </c>
      <c r="P76" s="38" t="n">
        <v>77.419</v>
      </c>
      <c r="Q76" s="38" t="n">
        <v>78.383</v>
      </c>
      <c r="R76" s="38" t="n">
        <v>65.957</v>
      </c>
      <c r="S76" s="38" t="n">
        <v>294.23</v>
      </c>
      <c r="T76" s="38" t="n">
        <v>69.816</v>
      </c>
      <c r="U76" s="38" t="n">
        <v>71.812</v>
      </c>
      <c r="V76" s="38" t="n">
        <v>62.922</v>
      </c>
      <c r="W76" s="38" t="n">
        <v>59.431</v>
      </c>
      <c r="X76" s="38" t="n">
        <v>263.981</v>
      </c>
    </row>
    <row r="77" customFormat="false" ht="15" hidden="false" customHeight="false" outlineLevel="0" collapsed="false">
      <c r="B77" s="37" t="s">
        <v>200</v>
      </c>
      <c r="F77" s="48" t="n">
        <v>134.544</v>
      </c>
      <c r="G77" s="48" t="n">
        <v>162.192</v>
      </c>
      <c r="H77" s="48" t="n">
        <v>227.924</v>
      </c>
      <c r="I77" s="48" t="n">
        <v>293.07</v>
      </c>
      <c r="J77" s="48" t="n">
        <v>76.66</v>
      </c>
      <c r="K77" s="48" t="n">
        <v>82.777</v>
      </c>
      <c r="L77" s="48" t="n">
        <v>75.225</v>
      </c>
      <c r="M77" s="48" t="n">
        <v>83.845</v>
      </c>
      <c r="N77" s="48" t="n">
        <v>318.507</v>
      </c>
      <c r="O77" s="48" t="n">
        <v>71.364</v>
      </c>
      <c r="P77" s="48" t="n">
        <v>91.195</v>
      </c>
      <c r="Q77" s="48" t="n">
        <v>84.45</v>
      </c>
      <c r="R77" s="48" t="n">
        <v>88.456</v>
      </c>
      <c r="S77" s="48" t="n">
        <v>335.465</v>
      </c>
      <c r="T77" s="48" t="n">
        <v>71.184</v>
      </c>
      <c r="U77" s="48" t="n">
        <v>77.494</v>
      </c>
      <c r="V77" s="48" t="n">
        <v>79.743</v>
      </c>
      <c r="W77" s="48" t="n">
        <v>78.325</v>
      </c>
      <c r="X77" s="48" t="n">
        <v>306.746</v>
      </c>
      <c r="CN77" s="11" t="s">
        <v>201</v>
      </c>
      <c r="CO77" s="24"/>
      <c r="CP77" s="24"/>
      <c r="CQ77" s="24"/>
    </row>
    <row r="78" customFormat="false" ht="15" hidden="false" customHeight="false" outlineLevel="0" collapsed="false">
      <c r="B78" s="37" t="s">
        <v>202</v>
      </c>
      <c r="F78" s="48" t="n">
        <v>-2.196</v>
      </c>
      <c r="G78" s="48" t="n">
        <v>17.023</v>
      </c>
      <c r="H78" s="48" t="n">
        <v>36.171</v>
      </c>
      <c r="I78" s="48" t="n">
        <v>37.299</v>
      </c>
      <c r="J78" s="48" t="n">
        <v>10.701</v>
      </c>
      <c r="K78" s="48" t="n">
        <v>9.532</v>
      </c>
      <c r="L78" s="48" t="n">
        <v>7.881</v>
      </c>
      <c r="M78" s="48" t="n">
        <v>8.133</v>
      </c>
      <c r="N78" s="48" t="n">
        <v>36.247</v>
      </c>
      <c r="O78" s="48" t="n">
        <v>9.292</v>
      </c>
      <c r="P78" s="48" t="n">
        <v>14.899</v>
      </c>
      <c r="Q78" s="48" t="n">
        <v>15.221</v>
      </c>
      <c r="R78" s="48" t="n">
        <v>9.41</v>
      </c>
      <c r="S78" s="48" t="n">
        <v>48.822</v>
      </c>
      <c r="T78" s="48" t="n">
        <v>8.748</v>
      </c>
      <c r="U78" s="48" t="n">
        <v>9.481</v>
      </c>
      <c r="V78" s="48" t="n">
        <v>8.337</v>
      </c>
      <c r="W78" s="48" t="n">
        <v>4.751</v>
      </c>
      <c r="X78" s="48" t="n">
        <v>31.317</v>
      </c>
      <c r="CN78" s="26" t="s">
        <v>203</v>
      </c>
    </row>
    <row r="79" customFormat="false" ht="15" hidden="false" customHeight="false" outlineLevel="0" collapsed="false">
      <c r="B79" s="37" t="s">
        <v>204</v>
      </c>
      <c r="F79" s="48" t="n">
        <v>-18.835</v>
      </c>
      <c r="G79" s="48" t="n">
        <v>1.752</v>
      </c>
      <c r="H79" s="48" t="n">
        <v>2.629</v>
      </c>
      <c r="I79" s="48" t="n">
        <v>7.247</v>
      </c>
      <c r="J79" s="48" t="n">
        <v>2.293</v>
      </c>
      <c r="K79" s="48" t="n">
        <v>0.653</v>
      </c>
      <c r="L79" s="48" t="n">
        <v>-0.979</v>
      </c>
      <c r="M79" s="48" t="n">
        <v>-0.152</v>
      </c>
      <c r="N79" s="48" t="n">
        <v>1.815</v>
      </c>
      <c r="O79" s="48" t="n">
        <v>-0.64</v>
      </c>
      <c r="P79" s="48" t="n">
        <v>0.365</v>
      </c>
      <c r="Q79" s="48" t="n">
        <v>-0.304</v>
      </c>
      <c r="R79" s="48" t="n">
        <v>1.9</v>
      </c>
      <c r="S79" s="48" t="n">
        <v>1.321</v>
      </c>
      <c r="T79" s="48" t="n">
        <v>3.128</v>
      </c>
      <c r="U79" s="48" t="n">
        <v>2.244</v>
      </c>
      <c r="V79" s="48" t="n">
        <v>2.006</v>
      </c>
      <c r="W79" s="48" t="n">
        <v>0.014</v>
      </c>
      <c r="X79" s="48" t="n">
        <v>7.392</v>
      </c>
      <c r="CN79" s="26" t="s">
        <v>205</v>
      </c>
    </row>
    <row r="80" customFormat="false" ht="15" hidden="false" customHeight="false" outlineLevel="0" collapsed="false">
      <c r="B80" s="37" t="s">
        <v>206</v>
      </c>
      <c r="F80" s="48" t="n">
        <v>10.648</v>
      </c>
      <c r="G80" s="48" t="n">
        <v>7.554</v>
      </c>
      <c r="H80" s="48" t="n">
        <v>12.895</v>
      </c>
      <c r="I80" s="48" t="n">
        <v>18.301</v>
      </c>
      <c r="J80" s="48" t="n">
        <v>5.112</v>
      </c>
      <c r="K80" s="48" t="n">
        <v>11.065</v>
      </c>
      <c r="L80" s="48" t="n">
        <v>15.942</v>
      </c>
      <c r="M80" s="48" t="n">
        <v>25.187</v>
      </c>
      <c r="N80" s="48" t="n">
        <v>57.306</v>
      </c>
      <c r="O80" s="48" t="n">
        <v>11.765</v>
      </c>
      <c r="P80" s="48" t="n">
        <v>4.995</v>
      </c>
      <c r="Q80" s="48" t="n">
        <v>-0.59</v>
      </c>
      <c r="R80" s="48" t="n">
        <v>-0.217</v>
      </c>
      <c r="S80" s="48" t="n">
        <v>15.953</v>
      </c>
      <c r="T80" s="48" t="n">
        <v>3.15</v>
      </c>
      <c r="U80" s="48" t="n">
        <v>1.378</v>
      </c>
      <c r="V80" s="48" t="n">
        <v>1.845</v>
      </c>
      <c r="W80" s="48" t="n">
        <v>-0.804</v>
      </c>
      <c r="X80" s="48" t="n">
        <v>5.569</v>
      </c>
      <c r="CN80" s="26" t="s">
        <v>207</v>
      </c>
    </row>
    <row r="81" customFormat="false" ht="15" hidden="false" customHeight="false" outlineLevel="0" collapsed="false">
      <c r="B81" s="37" t="s">
        <v>208</v>
      </c>
      <c r="F81" s="48" t="n">
        <v>1.009</v>
      </c>
      <c r="G81" s="48" t="n">
        <v>12.311</v>
      </c>
      <c r="H81" s="48" t="n">
        <v>25.151</v>
      </c>
      <c r="I81" s="48" t="n">
        <v>29.477</v>
      </c>
      <c r="J81" s="48" t="n">
        <v>7.151</v>
      </c>
      <c r="K81" s="48" t="n">
        <v>7.343</v>
      </c>
      <c r="L81" s="48" t="n">
        <v>6.917</v>
      </c>
      <c r="M81" s="48" t="n">
        <v>6.415</v>
      </c>
      <c r="N81" s="48" t="n">
        <v>27.826</v>
      </c>
      <c r="O81" s="48" t="n">
        <v>6.058</v>
      </c>
      <c r="P81" s="48" t="n">
        <v>7.178</v>
      </c>
      <c r="Q81" s="48" t="n">
        <v>8.947</v>
      </c>
      <c r="R81" s="48" t="n">
        <v>6.38</v>
      </c>
      <c r="S81" s="48" t="n">
        <v>28.563</v>
      </c>
      <c r="T81" s="48" t="n">
        <v>7.549</v>
      </c>
      <c r="U81" s="48" t="n">
        <v>8.25</v>
      </c>
      <c r="V81" s="48" t="n">
        <v>6.422</v>
      </c>
      <c r="W81" s="48" t="n">
        <v>5.661</v>
      </c>
      <c r="X81" s="48" t="n">
        <v>27.882</v>
      </c>
    </row>
    <row r="82" customFormat="false" ht="15" hidden="false" customHeight="false" outlineLevel="0" collapsed="false">
      <c r="B82" s="37" t="s">
        <v>209</v>
      </c>
      <c r="F82" s="48" t="n">
        <v>-3.344</v>
      </c>
      <c r="G82" s="48" t="n">
        <v>-6.675</v>
      </c>
      <c r="H82" s="48" t="n">
        <v>0.426</v>
      </c>
      <c r="I82" s="48" t="n">
        <v>-4.886</v>
      </c>
      <c r="J82" s="48" t="n">
        <v>-0.603</v>
      </c>
      <c r="K82" s="48" t="n">
        <v>-1.538</v>
      </c>
      <c r="L82" s="48" t="n">
        <v>-0.822</v>
      </c>
      <c r="M82" s="48" t="n">
        <v>-1.387</v>
      </c>
      <c r="N82" s="48" t="n">
        <v>-4.35</v>
      </c>
      <c r="O82" s="48" t="n">
        <v>2.891</v>
      </c>
      <c r="P82" s="48" t="n">
        <v>0.6</v>
      </c>
      <c r="Q82" s="48" t="n">
        <v>-0.324</v>
      </c>
      <c r="R82" s="48" t="n">
        <v>1.049</v>
      </c>
      <c r="S82" s="48" t="n">
        <v>4.216</v>
      </c>
      <c r="T82" s="48" t="n">
        <v>0.199</v>
      </c>
      <c r="U82" s="48" t="n">
        <v>0.475</v>
      </c>
      <c r="V82" s="48" t="n">
        <v>-0.646</v>
      </c>
      <c r="W82" s="48" t="n">
        <v>-0.127</v>
      </c>
      <c r="X82" s="48" t="n">
        <v>-0.099</v>
      </c>
    </row>
    <row r="84" customFormat="false" ht="15" hidden="false" customHeight="false" outlineLevel="0" collapsed="false">
      <c r="B84" s="11" t="s">
        <v>210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</row>
    <row r="85" customFormat="false" ht="15" hidden="false" customHeight="false" outlineLevel="0" collapsed="false">
      <c r="B85" s="26" t="s">
        <v>211</v>
      </c>
      <c r="CB85" s="51" t="n">
        <f aca="false">CHOOSE(MATCH($CF$2,{"Bull","Base","Bear"},0),$CO$72,$CP$72,$CQ$72)</f>
        <v>200</v>
      </c>
      <c r="CC85" s="51" t="n">
        <f aca="false">CHOOSE(MATCH($CF$2,{"Bull","Base","Bear"},0),$CO$73,$CP$73,$CQ$73)</f>
        <v>200</v>
      </c>
      <c r="CD85" s="51" t="n">
        <f aca="false">CHOOSE(MATCH($CF$2,{"Bull","Base","Bear"},0),$CO$74,$CP$74,$CQ$74)</f>
        <v>200</v>
      </c>
      <c r="CE85" s="51" t="n">
        <f aca="false">CHOOSE(MATCH($CF$2,{"Bull","Base","Bear"},0),$CO$75,$CP$75,$CQ$75)</f>
        <v>200</v>
      </c>
      <c r="CF85" s="19" t="s">
        <v>212</v>
      </c>
    </row>
    <row r="86" customFormat="false" ht="15" hidden="false" customHeight="false" outlineLevel="0" collapsed="false">
      <c r="B86" s="26" t="s">
        <v>213</v>
      </c>
      <c r="CB86" s="52" t="n">
        <v>1.6</v>
      </c>
      <c r="CC86" s="52" t="n">
        <v>1.6</v>
      </c>
      <c r="CD86" s="52" t="n">
        <v>1.6</v>
      </c>
      <c r="CE86" s="52" t="n">
        <v>1.6</v>
      </c>
      <c r="CF86" s="19" t="s">
        <v>214</v>
      </c>
    </row>
    <row r="87" customFormat="false" ht="15" hidden="false" customHeight="false" outlineLevel="0" collapsed="false">
      <c r="B87" s="26" t="s">
        <v>215</v>
      </c>
      <c r="CB87" s="51" t="n">
        <f aca="false">IFERROR(CB85/CB86,0)</f>
        <v>125</v>
      </c>
      <c r="CC87" s="51" t="n">
        <f aca="false">IFERROR(CC85/CC86,0)</f>
        <v>125</v>
      </c>
      <c r="CD87" s="51" t="n">
        <f aca="false">IFERROR(CD85/CD86,0)</f>
        <v>125</v>
      </c>
      <c r="CE87" s="51" t="n">
        <f aca="false">IFERROR(CE85/CE86,0)</f>
        <v>125</v>
      </c>
    </row>
    <row r="88" customFormat="false" ht="15" hidden="false" customHeight="false" outlineLevel="0" collapsed="false">
      <c r="B88" s="26" t="s">
        <v>216</v>
      </c>
      <c r="CB88" s="30" t="n">
        <v>0.04</v>
      </c>
      <c r="CC88" s="30" t="n">
        <v>0.04</v>
      </c>
      <c r="CD88" s="30" t="n">
        <v>0.04</v>
      </c>
      <c r="CE88" s="30" t="n">
        <v>0.04</v>
      </c>
    </row>
    <row r="89" customFormat="false" ht="15" hidden="false" customHeight="false" outlineLevel="0" collapsed="false">
      <c r="B89" s="26" t="s">
        <v>217</v>
      </c>
      <c r="CA89" s="53" t="n">
        <v>0</v>
      </c>
      <c r="CB89" s="51" t="n">
        <f aca="false">CA89*(1+CB88)+CB87</f>
        <v>125</v>
      </c>
      <c r="CC89" s="51" t="n">
        <f aca="false">CB89*(1+CC88)+CC87</f>
        <v>255</v>
      </c>
      <c r="CD89" s="51" t="n">
        <f aca="false">CC89*(1+CD88)+CD87</f>
        <v>390.2</v>
      </c>
      <c r="CE89" s="51" t="n">
        <f aca="false">CD89*(1+CE88)+CE87</f>
        <v>530.808</v>
      </c>
    </row>
    <row r="90" customFormat="false" ht="15" hidden="false" customHeight="false" outlineLevel="0" collapsed="false">
      <c r="B90" s="15" t="s">
        <v>218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54" t="n">
        <v>0</v>
      </c>
      <c r="CB90" s="18" t="n">
        <f aca="false">CA89*(1+CB88)+0.5*CB87</f>
        <v>62.5</v>
      </c>
      <c r="CC90" s="18" t="n">
        <f aca="false">CB89*(1+CC88)+0.5*CC87</f>
        <v>192.5</v>
      </c>
      <c r="CD90" s="18" t="n">
        <f aca="false">CC89*(1+CD88)+0.5*CD87</f>
        <v>327.7</v>
      </c>
      <c r="CE90" s="18" t="n">
        <f aca="false">CD89*(1+CE88)+0.5*CE87</f>
        <v>468.308</v>
      </c>
    </row>
    <row r="91" customFormat="false" ht="15" hidden="false" customHeight="false" outlineLevel="0" collapsed="false">
      <c r="B91" s="26" t="s">
        <v>219</v>
      </c>
      <c r="CB91" s="30" t="n">
        <v>0.13</v>
      </c>
      <c r="CC91" s="30" t="n">
        <v>0.13</v>
      </c>
      <c r="CD91" s="30" t="n">
        <v>0.13</v>
      </c>
      <c r="CE91" s="30" t="n">
        <v>0.13</v>
      </c>
      <c r="CF91" s="19" t="s">
        <v>220</v>
      </c>
    </row>
    <row r="92" customFormat="false" ht="15" hidden="false" customHeight="false" outlineLevel="0" collapsed="false">
      <c r="B92" s="15" t="s">
        <v>221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54" t="n">
        <v>0</v>
      </c>
      <c r="CB92" s="18" t="n">
        <f aca="false">CB90*CB91</f>
        <v>8.125</v>
      </c>
      <c r="CC92" s="18" t="n">
        <f aca="false">CC90*CC91</f>
        <v>25.025</v>
      </c>
      <c r="CD92" s="18" t="n">
        <f aca="false">CD90*CD91</f>
        <v>42.601</v>
      </c>
      <c r="CE92" s="18" t="n">
        <f aca="false">CE90*CE91</f>
        <v>60.88004</v>
      </c>
    </row>
    <row r="93" customFormat="false" ht="15" hidden="false" customHeight="false" outlineLevel="0" collapsed="false">
      <c r="B93" s="26" t="s">
        <v>222</v>
      </c>
      <c r="CB93" s="30" t="n">
        <v>0.05</v>
      </c>
      <c r="CC93" s="30" t="n">
        <v>0.05</v>
      </c>
      <c r="CD93" s="30" t="n">
        <v>0.05</v>
      </c>
      <c r="CE93" s="30" t="n">
        <v>0.05</v>
      </c>
    </row>
    <row r="94" customFormat="false" ht="15" hidden="false" customHeight="false" outlineLevel="0" collapsed="false">
      <c r="B94" s="26" t="s">
        <v>223</v>
      </c>
      <c r="CA94" s="55" t="n">
        <v>0</v>
      </c>
      <c r="CB94" s="56" t="n">
        <f aca="false">CB90*CB93</f>
        <v>3.125</v>
      </c>
      <c r="CC94" s="56" t="n">
        <f aca="false">CC90*CC93</f>
        <v>9.625</v>
      </c>
      <c r="CD94" s="56" t="n">
        <f aca="false">CD90*CD93</f>
        <v>16.385</v>
      </c>
      <c r="CE94" s="56" t="n">
        <f aca="false">CE90*CE93</f>
        <v>23.4154</v>
      </c>
    </row>
    <row r="95" customFormat="false" ht="15" hidden="false" customHeight="false" outlineLevel="0" collapsed="false">
      <c r="B95" s="26" t="s">
        <v>224</v>
      </c>
      <c r="CB95" s="30" t="n">
        <v>0.15</v>
      </c>
      <c r="CC95" s="30" t="n">
        <v>0.15</v>
      </c>
      <c r="CD95" s="30" t="n">
        <v>0.15</v>
      </c>
      <c r="CE95" s="30" t="n">
        <v>0.15</v>
      </c>
    </row>
    <row r="96" customFormat="false" ht="15" hidden="false" customHeight="false" outlineLevel="0" collapsed="false">
      <c r="B96" s="26" t="s">
        <v>225</v>
      </c>
      <c r="CB96" s="30" t="n">
        <v>0.35</v>
      </c>
      <c r="CC96" s="30" t="n">
        <v>0.35</v>
      </c>
      <c r="CD96" s="30" t="n">
        <v>0.35</v>
      </c>
      <c r="CE96" s="30" t="n">
        <v>0.35</v>
      </c>
    </row>
    <row r="97" customFormat="false" ht="15" hidden="false" customHeight="false" outlineLevel="0" collapsed="false">
      <c r="B97" s="26" t="s">
        <v>226</v>
      </c>
      <c r="CB97" s="53" t="n">
        <v>12</v>
      </c>
      <c r="CC97" s="53" t="n">
        <v>12</v>
      </c>
      <c r="CD97" s="53" t="n">
        <v>12</v>
      </c>
      <c r="CE97" s="53" t="n">
        <v>12</v>
      </c>
    </row>
    <row r="98" customFormat="false" ht="15" hidden="false" customHeight="false" outlineLevel="0" collapsed="false">
      <c r="B98" s="26" t="s">
        <v>227</v>
      </c>
      <c r="CA98" s="53" t="n">
        <v>0</v>
      </c>
      <c r="CB98" s="51" t="n">
        <f aca="false">CA98+CB85*CB96</f>
        <v>70</v>
      </c>
      <c r="CC98" s="51" t="n">
        <f aca="false">CB98+CC85*CC96</f>
        <v>140</v>
      </c>
      <c r="CD98" s="51" t="n">
        <f aca="false">CC98+CD85*CD96</f>
        <v>210</v>
      </c>
      <c r="CE98" s="51" t="n">
        <f aca="false">CD98+CE85*CE96</f>
        <v>280</v>
      </c>
    </row>
    <row r="99" customFormat="false" ht="15" hidden="false" customHeight="false" outlineLevel="0" collapsed="false">
      <c r="B99" s="26" t="s">
        <v>228</v>
      </c>
      <c r="CA99" s="55" t="n">
        <v>0</v>
      </c>
      <c r="CB99" s="56" t="n">
        <f aca="false">(CA98+0.5*CB85*CB96)/CB97</f>
        <v>2.91666666666667</v>
      </c>
      <c r="CC99" s="56" t="n">
        <f aca="false">(CB98+0.5*CC85*CC96)/CC97</f>
        <v>8.75</v>
      </c>
      <c r="CD99" s="56" t="n">
        <f aca="false">(CC98+0.5*CD85*CD96)/CD97</f>
        <v>14.5833333333333</v>
      </c>
      <c r="CE99" s="56" t="n">
        <f aca="false">(CD98+0.5*CE85*CE96)/CE97</f>
        <v>20.4166666666667</v>
      </c>
    </row>
    <row r="101" customFormat="false" ht="15" hidden="false" customHeight="false" outlineLevel="0" collapsed="false">
      <c r="B101" s="11" t="s">
        <v>229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</row>
    <row r="102" customFormat="false" ht="15" hidden="false" customHeight="false" outlineLevel="0" collapsed="false">
      <c r="B102" s="26" t="s">
        <v>230</v>
      </c>
      <c r="C102" s="57" t="str">
        <f aca="false">IF(ISNUMBER(C10),N(C10)+N(C29)+N(C48),IF(ISNUMBER(C72),N(C72)+N(C73)+N(C74)+N(C75)+N(C76),""))</f>
        <v/>
      </c>
      <c r="D102" s="57" t="n">
        <f aca="false">IF(ISNUMBER(D10),N(D10)+N(D29)+N(D48),IF(ISNUMBER(D72),N(D72)+N(D73)+N(D74)+N(D75)+N(D76),""))</f>
        <v>2280.784</v>
      </c>
      <c r="E102" s="57" t="n">
        <f aca="false">IF(ISNUMBER(E10),N(E10)+N(E29)+N(E48),IF(ISNUMBER(E72),N(E72)+N(E73)+N(E74)+N(E75)+N(E76),""))</f>
        <v>2479.131</v>
      </c>
      <c r="F102" s="57" t="n">
        <f aca="false">IF(ISNUMBER(F10),N(F10)+N(F29)+N(F48),IF(ISNUMBER(F72),N(F72)+N(F73)+N(F74)+N(F75)+N(F76),""))</f>
        <v>1729.285</v>
      </c>
      <c r="G102" s="57" t="n">
        <f aca="false">IF(ISNUMBER(G10),N(G10)+N(G29)+N(G48),IF(ISNUMBER(G72),N(G72)+N(G73)+N(G74)+N(G75)+N(G76),""))</f>
        <v>2070.172</v>
      </c>
      <c r="H102" s="57" t="n">
        <f aca="false">IF(ISNUMBER(H10),N(H10)+N(H29)+N(H48),IF(ISNUMBER(H72),N(H72)+N(H73)+N(H74)+N(H75)+N(H76),""))</f>
        <v>2694.609</v>
      </c>
      <c r="I102" s="57" t="n">
        <f aca="false">IF(ISNUMBER(I10),N(I10)+N(I29)+N(I48),IF(ISNUMBER(I72),N(I72)+N(I73)+N(I74)+N(I75)+N(I76),""))</f>
        <v>2853.367</v>
      </c>
      <c r="J102" s="57" t="n">
        <f aca="false">IF(ISNUMBER(J10),N(J10)+N(J29)+N(J48),IF(ISNUMBER(J72),N(J72)+N(J73)+N(J74)+N(J75)+N(J76),""))</f>
        <v>718.573</v>
      </c>
      <c r="K102" s="57" t="n">
        <f aca="false">IF(ISNUMBER(K10),N(K10)+N(K29)+N(K48),IF(ISNUMBER(K72),N(K72)+N(K73)+N(K74)+N(K75)+N(K76),""))</f>
        <v>727.432</v>
      </c>
      <c r="L102" s="57" t="n">
        <f aca="false">IF(ISNUMBER(L10),N(L10)+N(L29)+N(L48),IF(ISNUMBER(L72),N(L72)+N(L73)+N(L74)+N(L75)+N(L76),""))</f>
        <v>691.875</v>
      </c>
      <c r="M102" s="57" t="n">
        <f aca="false">IF(ISNUMBER(M10),N(M10)+N(M29)+N(M48),IF(ISNUMBER(M72),N(M72)+N(M73)+N(M74)+N(M75)+N(M76),""))</f>
        <v>714.791</v>
      </c>
      <c r="N102" s="57" t="n">
        <f aca="false">IF(ISNUMBER(N10),N(N10)+N(N29)+N(N48),IF(ISNUMBER(N72),N(N72)+N(N73)+N(N74)+N(N75)+N(N76),""))</f>
        <v>2852.671</v>
      </c>
      <c r="O102" s="57" t="n">
        <f aca="false">IF(ISNUMBER(O10),N(O10)+N(O29)+N(O48),IF(ISNUMBER(O72),N(O72)+N(O73)+N(O74)+N(O75)+N(O76),""))</f>
        <v>685.062</v>
      </c>
      <c r="P102" s="57" t="n">
        <f aca="false">IF(ISNUMBER(P10),N(P10)+N(P29)+N(P48),IF(ISNUMBER(P72),N(P72)+N(P73)+N(P74)+N(P75)+N(P76),""))</f>
        <v>728.531</v>
      </c>
      <c r="Q102" s="57" t="n">
        <f aca="false">IF(ISNUMBER(Q10),N(Q10)+N(Q29)+N(Q48),IF(ISNUMBER(Q72),N(Q72)+N(Q73)+N(Q74)+N(Q75)+N(Q76),""))</f>
        <v>715.777</v>
      </c>
      <c r="R102" s="57" t="n">
        <f aca="false">IF(ISNUMBER(R10),N(R10)+N(R29)+N(R48),IF(ISNUMBER(R72),N(R72)+N(R73)+N(R74)+N(R75)+N(R76),""))</f>
        <v>683.954</v>
      </c>
      <c r="S102" s="57" t="n">
        <f aca="false">IF(ISNUMBER(S10),N(S10)+N(S29)+N(S48),IF(ISNUMBER(S72),N(S72)+N(S73)+N(S74)+N(S75)+N(S76),""))</f>
        <v>2813.324</v>
      </c>
      <c r="T102" s="57" t="n">
        <f aca="false">IF(ISNUMBER(T10),N(T10)+N(T29)+N(T48),IF(ISNUMBER(T72),N(T72)+N(T73)+N(T74)+N(T75)+N(T76),""))</f>
        <v>657.9</v>
      </c>
      <c r="U102" s="57" t="n">
        <f aca="false">IF(ISNUMBER(U10),N(U10)+N(U29)+N(U48),IF(ISNUMBER(U72),N(U72)+N(U73)+N(U74)+N(U75)+N(U76),""))</f>
        <v>664.74</v>
      </c>
      <c r="V102" s="57" t="n">
        <f aca="false">IF(ISNUMBER(V10),N(V10)+N(V29)+N(V48),IF(ISNUMBER(V72),N(V72)+N(V73)+N(V74)+N(V75)+N(V76),""))</f>
        <v>645.166</v>
      </c>
      <c r="W102" s="57" t="n">
        <f aca="false">IF(ISNUMBER(W10),N(W10)+N(W29)+N(W48),IF(ISNUMBER(W72),N(W72)+N(W73)+N(W74)+N(W75)+N(W76),""))</f>
        <v>567.985</v>
      </c>
      <c r="X102" s="57" t="n">
        <f aca="false">IF(ISNUMBER(X10),N(X10)+N(X29)+N(X48),IF(ISNUMBER(X72),N(X72)+N(X73)+N(X74)+N(X75)+N(X76),""))</f>
        <v>2535.791</v>
      </c>
      <c r="Y102" s="57" t="n">
        <f aca="false">IF(ISNUMBER(Y10),N(Y10)+N(Y29)+N(Y48),IF(ISNUMBER(Y72),N(Y72)+N(Y73)+N(Y74)+N(Y75)+N(Y76),""))</f>
        <v>550.722</v>
      </c>
      <c r="Z102" s="57" t="n">
        <f aca="false">IF(ISNUMBER(Z10),N(Z10)+N(Z29)+N(Z48),IF(ISNUMBER(Z72),N(Z72)+N(Z73)+N(Z74)+N(Z75)+N(Z76),""))</f>
        <v>592.418</v>
      </c>
      <c r="AA102" s="57" t="n">
        <f aca="false">IF(ISNUMBER(AA10),N(AA10)+N(AA29)+N(AA48),IF(ISNUMBER(AA72),N(AA72)+N(AA73)+N(AA74)+N(AA75)+N(AA76),""))</f>
        <v>567.646</v>
      </c>
      <c r="AB102" s="57" t="n">
        <f aca="false">IF(ISNUMBER(AB10),N(AB10)+N(AB29)+N(AB48),IF(ISNUMBER(AB72),N(AB72)+N(AB73)+N(AB74)+N(AB75)+N(AB76),""))</f>
        <v>563.828</v>
      </c>
      <c r="AC102" s="57" t="n">
        <f aca="false">IF(ISNUMBER(AC10),N(AC10)+N(AC29)+N(AC48),IF(ISNUMBER(AC72),N(AC72)+N(AC73)+N(AC74)+N(AC75)+N(AC76),""))</f>
        <v>2274.614</v>
      </c>
      <c r="AD102" s="57" t="n">
        <f aca="false">IF(ISNUMBER(AD10),N(AD10)+N(AD29)+N(AD48),IF(ISNUMBER(AD72),N(AD72)+N(AD73)+N(AD74)+N(AD75)+N(AD76),""))</f>
        <v>580.897</v>
      </c>
      <c r="AE102" s="57" t="n">
        <f aca="false">IF(ISNUMBER(AE10),N(AE10)+N(AE29)+N(AE48),IF(ISNUMBER(AE72),N(AE72)+N(AE73)+N(AE74)+N(AE75)+N(AE76),""))</f>
        <v>626.858</v>
      </c>
      <c r="AF102" s="57" t="n">
        <f aca="false">IF(ISNUMBER(AF10),N(AF10)+N(AF29)+N(AF48),IF(ISNUMBER(AF72),N(AF72)+N(AF73)+N(AF74)+N(AF75)+N(AF76),""))</f>
        <v>669.491</v>
      </c>
      <c r="AG102" s="57" t="n">
        <f aca="false">IF(ISNUMBER(AG10),N(AG10)+N(AG29)+N(AG48),IF(ISNUMBER(AG72),N(AG72)+N(AG73)+N(AG74)+N(AG75)+N(AG76),""))</f>
        <v>747.185</v>
      </c>
      <c r="AH102" s="57" t="n">
        <f aca="false">IF(ISNUMBER(AH10),N(AH10)+N(AH29)+N(AH48),IF(ISNUMBER(AH72),N(AH72)+N(AH73)+N(AH74)+N(AH75)+N(AH76),""))</f>
        <v>2624.431</v>
      </c>
      <c r="AI102" s="57" t="n">
        <f aca="false">IF(ISNUMBER(AI10),N(AI10)+N(AI29)+N(AI48),IF(ISNUMBER(AI72),N(AI72)+N(AI73)+N(AI74)+N(AI75)+N(AI76),""))</f>
        <v>757.696</v>
      </c>
      <c r="AJ102" s="57" t="n">
        <f aca="false">IF(ISNUMBER(AJ10),N(AJ10)+N(AJ29)+N(AJ48),IF(ISNUMBER(AJ72),N(AJ72)+N(AJ73)+N(AJ74)+N(AJ75)+N(AJ76),""))</f>
        <v>790.052</v>
      </c>
      <c r="AK102" s="57" t="n">
        <f aca="false">IF(ISNUMBER(AK10),N(AK10)+N(AK29)+N(AK48),IF(ISNUMBER(AK72),N(AK72)+N(AK73)+N(AK74)+N(AK75)+N(AK76),""))</f>
        <v>737.099</v>
      </c>
      <c r="AL102" s="57" t="n">
        <f aca="false">IF(ISNUMBER(AL10),N(AL10)+N(AL29)+N(AL48),IF(ISNUMBER(AL72),N(AL72)+N(AL73)+N(AL74)+N(AL75)+N(AL76),""))</f>
        <v>743.827</v>
      </c>
      <c r="AM102" s="57" t="n">
        <f aca="false">IF(ISNUMBER(AM10),N(AM10)+N(AM29)+N(AM48),IF(ISNUMBER(AM72),N(AM72)+N(AM73)+N(AM74)+N(AM75)+N(AM76),""))</f>
        <v>3028.674</v>
      </c>
      <c r="AN102" s="57" t="n">
        <f aca="false">IF(ISNUMBER(AN10),N(AN10)+N(AN29)+N(AN48),IF(ISNUMBER(AN72),N(AN72)+N(AN73)+N(AN74)+N(AN75)+N(AN76),""))</f>
        <v>759.174</v>
      </c>
      <c r="AO102" s="57" t="n">
        <f aca="false">IF(ISNUMBER(AO10),N(AO10)+N(AO29)+N(AO48),IF(ISNUMBER(AO72),N(AO72)+N(AO73)+N(AO74)+N(AO75)+N(AO76),""))</f>
        <v>777.008</v>
      </c>
      <c r="AP102" s="57" t="n">
        <f aca="false">IF(ISNUMBER(AP10),N(AP10)+N(AP29)+N(AP48),IF(ISNUMBER(AP72),N(AP72)+N(AP73)+N(AP74)+N(AP75)+N(AP76),""))</f>
        <v>730.783</v>
      </c>
      <c r="AQ102" s="57" t="n">
        <f aca="false">IF(ISNUMBER(AQ10),N(AQ10)+N(AQ29)+N(AQ48),IF(ISNUMBER(AQ72),N(AQ72)+N(AQ73)+N(AQ74)+N(AQ75)+N(AQ76),""))</f>
        <v>736.307</v>
      </c>
      <c r="AR102" s="57" t="n">
        <f aca="false">IF(ISNUMBER(AR10),N(AR10)+N(AR29)+N(AR48),IF(ISNUMBER(AR72),N(AR72)+N(AR73)+N(AR74)+N(AR75)+N(AR76),""))</f>
        <v>3003.272</v>
      </c>
      <c r="AS102" s="57" t="n">
        <f aca="false">IF(ISNUMBER(AS10),N(AS10)+N(AS29)+N(AS48),IF(ISNUMBER(AS72),N(AS72)+N(AS73)+N(AS74)+N(AS75)+N(AS76),""))</f>
        <v>701.991</v>
      </c>
      <c r="AT102" s="57" t="n">
        <f aca="false">IF(ISNUMBER(AT10),N(AT10)+N(AT29)+N(AT48),IF(ISNUMBER(AT72),N(AT72)+N(AT73)+N(AT74)+N(AT75)+N(AT76),""))</f>
        <v>590.727</v>
      </c>
      <c r="AU102" s="57" t="n">
        <f aca="false">IF(ISNUMBER(AU10),N(AU10)+N(AU29)+N(AU48),IF(ISNUMBER(AU72),N(AU72)+N(AU73)+N(AU74)+N(AU75)+N(AU76),""))</f>
        <v>668.888</v>
      </c>
      <c r="AV102" s="57" t="n">
        <f aca="false">IF(ISNUMBER(AV10),N(AV10)+N(AV29)+N(AV48),IF(ISNUMBER(AV72),N(AV72)+N(AV73)+N(AV74)+N(AV75)+N(AV76),""))</f>
        <v>693.794</v>
      </c>
      <c r="AW102" s="57" t="n">
        <f aca="false">IF(ISNUMBER(AW10),N(AW10)+N(AW29)+N(AW48),IF(ISNUMBER(AW72),N(AW72)+N(AW73)+N(AW74)+N(AW75)+N(AW76),""))</f>
        <v>2655.4</v>
      </c>
      <c r="AX102" s="57" t="n">
        <f aca="false">IF(ISNUMBER(AX10),N(AX10)+N(AX29)+N(AX48),IF(ISNUMBER(AX72),N(AX72)+N(AX73)+N(AX74)+N(AX75)+N(AX76),""))</f>
        <v>757.021</v>
      </c>
      <c r="AY102" s="57" t="n">
        <f aca="false">IF(ISNUMBER(AY10),N(AY10)+N(AY29)+N(AY48),IF(ISNUMBER(AY72),N(AY72)+N(AY73)+N(AY74)+N(AY75)+N(AY76),""))</f>
        <v>826.454</v>
      </c>
      <c r="AZ102" s="57" t="n">
        <f aca="false">IF(ISNUMBER(AZ10),N(AZ10)+N(AZ29)+N(AZ48),IF(ISNUMBER(AZ72),N(AZ72)+N(AZ73)+N(AZ74)+N(AZ75)+N(AZ76),""))</f>
        <v>806.454</v>
      </c>
      <c r="BA102" s="57" t="n">
        <f aca="false">IF(ISNUMBER(BA10),N(BA10)+N(BA29)+N(BA48),IF(ISNUMBER(BA72),N(BA72)+N(BA73)+N(BA74)+N(BA75)+N(BA76),""))</f>
        <v>844.251</v>
      </c>
      <c r="BB102" s="57" t="n">
        <f aca="false">IF(ISNUMBER(BB10),N(BB10)+N(BB29)+N(BB48),IF(ISNUMBER(BB72),N(BB72)+N(BB73)+N(BB74)+N(BB75)+N(BB76),""))</f>
        <v>3234.18</v>
      </c>
      <c r="BC102" s="57" t="n">
        <f aca="false">IF(ISNUMBER(BC10),N(BC10)+N(BC29)+N(BC48),IF(ISNUMBER(BC72),N(BC72)+N(BC73)+N(BC74)+N(BC75)+N(BC76),""))</f>
        <v>925.448</v>
      </c>
      <c r="BD102" s="57" t="n">
        <f aca="false">IF(ISNUMBER(BD10),N(BD10)+N(BD29)+N(BD48),IF(ISNUMBER(BD72),N(BD72)+N(BD73)+N(BD74)+N(BD75)+N(BD76),""))</f>
        <v>969.589</v>
      </c>
      <c r="BE102" s="57" t="n">
        <f aca="false">IF(ISNUMBER(BE10),N(BE10)+N(BE29)+N(BE48),IF(ISNUMBER(BE72),N(BE72)+N(BE73)+N(BE74)+N(BE75)+N(BE76),""))</f>
        <v>935.24</v>
      </c>
      <c r="BF102" s="57" t="n">
        <f aca="false">IF(ISNUMBER(BF10),N(BF10)+N(BF29)+N(BF48),IF(ISNUMBER(BF72),N(BF72)+N(BF73)+N(BF74)+N(BF75)+N(BF76),""))</f>
        <v>930.934</v>
      </c>
      <c r="BG102" s="57" t="n">
        <f aca="false">IF(ISNUMBER(BG10),N(BG10)+N(BG29)+N(BG48),IF(ISNUMBER(BG72),N(BG72)+N(BG73)+N(BG74)+N(BG75)+N(BG76),""))</f>
        <v>3761.211</v>
      </c>
      <c r="BH102" s="57" t="n">
        <f aca="false">IF(ISNUMBER(BH10),N(BH10)+N(BH29)+N(BH48),IF(ISNUMBER(BH72),N(BH72)+N(BH73)+N(BH74)+N(BH75)+N(BH76),""))</f>
        <v>1039.343</v>
      </c>
      <c r="BI102" s="57" t="n">
        <f aca="false">IF(ISNUMBER(BI10),N(BI10)+N(BI29)+N(BI48),IF(ISNUMBER(BI72),N(BI72)+N(BI73)+N(BI74)+N(BI75)+N(BI76),""))</f>
        <v>1060.565</v>
      </c>
      <c r="BJ102" s="57" t="n">
        <f aca="false">IF(ISNUMBER(BJ10),N(BJ10)+N(BJ29)+N(BJ48),IF(ISNUMBER(BJ72),N(BJ72)+N(BJ73)+N(BJ74)+N(BJ75)+N(BJ76),""))</f>
        <v>1033.214</v>
      </c>
      <c r="BK102" s="57" t="n">
        <f aca="false">IF(ISNUMBER(BK10),N(BK10)+N(BK29)+N(BK48),IF(ISNUMBER(BK72),N(BK72)+N(BK73)+N(BK74)+N(BK75)+N(BK76),""))</f>
        <v>1058.514</v>
      </c>
      <c r="BL102" s="57" t="n">
        <f aca="false">IF(ISNUMBER(BL10),N(BL10)+N(BL29)+N(BL48),IF(ISNUMBER(BL72),N(BL72)+N(BL73)+N(BL74)+N(BL75)+N(BL76),""))</f>
        <v>4191.636</v>
      </c>
      <c r="BM102" s="57" t="n">
        <f aca="false">IF(ISNUMBER(BM10),N(BM10)+N(BM29)+N(BM48),IF(ISNUMBER(BM72),N(BM72)+N(BM73)+N(BM74)+N(BM75)+N(BM76),""))</f>
        <v>981.197</v>
      </c>
      <c r="BN102" s="57" t="n">
        <f aca="false">IF(ISNUMBER(BN10),N(BN10)+N(BN29)+N(BN48),IF(ISNUMBER(BN72),N(BN72)+N(BN73)+N(BN74)+N(BN75)+N(BN76),""))</f>
        <v>1021.683</v>
      </c>
      <c r="BO102" s="57" t="n">
        <f aca="false">IF(ISNUMBER(BO10),N(BO10)+N(BO29)+N(BO48),IF(ISNUMBER(BO72),N(BO72)+N(BO73)+N(BO74)+N(BO75)+N(BO76),""))</f>
        <v>983.759</v>
      </c>
      <c r="BP102" s="57" t="n">
        <f aca="false">IF(ISNUMBER(BP10),N(BP10)+N(BP29)+N(BP48),IF(ISNUMBER(BP72),N(BP72)+N(BP73)+N(BP74)+N(BP75)+N(BP76),""))</f>
        <v>1022.031</v>
      </c>
      <c r="BQ102" s="57" t="n">
        <f aca="false">IF(ISNUMBER(BQ10),N(BQ10)+N(BQ29)+N(BQ48),IF(ISNUMBER(BQ72),N(BQ72)+N(BQ73)+N(BQ74)+N(BQ75)+N(BQ76),""))</f>
        <v>4008.67</v>
      </c>
      <c r="BR102" s="57" t="n">
        <f aca="false">IF(ISNUMBER(BR10),N(BR10)+N(BR29)+N(BR48),IF(ISNUMBER(BR72),N(BR72)+N(BR73)+N(BR74)+N(BR75)+N(BR76),""))</f>
        <v>1004.388</v>
      </c>
      <c r="BS102" s="57" t="n">
        <f aca="false">IF(ISNUMBER(BS10),N(BS10)+N(BS29)+N(BS48),IF(ISNUMBER(BS72),N(BS72)+N(BS73)+N(BS74)+N(BS75)+N(BS76),""))</f>
        <v>1088.673</v>
      </c>
      <c r="BT102" s="57" t="n">
        <f aca="false">IF(ISNUMBER(BT10),N(BT10)+N(BT29)+N(BT48),IF(ISNUMBER(BT72),N(BT72)+N(BT73)+N(BT74)+N(BT75)+N(BT76),""))</f>
        <v>1061.227</v>
      </c>
      <c r="BU102" s="57" t="n">
        <f aca="false">IF(ISNUMBER(BU10),N(BU10)+N(BU29)+N(BU48),IF(ISNUMBER(BU72),N(BU72)+N(BU73)+N(BU74)+N(BU75)+N(BU76),""))</f>
        <v>1078.715</v>
      </c>
      <c r="BV102" s="57" t="n">
        <f aca="false">IF(ISNUMBER(BV10),N(BV10)+N(BV29)+N(BV48),IF(ISNUMBER(BV72),N(BV72)+N(BV73)+N(BV74)+N(BV75)+N(BV76),""))</f>
        <v>4233.003</v>
      </c>
      <c r="BW102" s="57" t="n">
        <f aca="false">IF(ISNUMBER(BW10),N(BW10)+N(BW29)+N(BW48),IF(ISNUMBER(BW72),N(BW72)+N(BW73)+N(BW74)+N(BW75)+N(BW76),""))</f>
        <v>1121.434</v>
      </c>
      <c r="BX102" s="57" t="n">
        <f aca="false">IF(ISNUMBER(BX10),N(BX10)+N(BX29)+N(BX48),IF(ISNUMBER(BX72),N(BX72)+N(BX73)+N(BX74)+N(BX75)+N(BX76),""))</f>
        <v>1219.663</v>
      </c>
      <c r="BY102" s="51" t="n">
        <f aca="false">IF(ISNUMBER(BY10),N(BY10)+N(BY29)+N(BY48),IF(ISNUMBER(BY72),N(BY72)+N(BY73)+N(BY74)+N(BY75)+N(BY76),""))</f>
        <v>1187.1023687055</v>
      </c>
      <c r="BZ102" s="51" t="n">
        <f aca="false">IF(ISNUMBER(BZ10),N(BZ10)+N(BZ29)+N(BZ48),IF(ISNUMBER(BZ72),N(BZ72)+N(BZ73)+N(BZ74)+N(BZ75)+N(BZ76),""))</f>
        <v>1191.5989762945</v>
      </c>
      <c r="CA102" s="51" t="n">
        <f aca="false">IF(ISNUMBER(CA10),N(CA10)+N(CA29)+N(CA48),IF(ISNUMBER(CA72),N(CA72)+N(CA73)+N(CA74)+N(CA75)+N(CA76),""))</f>
        <v>4719.798345</v>
      </c>
      <c r="CB102" s="51" t="n">
        <f aca="false">IF(ISNUMBER(CB10),N(CB10)+N(CB29)+N(CB48),IF(ISNUMBER(CB72),N(CB72)+N(CB73)+N(CB74)+N(CB75)+N(CB76),""))</f>
        <v>4956.59806045029</v>
      </c>
      <c r="CC102" s="51" t="n">
        <f aca="false">IF(ISNUMBER(CC10),N(CC10)+N(CC29)+N(CC48),IF(ISNUMBER(CC72),N(CC72)+N(CC73)+N(CC74)+N(CC75)+N(CC76),""))</f>
        <v>5205.69287599876</v>
      </c>
      <c r="CD102" s="51" t="n">
        <f aca="false">IF(ISNUMBER(CD10),N(CD10)+N(CD29)+N(CD48),IF(ISNUMBER(CD72),N(CD72)+N(CD73)+N(CD74)+N(CD75)+N(CD76),""))</f>
        <v>5450.74502087453</v>
      </c>
      <c r="CE102" s="51" t="n">
        <f aca="false">IF(ISNUMBER(CE10),N(CE10)+N(CE29)+N(CE48),IF(ISNUMBER(CE72),N(CE72)+N(CE73)+N(CE74)+N(CE75)+N(CE76),""))</f>
        <v>5707.51663553174</v>
      </c>
    </row>
    <row r="103" customFormat="false" ht="15" hidden="false" customHeight="false" outlineLevel="0" collapsed="false">
      <c r="B103" s="58" t="s">
        <v>231</v>
      </c>
      <c r="C103" s="59" t="str">
        <f aca="false">IF(ISNUMBER(C102),C102+N(C90),"")</f>
        <v/>
      </c>
      <c r="D103" s="59" t="n">
        <f aca="false">IF(ISNUMBER(D102),D102+N(D90),"")</f>
        <v>2280.784</v>
      </c>
      <c r="E103" s="59" t="n">
        <f aca="false">IF(ISNUMBER(E102),E102+N(E90),"")</f>
        <v>2479.131</v>
      </c>
      <c r="F103" s="59" t="n">
        <f aca="false">IF(ISNUMBER(F102),F102+N(F90),"")</f>
        <v>1729.285</v>
      </c>
      <c r="G103" s="59" t="n">
        <f aca="false">IF(ISNUMBER(G102),G102+N(G90),"")</f>
        <v>2070.172</v>
      </c>
      <c r="H103" s="59" t="n">
        <f aca="false">IF(ISNUMBER(H102),H102+N(H90),"")</f>
        <v>2694.609</v>
      </c>
      <c r="I103" s="59" t="n">
        <f aca="false">IF(ISNUMBER(I102),I102+N(I90),"")</f>
        <v>2853.367</v>
      </c>
      <c r="J103" s="59" t="n">
        <f aca="false">IF(ISNUMBER(J102),J102+N(J90),"")</f>
        <v>718.573</v>
      </c>
      <c r="K103" s="59" t="n">
        <f aca="false">IF(ISNUMBER(K102),K102+N(K90),"")</f>
        <v>727.432</v>
      </c>
      <c r="L103" s="59" t="n">
        <f aca="false">IF(ISNUMBER(L102),L102+N(L90),"")</f>
        <v>691.875</v>
      </c>
      <c r="M103" s="59" t="n">
        <f aca="false">IF(ISNUMBER(M102),M102+N(M90),"")</f>
        <v>714.791</v>
      </c>
      <c r="N103" s="59" t="n">
        <f aca="false">IF(ISNUMBER(N102),N102+N(N90),"")</f>
        <v>2852.671</v>
      </c>
      <c r="O103" s="59" t="n">
        <f aca="false">IF(ISNUMBER(O102),O102+N(O90),"")</f>
        <v>685.062</v>
      </c>
      <c r="P103" s="59" t="n">
        <f aca="false">IF(ISNUMBER(P102),P102+N(P90),"")</f>
        <v>728.531</v>
      </c>
      <c r="Q103" s="59" t="n">
        <f aca="false">IF(ISNUMBER(Q102),Q102+N(Q90),"")</f>
        <v>715.777</v>
      </c>
      <c r="R103" s="59" t="n">
        <f aca="false">IF(ISNUMBER(R102),R102+N(R90),"")</f>
        <v>683.954</v>
      </c>
      <c r="S103" s="59" t="n">
        <f aca="false">IF(ISNUMBER(S102),S102+N(S90),"")</f>
        <v>2813.324</v>
      </c>
      <c r="T103" s="59" t="n">
        <f aca="false">IF(ISNUMBER(T102),T102+N(T90),"")</f>
        <v>657.9</v>
      </c>
      <c r="U103" s="59" t="n">
        <f aca="false">IF(ISNUMBER(U102),U102+N(U90),"")</f>
        <v>664.74</v>
      </c>
      <c r="V103" s="59" t="n">
        <f aca="false">IF(ISNUMBER(V102),V102+N(V90),"")</f>
        <v>645.166</v>
      </c>
      <c r="W103" s="59" t="n">
        <f aca="false">IF(ISNUMBER(W102),W102+N(W90),"")</f>
        <v>567.985</v>
      </c>
      <c r="X103" s="59" t="n">
        <f aca="false">IF(ISNUMBER(X102),X102+N(X90),"")</f>
        <v>2535.791</v>
      </c>
      <c r="Y103" s="59" t="n">
        <f aca="false">IF(ISNUMBER(Y102),Y102+N(Y90),"")</f>
        <v>550.722</v>
      </c>
      <c r="Z103" s="59" t="n">
        <f aca="false">IF(ISNUMBER(Z102),Z102+N(Z90),"")</f>
        <v>592.418</v>
      </c>
      <c r="AA103" s="59" t="n">
        <f aca="false">IF(ISNUMBER(AA102),AA102+N(AA90),"")</f>
        <v>567.646</v>
      </c>
      <c r="AB103" s="59" t="n">
        <f aca="false">IF(ISNUMBER(AB102),AB102+N(AB90),"")</f>
        <v>563.828</v>
      </c>
      <c r="AC103" s="59" t="n">
        <f aca="false">IF(ISNUMBER(AC102),AC102+N(AC90),"")</f>
        <v>2274.614</v>
      </c>
      <c r="AD103" s="59" t="n">
        <f aca="false">IF(ISNUMBER(AD102),AD102+N(AD90),"")</f>
        <v>580.897</v>
      </c>
      <c r="AE103" s="59" t="n">
        <f aca="false">IF(ISNUMBER(AE102),AE102+N(AE90),"")</f>
        <v>626.858</v>
      </c>
      <c r="AF103" s="59" t="n">
        <f aca="false">IF(ISNUMBER(AF102),AF102+N(AF90),"")</f>
        <v>669.491</v>
      </c>
      <c r="AG103" s="59" t="n">
        <f aca="false">IF(ISNUMBER(AG102),AG102+N(AG90),"")</f>
        <v>747.185</v>
      </c>
      <c r="AH103" s="59" t="n">
        <f aca="false">IF(ISNUMBER(AH102),AH102+N(AH90),"")</f>
        <v>2624.431</v>
      </c>
      <c r="AI103" s="59" t="n">
        <f aca="false">IF(ISNUMBER(AI102),AI102+N(AI90),"")</f>
        <v>757.696</v>
      </c>
      <c r="AJ103" s="59" t="n">
        <f aca="false">IF(ISNUMBER(AJ102),AJ102+N(AJ90),"")</f>
        <v>790.052</v>
      </c>
      <c r="AK103" s="59" t="n">
        <f aca="false">IF(ISNUMBER(AK102),AK102+N(AK90),"")</f>
        <v>737.099</v>
      </c>
      <c r="AL103" s="59" t="n">
        <f aca="false">IF(ISNUMBER(AL102),AL102+N(AL90),"")</f>
        <v>743.827</v>
      </c>
      <c r="AM103" s="59" t="n">
        <f aca="false">IF(ISNUMBER(AM102),AM102+N(AM90),"")</f>
        <v>3028.674</v>
      </c>
      <c r="AN103" s="59" t="n">
        <f aca="false">IF(ISNUMBER(AN102),AN102+N(AN90),"")</f>
        <v>759.174</v>
      </c>
      <c r="AO103" s="59" t="n">
        <f aca="false">IF(ISNUMBER(AO102),AO102+N(AO90),"")</f>
        <v>777.008</v>
      </c>
      <c r="AP103" s="59" t="n">
        <f aca="false">IF(ISNUMBER(AP102),AP102+N(AP90),"")</f>
        <v>730.783</v>
      </c>
      <c r="AQ103" s="59" t="n">
        <f aca="false">IF(ISNUMBER(AQ102),AQ102+N(AQ90),"")</f>
        <v>736.307</v>
      </c>
      <c r="AR103" s="59" t="n">
        <f aca="false">IF(ISNUMBER(AR102),AR102+N(AR90),"")</f>
        <v>3003.272</v>
      </c>
      <c r="AS103" s="59" t="n">
        <f aca="false">IF(ISNUMBER(AS102),AS102+N(AS90),"")</f>
        <v>701.991</v>
      </c>
      <c r="AT103" s="59" t="n">
        <f aca="false">IF(ISNUMBER(AT102),AT102+N(AT90),"")</f>
        <v>590.727</v>
      </c>
      <c r="AU103" s="59" t="n">
        <f aca="false">IF(ISNUMBER(AU102),AU102+N(AU90),"")</f>
        <v>668.888</v>
      </c>
      <c r="AV103" s="59" t="n">
        <f aca="false">IF(ISNUMBER(AV102),AV102+N(AV90),"")</f>
        <v>693.794</v>
      </c>
      <c r="AW103" s="59" t="n">
        <f aca="false">IF(ISNUMBER(AW102),AW102+N(AW90),"")</f>
        <v>2655.4</v>
      </c>
      <c r="AX103" s="59" t="n">
        <f aca="false">IF(ISNUMBER(AX102),AX102+N(AX90),"")</f>
        <v>757.021</v>
      </c>
      <c r="AY103" s="59" t="n">
        <f aca="false">IF(ISNUMBER(AY102),AY102+N(AY90),"")</f>
        <v>826.454</v>
      </c>
      <c r="AZ103" s="59" t="n">
        <f aca="false">IF(ISNUMBER(AZ102),AZ102+N(AZ90),"")</f>
        <v>806.454</v>
      </c>
      <c r="BA103" s="59" t="n">
        <f aca="false">IF(ISNUMBER(BA102),BA102+N(BA90),"")</f>
        <v>844.251</v>
      </c>
      <c r="BB103" s="59" t="n">
        <f aca="false">IF(ISNUMBER(BB102),BB102+N(BB90),"")</f>
        <v>3234.18</v>
      </c>
      <c r="BC103" s="59" t="n">
        <f aca="false">IF(ISNUMBER(BC102),BC102+N(BC90),"")</f>
        <v>925.448</v>
      </c>
      <c r="BD103" s="59" t="n">
        <f aca="false">IF(ISNUMBER(BD102),BD102+N(BD90),"")</f>
        <v>969.589</v>
      </c>
      <c r="BE103" s="59" t="n">
        <f aca="false">IF(ISNUMBER(BE102),BE102+N(BE90),"")</f>
        <v>935.24</v>
      </c>
      <c r="BF103" s="59" t="n">
        <f aca="false">IF(ISNUMBER(BF102),BF102+N(BF90),"")</f>
        <v>930.934</v>
      </c>
      <c r="BG103" s="59" t="n">
        <f aca="false">IF(ISNUMBER(BG102),BG102+N(BG90),"")</f>
        <v>3761.211</v>
      </c>
      <c r="BH103" s="59" t="n">
        <f aca="false">IF(ISNUMBER(BH102),BH102+N(BH90),"")</f>
        <v>1039.343</v>
      </c>
      <c r="BI103" s="59" t="n">
        <f aca="false">IF(ISNUMBER(BI102),BI102+N(BI90),"")</f>
        <v>1060.565</v>
      </c>
      <c r="BJ103" s="59" t="n">
        <f aca="false">IF(ISNUMBER(BJ102),BJ102+N(BJ90),"")</f>
        <v>1033.214</v>
      </c>
      <c r="BK103" s="59" t="n">
        <f aca="false">IF(ISNUMBER(BK102),BK102+N(BK90),"")</f>
        <v>1058.514</v>
      </c>
      <c r="BL103" s="59" t="n">
        <f aca="false">IF(ISNUMBER(BL102),BL102+N(BL90),"")</f>
        <v>4191.636</v>
      </c>
      <c r="BM103" s="59" t="n">
        <f aca="false">IF(ISNUMBER(BM102),BM102+N(BM90),"")</f>
        <v>981.197</v>
      </c>
      <c r="BN103" s="59" t="n">
        <f aca="false">IF(ISNUMBER(BN102),BN102+N(BN90),"")</f>
        <v>1021.683</v>
      </c>
      <c r="BO103" s="59" t="n">
        <f aca="false">IF(ISNUMBER(BO102),BO102+N(BO90),"")</f>
        <v>983.759</v>
      </c>
      <c r="BP103" s="59" t="n">
        <f aca="false">IF(ISNUMBER(BP102),BP102+N(BP90),"")</f>
        <v>1022.031</v>
      </c>
      <c r="BQ103" s="59" t="n">
        <f aca="false">IF(ISNUMBER(BQ102),BQ102+N(BQ90),"")</f>
        <v>4008.67</v>
      </c>
      <c r="BR103" s="59" t="n">
        <f aca="false">IF(ISNUMBER(BR102),BR102+N(BR90),"")</f>
        <v>1004.388</v>
      </c>
      <c r="BS103" s="59" t="n">
        <f aca="false">IF(ISNUMBER(BS102),BS102+N(BS90),"")</f>
        <v>1088.673</v>
      </c>
      <c r="BT103" s="59" t="n">
        <f aca="false">IF(ISNUMBER(BT102),BT102+N(BT90),"")</f>
        <v>1061.227</v>
      </c>
      <c r="BU103" s="59" t="n">
        <f aca="false">IF(ISNUMBER(BU102),BU102+N(BU90),"")</f>
        <v>1078.715</v>
      </c>
      <c r="BV103" s="59" t="n">
        <f aca="false">IF(ISNUMBER(BV102),BV102+N(BV90),"")</f>
        <v>4233.003</v>
      </c>
      <c r="BW103" s="59" t="n">
        <f aca="false">IF(ISNUMBER(BW102),BW102+N(BW90),"")</f>
        <v>1121.434</v>
      </c>
      <c r="BX103" s="59" t="n">
        <f aca="false">IF(ISNUMBER(BX102),BX102+N(BX90),"")</f>
        <v>1219.663</v>
      </c>
      <c r="BY103" s="59" t="n">
        <f aca="false">IF(ISNUMBER(BY102),BY102+N(BY90),"")</f>
        <v>1187.1023687055</v>
      </c>
      <c r="BZ103" s="59" t="n">
        <f aca="false">IF(ISNUMBER(BZ102),BZ102+N(BZ90),"")</f>
        <v>1191.5989762945</v>
      </c>
      <c r="CA103" s="59" t="n">
        <f aca="false">IF(ISNUMBER(CA102),CA102+N(CA90),"")</f>
        <v>4719.798345</v>
      </c>
      <c r="CB103" s="59" t="n">
        <f aca="false">IF(ISNUMBER(CB102),CB102+N(CB90),"")</f>
        <v>5019.09806045029</v>
      </c>
      <c r="CC103" s="59" t="n">
        <f aca="false">IF(ISNUMBER(CC102),CC102+N(CC90),"")</f>
        <v>5398.19287599876</v>
      </c>
      <c r="CD103" s="59" t="n">
        <f aca="false">IF(ISNUMBER(CD102),CD102+N(CD90),"")</f>
        <v>5778.44502087453</v>
      </c>
      <c r="CE103" s="59" t="n">
        <f aca="false">IF(ISNUMBER(CE102),CE102+N(CE90),"")</f>
        <v>6175.82463553174</v>
      </c>
      <c r="CH103" s="20" t="n">
        <f aca="false">IFERROR((CE103/BV103)^(1/5)-1,"n/m")</f>
        <v>0.0784729975716656</v>
      </c>
      <c r="CI103" s="20" t="n">
        <f aca="false">IFERROR((BV103/AW103)^(1/5)-1,"n/m")</f>
        <v>0.0977507059583438</v>
      </c>
      <c r="CJ103" s="20" t="n">
        <f aca="false">IFERROR((BV103/X103)^(1/10)-1,"n/m")</f>
        <v>0.052576117929604</v>
      </c>
      <c r="CK103" s="20" t="str">
        <f aca="false">IFERROR((BV103/C103)^(1/19)-1,"n/m")</f>
        <v>n/m</v>
      </c>
    </row>
    <row r="104" customFormat="false" ht="15" hidden="false" customHeight="false" outlineLevel="0" collapsed="false">
      <c r="B104" s="58" t="s">
        <v>232</v>
      </c>
      <c r="C104" s="59" t="str">
        <f aca="false">IF(ISNUMBER(C23),N(C23)+N(C42)+N(C61)+N(C67)+N(C92),IF(ISNUMBER(C77),N(C77)+N(C78)+N(C79)+N(C80)+N(C81)+N(C82),""))</f>
        <v/>
      </c>
      <c r="D104" s="59" t="str">
        <f aca="false">IF(ISNUMBER(D23),N(D23)+N(D42)+N(D61)+N(D67)+N(D92),IF(ISNUMBER(D77),N(D77)+N(D78)+N(D79)+N(D80)+N(D81)+N(D82),""))</f>
        <v/>
      </c>
      <c r="E104" s="59" t="str">
        <f aca="false">IF(ISNUMBER(E23),N(E23)+N(E42)+N(E61)+N(E67)+N(E92),IF(ISNUMBER(E77),N(E77)+N(E78)+N(E79)+N(E80)+N(E81)+N(E82),""))</f>
        <v/>
      </c>
      <c r="F104" s="59" t="n">
        <f aca="false">IF(ISNUMBER(F23),N(F23)+N(F42)+N(F61)+N(F67)+N(F92),IF(ISNUMBER(F77),N(F77)+N(F78)+N(F79)+N(F80)+N(F81)+N(F82),""))</f>
        <v>121.826</v>
      </c>
      <c r="G104" s="59" t="n">
        <f aca="false">IF(ISNUMBER(G23),N(G23)+N(G42)+N(G61)+N(G67)+N(G92),IF(ISNUMBER(G77),N(G77)+N(G78)+N(G79)+N(G80)+N(G81)+N(G82),""))</f>
        <v>194.157</v>
      </c>
      <c r="H104" s="59" t="n">
        <f aca="false">IF(ISNUMBER(H23),N(H23)+N(H42)+N(H61)+N(H67)+N(H92),IF(ISNUMBER(H77),N(H77)+N(H78)+N(H79)+N(H80)+N(H81)+N(H82),""))</f>
        <v>305.196</v>
      </c>
      <c r="I104" s="59" t="n">
        <f aca="false">IF(ISNUMBER(I23),N(I23)+N(I42)+N(I61)+N(I67)+N(I92),IF(ISNUMBER(I77),N(I77)+N(I78)+N(I79)+N(I80)+N(I81)+N(I82),""))</f>
        <v>380.508</v>
      </c>
      <c r="J104" s="59" t="n">
        <f aca="false">IF(ISNUMBER(J23),N(J23)+N(J42)+N(J61)+N(J67)+N(J92),IF(ISNUMBER(J77),N(J77)+N(J78)+N(J79)+N(J80)+N(J81)+N(J82),""))</f>
        <v>101.314</v>
      </c>
      <c r="K104" s="59" t="n">
        <f aca="false">IF(ISNUMBER(K23),N(K23)+N(K42)+N(K61)+N(K67)+N(K92),IF(ISNUMBER(K77),N(K77)+N(K78)+N(K79)+N(K80)+N(K81)+N(K82),""))</f>
        <v>109.832</v>
      </c>
      <c r="L104" s="59" t="n">
        <f aca="false">IF(ISNUMBER(L23),N(L23)+N(L42)+N(L61)+N(L67)+N(L92),IF(ISNUMBER(L77),N(L77)+N(L78)+N(L79)+N(L80)+N(L81)+N(L82),""))</f>
        <v>104.164</v>
      </c>
      <c r="M104" s="59" t="n">
        <f aca="false">IF(ISNUMBER(M23),N(M23)+N(M42)+N(M61)+N(M67)+N(M92),IF(ISNUMBER(M77),N(M77)+N(M78)+N(M79)+N(M80)+N(M81)+N(M82),""))</f>
        <v>122.041</v>
      </c>
      <c r="N104" s="59" t="n">
        <f aca="false">IF(ISNUMBER(N23),N(N23)+N(N42)+N(N61)+N(N67)+N(N92),IF(ISNUMBER(N77),N(N77)+N(N78)+N(N79)+N(N80)+N(N81)+N(N82),""))</f>
        <v>437.351</v>
      </c>
      <c r="O104" s="59" t="n">
        <f aca="false">IF(ISNUMBER(O23),N(O23)+N(O42)+N(O61)+N(O67)+N(O92),IF(ISNUMBER(O77),N(O77)+N(O78)+N(O79)+N(O80)+N(O81)+N(O82),""))</f>
        <v>100.73</v>
      </c>
      <c r="P104" s="59" t="n">
        <f aca="false">IF(ISNUMBER(P23),N(P23)+N(P42)+N(P61)+N(P67)+N(P92),IF(ISNUMBER(P77),N(P77)+N(P78)+N(P79)+N(P80)+N(P81)+N(P82),""))</f>
        <v>119.232</v>
      </c>
      <c r="Q104" s="59" t="n">
        <f aca="false">IF(ISNUMBER(Q23),N(Q23)+N(Q42)+N(Q61)+N(Q67)+N(Q92),IF(ISNUMBER(Q77),N(Q77)+N(Q78)+N(Q79)+N(Q80)+N(Q81)+N(Q82),""))</f>
        <v>107.4</v>
      </c>
      <c r="R104" s="59" t="n">
        <f aca="false">IF(ISNUMBER(R23),N(R23)+N(R42)+N(R61)+N(R67)+N(R92),IF(ISNUMBER(R77),N(R77)+N(R78)+N(R79)+N(R80)+N(R81)+N(R82),""))</f>
        <v>106.978</v>
      </c>
      <c r="S104" s="59" t="n">
        <f aca="false">IF(ISNUMBER(S23),N(S23)+N(S42)+N(S61)+N(S67)+N(S92),IF(ISNUMBER(S77),N(S77)+N(S78)+N(S79)+N(S80)+N(S81)+N(S82),""))</f>
        <v>434.34</v>
      </c>
      <c r="T104" s="59" t="n">
        <f aca="false">IF(ISNUMBER(T23),N(T23)+N(T42)+N(T61)+N(T67)+N(T92),IF(ISNUMBER(T77),N(T77)+N(T78)+N(T79)+N(T80)+N(T81)+N(T82),""))</f>
        <v>93.958</v>
      </c>
      <c r="U104" s="59" t="n">
        <f aca="false">IF(ISNUMBER(U23),N(U23)+N(U42)+N(U61)+N(U67)+N(U92),IF(ISNUMBER(U77),N(U77)+N(U78)+N(U79)+N(U80)+N(U81)+N(U82),""))</f>
        <v>99.322</v>
      </c>
      <c r="V104" s="59" t="n">
        <f aca="false">IF(ISNUMBER(V23),N(V23)+N(V42)+N(V61)+N(V67)+N(V92),IF(ISNUMBER(V77),N(V77)+N(V78)+N(V79)+N(V80)+N(V81)+N(V82),""))</f>
        <v>97.707</v>
      </c>
      <c r="W104" s="59" t="n">
        <f aca="false">IF(ISNUMBER(W23),N(W23)+N(W42)+N(W61)+N(W67)+N(W92),IF(ISNUMBER(W77),N(W77)+N(W78)+N(W79)+N(W80)+N(W81)+N(W82),""))</f>
        <v>87.82</v>
      </c>
      <c r="X104" s="59" t="n">
        <f aca="false">IF(ISNUMBER(X23),N(X23)+N(X42)+N(X61)+N(X67)+N(X92),IF(ISNUMBER(X77),N(X77)+N(X78)+N(X79)+N(X80)+N(X81)+N(X82),""))</f>
        <v>378.807</v>
      </c>
      <c r="Y104" s="59" t="n">
        <f aca="false">IF(ISNUMBER(Y23),N(Y23)+N(Y42)+N(Y61)+N(Y67)+N(Y92),IF(ISNUMBER(Y77),N(Y77)+N(Y78)+N(Y79)+N(Y80)+N(Y81)+N(Y82),""))</f>
        <v>76.579</v>
      </c>
      <c r="Z104" s="59" t="n">
        <f aca="false">IF(ISNUMBER(Z23),N(Z23)+N(Z42)+N(Z61)+N(Z67)+N(Z92),IF(ISNUMBER(Z77),N(Z77)+N(Z78)+N(Z79)+N(Z80)+N(Z81)+N(Z82),""))</f>
        <v>83.857</v>
      </c>
      <c r="AA104" s="59" t="n">
        <f aca="false">IF(ISNUMBER(AA23),N(AA23)+N(AA42)+N(AA61)+N(AA67)+N(AA92),IF(ISNUMBER(AA77),N(AA77)+N(AA78)+N(AA79)+N(AA80)+N(AA81)+N(AA82),""))</f>
        <v>83.751</v>
      </c>
      <c r="AB104" s="59" t="n">
        <f aca="false">IF(ISNUMBER(AB23),N(AB23)+N(AB42)+N(AB61)+N(AB67)+N(AB92),IF(ISNUMBER(AB77),N(AB77)+N(AB78)+N(AB79)+N(AB80)+N(AB81)+N(AB82),""))</f>
        <v>84.536</v>
      </c>
      <c r="AC104" s="59" t="n">
        <f aca="false">IF(ISNUMBER(AC23),N(AC23)+N(AC42)+N(AC61)+N(AC67)+N(AC92),IF(ISNUMBER(AC77),N(AC77)+N(AC78)+N(AC79)+N(AC80)+N(AC81)+N(AC82),""))</f>
        <v>328.723</v>
      </c>
      <c r="AD104" s="59" t="n">
        <f aca="false">IF(ISNUMBER(AD23),N(AD23)+N(AD42)+N(AD61)+N(AD67)+N(AD92),IF(ISNUMBER(AD77),N(AD77)+N(AD78)+N(AD79)+N(AD80)+N(AD81)+N(AD82),""))</f>
        <v>86.852</v>
      </c>
      <c r="AE104" s="59" t="n">
        <f aca="false">IF(ISNUMBER(AE23),N(AE23)+N(AE42)+N(AE61)+N(AE67)+N(AE92),IF(ISNUMBER(AE77),N(AE77)+N(AE78)+N(AE79)+N(AE80)+N(AE81)+N(AE82),""))</f>
        <v>93.516</v>
      </c>
      <c r="AF104" s="59" t="n">
        <f aca="false">IF(ISNUMBER(AF23),N(AF23)+N(AF42)+N(AF61)+N(AF67)+N(AF92),IF(ISNUMBER(AF77),N(AF77)+N(AF78)+N(AF79)+N(AF80)+N(AF81)+N(AF82),""))</f>
        <v>94.522</v>
      </c>
      <c r="AG104" s="59" t="n">
        <f aca="false">IF(ISNUMBER(AG23),N(AG23)+N(AG42)+N(AG61)+N(AG67)+N(AG92),IF(ISNUMBER(AG77),N(AG77)+N(AG78)+N(AG79)+N(AG80)+N(AG81)+N(AG82),""))</f>
        <v>95.448</v>
      </c>
      <c r="AH104" s="59" t="n">
        <f aca="false">IF(ISNUMBER(AH23),N(AH23)+N(AH42)+N(AH61)+N(AH67)+N(AH92),IF(ISNUMBER(AH77),N(AH77)+N(AH78)+N(AH79)+N(AH80)+N(AH81)+N(AH82),""))</f>
        <v>370.338</v>
      </c>
      <c r="AI104" s="59" t="n">
        <f aca="false">IF(ISNUMBER(AI23),N(AI23)+N(AI42)+N(AI61)+N(AI67)+N(AI92),IF(ISNUMBER(AI77),N(AI77)+N(AI78)+N(AI79)+N(AI80)+N(AI81)+N(AI82),""))</f>
        <v>101.479</v>
      </c>
      <c r="AJ104" s="59" t="n">
        <f aca="false">IF(ISNUMBER(AJ23),N(AJ23)+N(AJ42)+N(AJ61)+N(AJ67)+N(AJ92),IF(ISNUMBER(AJ77),N(AJ77)+N(AJ78)+N(AJ79)+N(AJ80)+N(AJ81)+N(AJ82),""))</f>
        <v>111.405</v>
      </c>
      <c r="AK104" s="59" t="n">
        <f aca="false">IF(ISNUMBER(AK23),N(AK23)+N(AK42)+N(AK61)+N(AK67)+N(AK92),IF(ISNUMBER(AK77),N(AK77)+N(AK78)+N(AK79)+N(AK80)+N(AK81)+N(AK82),""))</f>
        <v>107.551</v>
      </c>
      <c r="AL104" s="59" t="n">
        <f aca="false">IF(ISNUMBER(AL23),N(AL23)+N(AL42)+N(AL61)+N(AL67)+N(AL92),IF(ISNUMBER(AL77),N(AL77)+N(AL78)+N(AL79)+N(AL80)+N(AL81)+N(AL82),""))</f>
        <v>102.259</v>
      </c>
      <c r="AM104" s="59" t="n">
        <f aca="false">IF(ISNUMBER(AM23),N(AM23)+N(AM42)+N(AM61)+N(AM67)+N(AM92),IF(ISNUMBER(AM77),N(AM77)+N(AM78)+N(AM79)+N(AM80)+N(AM81)+N(AM82),""))</f>
        <v>422.694</v>
      </c>
      <c r="AN104" s="59" t="n">
        <f aca="false">IF(ISNUMBER(AN23),N(AN23)+N(AN42)+N(AN61)+N(AN67)+N(AN92),IF(ISNUMBER(AN77),N(AN77)+N(AN78)+N(AN79)+N(AN80)+N(AN81)+N(AN82),""))</f>
        <v>102.566</v>
      </c>
      <c r="AO104" s="59" t="n">
        <f aca="false">IF(ISNUMBER(AO23),N(AO23)+N(AO42)+N(AO61)+N(AO67)+N(AO92),IF(ISNUMBER(AO77),N(AO77)+N(AO78)+N(AO79)+N(AO80)+N(AO81)+N(AO82),""))</f>
        <v>109.548</v>
      </c>
      <c r="AP104" s="59" t="n">
        <f aca="false">IF(ISNUMBER(AP23),N(AP23)+N(AP42)+N(AP61)+N(AP67)+N(AP92),IF(ISNUMBER(AP77),N(AP77)+N(AP78)+N(AP79)+N(AP80)+N(AP81)+N(AP82),""))</f>
        <v>93.7</v>
      </c>
      <c r="AQ104" s="59" t="n">
        <f aca="false">IF(ISNUMBER(AQ23),N(AQ23)+N(AQ42)+N(AQ61)+N(AQ67)+N(AQ92),IF(ISNUMBER(AQ77),N(AQ77)+N(AQ78)+N(AQ79)+N(AQ80)+N(AQ81)+N(AQ82),""))</f>
        <v>94.939</v>
      </c>
      <c r="AR104" s="59" t="n">
        <f aca="false">IF(ISNUMBER(AR23),N(AR23)+N(AR42)+N(AR61)+N(AR67)+N(AR92),IF(ISNUMBER(AR77),N(AR77)+N(AR78)+N(AR79)+N(AR80)+N(AR81)+N(AR82),""))</f>
        <v>400.753</v>
      </c>
      <c r="AS104" s="59" t="n">
        <f aca="false">IF(ISNUMBER(AS23),N(AS23)+N(AS42)+N(AS61)+N(AS67)+N(AS92),IF(ISNUMBER(AS77),N(AS77)+N(AS78)+N(AS79)+N(AS80)+N(AS81)+N(AS82),""))</f>
        <v>88.71</v>
      </c>
      <c r="AT104" s="59" t="n">
        <f aca="false">IF(ISNUMBER(AT23),N(AT23)+N(AT42)+N(AT61)+N(AT67)+N(AT92),IF(ISNUMBER(AT77),N(AT77)+N(AT78)+N(AT79)+N(AT80)+N(AT81)+N(AT82),""))</f>
        <v>66.133</v>
      </c>
      <c r="AU104" s="59" t="n">
        <f aca="false">IF(ISNUMBER(AU23),N(AU23)+N(AU42)+N(AU61)+N(AU67)+N(AU92),IF(ISNUMBER(AU77),N(AU77)+N(AU78)+N(AU79)+N(AU80)+N(AU81)+N(AU82),""))</f>
        <v>88.3</v>
      </c>
      <c r="AV104" s="59" t="n">
        <f aca="false">IF(ISNUMBER(AV23),N(AV23)+N(AV42)+N(AV61)+N(AV67)+N(AV92),IF(ISNUMBER(AV77),N(AV77)+N(AV78)+N(AV79)+N(AV80)+N(AV81)+N(AV82),""))</f>
        <v>97.263</v>
      </c>
      <c r="AW104" s="59" t="n">
        <f aca="false">IF(ISNUMBER(AW23),N(AW23)+N(AW42)+N(AW61)+N(AW67)+N(AW92),IF(ISNUMBER(AW77),N(AW77)+N(AW78)+N(AW79)+N(AW80)+N(AW81)+N(AW82),""))</f>
        <v>340.406</v>
      </c>
      <c r="AX104" s="59" t="n">
        <f aca="false">IF(ISNUMBER(AX23),N(AX23)+N(AX42)+N(AX61)+N(AX67)+N(AX92),IF(ISNUMBER(AX77),N(AX77)+N(AX78)+N(AX79)+N(AX80)+N(AX81)+N(AX82),""))</f>
        <v>112.674</v>
      </c>
      <c r="AY104" s="59" t="n">
        <f aca="false">IF(ISNUMBER(AY23),N(AY23)+N(AY42)+N(AY61)+N(AY67)+N(AY92),IF(ISNUMBER(AY77),N(AY77)+N(AY78)+N(AY79)+N(AY80)+N(AY81)+N(AY82),""))</f>
        <v>128.455</v>
      </c>
      <c r="AZ104" s="59" t="n">
        <f aca="false">IF(ISNUMBER(AZ23),N(AZ23)+N(AZ42)+N(AZ61)+N(AZ67)+N(AZ92),IF(ISNUMBER(AZ77),N(AZ77)+N(AZ78)+N(AZ79)+N(AZ80)+N(AZ81)+N(AZ82),""))</f>
        <v>124.865</v>
      </c>
      <c r="BA104" s="59" t="n">
        <f aca="false">IF(ISNUMBER(BA23),N(BA23)+N(BA42)+N(BA61)+N(BA67)+N(BA92),IF(ISNUMBER(BA77),N(BA77)+N(BA78)+N(BA79)+N(BA80)+N(BA81)+N(BA82),""))</f>
        <v>125.274</v>
      </c>
      <c r="BB104" s="59" t="n">
        <f aca="false">IF(ISNUMBER(BB23),N(BB23)+N(BB42)+N(BB61)+N(BB67)+N(BB92),IF(ISNUMBER(BB77),N(BB77)+N(BB78)+N(BB79)+N(BB80)+N(BB81)+N(BB82),""))</f>
        <v>491.268</v>
      </c>
      <c r="BC104" s="59" t="n">
        <f aca="false">IF(ISNUMBER(BC23),N(BC23)+N(BC42)+N(BC61)+N(BC67)+N(BC92),IF(ISNUMBER(BC77),N(BC77)+N(BC78)+N(BC79)+N(BC80)+N(BC81)+N(BC82),""))</f>
        <v>163.452</v>
      </c>
      <c r="BD104" s="59" t="n">
        <f aca="false">IF(ISNUMBER(BD23),N(BD23)+N(BD42)+N(BD61)+N(BD67)+N(BD92),IF(ISNUMBER(BD77),N(BD77)+N(BD78)+N(BD79)+N(BD80)+N(BD81)+N(BD82),""))</f>
        <v>167.014</v>
      </c>
      <c r="BE104" s="59" t="n">
        <f aca="false">IF(ISNUMBER(BE23),N(BE23)+N(BE42)+N(BE61)+N(BE67)+N(BE92),IF(ISNUMBER(BE77),N(BE77)+N(BE78)+N(BE79)+N(BE80)+N(BE81)+N(BE82),""))</f>
        <v>156.776</v>
      </c>
      <c r="BF104" s="59" t="n">
        <f aca="false">IF(ISNUMBER(BF23),N(BF23)+N(BF42)+N(BF61)+N(BF67)+N(BF92),IF(ISNUMBER(BF77),N(BF77)+N(BF78)+N(BF79)+N(BF80)+N(BF81)+N(BF82),""))</f>
        <v>149.709</v>
      </c>
      <c r="BG104" s="59" t="n">
        <f aca="false">IF(ISNUMBER(BG23),N(BG23)+N(BG42)+N(BG61)+N(BG67)+N(BG92),IF(ISNUMBER(BG77),N(BG77)+N(BG78)+N(BG79)+N(BG80)+N(BG81)+N(BG82),""))</f>
        <v>636.951</v>
      </c>
      <c r="BH104" s="59" t="n">
        <f aca="false">IF(ISNUMBER(BH23),N(BH23)+N(BH42)+N(BH61)+N(BH67)+N(BH92),IF(ISNUMBER(BH77),N(BH77)+N(BH78)+N(BH79)+N(BH80)+N(BH81)+N(BH82),""))</f>
        <v>171.66</v>
      </c>
      <c r="BI104" s="59" t="n">
        <f aca="false">IF(ISNUMBER(BI23),N(BI23)+N(BI42)+N(BI61)+N(BI67)+N(BI92),IF(ISNUMBER(BI77),N(BI77)+N(BI78)+N(BI79)+N(BI80)+N(BI81)+N(BI82),""))</f>
        <v>190.971</v>
      </c>
      <c r="BJ104" s="59" t="n">
        <f aca="false">IF(ISNUMBER(BJ23),N(BJ23)+N(BJ42)+N(BJ61)+N(BJ67)+N(BJ92),IF(ISNUMBER(BJ77),N(BJ77)+N(BJ78)+N(BJ79)+N(BJ80)+N(BJ81)+N(BJ82),""))</f>
        <v>184.168</v>
      </c>
      <c r="BK104" s="59" t="n">
        <f aca="false">IF(ISNUMBER(BK23),N(BK23)+N(BK42)+N(BK61)+N(BK67)+N(BK92),IF(ISNUMBER(BK77),N(BK77)+N(BK78)+N(BK79)+N(BK80)+N(BK81)+N(BK82),""))</f>
        <v>184.606</v>
      </c>
      <c r="BL104" s="59" t="n">
        <f aca="false">IF(ISNUMBER(BL23),N(BL23)+N(BL42)+N(BL61)+N(BL67)+N(BL92),IF(ISNUMBER(BL77),N(BL77)+N(BL78)+N(BL79)+N(BL80)+N(BL81)+N(BL82),""))</f>
        <v>731.374</v>
      </c>
      <c r="BM104" s="59" t="n">
        <f aca="false">IF(ISNUMBER(BM23),N(BM23)+N(BM42)+N(BM61)+N(BM67)+N(BM92),IF(ISNUMBER(BM77),N(BM77)+N(BM78)+N(BM79)+N(BM80)+N(BM81)+N(BM82),""))</f>
        <v>173.676</v>
      </c>
      <c r="BN104" s="59" t="n">
        <f aca="false">IF(ISNUMBER(BN23),N(BN23)+N(BN42)+N(BN61)+N(BN67)+N(BN92),IF(ISNUMBER(BN77),N(BN77)+N(BN78)+N(BN79)+N(BN80)+N(BN81)+N(BN82),""))</f>
        <v>181.019</v>
      </c>
      <c r="BO104" s="59" t="n">
        <f aca="false">IF(ISNUMBER(BO23),N(BO23)+N(BO42)+N(BO61)+N(BO67)+N(BO92),IF(ISNUMBER(BO77),N(BO77)+N(BO78)+N(BO79)+N(BO80)+N(BO81)+N(BO82),""))</f>
        <v>172.078</v>
      </c>
      <c r="BP104" s="59" t="n">
        <f aca="false">IF(ISNUMBER(BP23),N(BP23)+N(BP42)+N(BP61)+N(BP67)+N(BP92),IF(ISNUMBER(BP77),N(BP77)+N(BP78)+N(BP79)+N(BP80)+N(BP81)+N(BP82),""))</f>
        <v>186.832</v>
      </c>
      <c r="BQ104" s="59" t="n">
        <f aca="false">IF(ISNUMBER(BQ23),N(BQ23)+N(BQ42)+N(BQ61)+N(BQ67)+N(BQ92),IF(ISNUMBER(BQ77),N(BQ77)+N(BQ78)+N(BQ79)+N(BQ80)+N(BQ81)+N(BQ82),""))</f>
        <v>713.605</v>
      </c>
      <c r="BR104" s="59" t="n">
        <f aca="false">IF(ISNUMBER(BR23),N(BR23)+N(BR42)+N(BR61)+N(BR67)+N(BR92),IF(ISNUMBER(BR77),N(BR77)+N(BR78)+N(BR79)+N(BR80)+N(BR81)+N(BR82),""))</f>
        <v>169.889</v>
      </c>
      <c r="BS104" s="59" t="n">
        <f aca="false">IF(ISNUMBER(BS23),N(BS23)+N(BS42)+N(BS61)+N(BS67)+N(BS92),IF(ISNUMBER(BS77),N(BS77)+N(BS78)+N(BS79)+N(BS80)+N(BS81)+N(BS82),""))</f>
        <v>199.149</v>
      </c>
      <c r="BT104" s="59" t="n">
        <f aca="false">IF(ISNUMBER(BT23),N(BT23)+N(BT42)+N(BT61)+N(BT67)+N(BT92),IF(ISNUMBER(BT77),N(BT77)+N(BT78)+N(BT79)+N(BT80)+N(BT81)+N(BT82),""))</f>
        <v>187.548</v>
      </c>
      <c r="BU104" s="59" t="n">
        <f aca="false">IF(ISNUMBER(BU23),N(BU23)+N(BU42)+N(BU61)+N(BU67)+N(BU92),IF(ISNUMBER(BU77),N(BU77)+N(BU78)+N(BU79)+N(BU80)+N(BU81)+N(BU82),""))</f>
        <v>196.046</v>
      </c>
      <c r="BV104" s="59" t="n">
        <f aca="false">IF(ISNUMBER(BV23),N(BV23)+N(BV42)+N(BV61)+N(BV67)+N(BV92),IF(ISNUMBER(BV77),N(BV77)+N(BV78)+N(BV79)+N(BV80)+N(BV81)+N(BV82),""))</f>
        <v>752.632</v>
      </c>
      <c r="BW104" s="59" t="n">
        <f aca="false">IF(ISNUMBER(BW23),N(BW23)+N(BW42)+N(BW61)+N(BW67)+N(BW92),IF(ISNUMBER(BW77),N(BW77)+N(BW78)+N(BW79)+N(BW80)+N(BW81)+N(BW82),""))</f>
        <v>189.544</v>
      </c>
      <c r="BX104" s="59" t="n">
        <f aca="false">IF(ISNUMBER(BX23),N(BX23)+N(BX42)+N(BX61)+N(BX67)+N(BX92),IF(ISNUMBER(BX77),N(BX77)+N(BX78)+N(BX79)+N(BX80)+N(BX81)+N(BX82),""))</f>
        <v>223.899</v>
      </c>
      <c r="BY104" s="59" t="n">
        <f aca="false">IF(ISNUMBER(BY23),N(BY23)+N(BY42)+N(BY61)+N(BY67)+N(BY92),IF(ISNUMBER(BY77),N(BY77)+N(BY78)+N(BY79)+N(BY80)+N(BY81)+N(BY82),""))</f>
        <v>215.234165861874</v>
      </c>
      <c r="BZ104" s="59" t="n">
        <f aca="false">IF(ISNUMBER(BZ23),N(BZ23)+N(BZ42)+N(BZ61)+N(BZ67)+N(BZ92),IF(ISNUMBER(BZ77),N(BZ77)+N(BZ78)+N(BZ79)+N(BZ80)+N(BZ81)+N(BZ82),""))</f>
        <v>223.274483488125</v>
      </c>
      <c r="CA104" s="59" t="n">
        <f aca="false">IF(ISNUMBER(CA23),N(CA23)+N(CA42)+N(CA61)+N(CA67)+N(CA92),IF(ISNUMBER(CA77),N(CA77)+N(CA78)+N(CA79)+N(CA80)+N(CA81)+N(CA82),""))</f>
        <v>851.95164935</v>
      </c>
      <c r="CB104" s="59" t="n">
        <f aca="false">IF(ISNUMBER(CB23),N(CB23)+N(CB42)+N(CB61)+N(CB67)+N(CB92),IF(ISNUMBER(CB77),N(CB77)+N(CB78)+N(CB79)+N(CB80)+N(CB81)+N(CB82),""))</f>
        <v>918.220283169161</v>
      </c>
      <c r="CC104" s="59" t="n">
        <f aca="false">IF(ISNUMBER(CC23),N(CC23)+N(CC42)+N(CC61)+N(CC67)+N(CC92),IF(ISNUMBER(CC77),N(CC77)+N(CC78)+N(CC79)+N(CC80)+N(CC81)+N(CC82),""))</f>
        <v>997.400687002238</v>
      </c>
      <c r="CD104" s="59" t="n">
        <f aca="false">IF(ISNUMBER(CD23),N(CD23)+N(CD42)+N(CD61)+N(CD67)+N(CD92),IF(ISNUMBER(CD77),N(CD77)+N(CD78)+N(CD79)+N(CD80)+N(CD81)+N(CD82),""))</f>
        <v>1074.13500697477</v>
      </c>
      <c r="CE104" s="59" t="n">
        <f aca="false">IF(ISNUMBER(CE23),N(CE23)+N(CE42)+N(CE61)+N(CE67)+N(CE92),IF(ISNUMBER(CE77),N(CE77)+N(CE78)+N(CE79)+N(CE80)+N(CE81)+N(CE82),""))</f>
        <v>1142.05157404797</v>
      </c>
      <c r="CH104" s="20" t="n">
        <f aca="false">IFERROR((CE104/BV104)^(1/5)-1,"n/m")</f>
        <v>0.0869776326271456</v>
      </c>
      <c r="CI104" s="20" t="n">
        <f aca="false">IFERROR((BV104/AW104)^(1/5)-1,"n/m")</f>
        <v>0.17197161869519</v>
      </c>
      <c r="CJ104" s="20" t="n">
        <f aca="false">IFERROR((BV104/X104)^(1/10)-1,"n/m")</f>
        <v>0.0710665798543619</v>
      </c>
      <c r="CK104" s="20" t="str">
        <f aca="false">IFERROR((BV104/C104)^(1/19)-1,"n/m")</f>
        <v>n/m</v>
      </c>
    </row>
    <row r="105" customFormat="false" ht="15" hidden="false" customHeight="false" outlineLevel="0" collapsed="false">
      <c r="B105" s="21" t="s">
        <v>233</v>
      </c>
      <c r="C105" s="22" t="str">
        <f aca="false">IF(AND(ISNUMBER(C104),ISNUMBER(C103)),IFERROR(C104/C103,""),"")</f>
        <v/>
      </c>
      <c r="D105" s="22" t="str">
        <f aca="false">IF(AND(ISNUMBER(D104),ISNUMBER(D103)),IFERROR(D104/D103,""),"")</f>
        <v/>
      </c>
      <c r="E105" s="22" t="str">
        <f aca="false">IF(AND(ISNUMBER(E104),ISNUMBER(E103)),IFERROR(E104/E103,""),"")</f>
        <v/>
      </c>
      <c r="F105" s="22" t="n">
        <f aca="false">IF(AND(ISNUMBER(F104),ISNUMBER(F103)),IFERROR(F104/F103,""),"")</f>
        <v>0.0704487692890414</v>
      </c>
      <c r="G105" s="22" t="n">
        <f aca="false">IF(AND(ISNUMBER(G104),ISNUMBER(G103)),IFERROR(G104/G103,""),"")</f>
        <v>0.0937878591730542</v>
      </c>
      <c r="H105" s="22" t="n">
        <f aca="false">IF(AND(ISNUMBER(H104),ISNUMBER(H103)),IFERROR(H104/H103,""),"")</f>
        <v>0.11326170141939</v>
      </c>
      <c r="I105" s="22" t="n">
        <f aca="false">IF(AND(ISNUMBER(I104),ISNUMBER(I103)),IFERROR(I104/I103,""),"")</f>
        <v>0.133354034023664</v>
      </c>
      <c r="J105" s="22" t="n">
        <f aca="false">IF(AND(ISNUMBER(J104),ISNUMBER(J103)),IFERROR(J104/J103,""),"")</f>
        <v>0.14099332983566</v>
      </c>
      <c r="K105" s="22" t="n">
        <f aca="false">IF(AND(ISNUMBER(K104),ISNUMBER(K103)),IFERROR(K104/K103,""),"")</f>
        <v>0.150985934080436</v>
      </c>
      <c r="L105" s="22" t="n">
        <f aca="false">IF(AND(ISNUMBER(L104),ISNUMBER(L103)),IFERROR(L104/L103,""),"")</f>
        <v>0.150553206865402</v>
      </c>
      <c r="M105" s="22" t="n">
        <f aca="false">IF(AND(ISNUMBER(M104),ISNUMBER(M103)),IFERROR(M104/M103,""),"")</f>
        <v>0.170736620914365</v>
      </c>
      <c r="N105" s="22" t="n">
        <f aca="false">IF(AND(ISNUMBER(N104),ISNUMBER(N103)),IFERROR(N104/N103,""),"")</f>
        <v>0.153312807540722</v>
      </c>
      <c r="O105" s="22" t="n">
        <f aca="false">IF(AND(ISNUMBER(O104),ISNUMBER(O103)),IFERROR(O104/O103,""),"")</f>
        <v>0.147037786360943</v>
      </c>
      <c r="P105" s="22" t="n">
        <f aca="false">IF(AND(ISNUMBER(P104),ISNUMBER(P103)),IFERROR(P104/P103,""),"")</f>
        <v>0.163660846278333</v>
      </c>
      <c r="Q105" s="22" t="n">
        <f aca="false">IF(AND(ISNUMBER(Q104),ISNUMBER(Q103)),IFERROR(Q104/Q103,""),"")</f>
        <v>0.150046732432028</v>
      </c>
      <c r="R105" s="22" t="n">
        <f aca="false">IF(AND(ISNUMBER(R104),ISNUMBER(R103)),IFERROR(R104/R103,""),"")</f>
        <v>0.156411103670715</v>
      </c>
      <c r="S105" s="22" t="n">
        <f aca="false">IF(AND(ISNUMBER(S104),ISNUMBER(S103)),IFERROR(S104/S103,""),"")</f>
        <v>0.154386768107762</v>
      </c>
      <c r="T105" s="22" t="n">
        <f aca="false">IF(AND(ISNUMBER(T104),ISNUMBER(T103)),IFERROR(T104/T103,""),"")</f>
        <v>0.14281501747986</v>
      </c>
      <c r="U105" s="22" t="n">
        <f aca="false">IF(AND(ISNUMBER(U104),ISNUMBER(U103)),IFERROR(U104/U103,""),"")</f>
        <v>0.149414808797425</v>
      </c>
      <c r="V105" s="22" t="n">
        <f aca="false">IF(AND(ISNUMBER(V104),ISNUMBER(V103)),IFERROR(V104/V103,""),"")</f>
        <v>0.151444744453365</v>
      </c>
      <c r="W105" s="22" t="n">
        <f aca="false">IF(AND(ISNUMBER(W104),ISNUMBER(W103)),IFERROR(W104/W103,""),"")</f>
        <v>0.154616759245403</v>
      </c>
      <c r="X105" s="22" t="n">
        <f aca="false">IF(AND(ISNUMBER(X104),ISNUMBER(X103)),IFERROR(X104/X103,""),"")</f>
        <v>0.149384156659599</v>
      </c>
      <c r="Y105" s="22" t="n">
        <f aca="false">IF(AND(ISNUMBER(Y104),ISNUMBER(Y103)),IFERROR(Y104/Y103,""),"")</f>
        <v>0.139052008091197</v>
      </c>
      <c r="Z105" s="22" t="n">
        <f aca="false">IF(AND(ISNUMBER(Z104),ISNUMBER(Z103)),IFERROR(Z104/Z103,""),"")</f>
        <v>0.141550391784179</v>
      </c>
      <c r="AA105" s="22" t="n">
        <f aca="false">IF(AND(ISNUMBER(AA104),ISNUMBER(AA103)),IFERROR(AA104/AA103,""),"")</f>
        <v>0.147540896967476</v>
      </c>
      <c r="AB105" s="22" t="n">
        <f aca="false">IF(AND(ISNUMBER(AB104),ISNUMBER(AB103)),IFERROR(AB104/AB103,""),"")</f>
        <v>0.149932248841845</v>
      </c>
      <c r="AC105" s="22" t="n">
        <f aca="false">IF(AND(ISNUMBER(AC104),ISNUMBER(AC103)),IFERROR(AC104/AC103,""),"")</f>
        <v>0.14451814681524</v>
      </c>
      <c r="AD105" s="22" t="n">
        <f aca="false">IF(AND(ISNUMBER(AD104),ISNUMBER(AD103)),IFERROR(AD104/AD103,""),"")</f>
        <v>0.149513597074869</v>
      </c>
      <c r="AE105" s="22" t="n">
        <f aca="false">IF(AND(ISNUMBER(AE104),ISNUMBER(AE103)),IFERROR(AE104/AE103,""),"")</f>
        <v>0.149182111419173</v>
      </c>
      <c r="AF105" s="22" t="n">
        <f aca="false">IF(AND(ISNUMBER(AF104),ISNUMBER(AF103)),IFERROR(AF104/AF103,""),"")</f>
        <v>0.141184870296987</v>
      </c>
      <c r="AG105" s="22" t="n">
        <f aca="false">IF(AND(ISNUMBER(AG104),ISNUMBER(AG103)),IFERROR(AG104/AG103,""),"")</f>
        <v>0.127743463800799</v>
      </c>
      <c r="AH105" s="22" t="n">
        <f aca="false">IF(AND(ISNUMBER(AH104),ISNUMBER(AH103)),IFERROR(AH104/AH103,""),"")</f>
        <v>0.141111730504631</v>
      </c>
      <c r="AI105" s="22" t="n">
        <f aca="false">IF(AND(ISNUMBER(AI104),ISNUMBER(AI103)),IFERROR(AI104/AI103,""),"")</f>
        <v>0.133931022468114</v>
      </c>
      <c r="AJ105" s="22" t="n">
        <f aca="false">IF(AND(ISNUMBER(AJ104),ISNUMBER(AJ103)),IFERROR(AJ104/AJ103,""),"")</f>
        <v>0.141009705690258</v>
      </c>
      <c r="AK105" s="22" t="n">
        <f aca="false">IF(AND(ISNUMBER(AK104),ISNUMBER(AK103)),IFERROR(AK104/AK103,""),"")</f>
        <v>0.145911200530729</v>
      </c>
      <c r="AL105" s="22" t="n">
        <f aca="false">IF(AND(ISNUMBER(AL104),ISNUMBER(AL103)),IFERROR(AL104/AL103,""),"")</f>
        <v>0.137476859538576</v>
      </c>
      <c r="AM105" s="22" t="n">
        <f aca="false">IF(AND(ISNUMBER(AM104),ISNUMBER(AM103)),IFERROR(AM104/AM103,""),"")</f>
        <v>0.1395640468403</v>
      </c>
      <c r="AN105" s="22" t="n">
        <f aca="false">IF(AND(ISNUMBER(AN104),ISNUMBER(AN103)),IFERROR(AN104/AN103,""),"")</f>
        <v>0.1351020978063</v>
      </c>
      <c r="AO105" s="22" t="n">
        <f aca="false">IF(AND(ISNUMBER(AO104),ISNUMBER(AO103)),IFERROR(AO104/AO103,""),"")</f>
        <v>0.14098696538517</v>
      </c>
      <c r="AP105" s="22" t="n">
        <f aca="false">IF(AND(ISNUMBER(AP104),ISNUMBER(AP103)),IFERROR(AP104/AP103,""),"")</f>
        <v>0.128218636722529</v>
      </c>
      <c r="AQ105" s="22" t="n">
        <f aca="false">IF(AND(ISNUMBER(AQ104),ISNUMBER(AQ103)),IFERROR(AQ104/AQ103,""),"")</f>
        <v>0.128939423365526</v>
      </c>
      <c r="AR105" s="22" t="n">
        <f aca="false">IF(AND(ISNUMBER(AR104),ISNUMBER(AR103)),IFERROR(AR104/AR103,""),"")</f>
        <v>0.133438796086402</v>
      </c>
      <c r="AS105" s="22" t="n">
        <f aca="false">IF(AND(ISNUMBER(AS104),ISNUMBER(AS103)),IFERROR(AS104/AS103,""),"")</f>
        <v>0.12636914148472</v>
      </c>
      <c r="AT105" s="22" t="n">
        <f aca="false">IF(AND(ISNUMBER(AT104),ISNUMBER(AT103)),IFERROR(AT104/AT103,""),"")</f>
        <v>0.111951883018721</v>
      </c>
      <c r="AU105" s="22" t="n">
        <f aca="false">IF(AND(ISNUMBER(AU104),ISNUMBER(AU103)),IFERROR(AU104/AU103,""),"")</f>
        <v>0.132010142206169</v>
      </c>
      <c r="AV105" s="22" t="n">
        <f aca="false">IF(AND(ISNUMBER(AV104),ISNUMBER(AV103)),IFERROR(AV104/AV103,""),"")</f>
        <v>0.140190027587439</v>
      </c>
      <c r="AW105" s="22" t="n">
        <f aca="false">IF(AND(ISNUMBER(AW104),ISNUMBER(AW103)),IFERROR(AW104/AW103,""),"")</f>
        <v>0.128193869096935</v>
      </c>
      <c r="AX105" s="22" t="n">
        <f aca="false">IF(AND(ISNUMBER(AX104),ISNUMBER(AX103)),IFERROR(AX104/AX103,""),"")</f>
        <v>0.148838671582426</v>
      </c>
      <c r="AY105" s="22" t="n">
        <f aca="false">IF(AND(ISNUMBER(AY104),ISNUMBER(AY103)),IFERROR(AY104/AY103,""),"")</f>
        <v>0.155429098292222</v>
      </c>
      <c r="AZ105" s="22" t="n">
        <f aca="false">IF(AND(ISNUMBER(AZ104),ISNUMBER(AZ103)),IFERROR(AZ104/AZ103,""),"")</f>
        <v>0.154832141696861</v>
      </c>
      <c r="BA105" s="22" t="n">
        <f aca="false">IF(AND(ISNUMBER(BA104),ISNUMBER(BA103)),IFERROR(BA104/BA103,""),"")</f>
        <v>0.148384781303191</v>
      </c>
      <c r="BB105" s="22" t="n">
        <f aca="false">IF(AND(ISNUMBER(BB104),ISNUMBER(BB103)),IFERROR(BB104/BB103,""),"")</f>
        <v>0.151898781143907</v>
      </c>
      <c r="BC105" s="22" t="n">
        <f aca="false">IF(AND(ISNUMBER(BC104),ISNUMBER(BC103)),IFERROR(BC104/BC103,""),"")</f>
        <v>0.176619323830188</v>
      </c>
      <c r="BD105" s="22" t="n">
        <f aca="false">IF(AND(ISNUMBER(BD104),ISNUMBER(BD103)),IFERROR(BD104/BD103,""),"")</f>
        <v>0.172252366724457</v>
      </c>
      <c r="BE105" s="22" t="n">
        <f aca="false">IF(AND(ISNUMBER(BE104),ISNUMBER(BE103)),IFERROR(BE104/BE103,""),"")</f>
        <v>0.167631837817031</v>
      </c>
      <c r="BF105" s="22" t="n">
        <f aca="false">IF(AND(ISNUMBER(BF104),ISNUMBER(BF103)),IFERROR(BF104/BF103,""),"")</f>
        <v>0.160815911761736</v>
      </c>
      <c r="BG105" s="22" t="n">
        <f aca="false">IF(AND(ISNUMBER(BG104),ISNUMBER(BG103)),IFERROR(BG104/BG103,""),"")</f>
        <v>0.169347319254357</v>
      </c>
      <c r="BH105" s="22" t="n">
        <f aca="false">IF(AND(ISNUMBER(BH104),ISNUMBER(BH103)),IFERROR(BH104/BH103,""),"")</f>
        <v>0.165162030244106</v>
      </c>
      <c r="BI105" s="22" t="n">
        <f aca="false">IF(AND(ISNUMBER(BI104),ISNUMBER(BI103)),IFERROR(BI104/BI103,""),"")</f>
        <v>0.180065342529689</v>
      </c>
      <c r="BJ105" s="22" t="n">
        <f aca="false">IF(AND(ISNUMBER(BJ104),ISNUMBER(BJ103)),IFERROR(BJ104/BJ103,""),"")</f>
        <v>0.178247681506445</v>
      </c>
      <c r="BK105" s="22" t="n">
        <f aca="false">IF(AND(ISNUMBER(BK104),ISNUMBER(BK103)),IFERROR(BK104/BK103,""),"")</f>
        <v>0.174401094364364</v>
      </c>
      <c r="BL105" s="22" t="n">
        <f aca="false">IF(AND(ISNUMBER(BL104),ISNUMBER(BL103)),IFERROR(BL104/BL103,""),"")</f>
        <v>0.174484139367063</v>
      </c>
      <c r="BM105" s="22" t="n">
        <f aca="false">IF(AND(ISNUMBER(BM104),ISNUMBER(BM103)),IFERROR(BM104/BM103,""),"")</f>
        <v>0.177004210163708</v>
      </c>
      <c r="BN105" s="22" t="n">
        <f aca="false">IF(AND(ISNUMBER(BN104),ISNUMBER(BN103)),IFERROR(BN104/BN103,""),"")</f>
        <v>0.177177265355301</v>
      </c>
      <c r="BO105" s="22" t="n">
        <f aca="false">IF(AND(ISNUMBER(BO104),ISNUMBER(BO103)),IFERROR(BO104/BO103,""),"")</f>
        <v>0.174918857159121</v>
      </c>
      <c r="BP105" s="22" t="n">
        <f aca="false">IF(AND(ISNUMBER(BP104),ISNUMBER(BP103)),IFERROR(BP104/BP103,""),"")</f>
        <v>0.182804631170679</v>
      </c>
      <c r="BQ105" s="22" t="n">
        <f aca="false">IF(AND(ISNUMBER(BQ104),ISNUMBER(BQ103)),IFERROR(BQ104/BQ103,""),"")</f>
        <v>0.178015401616995</v>
      </c>
      <c r="BR105" s="22" t="n">
        <f aca="false">IF(AND(ISNUMBER(BR104),ISNUMBER(BR103)),IFERROR(BR104/BR103,""),"")</f>
        <v>0.169146783912193</v>
      </c>
      <c r="BS105" s="22" t="n">
        <f aca="false">IF(AND(ISNUMBER(BS104),ISNUMBER(BS103)),IFERROR(BS104/BS103,""),"")</f>
        <v>0.182928207092488</v>
      </c>
      <c r="BT105" s="22" t="n">
        <f aca="false">IF(AND(ISNUMBER(BT104),ISNUMBER(BT103)),IFERROR(BT104/BT103,""),"")</f>
        <v>0.176727505048402</v>
      </c>
      <c r="BU105" s="22" t="n">
        <f aca="false">IF(AND(ISNUMBER(BU104),ISNUMBER(BU103)),IFERROR(BU104/BU103,""),"")</f>
        <v>0.181740311389014</v>
      </c>
      <c r="BV105" s="22" t="n">
        <f aca="false">IF(AND(ISNUMBER(BV104),ISNUMBER(BV103)),IFERROR(BV104/BV103,""),"")</f>
        <v>0.177800960689137</v>
      </c>
      <c r="BW105" s="22" t="n">
        <f aca="false">IF(AND(ISNUMBER(BW104),ISNUMBER(BW103)),IFERROR(BW104/BW103,""),"")</f>
        <v>0.169019309205892</v>
      </c>
      <c r="BX105" s="22" t="n">
        <f aca="false">IF(AND(ISNUMBER(BX104),ISNUMBER(BX103)),IFERROR(BX104/BX103,""),"")</f>
        <v>0.183574479179905</v>
      </c>
      <c r="BY105" s="23" t="n">
        <f aca="false">IF(AND(ISNUMBER(BY104),ISNUMBER(BY103)),IFERROR(BY104/BY103,""),"")</f>
        <v>0.181310535246072</v>
      </c>
      <c r="BZ105" s="23" t="n">
        <f aca="false">IF(AND(ISNUMBER(BZ104),ISNUMBER(BZ103)),IFERROR(BZ104/BZ103,""),"")</f>
        <v>0.187373846344212</v>
      </c>
      <c r="CA105" s="23" t="n">
        <f aca="false">IF(AND(ISNUMBER(CA104),ISNUMBER(CA103)),IFERROR(CA104/CA103,""),"")</f>
        <v>0.180505942643191</v>
      </c>
      <c r="CB105" s="23" t="n">
        <f aca="false">IF(AND(ISNUMBER(CB104),ISNUMBER(CB103)),IFERROR(CB104/CB103,""),"")</f>
        <v>0.182945276643346</v>
      </c>
      <c r="CC105" s="23" t="n">
        <f aca="false">IF(AND(ISNUMBER(CC104),ISNUMBER(CC103)),IFERROR(CC104/CC103,""),"")</f>
        <v>0.184765663234606</v>
      </c>
      <c r="CD105" s="23" t="n">
        <f aca="false">IF(AND(ISNUMBER(CD104),ISNUMBER(CD103)),IFERROR(CD104/CD103,""),"")</f>
        <v>0.185886514987073</v>
      </c>
      <c r="CE105" s="23" t="n">
        <f aca="false">IF(AND(ISNUMBER(CE104),ISNUMBER(CE103)),IFERROR(CE104/CE103,""),"")</f>
        <v>0.184922927940235</v>
      </c>
      <c r="CH105" s="41" t="n">
        <f aca="false">IFERROR(AVERAGE(CA105,CB105,CC105,CD105,CE105),"n/m")</f>
        <v>0.18380526508969</v>
      </c>
      <c r="CI105" s="41" t="n">
        <f aca="false">IFERROR(AVERAGE(BB105,BG105,BL105,BQ105,BV105),"n/m")</f>
        <v>0.170309320414292</v>
      </c>
      <c r="CJ105" s="41" t="n">
        <f aca="false">IFERROR(AVERAGE(AC105,AH105,AM105,AR105,AW105,BB105,BG105,BL105,BQ105,BV105),"n/m")</f>
        <v>0.153837319141497</v>
      </c>
      <c r="CK105" s="41" t="n">
        <f aca="false">IFERROR(AVERAGE(C105,D105,E105,F105,G105,H105,I105,N105,S105,X105,AC105,AH105,AM105,AR105,AW105,BB105,BG105,BL105,BQ105,BV105),"n/m")</f>
        <v>0.1415476051546</v>
      </c>
    </row>
    <row r="106" customFormat="false" ht="15" hidden="false" customHeight="false" outlineLevel="0" collapsed="false">
      <c r="B106" s="21" t="s">
        <v>107</v>
      </c>
      <c r="D106" s="22" t="str">
        <f aca="false">IF(AND(ISNUMBER(D103),ISNUMBER(C103)),IFERROR(D103/C103-1,""),"")</f>
        <v/>
      </c>
      <c r="E106" s="22" t="n">
        <f aca="false">IF(AND(ISNUMBER(E103),ISNUMBER(D103)),IFERROR(E103/D103-1,""),"")</f>
        <v>0.0869643946993668</v>
      </c>
      <c r="F106" s="22" t="n">
        <f aca="false">IF(AND(ISNUMBER(F103),ISNUMBER(E103)),IFERROR(F103/E103-1,""),"")</f>
        <v>-0.302463242160257</v>
      </c>
      <c r="G106" s="22" t="n">
        <f aca="false">IF(AND(ISNUMBER(G103),ISNUMBER(F103)),IFERROR(G103/F103-1,""),"")</f>
        <v>0.197125979812466</v>
      </c>
      <c r="H106" s="22" t="n">
        <f aca="false">IF(AND(ISNUMBER(H103),ISNUMBER(G103)),IFERROR(H103/G103-1,""),"")</f>
        <v>0.301635323055283</v>
      </c>
      <c r="I106" s="22" t="n">
        <f aca="false">IF(AND(ISNUMBER(I103),ISNUMBER(H103)),IFERROR(I103/H103-1,""),"")</f>
        <v>0.0589168966629294</v>
      </c>
      <c r="N106" s="22" t="n">
        <f aca="false">IF(AND(ISNUMBER(N103),ISNUMBER(I103)),IFERROR(N103/I103-1,""),"")</f>
        <v>-0.00024392235558901</v>
      </c>
      <c r="O106" s="22" t="n">
        <f aca="false">IF(AND(ISNUMBER(O103),ISNUMBER(J103)),IFERROR(O103/J103-1,""),"")</f>
        <v>-0.0466354844949642</v>
      </c>
      <c r="P106" s="22" t="n">
        <f aca="false">IF(AND(ISNUMBER(P103),ISNUMBER(K103)),IFERROR(P103/K103-1,""),"")</f>
        <v>0.0015107941360839</v>
      </c>
      <c r="Q106" s="22" t="n">
        <f aca="false">IF(AND(ISNUMBER(Q103),ISNUMBER(L103)),IFERROR(Q103/L103-1,""),"")</f>
        <v>0.0345467028003612</v>
      </c>
      <c r="R106" s="22" t="n">
        <f aca="false">IF(AND(ISNUMBER(R103),ISNUMBER(M103)),IFERROR(R103/M103-1,""),"")</f>
        <v>-0.0431412818572142</v>
      </c>
      <c r="S106" s="22" t="n">
        <f aca="false">IF(AND(ISNUMBER(S103),ISNUMBER(N103)),IFERROR(S103/N103-1,""),"")</f>
        <v>-0.0137930381736976</v>
      </c>
      <c r="T106" s="22" t="n">
        <f aca="false">IF(AND(ISNUMBER(T103),ISNUMBER(O103)),IFERROR(T103/O103-1,""),"")</f>
        <v>-0.0396489660789825</v>
      </c>
      <c r="U106" s="22" t="n">
        <f aca="false">IF(AND(ISNUMBER(U103),ISNUMBER(P103)),IFERROR(U103/P103-1,""),"")</f>
        <v>-0.0875611332942592</v>
      </c>
      <c r="V106" s="22" t="n">
        <f aca="false">IF(AND(ISNUMBER(V103),ISNUMBER(Q103)),IFERROR(V103/Q103-1,""),"")</f>
        <v>-0.0986494396997948</v>
      </c>
      <c r="W106" s="22" t="n">
        <f aca="false">IF(AND(ISNUMBER(W103),ISNUMBER(R103)),IFERROR(W103/R103-1,""),"")</f>
        <v>-0.169556724575044</v>
      </c>
      <c r="X106" s="22" t="n">
        <f aca="false">IF(AND(ISNUMBER(X103),ISNUMBER(S103)),IFERROR(X103/S103-1,""),"")</f>
        <v>-0.0986494978893294</v>
      </c>
      <c r="Y106" s="22" t="n">
        <f aca="false">IF(AND(ISNUMBER(Y103),ISNUMBER(T103)),IFERROR(Y103/T103-1,""),"")</f>
        <v>-0.162909256725946</v>
      </c>
      <c r="Z106" s="22" t="n">
        <f aca="false">IF(AND(ISNUMBER(Z103),ISNUMBER(U103)),IFERROR(Z103/U103-1,""),"")</f>
        <v>-0.10879742455697</v>
      </c>
      <c r="AA106" s="22" t="n">
        <f aca="false">IF(AND(ISNUMBER(AA103),ISNUMBER(V103)),IFERROR(AA103/V103-1,""),"")</f>
        <v>-0.120155122867603</v>
      </c>
      <c r="AB106" s="22" t="n">
        <f aca="false">IF(AND(ISNUMBER(AB103),ISNUMBER(W103)),IFERROR(AB103/W103-1,""),"")</f>
        <v>-0.00731885525145914</v>
      </c>
      <c r="AC106" s="22" t="n">
        <f aca="false">IF(AND(ISNUMBER(AC103),ISNUMBER(X103)),IFERROR(AC103/X103-1,""),"")</f>
        <v>-0.102996264282033</v>
      </c>
      <c r="AD106" s="22" t="n">
        <f aca="false">IF(AND(ISNUMBER(AD103),ISNUMBER(Y103)),IFERROR(AD103/Y103-1,""),"")</f>
        <v>0.0547917097918731</v>
      </c>
      <c r="AE106" s="22" t="n">
        <f aca="false">IF(AND(ISNUMBER(AE103),ISNUMBER(Z103)),IFERROR(AE103/Z103-1,""),"")</f>
        <v>0.0581346279147492</v>
      </c>
      <c r="AF106" s="22" t="n">
        <f aca="false">IF(AND(ISNUMBER(AF103),ISNUMBER(AA103)),IFERROR(AF103/AA103-1,""),"")</f>
        <v>0.179416396838875</v>
      </c>
      <c r="AG106" s="22" t="n">
        <f aca="false">IF(AND(ISNUMBER(AG103),ISNUMBER(AB103)),IFERROR(AG103/AB103-1,""),"")</f>
        <v>0.325200238370567</v>
      </c>
      <c r="AH106" s="22" t="n">
        <f aca="false">IF(AND(ISNUMBER(AH103),ISNUMBER(AC103)),IFERROR(AH103/AC103-1,""),"")</f>
        <v>0.153791808192511</v>
      </c>
      <c r="AI106" s="22" t="n">
        <f aca="false">IF(AND(ISNUMBER(AI103),ISNUMBER(AD103)),IFERROR(AI103/AD103-1,""),"")</f>
        <v>0.304355161069863</v>
      </c>
      <c r="AJ106" s="22" t="n">
        <f aca="false">IF(AND(ISNUMBER(AJ103),ISNUMBER(AE103)),IFERROR(AJ103/AE103-1,""),"")</f>
        <v>0.260336471736821</v>
      </c>
      <c r="AK106" s="22" t="n">
        <f aca="false">IF(AND(ISNUMBER(AK103),ISNUMBER(AF103)),IFERROR(AK103/AF103-1,""),"")</f>
        <v>0.10098418051923</v>
      </c>
      <c r="AL106" s="22" t="n">
        <f aca="false">IF(AND(ISNUMBER(AL103),ISNUMBER(AG103)),IFERROR(AL103/AG103-1,""),"")</f>
        <v>-0.00449420156989222</v>
      </c>
      <c r="AM106" s="22" t="n">
        <f aca="false">IF(AND(ISNUMBER(AM103),ISNUMBER(AH103)),IFERROR(AM103/AH103-1,""),"")</f>
        <v>0.15403072132588</v>
      </c>
      <c r="AN106" s="22" t="n">
        <f aca="false">IF(AND(ISNUMBER(AN103),ISNUMBER(AI103)),IFERROR(AN103/AI103-1,""),"")</f>
        <v>0.00195065039276976</v>
      </c>
      <c r="AO106" s="22" t="n">
        <f aca="false">IF(AND(ISNUMBER(AO103),ISNUMBER(AJ103)),IFERROR(AO103/AJ103-1,""),"")</f>
        <v>-0.0165103056507672</v>
      </c>
      <c r="AP106" s="22" t="n">
        <f aca="false">IF(AND(ISNUMBER(AP103),ISNUMBER(AK103)),IFERROR(AP103/AK103-1,""),"")</f>
        <v>-0.00856872686029964</v>
      </c>
      <c r="AQ106" s="22" t="n">
        <f aca="false">IF(AND(ISNUMBER(AQ103),ISNUMBER(AL103)),IFERROR(AQ103/AL103-1,""),"")</f>
        <v>-0.0101098777000566</v>
      </c>
      <c r="AR106" s="22" t="n">
        <f aca="false">IF(AND(ISNUMBER(AR103),ISNUMBER(AM103)),IFERROR(AR103/AM103-1,""),"")</f>
        <v>-0.00838716877418955</v>
      </c>
      <c r="AS106" s="22" t="n">
        <f aca="false">IF(AND(ISNUMBER(AS103),ISNUMBER(AN103)),IFERROR(AS103/AN103-1,""),"")</f>
        <v>-0.0753226533047759</v>
      </c>
      <c r="AT106" s="22" t="n">
        <f aca="false">IF(AND(ISNUMBER(AT103),ISNUMBER(AO103)),IFERROR(AT103/AO103-1,""),"")</f>
        <v>-0.239741418363775</v>
      </c>
      <c r="AU106" s="22" t="n">
        <f aca="false">IF(AND(ISNUMBER(AU103),ISNUMBER(AP103)),IFERROR(AU103/AP103-1,""),"")</f>
        <v>-0.0846968251861361</v>
      </c>
      <c r="AV106" s="22" t="n">
        <f aca="false">IF(AND(ISNUMBER(AV103),ISNUMBER(AQ103)),IFERROR(AV103/AQ103-1,""),"")</f>
        <v>-0.0577381445511178</v>
      </c>
      <c r="AW106" s="22" t="n">
        <f aca="false">IF(AND(ISNUMBER(AW103),ISNUMBER(AR103)),IFERROR(AW103/AR103-1,""),"")</f>
        <v>-0.115831000322315</v>
      </c>
      <c r="AX106" s="22" t="n">
        <f aca="false">IF(AND(ISNUMBER(AX103),ISNUMBER(AS103)),IFERROR(AX103/AS103-1,""),"")</f>
        <v>0.078391318407216</v>
      </c>
      <c r="AY106" s="22" t="n">
        <f aca="false">IF(AND(ISNUMBER(AY103),ISNUMBER(AT103)),IFERROR(AY103/AT103-1,""),"")</f>
        <v>0.399045582815751</v>
      </c>
      <c r="AZ106" s="22" t="n">
        <f aca="false">IF(AND(ISNUMBER(AZ103),ISNUMBER(AU103)),IFERROR(AZ103/AU103-1,""),"")</f>
        <v>0.205663728456782</v>
      </c>
      <c r="BA106" s="22" t="n">
        <f aca="false">IF(AND(ISNUMBER(BA103),ISNUMBER(AV103)),IFERROR(BA103/AV103-1,""),"")</f>
        <v>0.216861200875188</v>
      </c>
      <c r="BB106" s="22" t="n">
        <f aca="false">IF(AND(ISNUMBER(BB103),ISNUMBER(AW103)),IFERROR(BB103/AW103-1,""),"")</f>
        <v>0.217963395345334</v>
      </c>
      <c r="BC106" s="22" t="n">
        <f aca="false">IF(AND(ISNUMBER(BC103),ISNUMBER(AX103)),IFERROR(BC103/AX103-1,""),"")</f>
        <v>0.222486562459958</v>
      </c>
      <c r="BD106" s="22" t="n">
        <f aca="false">IF(AND(ISNUMBER(BD103),ISNUMBER(AY103)),IFERROR(BD103/AY103-1,""),"")</f>
        <v>0.173191732389219</v>
      </c>
      <c r="BE106" s="22" t="n">
        <f aca="false">IF(AND(ISNUMBER(BE103),ISNUMBER(AZ103)),IFERROR(BE103/AZ103-1,""),"")</f>
        <v>0.159694167305265</v>
      </c>
      <c r="BF106" s="22" t="n">
        <f aca="false">IF(AND(ISNUMBER(BF103),ISNUMBER(BA103)),IFERROR(BF103/BA103-1,""),"")</f>
        <v>0.102674441605636</v>
      </c>
      <c r="BG106" s="22" t="n">
        <f aca="false">IF(AND(ISNUMBER(BG103),ISNUMBER(BB103)),IFERROR(BG103/BB103-1,""),"")</f>
        <v>0.162956607238929</v>
      </c>
      <c r="BH106" s="22" t="n">
        <f aca="false">IF(AND(ISNUMBER(BH103),ISNUMBER(BC103)),IFERROR(BH103/BC103-1,""),"")</f>
        <v>0.123070123875139</v>
      </c>
      <c r="BI106" s="22" t="n">
        <f aca="false">IF(AND(ISNUMBER(BI103),ISNUMBER(BD103)),IFERROR(BI103/BD103-1,""),"")</f>
        <v>0.0938294473225254</v>
      </c>
      <c r="BJ106" s="22" t="n">
        <f aca="false">IF(AND(ISNUMBER(BJ103),ISNUMBER(BE103)),IFERROR(BJ103/BE103-1,""),"")</f>
        <v>0.104758136948804</v>
      </c>
      <c r="BK106" s="22" t="n">
        <f aca="false">IF(AND(ISNUMBER(BK103),ISNUMBER(BF103)),IFERROR(BK103/BF103-1,""),"")</f>
        <v>0.137045161096276</v>
      </c>
      <c r="BL106" s="22" t="n">
        <f aca="false">IF(AND(ISNUMBER(BL103),ISNUMBER(BG103)),IFERROR(BL103/BG103-1,""),"")</f>
        <v>0.114437876524343</v>
      </c>
      <c r="BM106" s="22" t="n">
        <f aca="false">IF(AND(ISNUMBER(BM103),ISNUMBER(BH103)),IFERROR(BM103/BH103-1,""),"")</f>
        <v>-0.0559449575356739</v>
      </c>
      <c r="BN106" s="22" t="n">
        <f aca="false">IF(AND(ISNUMBER(BN103),ISNUMBER(BI103)),IFERROR(BN103/BI103-1,""),"")</f>
        <v>-0.0366615907558706</v>
      </c>
      <c r="BO106" s="22" t="n">
        <f aca="false">IF(AND(ISNUMBER(BO103),ISNUMBER(BJ103)),IFERROR(BO103/BJ103-1,""),"")</f>
        <v>-0.0478652050785219</v>
      </c>
      <c r="BP106" s="22" t="n">
        <f aca="false">IF(AND(ISNUMBER(BP103),ISNUMBER(BK103)),IFERROR(BP103/BK103-1,""),"")</f>
        <v>-0.0344662422981653</v>
      </c>
      <c r="BQ106" s="22" t="n">
        <f aca="false">IF(AND(ISNUMBER(BQ103),ISNUMBER(BL103)),IFERROR(BQ103/BL103-1,""),"")</f>
        <v>-0.0436502597076652</v>
      </c>
      <c r="BR106" s="22" t="n">
        <f aca="false">IF(AND(ISNUMBER(BR103),ISNUMBER(BM103)),IFERROR(BR103/BM103-1,""),"")</f>
        <v>0.0236354167409807</v>
      </c>
      <c r="BS106" s="22" t="n">
        <f aca="false">IF(AND(ISNUMBER(BS103),ISNUMBER(BN103)),IFERROR(BS103/BN103-1,""),"")</f>
        <v>0.0655682829214148</v>
      </c>
      <c r="BT106" s="22" t="n">
        <f aca="false">IF(AND(ISNUMBER(BT103),ISNUMBER(BO103)),IFERROR(BT103/BO103-1,""),"")</f>
        <v>0.078746928871807</v>
      </c>
      <c r="BU106" s="22" t="n">
        <f aca="false">IF(AND(ISNUMBER(BU103),ISNUMBER(BP103)),IFERROR(BU103/BP103-1,""),"")</f>
        <v>0.0554621141628777</v>
      </c>
      <c r="BV106" s="22" t="n">
        <f aca="false">IF(AND(ISNUMBER(BV103),ISNUMBER(BQ103)),IFERROR(BV103/BQ103-1,""),"")</f>
        <v>0.0559619524680255</v>
      </c>
      <c r="BW106" s="22" t="n">
        <f aca="false">IF(AND(ISNUMBER(BW103),ISNUMBER(BR103)),IFERROR(BW103/BR103-1,""),"")</f>
        <v>0.116534645973468</v>
      </c>
      <c r="BX106" s="22" t="n">
        <f aca="false">IF(AND(ISNUMBER(BX103),ISNUMBER(BS103)),IFERROR(BX103/BS103-1,""),"")</f>
        <v>0.120320794214608</v>
      </c>
      <c r="BY106" s="23" t="n">
        <f aca="false">IF(AND(ISNUMBER(BY103),ISNUMBER(BT103)),IFERROR(BY103/BT103-1,""),"")</f>
        <v>0.118613047637782</v>
      </c>
      <c r="BZ106" s="23" t="n">
        <f aca="false">IF(AND(ISNUMBER(BZ103),ISNUMBER(BU103)),IFERROR(BZ103/BU103-1,""),"")</f>
        <v>0.104646710479134</v>
      </c>
      <c r="CA106" s="23" t="n">
        <f aca="false">IF(AND(ISNUMBER(CA103),ISNUMBER(BV103)),IFERROR(CA103/BV103-1,""),"")</f>
        <v>0.115</v>
      </c>
      <c r="CB106" s="23" t="n">
        <f aca="false">IF(AND(ISNUMBER(CB103),ISNUMBER(CA103)),IFERROR(CB103/CA103-1,""),"")</f>
        <v>0.0634136659180273</v>
      </c>
      <c r="CC106" s="23" t="n">
        <f aca="false">IF(AND(ISNUMBER(CC103),ISNUMBER(CB103)),IFERROR(CC103/CB103-1,""),"")</f>
        <v>0.0755304660284852</v>
      </c>
      <c r="CD106" s="23" t="n">
        <f aca="false">IF(AND(ISNUMBER(CD103),ISNUMBER(CC103)),IFERROR(CD103/CC103-1,""),"")</f>
        <v>0.0704406370076971</v>
      </c>
      <c r="CE106" s="23" t="n">
        <f aca="false">IF(AND(ISNUMBER(CE103),ISNUMBER(CD103)),IFERROR(CE103/CD103-1,""),"")</f>
        <v>0.0687692992183333</v>
      </c>
    </row>
    <row r="107" customFormat="false" ht="15" hidden="false" customHeight="false" outlineLevel="0" collapsed="false">
      <c r="B107" s="36" t="s">
        <v>234</v>
      </c>
      <c r="C107" s="39" t="str">
        <f aca="false">IF(AND(ISNUMBER(C103),ISNUMBER(C133)),ROUND(C103-C133,1),"")</f>
        <v/>
      </c>
      <c r="D107" s="39" t="n">
        <f aca="false">IF(AND(ISNUMBER(D103),ISNUMBER(D133)),ROUND(D103-D133,1),"")</f>
        <v>0</v>
      </c>
      <c r="E107" s="39" t="n">
        <f aca="false">IF(AND(ISNUMBER(E103),ISNUMBER(E133)),ROUND(E103-E133,1),"")</f>
        <v>0</v>
      </c>
      <c r="F107" s="39" t="n">
        <f aca="false">IF(AND(ISNUMBER(F103),ISNUMBER(F133)),ROUND(F103-F133,1),"")</f>
        <v>0</v>
      </c>
      <c r="G107" s="39" t="n">
        <f aca="false">IF(AND(ISNUMBER(G103),ISNUMBER(G133)),ROUND(G103-G133,1),"")</f>
        <v>0</v>
      </c>
      <c r="H107" s="39" t="n">
        <f aca="false">IF(AND(ISNUMBER(H103),ISNUMBER(H133)),ROUND(H103-H133,1),"")</f>
        <v>0</v>
      </c>
      <c r="I107" s="39" t="n">
        <f aca="false">IF(AND(ISNUMBER(I103),ISNUMBER(I133)),ROUND(I103-I133,1),"")</f>
        <v>0</v>
      </c>
      <c r="J107" s="39" t="n">
        <f aca="false">IF(AND(ISNUMBER(J103),ISNUMBER(J133)),ROUND(J103-J133,1),"")</f>
        <v>0</v>
      </c>
      <c r="K107" s="39" t="n">
        <f aca="false">IF(AND(ISNUMBER(K103),ISNUMBER(K133)),ROUND(K103-K133,1),"")</f>
        <v>0</v>
      </c>
      <c r="L107" s="39" t="n">
        <f aca="false">IF(AND(ISNUMBER(L103),ISNUMBER(L133)),ROUND(L103-L133,1),"")</f>
        <v>0</v>
      </c>
      <c r="M107" s="39" t="n">
        <f aca="false">IF(AND(ISNUMBER(M103),ISNUMBER(M133)),ROUND(M103-M133,1),"")</f>
        <v>0</v>
      </c>
      <c r="N107" s="39" t="n">
        <f aca="false">IF(AND(ISNUMBER(N103),ISNUMBER(N133)),ROUND(N103-N133,1),"")</f>
        <v>0</v>
      </c>
      <c r="O107" s="39" t="n">
        <f aca="false">IF(AND(ISNUMBER(O103),ISNUMBER(O133)),ROUND(O103-O133,1),"")</f>
        <v>0</v>
      </c>
      <c r="P107" s="39" t="n">
        <f aca="false">IF(AND(ISNUMBER(P103),ISNUMBER(P133)),ROUND(P103-P133,1),"")</f>
        <v>0</v>
      </c>
      <c r="Q107" s="39" t="n">
        <f aca="false">IF(AND(ISNUMBER(Q103),ISNUMBER(Q133)),ROUND(Q103-Q133,1),"")</f>
        <v>0</v>
      </c>
      <c r="R107" s="39" t="n">
        <f aca="false">IF(AND(ISNUMBER(R103),ISNUMBER(R133)),ROUND(R103-R133,1),"")</f>
        <v>0</v>
      </c>
      <c r="S107" s="39" t="n">
        <f aca="false">IF(AND(ISNUMBER(S103),ISNUMBER(S133)),ROUND(S103-S133,1),"")</f>
        <v>0</v>
      </c>
      <c r="T107" s="39" t="n">
        <f aca="false">IF(AND(ISNUMBER(T103),ISNUMBER(T133)),ROUND(T103-T133,1),"")</f>
        <v>0</v>
      </c>
      <c r="U107" s="39" t="n">
        <f aca="false">IF(AND(ISNUMBER(U103),ISNUMBER(U133)),ROUND(U103-U133,1),"")</f>
        <v>0</v>
      </c>
      <c r="V107" s="39" t="n">
        <f aca="false">IF(AND(ISNUMBER(V103),ISNUMBER(V133)),ROUND(V103-V133,1),"")</f>
        <v>0</v>
      </c>
      <c r="W107" s="39" t="n">
        <f aca="false">IF(AND(ISNUMBER(W103),ISNUMBER(W133)),ROUND(W103-W133,1),"")</f>
        <v>0</v>
      </c>
      <c r="X107" s="39" t="n">
        <f aca="false">IF(AND(ISNUMBER(X103),ISNUMBER(X133)),ROUND(X103-X133,1),"")</f>
        <v>0</v>
      </c>
      <c r="Y107" s="39" t="n">
        <f aca="false">IF(AND(ISNUMBER(Y103),ISNUMBER(Y133)),ROUND(Y103-Y133,1),"")</f>
        <v>0</v>
      </c>
      <c r="Z107" s="39" t="n">
        <f aca="false">IF(AND(ISNUMBER(Z103),ISNUMBER(Z133)),ROUND(Z103-Z133,1),"")</f>
        <v>0</v>
      </c>
      <c r="AA107" s="39" t="n">
        <f aca="false">IF(AND(ISNUMBER(AA103),ISNUMBER(AA133)),ROUND(AA103-AA133,1),"")</f>
        <v>0</v>
      </c>
      <c r="AB107" s="39" t="n">
        <f aca="false">IF(AND(ISNUMBER(AB103),ISNUMBER(AB133)),ROUND(AB103-AB133,1),"")</f>
        <v>0</v>
      </c>
      <c r="AC107" s="39" t="n">
        <f aca="false">IF(AND(ISNUMBER(AC103),ISNUMBER(AC133)),ROUND(AC103-AC133,1),"")</f>
        <v>0</v>
      </c>
      <c r="AD107" s="39" t="n">
        <f aca="false">IF(AND(ISNUMBER(AD103),ISNUMBER(AD133)),ROUND(AD103-AD133,1),"")</f>
        <v>0</v>
      </c>
      <c r="AE107" s="39" t="n">
        <f aca="false">IF(AND(ISNUMBER(AE103),ISNUMBER(AE133)),ROUND(AE103-AE133,1),"")</f>
        <v>0</v>
      </c>
      <c r="AF107" s="39" t="n">
        <f aca="false">IF(AND(ISNUMBER(AF103),ISNUMBER(AF133)),ROUND(AF103-AF133,1),"")</f>
        <v>0</v>
      </c>
      <c r="AG107" s="39" t="n">
        <f aca="false">IF(AND(ISNUMBER(AG103),ISNUMBER(AG133)),ROUND(AG103-AG133,1),"")</f>
        <v>0</v>
      </c>
      <c r="AH107" s="39" t="n">
        <f aca="false">IF(AND(ISNUMBER(AH103),ISNUMBER(AH133)),ROUND(AH103-AH133,1),"")</f>
        <v>0</v>
      </c>
      <c r="AI107" s="39" t="n">
        <f aca="false">IF(AND(ISNUMBER(AI103),ISNUMBER(AI133)),ROUND(AI103-AI133,1),"")</f>
        <v>0</v>
      </c>
      <c r="AJ107" s="39" t="n">
        <f aca="false">IF(AND(ISNUMBER(AJ103),ISNUMBER(AJ133)),ROUND(AJ103-AJ133,1),"")</f>
        <v>0</v>
      </c>
      <c r="AK107" s="39" t="n">
        <f aca="false">IF(AND(ISNUMBER(AK103),ISNUMBER(AK133)),ROUND(AK103-AK133,1),"")</f>
        <v>0</v>
      </c>
      <c r="AL107" s="39" t="n">
        <f aca="false">IF(AND(ISNUMBER(AL103),ISNUMBER(AL133)),ROUND(AL103-AL133,1),"")</f>
        <v>0</v>
      </c>
      <c r="AM107" s="39" t="n">
        <f aca="false">IF(AND(ISNUMBER(AM103),ISNUMBER(AM133)),ROUND(AM103-AM133,1),"")</f>
        <v>0</v>
      </c>
      <c r="AN107" s="39" t="n">
        <f aca="false">IF(AND(ISNUMBER(AN103),ISNUMBER(AN133)),ROUND(AN103-AN133,1),"")</f>
        <v>0</v>
      </c>
      <c r="AO107" s="39" t="n">
        <f aca="false">IF(AND(ISNUMBER(AO103),ISNUMBER(AO133)),ROUND(AO103-AO133,1),"")</f>
        <v>0</v>
      </c>
      <c r="AP107" s="39" t="n">
        <f aca="false">IF(AND(ISNUMBER(AP103),ISNUMBER(AP133)),ROUND(AP103-AP133,1),"")</f>
        <v>0</v>
      </c>
      <c r="AQ107" s="39" t="n">
        <f aca="false">IF(AND(ISNUMBER(AQ103),ISNUMBER(AQ133)),ROUND(AQ103-AQ133,1),"")</f>
        <v>0</v>
      </c>
      <c r="AR107" s="39" t="n">
        <f aca="false">IF(AND(ISNUMBER(AR103),ISNUMBER(AR133)),ROUND(AR103-AR133,1),"")</f>
        <v>0</v>
      </c>
      <c r="AS107" s="39" t="n">
        <f aca="false">IF(AND(ISNUMBER(AS103),ISNUMBER(AS133)),ROUND(AS103-AS133,1),"")</f>
        <v>0</v>
      </c>
      <c r="AT107" s="39" t="n">
        <f aca="false">IF(AND(ISNUMBER(AT103),ISNUMBER(AT133)),ROUND(AT103-AT133,1),"")</f>
        <v>0</v>
      </c>
      <c r="AU107" s="39" t="n">
        <f aca="false">IF(AND(ISNUMBER(AU103),ISNUMBER(AU133)),ROUND(AU103-AU133,1),"")</f>
        <v>0</v>
      </c>
      <c r="AV107" s="39" t="n">
        <f aca="false">IF(AND(ISNUMBER(AV103),ISNUMBER(AV133)),ROUND(AV103-AV133,1),"")</f>
        <v>0</v>
      </c>
      <c r="AW107" s="39" t="n">
        <f aca="false">IF(AND(ISNUMBER(AW103),ISNUMBER(AW133)),ROUND(AW103-AW133,1),"")</f>
        <v>0</v>
      </c>
      <c r="AX107" s="39" t="n">
        <f aca="false">IF(AND(ISNUMBER(AX103),ISNUMBER(AX133)),ROUND(AX103-AX133,1),"")</f>
        <v>0</v>
      </c>
      <c r="AY107" s="39" t="n">
        <f aca="false">IF(AND(ISNUMBER(AY103),ISNUMBER(AY133)),ROUND(AY103-AY133,1),"")</f>
        <v>0</v>
      </c>
      <c r="AZ107" s="39" t="n">
        <f aca="false">IF(AND(ISNUMBER(AZ103),ISNUMBER(AZ133)),ROUND(AZ103-AZ133,1),"")</f>
        <v>0</v>
      </c>
      <c r="BA107" s="39" t="n">
        <f aca="false">IF(AND(ISNUMBER(BA103),ISNUMBER(BA133)),ROUND(BA103-BA133,1),"")</f>
        <v>0</v>
      </c>
      <c r="BB107" s="39" t="n">
        <f aca="false">IF(AND(ISNUMBER(BB103),ISNUMBER(BB133)),ROUND(BB103-BB133,1),"")</f>
        <v>0</v>
      </c>
      <c r="BC107" s="39" t="n">
        <f aca="false">IF(AND(ISNUMBER(BC103),ISNUMBER(BC133)),ROUND(BC103-BC133,1),"")</f>
        <v>0</v>
      </c>
      <c r="BD107" s="39" t="n">
        <f aca="false">IF(AND(ISNUMBER(BD103),ISNUMBER(BD133)),ROUND(BD103-BD133,1),"")</f>
        <v>0</v>
      </c>
      <c r="BE107" s="39" t="n">
        <f aca="false">IF(AND(ISNUMBER(BE103),ISNUMBER(BE133)),ROUND(BE103-BE133,1),"")</f>
        <v>0</v>
      </c>
      <c r="BF107" s="39" t="n">
        <f aca="false">IF(AND(ISNUMBER(BF103),ISNUMBER(BF133)),ROUND(BF103-BF133,1),"")</f>
        <v>0</v>
      </c>
      <c r="BG107" s="39" t="n">
        <f aca="false">IF(AND(ISNUMBER(BG103),ISNUMBER(BG133)),ROUND(BG103-BG133,1),"")</f>
        <v>0</v>
      </c>
      <c r="BH107" s="39" t="n">
        <f aca="false">IF(AND(ISNUMBER(BH103),ISNUMBER(BH133)),ROUND(BH103-BH133,1),"")</f>
        <v>0</v>
      </c>
      <c r="BI107" s="39" t="n">
        <f aca="false">IF(AND(ISNUMBER(BI103),ISNUMBER(BI133)),ROUND(BI103-BI133,1),"")</f>
        <v>0</v>
      </c>
      <c r="BJ107" s="39" t="n">
        <f aca="false">IF(AND(ISNUMBER(BJ103),ISNUMBER(BJ133)),ROUND(BJ103-BJ133,1),"")</f>
        <v>0</v>
      </c>
      <c r="BK107" s="39" t="n">
        <f aca="false">IF(AND(ISNUMBER(BK103),ISNUMBER(BK133)),ROUND(BK103-BK133,1),"")</f>
        <v>0</v>
      </c>
      <c r="BL107" s="39" t="n">
        <f aca="false">IF(AND(ISNUMBER(BL103),ISNUMBER(BL133)),ROUND(BL103-BL133,1),"")</f>
        <v>0</v>
      </c>
      <c r="BM107" s="39" t="n">
        <f aca="false">IF(AND(ISNUMBER(BM103),ISNUMBER(BM133)),ROUND(BM103-BM133,1),"")</f>
        <v>0</v>
      </c>
      <c r="BN107" s="39" t="n">
        <f aca="false">IF(AND(ISNUMBER(BN103),ISNUMBER(BN133)),ROUND(BN103-BN133,1),"")</f>
        <v>0</v>
      </c>
      <c r="BO107" s="39" t="n">
        <f aca="false">IF(AND(ISNUMBER(BO103),ISNUMBER(BO133)),ROUND(BO103-BO133,1),"")</f>
        <v>0</v>
      </c>
      <c r="BP107" s="39" t="n">
        <f aca="false">IF(AND(ISNUMBER(BP103),ISNUMBER(BP133)),ROUND(BP103-BP133,1),"")</f>
        <v>0</v>
      </c>
      <c r="BQ107" s="39" t="n">
        <f aca="false">IF(AND(ISNUMBER(BQ103),ISNUMBER(BQ133)),ROUND(BQ103-BQ133,1),"")</f>
        <v>0</v>
      </c>
      <c r="BR107" s="39" t="n">
        <f aca="false">IF(AND(ISNUMBER(BR103),ISNUMBER(BR133)),ROUND(BR103-BR133,1),"")</f>
        <v>0</v>
      </c>
      <c r="BS107" s="39" t="n">
        <f aca="false">IF(AND(ISNUMBER(BS103),ISNUMBER(BS133)),ROUND(BS103-BS133,1),"")</f>
        <v>0</v>
      </c>
      <c r="BT107" s="39" t="n">
        <f aca="false">IF(AND(ISNUMBER(BT103),ISNUMBER(BT133)),ROUND(BT103-BT133,1),"")</f>
        <v>0</v>
      </c>
      <c r="BU107" s="39" t="n">
        <f aca="false">IF(AND(ISNUMBER(BU103),ISNUMBER(BU133)),ROUND(BU103-BU133,1),"")</f>
        <v>0</v>
      </c>
      <c r="BV107" s="39" t="n">
        <f aca="false">IF(AND(ISNUMBER(BV103),ISNUMBER(BV133)),ROUND(BV103-BV133,1),"")</f>
        <v>0</v>
      </c>
      <c r="BW107" s="39" t="n">
        <f aca="false">IF(AND(ISNUMBER(BW103),ISNUMBER(BW133)),ROUND(BW103-BW133,1),"")</f>
        <v>0</v>
      </c>
      <c r="BX107" s="39" t="n">
        <f aca="false">IF(AND(ISNUMBER(BX103),ISNUMBER(BX133)),ROUND(BX103-BX133,1),"")</f>
        <v>0</v>
      </c>
      <c r="BY107" s="56" t="n">
        <f aca="false">IF(AND(ISNUMBER(BY103),ISNUMBER(BY133)),ROUND(BY103-BY133,1),"")</f>
        <v>0</v>
      </c>
      <c r="BZ107" s="56" t="n">
        <f aca="false">IF(AND(ISNUMBER(BZ103),ISNUMBER(BZ133)),ROUND(BZ103-BZ133,1),"")</f>
        <v>0</v>
      </c>
      <c r="CA107" s="56" t="n">
        <f aca="false">IF(AND(ISNUMBER(CA103),ISNUMBER(CA133)),ROUND(CA103-CA133,1),"")</f>
        <v>0</v>
      </c>
      <c r="CB107" s="56" t="n">
        <f aca="false">IF(AND(ISNUMBER(CB103),ISNUMBER(CB133)),ROUND(CB103-CB133,1),"")</f>
        <v>0</v>
      </c>
      <c r="CC107" s="56" t="n">
        <f aca="false">IF(AND(ISNUMBER(CC103),ISNUMBER(CC133)),ROUND(CC103-CC133,1),"")</f>
        <v>0</v>
      </c>
      <c r="CD107" s="56" t="n">
        <f aca="false">IF(AND(ISNUMBER(CD103),ISNUMBER(CD133)),ROUND(CD103-CD133,1),"")</f>
        <v>0</v>
      </c>
      <c r="CE107" s="56" t="n">
        <f aca="false">IF(AND(ISNUMBER(CE103),ISNUMBER(CE133)),ROUND(CE103-CE133,1),"")</f>
        <v>0</v>
      </c>
    </row>
    <row r="108" customFormat="false" ht="15" hidden="false" customHeight="false" outlineLevel="0" collapsed="false">
      <c r="B108" s="36" t="s">
        <v>235</v>
      </c>
      <c r="C108" s="39" t="str">
        <f aca="false">IF(AND(ISNUMBER(C104),ISNUMBER(C178)),ROUND(C104-C178,1),"")</f>
        <v/>
      </c>
      <c r="D108" s="39" t="str">
        <f aca="false">IF(AND(ISNUMBER(D104),ISNUMBER(D178)),ROUND(D104-D178,1),"")</f>
        <v/>
      </c>
      <c r="E108" s="39" t="str">
        <f aca="false">IF(AND(ISNUMBER(E104),ISNUMBER(E178)),ROUND(E104-E178,1),"")</f>
        <v/>
      </c>
      <c r="F108" s="39" t="n">
        <f aca="false">IF(AND(ISNUMBER(F104),ISNUMBER(F178)),ROUND(F104-F178,1),"")</f>
        <v>-0.3</v>
      </c>
      <c r="G108" s="39" t="n">
        <f aca="false">IF(AND(ISNUMBER(G104),ISNUMBER(G178)),ROUND(G104-G178,1),"")</f>
        <v>0</v>
      </c>
      <c r="H108" s="39" t="n">
        <f aca="false">IF(AND(ISNUMBER(H104),ISNUMBER(H178)),ROUND(H104-H178,1),"")</f>
        <v>0</v>
      </c>
      <c r="I108" s="39" t="n">
        <f aca="false">IF(AND(ISNUMBER(I104),ISNUMBER(I178)),ROUND(I104-I178,1),"")</f>
        <v>0</v>
      </c>
      <c r="J108" s="39" t="n">
        <f aca="false">IF(AND(ISNUMBER(J104),ISNUMBER(J178)),ROUND(J104-J178,1),"")</f>
        <v>0</v>
      </c>
      <c r="K108" s="39" t="n">
        <f aca="false">IF(AND(ISNUMBER(K104),ISNUMBER(K178)),ROUND(K104-K178,1),"")</f>
        <v>0</v>
      </c>
      <c r="L108" s="39" t="n">
        <f aca="false">IF(AND(ISNUMBER(L104),ISNUMBER(L178)),ROUND(L104-L178,1),"")</f>
        <v>0</v>
      </c>
      <c r="M108" s="39" t="n">
        <f aca="false">IF(AND(ISNUMBER(M104),ISNUMBER(M178)),ROUND(M104-M178,1),"")</f>
        <v>0</v>
      </c>
      <c r="N108" s="39" t="n">
        <f aca="false">IF(AND(ISNUMBER(N104),ISNUMBER(N178)),ROUND(N104-N178,1),"")</f>
        <v>0</v>
      </c>
      <c r="O108" s="39" t="n">
        <f aca="false">IF(AND(ISNUMBER(O104),ISNUMBER(O178)),ROUND(O104-O178,1),"")</f>
        <v>0</v>
      </c>
      <c r="P108" s="39" t="n">
        <f aca="false">IF(AND(ISNUMBER(P104),ISNUMBER(P178)),ROUND(P104-P178,1),"")</f>
        <v>0</v>
      </c>
      <c r="Q108" s="39" t="n">
        <f aca="false">IF(AND(ISNUMBER(Q104),ISNUMBER(Q178)),ROUND(Q104-Q178,1),"")</f>
        <v>0</v>
      </c>
      <c r="R108" s="39" t="n">
        <f aca="false">IF(AND(ISNUMBER(R104),ISNUMBER(R178)),ROUND(R104-R178,1),"")</f>
        <v>0</v>
      </c>
      <c r="S108" s="39" t="n">
        <f aca="false">IF(AND(ISNUMBER(S104),ISNUMBER(S178)),ROUND(S104-S178,1),"")</f>
        <v>0</v>
      </c>
      <c r="T108" s="39" t="n">
        <f aca="false">IF(AND(ISNUMBER(T104),ISNUMBER(T178)),ROUND(T104-T178,1),"")</f>
        <v>0</v>
      </c>
      <c r="U108" s="39" t="n">
        <f aca="false">IF(AND(ISNUMBER(U104),ISNUMBER(U178)),ROUND(U104-U178,1),"")</f>
        <v>0</v>
      </c>
      <c r="V108" s="39" t="n">
        <f aca="false">IF(AND(ISNUMBER(V104),ISNUMBER(V178)),ROUND(V104-V178,1),"")</f>
        <v>0</v>
      </c>
      <c r="W108" s="39" t="n">
        <f aca="false">IF(AND(ISNUMBER(W104),ISNUMBER(W178)),ROUND(W104-W178,1),"")</f>
        <v>0</v>
      </c>
      <c r="X108" s="39" t="n">
        <f aca="false">IF(AND(ISNUMBER(X104),ISNUMBER(X178)),ROUND(X104-X178,1),"")</f>
        <v>0</v>
      </c>
      <c r="Y108" s="39" t="n">
        <f aca="false">IF(AND(ISNUMBER(Y104),ISNUMBER(Y178)),ROUND(Y104-Y178,1),"")</f>
        <v>0</v>
      </c>
      <c r="Z108" s="39" t="n">
        <f aca="false">IF(AND(ISNUMBER(Z104),ISNUMBER(Z178)),ROUND(Z104-Z178,1),"")</f>
        <v>0</v>
      </c>
      <c r="AA108" s="39" t="n">
        <f aca="false">IF(AND(ISNUMBER(AA104),ISNUMBER(AA178)),ROUND(AA104-AA178,1),"")</f>
        <v>0</v>
      </c>
      <c r="AB108" s="39" t="n">
        <f aca="false">IF(AND(ISNUMBER(AB104),ISNUMBER(AB178)),ROUND(AB104-AB178,1),"")</f>
        <v>0</v>
      </c>
      <c r="AC108" s="39" t="n">
        <f aca="false">IF(AND(ISNUMBER(AC104),ISNUMBER(AC178)),ROUND(AC104-AC178,1),"")</f>
        <v>0</v>
      </c>
      <c r="AD108" s="39" t="n">
        <f aca="false">IF(AND(ISNUMBER(AD104),ISNUMBER(AD178)),ROUND(AD104-AD178,1),"")</f>
        <v>0</v>
      </c>
      <c r="AE108" s="39" t="n">
        <f aca="false">IF(AND(ISNUMBER(AE104),ISNUMBER(AE178)),ROUND(AE104-AE178,1),"")</f>
        <v>0</v>
      </c>
      <c r="AF108" s="39" t="n">
        <f aca="false">IF(AND(ISNUMBER(AF104),ISNUMBER(AF178)),ROUND(AF104-AF178,1),"")</f>
        <v>0</v>
      </c>
      <c r="AG108" s="39" t="n">
        <f aca="false">IF(AND(ISNUMBER(AG104),ISNUMBER(AG178)),ROUND(AG104-AG178,1),"")</f>
        <v>0</v>
      </c>
      <c r="AH108" s="39" t="n">
        <f aca="false">IF(AND(ISNUMBER(AH104),ISNUMBER(AH178)),ROUND(AH104-AH178,1),"")</f>
        <v>0</v>
      </c>
      <c r="AI108" s="39" t="n">
        <f aca="false">IF(AND(ISNUMBER(AI104),ISNUMBER(AI178)),ROUND(AI104-AI178,1),"")</f>
        <v>0</v>
      </c>
      <c r="AJ108" s="39" t="n">
        <f aca="false">IF(AND(ISNUMBER(AJ104),ISNUMBER(AJ178)),ROUND(AJ104-AJ178,1),"")</f>
        <v>0</v>
      </c>
      <c r="AK108" s="39" t="n">
        <f aca="false">IF(AND(ISNUMBER(AK104),ISNUMBER(AK178)),ROUND(AK104-AK178,1),"")</f>
        <v>0</v>
      </c>
      <c r="AL108" s="39" t="n">
        <f aca="false">IF(AND(ISNUMBER(AL104),ISNUMBER(AL178)),ROUND(AL104-AL178,1),"")</f>
        <v>0</v>
      </c>
      <c r="AM108" s="39" t="n">
        <f aca="false">IF(AND(ISNUMBER(AM104),ISNUMBER(AM178)),ROUND(AM104-AM178,1),"")</f>
        <v>0</v>
      </c>
      <c r="AN108" s="39" t="n">
        <f aca="false">IF(AND(ISNUMBER(AN104),ISNUMBER(AN178)),ROUND(AN104-AN178,1),"")</f>
        <v>0</v>
      </c>
      <c r="AO108" s="39" t="n">
        <f aca="false">IF(AND(ISNUMBER(AO104),ISNUMBER(AO178)),ROUND(AO104-AO178,1),"")</f>
        <v>0</v>
      </c>
      <c r="AP108" s="39" t="n">
        <f aca="false">IF(AND(ISNUMBER(AP104),ISNUMBER(AP178)),ROUND(AP104-AP178,1),"")</f>
        <v>0</v>
      </c>
      <c r="AQ108" s="39" t="n">
        <f aca="false">IF(AND(ISNUMBER(AQ104),ISNUMBER(AQ178)),ROUND(AQ104-AQ178,1),"")</f>
        <v>0</v>
      </c>
      <c r="AR108" s="39" t="n">
        <f aca="false">IF(AND(ISNUMBER(AR104),ISNUMBER(AR178)),ROUND(AR104-AR178,1),"")</f>
        <v>0</v>
      </c>
      <c r="AS108" s="39" t="n">
        <f aca="false">IF(AND(ISNUMBER(AS104),ISNUMBER(AS178)),ROUND(AS104-AS178,1),"")</f>
        <v>0</v>
      </c>
      <c r="AT108" s="39" t="n">
        <f aca="false">IF(AND(ISNUMBER(AT104),ISNUMBER(AT178)),ROUND(AT104-AT178,1),"")</f>
        <v>0</v>
      </c>
      <c r="AU108" s="39" t="n">
        <f aca="false">IF(AND(ISNUMBER(AU104),ISNUMBER(AU178)),ROUND(AU104-AU178,1),"")</f>
        <v>0</v>
      </c>
      <c r="AV108" s="39" t="n">
        <f aca="false">IF(AND(ISNUMBER(AV104),ISNUMBER(AV178)),ROUND(AV104-AV178,1),"")</f>
        <v>0</v>
      </c>
      <c r="AW108" s="39" t="n">
        <f aca="false">IF(AND(ISNUMBER(AW104),ISNUMBER(AW178)),ROUND(AW104-AW178,1),"")</f>
        <v>0</v>
      </c>
      <c r="AX108" s="39" t="n">
        <f aca="false">IF(AND(ISNUMBER(AX104),ISNUMBER(AX178)),ROUND(AX104-AX178,1),"")</f>
        <v>0</v>
      </c>
      <c r="AY108" s="39" t="n">
        <f aca="false">IF(AND(ISNUMBER(AY104),ISNUMBER(AY178)),ROUND(AY104-AY178,1),"")</f>
        <v>0</v>
      </c>
      <c r="AZ108" s="39" t="n">
        <f aca="false">IF(AND(ISNUMBER(AZ104),ISNUMBER(AZ178)),ROUND(AZ104-AZ178,1),"")</f>
        <v>0</v>
      </c>
      <c r="BA108" s="39" t="n">
        <f aca="false">IF(AND(ISNUMBER(BA104),ISNUMBER(BA178)),ROUND(BA104-BA178,1),"")</f>
        <v>0</v>
      </c>
      <c r="BB108" s="39" t="n">
        <f aca="false">IF(AND(ISNUMBER(BB104),ISNUMBER(BB178)),ROUND(BB104-BB178,1),"")</f>
        <v>0</v>
      </c>
      <c r="BC108" s="39" t="n">
        <f aca="false">IF(AND(ISNUMBER(BC104),ISNUMBER(BC178)),ROUND(BC104-BC178,1),"")</f>
        <v>0</v>
      </c>
      <c r="BD108" s="39" t="n">
        <f aca="false">IF(AND(ISNUMBER(BD104),ISNUMBER(BD178)),ROUND(BD104-BD178,1),"")</f>
        <v>0</v>
      </c>
      <c r="BE108" s="39" t="n">
        <f aca="false">IF(AND(ISNUMBER(BE104),ISNUMBER(BE178)),ROUND(BE104-BE178,1),"")</f>
        <v>0</v>
      </c>
      <c r="BF108" s="39" t="n">
        <f aca="false">IF(AND(ISNUMBER(BF104),ISNUMBER(BF178)),ROUND(BF104-BF178,1),"")</f>
        <v>0</v>
      </c>
      <c r="BG108" s="39" t="n">
        <f aca="false">IF(AND(ISNUMBER(BG104),ISNUMBER(BG178)),ROUND(BG104-BG178,1),"")</f>
        <v>0</v>
      </c>
      <c r="BH108" s="39" t="n">
        <f aca="false">IF(AND(ISNUMBER(BH104),ISNUMBER(BH178)),ROUND(BH104-BH178,1),"")</f>
        <v>0</v>
      </c>
      <c r="BI108" s="39" t="n">
        <f aca="false">IF(AND(ISNUMBER(BI104),ISNUMBER(BI178)),ROUND(BI104-BI178,1),"")</f>
        <v>0</v>
      </c>
      <c r="BJ108" s="39" t="n">
        <f aca="false">IF(AND(ISNUMBER(BJ104),ISNUMBER(BJ178)),ROUND(BJ104-BJ178,1),"")</f>
        <v>0</v>
      </c>
      <c r="BK108" s="39" t="n">
        <f aca="false">IF(AND(ISNUMBER(BK104),ISNUMBER(BK178)),ROUND(BK104-BK178,1),"")</f>
        <v>0</v>
      </c>
      <c r="BL108" s="39" t="n">
        <f aca="false">IF(AND(ISNUMBER(BL104),ISNUMBER(BL178)),ROUND(BL104-BL178,1),"")</f>
        <v>0</v>
      </c>
      <c r="BM108" s="39" t="n">
        <f aca="false">IF(AND(ISNUMBER(BM104),ISNUMBER(BM178)),ROUND(BM104-BM178,1),"")</f>
        <v>0</v>
      </c>
      <c r="BN108" s="39" t="n">
        <f aca="false">IF(AND(ISNUMBER(BN104),ISNUMBER(BN178)),ROUND(BN104-BN178,1),"")</f>
        <v>0</v>
      </c>
      <c r="BO108" s="39" t="n">
        <f aca="false">IF(AND(ISNUMBER(BO104),ISNUMBER(BO178)),ROUND(BO104-BO178,1),"")</f>
        <v>0</v>
      </c>
      <c r="BP108" s="39" t="n">
        <f aca="false">IF(AND(ISNUMBER(BP104),ISNUMBER(BP178)),ROUND(BP104-BP178,1),"")</f>
        <v>0</v>
      </c>
      <c r="BQ108" s="39" t="n">
        <f aca="false">IF(AND(ISNUMBER(BQ104),ISNUMBER(BQ178)),ROUND(BQ104-BQ178,1),"")</f>
        <v>0</v>
      </c>
      <c r="BR108" s="39" t="n">
        <f aca="false">IF(AND(ISNUMBER(BR104),ISNUMBER(BR178)),ROUND(BR104-BR178,1),"")</f>
        <v>0</v>
      </c>
      <c r="BS108" s="39" t="n">
        <f aca="false">IF(AND(ISNUMBER(BS104),ISNUMBER(BS178)),ROUND(BS104-BS178,1),"")</f>
        <v>0</v>
      </c>
      <c r="BT108" s="39" t="n">
        <f aca="false">IF(AND(ISNUMBER(BT104),ISNUMBER(BT178)),ROUND(BT104-BT178,1),"")</f>
        <v>0</v>
      </c>
      <c r="BU108" s="39" t="n">
        <f aca="false">IF(AND(ISNUMBER(BU104),ISNUMBER(BU178)),ROUND(BU104-BU178,1),"")</f>
        <v>0</v>
      </c>
      <c r="BV108" s="39" t="n">
        <f aca="false">IF(AND(ISNUMBER(BV104),ISNUMBER(BV178)),ROUND(BV104-BV178,1),"")</f>
        <v>0</v>
      </c>
      <c r="BW108" s="39" t="n">
        <f aca="false">IF(AND(ISNUMBER(BW104),ISNUMBER(BW178)),ROUND(BW104-BW178,1),"")</f>
        <v>0</v>
      </c>
      <c r="BX108" s="39" t="n">
        <f aca="false">IF(AND(ISNUMBER(BX104),ISNUMBER(BX178)),ROUND(BX104-BX178,1),"")</f>
        <v>0</v>
      </c>
      <c r="BY108" s="56" t="n">
        <f aca="false">IF(AND(ISNUMBER(BY104),ISNUMBER(BY178)),ROUND(BY104-BY178,1),"")</f>
        <v>0</v>
      </c>
      <c r="BZ108" s="56" t="n">
        <f aca="false">IF(AND(ISNUMBER(BZ104),ISNUMBER(BZ178)),ROUND(BZ104-BZ178,1),"")</f>
        <v>0</v>
      </c>
      <c r="CA108" s="56" t="n">
        <f aca="false">IF(AND(ISNUMBER(CA104),ISNUMBER(CA178)),ROUND(CA104-CA178,1),"")</f>
        <v>0</v>
      </c>
      <c r="CB108" s="56" t="n">
        <f aca="false">IF(AND(ISNUMBER(CB104),ISNUMBER(CB178)),ROUND(CB104-CB178,1),"")</f>
        <v>0</v>
      </c>
      <c r="CC108" s="56" t="n">
        <f aca="false">IF(AND(ISNUMBER(CC104),ISNUMBER(CC178)),ROUND(CC104-CC178,1),"")</f>
        <v>0</v>
      </c>
      <c r="CD108" s="56" t="n">
        <f aca="false">IF(AND(ISNUMBER(CD104),ISNUMBER(CD178)),ROUND(CD104-CD178,1),"")</f>
        <v>0</v>
      </c>
      <c r="CE108" s="56" t="n">
        <f aca="false">IF(AND(ISNUMBER(CE104),ISNUMBER(CE178)),ROUND(CE104-CE178,1),"")</f>
        <v>0</v>
      </c>
      <c r="CF108" s="19" t="s">
        <v>236</v>
      </c>
    </row>
    <row r="109" customFormat="false" ht="15" hidden="false" customHeight="false" outlineLevel="0" collapsed="false">
      <c r="B109" s="26" t="s">
        <v>237</v>
      </c>
      <c r="G109" s="28" t="n">
        <v>0.140552</v>
      </c>
      <c r="H109" s="28" t="n">
        <v>0.147826</v>
      </c>
      <c r="I109" s="28" t="n">
        <v>0.012918</v>
      </c>
      <c r="J109" s="28" t="n">
        <v>-0.060004</v>
      </c>
      <c r="K109" s="28" t="n">
        <v>-0.048808</v>
      </c>
      <c r="L109" s="28" t="n">
        <v>-0.024937</v>
      </c>
      <c r="M109" s="28" t="n">
        <v>0.031317</v>
      </c>
      <c r="N109" s="28" t="n">
        <v>-0.0266</v>
      </c>
      <c r="O109" s="28" t="n">
        <v>-0.049973</v>
      </c>
      <c r="P109" s="28" t="n">
        <v>-0.0143</v>
      </c>
      <c r="Q109" s="28" t="n">
        <v>0.018966</v>
      </c>
      <c r="R109" s="28" t="n">
        <v>-0.034579</v>
      </c>
      <c r="S109" s="28" t="n">
        <v>-0.020299</v>
      </c>
      <c r="T109" s="28" t="n">
        <v>-0.00758</v>
      </c>
      <c r="U109" s="28" t="n">
        <v>-0.064988</v>
      </c>
      <c r="V109" s="28" t="n">
        <v>-0.102408</v>
      </c>
      <c r="W109" s="28" t="n">
        <v>-0.143532</v>
      </c>
      <c r="X109" s="28" t="n">
        <v>-0.079624</v>
      </c>
      <c r="Y109" s="28" t="n">
        <v>-0.142111</v>
      </c>
      <c r="Z109" s="28" t="n">
        <v>-0.096842</v>
      </c>
      <c r="AA109" s="28" t="n">
        <v>-0.127758</v>
      </c>
      <c r="AB109" s="28" t="n">
        <v>-0.012969</v>
      </c>
      <c r="AC109" s="28" t="n">
        <v>-0.097666</v>
      </c>
      <c r="AD109" s="28" t="n">
        <v>0.029278</v>
      </c>
      <c r="AE109" s="28" t="n">
        <v>0.032172</v>
      </c>
      <c r="AF109" s="28" t="n">
        <v>0.037768</v>
      </c>
      <c r="AG109" s="28" t="n">
        <v>0.06837</v>
      </c>
      <c r="AH109" s="28" t="n">
        <v>0.041841</v>
      </c>
      <c r="AI109" s="28" t="n">
        <v>0.051997</v>
      </c>
      <c r="AJ109" s="28" t="n">
        <v>0.043833</v>
      </c>
      <c r="AK109" s="28" t="n">
        <v>0.003882</v>
      </c>
      <c r="AL109" s="28" t="n">
        <v>-0.043482</v>
      </c>
      <c r="AM109" s="28" t="n">
        <v>0.01059</v>
      </c>
      <c r="AN109" s="28" t="n">
        <v>-0.036098</v>
      </c>
      <c r="AO109" s="28" t="n">
        <v>-0.051545</v>
      </c>
      <c r="AP109" s="28" t="n">
        <v>-0.040893</v>
      </c>
      <c r="AQ109" s="28" t="n">
        <v>-0.057379</v>
      </c>
      <c r="AR109" s="28" t="n">
        <v>-0.046521</v>
      </c>
      <c r="AS109" s="28" t="n">
        <v>-0.086145</v>
      </c>
      <c r="AT109" s="28" t="n">
        <v>-0.245014</v>
      </c>
      <c r="AU109" s="28" t="n">
        <v>-0.095146</v>
      </c>
      <c r="AV109" s="28" t="n">
        <v>-0.075894</v>
      </c>
      <c r="AW109" s="28" t="n">
        <v>-0.126925</v>
      </c>
      <c r="AX109" s="28" t="n">
        <v>0.02721</v>
      </c>
      <c r="AY109" s="28" t="n">
        <v>0.260359</v>
      </c>
      <c r="AZ109" s="28" t="n">
        <v>0.072517</v>
      </c>
      <c r="BA109" s="28" t="n">
        <v>0.056201</v>
      </c>
      <c r="BB109" s="28" t="n">
        <v>0.098064</v>
      </c>
      <c r="BC109" s="28" t="n">
        <v>0.031864</v>
      </c>
      <c r="BD109" s="28" t="n">
        <v>0.033696</v>
      </c>
      <c r="BE109" s="28" t="n">
        <v>0.088223</v>
      </c>
      <c r="BF109" s="28" t="n">
        <v>0.044115</v>
      </c>
      <c r="BG109" s="28" t="n">
        <v>0.049584</v>
      </c>
      <c r="BH109" s="28" t="n">
        <v>0.042116</v>
      </c>
      <c r="BI109" s="28" t="n">
        <v>0.03562</v>
      </c>
      <c r="BJ109" s="28" t="n">
        <v>-0.007005</v>
      </c>
      <c r="BK109" s="28" t="n">
        <v>0.020113</v>
      </c>
      <c r="BL109" s="28" t="n">
        <v>0.022781</v>
      </c>
      <c r="BM109" s="28" t="n">
        <v>-0.061367</v>
      </c>
      <c r="BN109" s="28" t="n">
        <v>-0.054447</v>
      </c>
      <c r="BO109" s="28" t="n">
        <v>-0.087027</v>
      </c>
      <c r="BP109" s="28" t="n">
        <v>-0.084757</v>
      </c>
      <c r="BQ109" s="28" t="n">
        <v>-0.071848</v>
      </c>
      <c r="BR109" s="28" t="n">
        <v>-0.038322</v>
      </c>
      <c r="BS109" s="28" t="n">
        <v>-0.023341</v>
      </c>
      <c r="BT109" s="28" t="n">
        <v>-0.021537</v>
      </c>
      <c r="BU109" s="28" t="n">
        <v>-0.063645</v>
      </c>
      <c r="BV109" s="28" t="n">
        <v>-0.036841</v>
      </c>
      <c r="BW109" s="28" t="n">
        <v>-0.025529</v>
      </c>
      <c r="BX109" s="28" t="n">
        <v>0.023689</v>
      </c>
      <c r="BY109" s="23" t="n">
        <f aca="false">IFERROR((BT10*BY13+BT29*BY32+BT48*BY51)/(BT10+BT29+BT48),"")</f>
        <v>0.0310410522682708</v>
      </c>
      <c r="BZ109" s="23" t="n">
        <f aca="false">IFERROR((BU10*BZ13+BU29*BZ32+BU48*BZ51)/(BU10+BU29+BU48),"")</f>
        <v>0.0291858314165455</v>
      </c>
      <c r="CA109" s="23" t="n">
        <f aca="false">IFERROR(SUMPRODUCT(BR102:BU102,BW109:BZ109)/SUM(BR102:BU102),"")</f>
        <v>0.0152547376784281</v>
      </c>
      <c r="CB109" s="23" t="n">
        <f aca="false">IFERROR((CA10*CB13+CA29*CB32+CA48*CB51)/(CA10+CA29+CA48),"")</f>
        <v>0.0279914818812689</v>
      </c>
      <c r="CC109" s="23" t="n">
        <f aca="false">IFERROR((CB10*CC13+CB29*CC32+CB48*CC51)/(CB10+CB29+CB48),"")</f>
        <v>0.0280204984567495</v>
      </c>
      <c r="CD109" s="23" t="n">
        <f aca="false">IFERROR((CC10*CD13+CC29*CD32+CC48*CD51)/(CC10+CC29+CC48),"")</f>
        <v>0.0248102338400133</v>
      </c>
      <c r="CE109" s="23" t="n">
        <f aca="false">IFERROR((CD10*CE13+CD29*CE32+CD48*CE51)/(CD10+CD29+CD48),"")</f>
        <v>0.0248236763843834</v>
      </c>
      <c r="CF109" s="19" t="s">
        <v>238</v>
      </c>
    </row>
    <row r="110" customFormat="false" ht="15" hidden="false" customHeight="false" outlineLevel="0" collapsed="false">
      <c r="B110" s="26" t="s">
        <v>239</v>
      </c>
      <c r="G110" s="28" t="n">
        <v>0.003581</v>
      </c>
      <c r="H110" s="28" t="n">
        <v>0.06903</v>
      </c>
      <c r="I110" s="28" t="n">
        <v>0.016997</v>
      </c>
      <c r="J110" s="28" t="n">
        <v>0.001254</v>
      </c>
      <c r="K110" s="28" t="n">
        <v>0.00098</v>
      </c>
      <c r="L110" s="28" t="n">
        <v>0.000552</v>
      </c>
      <c r="M110" s="28" t="n">
        <v>0.000143</v>
      </c>
      <c r="N110" s="28" t="n">
        <v>0.000744</v>
      </c>
      <c r="O110" s="28" t="n">
        <v>0.00413</v>
      </c>
      <c r="P110" s="28" t="n">
        <v>0.023</v>
      </c>
      <c r="Q110" s="28" t="n">
        <v>0.024571</v>
      </c>
      <c r="R110" s="28" t="n">
        <v>0.017254</v>
      </c>
      <c r="S110" s="28" t="n">
        <v>0.017501</v>
      </c>
      <c r="T110" s="28" t="n">
        <v>0.029104</v>
      </c>
      <c r="U110" s="28" t="n">
        <v>0.016434</v>
      </c>
      <c r="V110" s="28" t="n">
        <v>0.032741</v>
      </c>
      <c r="W110" s="28" t="n">
        <v>0.081615</v>
      </c>
      <c r="X110" s="28" t="n">
        <v>0.039514</v>
      </c>
      <c r="Y110" s="28" t="n">
        <v>0.113712</v>
      </c>
      <c r="Z110" s="28" t="n">
        <v>0.284343</v>
      </c>
      <c r="AA110" s="28" t="n">
        <v>-0.007245</v>
      </c>
      <c r="AB110" s="28" t="n">
        <v>0.000952</v>
      </c>
      <c r="AC110" s="28" t="n">
        <v>0.102411</v>
      </c>
      <c r="AD110" s="28" t="n">
        <v>0.020767</v>
      </c>
      <c r="AE110" s="28" t="n">
        <v>0.026372</v>
      </c>
      <c r="AF110" s="28" t="n">
        <v>0.017685</v>
      </c>
      <c r="AG110" s="28" t="n">
        <v>0.031887</v>
      </c>
      <c r="AH110" s="28" t="n">
        <v>0.024214</v>
      </c>
      <c r="AI110" s="28" t="n">
        <v>0.041668</v>
      </c>
      <c r="AJ110" s="28" t="n">
        <v>0.0493</v>
      </c>
      <c r="AK110" s="28" t="n">
        <v>0.070563</v>
      </c>
      <c r="AL110" s="28" t="n">
        <v>0.058678</v>
      </c>
      <c r="AM110" s="28" t="n">
        <v>0.055705</v>
      </c>
      <c r="AN110" s="28" t="n">
        <v>0.045339</v>
      </c>
      <c r="AO110" s="28" t="n">
        <v>0.017468</v>
      </c>
      <c r="AP110" s="28" t="n">
        <v>-0.005745</v>
      </c>
      <c r="AQ110" s="28" t="n">
        <v>-0.008339</v>
      </c>
      <c r="AR110" s="28" t="n">
        <v>0.012453</v>
      </c>
      <c r="AS110" s="28" t="n">
        <v>-0.008904</v>
      </c>
      <c r="AT110" s="28" t="n">
        <v>-0.003098</v>
      </c>
      <c r="AU110" s="28" t="n">
        <v>0.012124</v>
      </c>
      <c r="AV110" s="28" t="n">
        <v>0.02005</v>
      </c>
      <c r="AW110" s="28" t="n">
        <v>0.004813</v>
      </c>
      <c r="AX110" s="28" t="n">
        <v>0.03722</v>
      </c>
      <c r="AY110" s="28" t="n">
        <v>0.099912</v>
      </c>
      <c r="AZ110" s="28" t="n">
        <v>0.110289</v>
      </c>
      <c r="BA110" s="28" t="n">
        <v>0.133992</v>
      </c>
      <c r="BB110" s="28" t="n">
        <v>0.094857</v>
      </c>
      <c r="BC110" s="28" t="n">
        <v>0.189071</v>
      </c>
      <c r="BD110" s="28" t="n">
        <v>0.171198</v>
      </c>
      <c r="BE110" s="28" t="n">
        <v>0.124916</v>
      </c>
      <c r="BF110" s="28" t="n">
        <v>0.098985</v>
      </c>
      <c r="BG110" s="28" t="n">
        <v>0.14499</v>
      </c>
      <c r="BH110" s="28" t="n">
        <v>0.043366</v>
      </c>
      <c r="BI110" s="28" t="n">
        <v>0.008644</v>
      </c>
      <c r="BJ110" s="28" t="n">
        <v>0.010902</v>
      </c>
      <c r="BK110" s="28" t="n">
        <v>0.005839</v>
      </c>
      <c r="BL110" s="28" t="n">
        <v>0.017055</v>
      </c>
      <c r="BM110" s="28" t="n">
        <v>-0.000272</v>
      </c>
      <c r="BN110" s="28" t="n">
        <v>0.009524</v>
      </c>
      <c r="BO110" s="28" t="n">
        <v>0.009731</v>
      </c>
      <c r="BP110" s="28" t="n">
        <v>0.009944</v>
      </c>
      <c r="BQ110" s="28" t="n">
        <v>0.007252</v>
      </c>
      <c r="BR110" s="28" t="n">
        <v>0.026224</v>
      </c>
      <c r="BS110" s="28" t="n">
        <v>0.051851</v>
      </c>
      <c r="BT110" s="28" t="n">
        <v>0.077671</v>
      </c>
      <c r="BU110" s="28" t="n">
        <v>0.089453</v>
      </c>
      <c r="BV110" s="28" t="n">
        <v>0.061502</v>
      </c>
      <c r="BW110" s="28" t="n">
        <v>0.104101</v>
      </c>
      <c r="BX110" s="28" t="n">
        <v>0.077076</v>
      </c>
      <c r="BY110" s="23" t="n">
        <f aca="false">IFERROR((BT10*BY14+BT29*BY33+BT48*BY52)/(BT10+BT29+BT48),"")</f>
        <v>0.0756925734607205</v>
      </c>
      <c r="BZ110" s="23" t="n">
        <f aca="false">IFERROR((BU10*BZ14+BU29*BZ33+BU48*BZ52)/(BU10+BU29+BU48),"")</f>
        <v>0.0708012317766973</v>
      </c>
      <c r="CA110" s="23" t="n">
        <f aca="false">IFERROR(SUMPRODUCT(BR102:BU102,BW110:BZ110)/SUM(BR102:BU102),"")</f>
        <v>0.0815425145524348</v>
      </c>
      <c r="CB110" s="23" t="n">
        <f aca="false">IFERROR((CA10*CB14+CA29*CB33+CA48*CB52)/(CA10+CA29+CA48),"")</f>
        <v>0.0221800928643229</v>
      </c>
      <c r="CC110" s="23" t="n">
        <f aca="false">IFERROR((CB10*CC14+CB29*CC33+CB48*CC52)/(CB10+CB29+CB48),"")</f>
        <v>0.0222346992636498</v>
      </c>
      <c r="CD110" s="23" t="n">
        <f aca="false">IFERROR((CC10*CD14+CC29*CD33+CC48*CD52)/(CC10+CC29+CC48),"")</f>
        <v>0.0222636429162581</v>
      </c>
      <c r="CE110" s="23" t="n">
        <f aca="false">IFERROR((CD10*CE14+CD29*CE33+CD48*CE52)/(CD10+CD29+CD48),"")</f>
        <v>0.0222839416887165</v>
      </c>
    </row>
    <row r="111" customFormat="false" ht="15" hidden="false" customHeight="false" outlineLevel="0" collapsed="false">
      <c r="B111" s="26" t="s">
        <v>240</v>
      </c>
      <c r="G111" s="28" t="n">
        <v>0.05295</v>
      </c>
      <c r="H111" s="28" t="n">
        <v>0.05839</v>
      </c>
      <c r="I111" s="28" t="n">
        <v>0.049414</v>
      </c>
      <c r="J111" s="28" t="n">
        <v>0.055369</v>
      </c>
      <c r="K111" s="28" t="n">
        <v>0.03085</v>
      </c>
      <c r="L111" s="28" t="n">
        <v>0.021874</v>
      </c>
      <c r="M111" s="28" t="n">
        <v>0.018944</v>
      </c>
      <c r="N111" s="28" t="n">
        <v>0.032047</v>
      </c>
      <c r="O111" s="28" t="n">
        <v>0.010951</v>
      </c>
      <c r="P111" s="28" t="n">
        <v>0.011633</v>
      </c>
      <c r="Q111" s="28" t="n">
        <v>0.014334</v>
      </c>
      <c r="R111" s="28" t="n">
        <v>0.022295</v>
      </c>
      <c r="S111" s="28" t="n">
        <v>0.014788</v>
      </c>
      <c r="T111" s="28" t="n">
        <v>0.018204</v>
      </c>
      <c r="U111" s="28" t="n">
        <v>0.01956</v>
      </c>
      <c r="V111" s="28" t="n">
        <v>0.029951</v>
      </c>
      <c r="W111" s="28" t="n">
        <v>0.021155</v>
      </c>
      <c r="X111" s="28" t="n">
        <v>0.022261</v>
      </c>
      <c r="Y111" s="28" t="n">
        <v>0.015872</v>
      </c>
      <c r="Z111" s="28" t="n">
        <v>0.030125</v>
      </c>
      <c r="AA111" s="28" t="n">
        <v>0.021319</v>
      </c>
      <c r="AB111" s="28" t="n">
        <v>0.012733</v>
      </c>
      <c r="AC111" s="28" t="n">
        <v>0.020291</v>
      </c>
      <c r="AD111" s="28" t="n">
        <v>0.006061</v>
      </c>
      <c r="AE111" s="28" t="n">
        <v>0.002286</v>
      </c>
      <c r="AF111" s="28" t="n">
        <v>0.110386</v>
      </c>
      <c r="AG111" s="28" t="n">
        <v>0.203161</v>
      </c>
      <c r="AH111" s="28" t="n">
        <v>0.07997</v>
      </c>
      <c r="AI111" s="28" t="n">
        <v>0.183427</v>
      </c>
      <c r="AJ111" s="28" t="n">
        <v>0.160127</v>
      </c>
      <c r="AK111" s="28" t="n">
        <v>0.044036</v>
      </c>
      <c r="AL111" s="28" t="n">
        <v>0.003789</v>
      </c>
      <c r="AM111" s="28" t="n">
        <v>0.09116</v>
      </c>
      <c r="AN111" s="28" t="n">
        <v>0.024408</v>
      </c>
      <c r="AO111" s="28" t="n">
        <v>0.034388</v>
      </c>
      <c r="AP111" s="28" t="n">
        <v>0.053669</v>
      </c>
      <c r="AQ111" s="28" t="n">
        <v>0.059065</v>
      </c>
      <c r="AR111" s="28" t="n">
        <v>0.042644</v>
      </c>
      <c r="AS111" s="28" t="n">
        <v>0.032261</v>
      </c>
      <c r="AT111" s="28" t="n">
        <v>0.019587</v>
      </c>
      <c r="AU111" s="28" t="n">
        <v>0</v>
      </c>
      <c r="AV111" s="28" t="n">
        <v>0</v>
      </c>
      <c r="AW111" s="28" t="n">
        <v>0.013223</v>
      </c>
      <c r="AX111" s="28" t="n">
        <v>0</v>
      </c>
      <c r="AY111" s="28" t="n">
        <v>0.006069</v>
      </c>
      <c r="AZ111" s="28" t="n">
        <v>0.01981</v>
      </c>
      <c r="BA111" s="28" t="n">
        <v>0.046974</v>
      </c>
      <c r="BB111" s="28" t="n">
        <v>0.018613</v>
      </c>
      <c r="BC111" s="28" t="n">
        <v>0.046008</v>
      </c>
      <c r="BD111" s="28" t="n">
        <v>0.028851</v>
      </c>
      <c r="BE111" s="28" t="n">
        <v>0.012742</v>
      </c>
      <c r="BF111" s="28" t="n">
        <v>0.006747</v>
      </c>
      <c r="BG111" s="28" t="n">
        <v>0.02308</v>
      </c>
      <c r="BH111" s="28" t="n">
        <v>0.056843</v>
      </c>
      <c r="BI111" s="28" t="n">
        <v>0.051523</v>
      </c>
      <c r="BJ111" s="28" t="n">
        <v>0.088451</v>
      </c>
      <c r="BK111" s="28" t="n">
        <v>0.09806</v>
      </c>
      <c r="BL111" s="28" t="n">
        <v>0.073532</v>
      </c>
      <c r="BM111" s="28" t="n">
        <v>0.004006</v>
      </c>
      <c r="BN111" s="28" t="n">
        <v>0.011764</v>
      </c>
      <c r="BO111" s="28" t="n">
        <v>0.030271</v>
      </c>
      <c r="BP111" s="28" t="n">
        <v>0.051808</v>
      </c>
      <c r="BQ111" s="28" t="n">
        <v>0.024515</v>
      </c>
      <c r="BR111" s="28" t="n">
        <v>0.049065</v>
      </c>
      <c r="BS111" s="28" t="n">
        <v>0.02986</v>
      </c>
      <c r="BT111" s="28" t="n">
        <v>0.016986</v>
      </c>
      <c r="BU111" s="28" t="n">
        <v>0.010879</v>
      </c>
      <c r="BV111" s="28" t="n">
        <v>0.026562</v>
      </c>
      <c r="BW111" s="28" t="n">
        <v>0.015725</v>
      </c>
      <c r="BX111" s="28" t="n">
        <v>0.014874</v>
      </c>
      <c r="BY111" s="23" t="n">
        <f aca="false">IFERROR((BT10*BY15+BT29*BY34+BT48*BY53)/(BT10+BT29+BT48),"")</f>
        <v>0.00724351623168276</v>
      </c>
      <c r="BZ111" s="23" t="n">
        <f aca="false">IFERROR((BU10*BZ15+BU29*BZ34+BU48*BZ53)/(BU10+BU29+BU48),"")</f>
        <v>0</v>
      </c>
      <c r="CA111" s="23" t="n">
        <f aca="false">IFERROR(SUMPRODUCT(BR102:BU102,BW111:BZ111)/SUM(BR102:BU102),"")</f>
        <v>0.00937252784890538</v>
      </c>
      <c r="CB111" s="23" t="n">
        <f aca="false">IFERROR(CB90/CA133,"")</f>
        <v>0.0132420911724355</v>
      </c>
      <c r="CC111" s="23" t="n">
        <f aca="false">IFERROR(CC90/CB133,"")</f>
        <v>0.0383535044905518</v>
      </c>
      <c r="CD111" s="23" t="n">
        <f aca="false">IFERROR(CD90/CC133,"")</f>
        <v>0.0607055004383054</v>
      </c>
      <c r="CE111" s="23" t="n">
        <f aca="false">IFERROR(CE90/CD133,"")</f>
        <v>0.0810439483820034</v>
      </c>
      <c r="CF111" s="19" t="s">
        <v>241</v>
      </c>
    </row>
    <row r="112" customFormat="false" ht="15" hidden="false" customHeight="false" outlineLevel="0" collapsed="false">
      <c r="B112" s="26" t="s">
        <v>242</v>
      </c>
      <c r="G112" s="28" t="n">
        <v>4.3E-005</v>
      </c>
      <c r="H112" s="28" t="n">
        <v>0.026389</v>
      </c>
      <c r="I112" s="28" t="n">
        <v>-0.020413</v>
      </c>
      <c r="J112" s="28" t="n">
        <v>-0.008377</v>
      </c>
      <c r="K112" s="28" t="n">
        <v>-0.00535</v>
      </c>
      <c r="L112" s="28" t="n">
        <v>-0.005627</v>
      </c>
      <c r="M112" s="28" t="n">
        <v>-0.006377</v>
      </c>
      <c r="N112" s="28" t="n">
        <v>-0.006436</v>
      </c>
      <c r="O112" s="28" t="n">
        <v>-0.011744</v>
      </c>
      <c r="P112" s="28" t="n">
        <v>-0.018822</v>
      </c>
      <c r="Q112" s="28" t="n">
        <v>-0.023324</v>
      </c>
      <c r="R112" s="28" t="n">
        <v>-0.048111</v>
      </c>
      <c r="S112" s="28" t="n">
        <v>-0.025783</v>
      </c>
      <c r="T112" s="28" t="n">
        <v>-0.079377</v>
      </c>
      <c r="U112" s="28" t="n">
        <v>-0.058567</v>
      </c>
      <c r="V112" s="28" t="n">
        <v>-0.058933</v>
      </c>
      <c r="W112" s="28" t="n">
        <v>-0.128795</v>
      </c>
      <c r="X112" s="28" t="n">
        <v>-0.080801</v>
      </c>
      <c r="Y112" s="28" t="n">
        <v>-0.150382</v>
      </c>
      <c r="Z112" s="28" t="n">
        <v>-0.326422</v>
      </c>
      <c r="AA112" s="28" t="n">
        <v>-0.006471</v>
      </c>
      <c r="AB112" s="28" t="n">
        <v>-0.008035</v>
      </c>
      <c r="AC112" s="28" t="n">
        <v>-0.128032</v>
      </c>
      <c r="AD112" s="28" t="n">
        <v>-0.001315</v>
      </c>
      <c r="AE112" s="28" t="n">
        <v>-0.002694</v>
      </c>
      <c r="AF112" s="28" t="n">
        <v>0.013577</v>
      </c>
      <c r="AG112" s="28" t="n">
        <v>0.021781</v>
      </c>
      <c r="AH112" s="28" t="n">
        <v>0.007767</v>
      </c>
      <c r="AI112" s="28" t="n">
        <v>0.027263</v>
      </c>
      <c r="AJ112" s="28" t="n">
        <v>0.007077</v>
      </c>
      <c r="AK112" s="28" t="n">
        <v>-0.017497</v>
      </c>
      <c r="AL112" s="28" t="n">
        <v>-0.023479</v>
      </c>
      <c r="AM112" s="28" t="n">
        <v>-0.003423</v>
      </c>
      <c r="AN112" s="28" t="n">
        <v>-0.031699</v>
      </c>
      <c r="AO112" s="28" t="n">
        <v>-0.016822</v>
      </c>
      <c r="AP112" s="28" t="n">
        <v>-0.015599</v>
      </c>
      <c r="AQ112" s="28" t="n">
        <v>-0.003456</v>
      </c>
      <c r="AR112" s="28" t="n">
        <v>-0.016964</v>
      </c>
      <c r="AS112" s="28" t="n">
        <v>-0.012535</v>
      </c>
      <c r="AT112" s="28" t="n">
        <v>-0.011216</v>
      </c>
      <c r="AU112" s="28" t="n">
        <v>-0.001675</v>
      </c>
      <c r="AV112" s="28" t="n">
        <v>-0.001895</v>
      </c>
      <c r="AW112" s="28" t="n">
        <v>-0.006942</v>
      </c>
      <c r="AX112" s="28" t="n">
        <v>0.013962</v>
      </c>
      <c r="AY112" s="28" t="n">
        <v>0.032705</v>
      </c>
      <c r="AZ112" s="28" t="n">
        <v>0.003047</v>
      </c>
      <c r="BA112" s="28" t="n">
        <v>-0.020306</v>
      </c>
      <c r="BB112" s="28" t="n">
        <v>0.006429</v>
      </c>
      <c r="BC112" s="28" t="n">
        <v>-0.044457</v>
      </c>
      <c r="BD112" s="28" t="n">
        <v>-0.060553</v>
      </c>
      <c r="BE112" s="28" t="n">
        <v>-0.066187</v>
      </c>
      <c r="BF112" s="28" t="n">
        <v>-0.047172</v>
      </c>
      <c r="BG112" s="28" t="n">
        <v>-0.054697</v>
      </c>
      <c r="BH112" s="28" t="n">
        <v>-0.019254</v>
      </c>
      <c r="BI112" s="28" t="n">
        <v>-0.001958</v>
      </c>
      <c r="BJ112" s="28" t="n">
        <v>0.01241</v>
      </c>
      <c r="BK112" s="28" t="n">
        <v>0.013033</v>
      </c>
      <c r="BL112" s="28" t="n">
        <v>0.001069</v>
      </c>
      <c r="BM112" s="28" t="n">
        <v>0.001688</v>
      </c>
      <c r="BN112" s="28" t="n">
        <v>-0.003503</v>
      </c>
      <c r="BO112" s="28" t="n">
        <v>-0.000839</v>
      </c>
      <c r="BP112" s="28" t="n">
        <v>-0.011461</v>
      </c>
      <c r="BQ112" s="28" t="n">
        <v>-0.003569</v>
      </c>
      <c r="BR112" s="28" t="n">
        <v>-0.013332</v>
      </c>
      <c r="BS112" s="28" t="n">
        <v>0.007199</v>
      </c>
      <c r="BT112" s="28" t="n">
        <v>0.005626</v>
      </c>
      <c r="BU112" s="28" t="n">
        <v>0.018774</v>
      </c>
      <c r="BV112" s="28" t="n">
        <v>0.004739</v>
      </c>
      <c r="BW112" s="28" t="n">
        <v>0.022237</v>
      </c>
      <c r="BX112" s="28" t="n">
        <v>0.004681</v>
      </c>
      <c r="BY112" s="23" t="n">
        <f aca="false">IFERROR((BT10*BY16+BT29*BY35+BT48*BY54)/(BT10+BT29+BT48),"")</f>
        <v>0.00463590567710773</v>
      </c>
      <c r="BZ112" s="23" t="n">
        <f aca="false">IFERROR((BU10*BZ16+BU29*BZ35+BU48*BZ54)/(BU10+BU29+BU48),"")</f>
        <v>0.00465964728589108</v>
      </c>
      <c r="CA112" s="23" t="n">
        <f aca="false">IFERROR(SUMPRODUCT(BR102:BU102,BW112:BZ112)/SUM(BR102:BU102),"")</f>
        <v>0.00882986238493098</v>
      </c>
      <c r="CB112" s="30" t="n">
        <v>0</v>
      </c>
      <c r="CC112" s="30" t="n">
        <v>0</v>
      </c>
      <c r="CD112" s="30" t="n">
        <v>0</v>
      </c>
      <c r="CE112" s="30" t="n">
        <v>0</v>
      </c>
    </row>
    <row r="113" customFormat="false" ht="15" hidden="false" customHeight="false" outlineLevel="0" collapsed="false">
      <c r="B113" s="15" t="s">
        <v>136</v>
      </c>
      <c r="C113" s="32" t="str">
        <f aca="false">IF(ISNUMBER(C109),C109+C110,"")</f>
        <v/>
      </c>
      <c r="D113" s="32" t="str">
        <f aca="false">IF(ISNUMBER(D109),D109+D110,"")</f>
        <v/>
      </c>
      <c r="E113" s="32" t="str">
        <f aca="false">IF(ISNUMBER(E109),E109+E110,"")</f>
        <v/>
      </c>
      <c r="F113" s="32" t="str">
        <f aca="false">IF(ISNUMBER(F109),F109+F110,"")</f>
        <v/>
      </c>
      <c r="G113" s="32" t="n">
        <f aca="false">IF(ISNUMBER(G109),G109+G110,"")</f>
        <v>0.144133</v>
      </c>
      <c r="H113" s="32" t="n">
        <f aca="false">IF(ISNUMBER(H109),H109+H110,"")</f>
        <v>0.216856</v>
      </c>
      <c r="I113" s="32" t="n">
        <f aca="false">IF(ISNUMBER(I109),I109+I110,"")</f>
        <v>0.029915</v>
      </c>
      <c r="J113" s="32" t="n">
        <f aca="false">IF(ISNUMBER(J109),J109+J110,"")</f>
        <v>-0.05875</v>
      </c>
      <c r="K113" s="32" t="n">
        <f aca="false">IF(ISNUMBER(K109),K109+K110,"")</f>
        <v>-0.047828</v>
      </c>
      <c r="L113" s="32" t="n">
        <f aca="false">IF(ISNUMBER(L109),L109+L110,"")</f>
        <v>-0.024385</v>
      </c>
      <c r="M113" s="32" t="n">
        <f aca="false">IF(ISNUMBER(M109),M109+M110,"")</f>
        <v>0.03146</v>
      </c>
      <c r="N113" s="32" t="n">
        <f aca="false">IF(ISNUMBER(N109),N109+N110,"")</f>
        <v>-0.025856</v>
      </c>
      <c r="O113" s="32" t="n">
        <f aca="false">IF(ISNUMBER(O109),O109+O110,"")</f>
        <v>-0.045843</v>
      </c>
      <c r="P113" s="32" t="n">
        <f aca="false">IF(ISNUMBER(P109),P109+P110,"")</f>
        <v>0.0087</v>
      </c>
      <c r="Q113" s="32" t="n">
        <f aca="false">IF(ISNUMBER(Q109),Q109+Q110,"")</f>
        <v>0.043537</v>
      </c>
      <c r="R113" s="32" t="n">
        <f aca="false">IF(ISNUMBER(R109),R109+R110,"")</f>
        <v>-0.017325</v>
      </c>
      <c r="S113" s="32" t="n">
        <f aca="false">IF(ISNUMBER(S109),S109+S110,"")</f>
        <v>-0.002798</v>
      </c>
      <c r="T113" s="32" t="n">
        <f aca="false">IF(ISNUMBER(T109),T109+T110,"")</f>
        <v>0.021524</v>
      </c>
      <c r="U113" s="32" t="n">
        <f aca="false">IF(ISNUMBER(U109),U109+U110,"")</f>
        <v>-0.048554</v>
      </c>
      <c r="V113" s="32" t="n">
        <f aca="false">IF(ISNUMBER(V109),V109+V110,"")</f>
        <v>-0.069667</v>
      </c>
      <c r="W113" s="32" t="n">
        <f aca="false">IF(ISNUMBER(W109),W109+W110,"")</f>
        <v>-0.061917</v>
      </c>
      <c r="X113" s="32" t="n">
        <f aca="false">IF(ISNUMBER(X109),X109+X110,"")</f>
        <v>-0.04011</v>
      </c>
      <c r="Y113" s="32" t="n">
        <f aca="false">IF(ISNUMBER(Y109),Y109+Y110,"")</f>
        <v>-0.028399</v>
      </c>
      <c r="Z113" s="32" t="n">
        <f aca="false">IF(ISNUMBER(Z109),Z109+Z110,"")</f>
        <v>0.187501</v>
      </c>
      <c r="AA113" s="32" t="n">
        <f aca="false">IF(ISNUMBER(AA109),AA109+AA110,"")</f>
        <v>-0.135003</v>
      </c>
      <c r="AB113" s="32" t="n">
        <f aca="false">IF(ISNUMBER(AB109),AB109+AB110,"")</f>
        <v>-0.012017</v>
      </c>
      <c r="AC113" s="32" t="n">
        <f aca="false">IF(ISNUMBER(AC109),AC109+AC110,"")</f>
        <v>0.004745</v>
      </c>
      <c r="AD113" s="32" t="n">
        <f aca="false">IF(ISNUMBER(AD109),AD109+AD110,"")</f>
        <v>0.050045</v>
      </c>
      <c r="AE113" s="32" t="n">
        <f aca="false">IF(ISNUMBER(AE109),AE109+AE110,"")</f>
        <v>0.058544</v>
      </c>
      <c r="AF113" s="32" t="n">
        <f aca="false">IF(ISNUMBER(AF109),AF109+AF110,"")</f>
        <v>0.055453</v>
      </c>
      <c r="AG113" s="32" t="n">
        <f aca="false">IF(ISNUMBER(AG109),AG109+AG110,"")</f>
        <v>0.100257</v>
      </c>
      <c r="AH113" s="32" t="n">
        <f aca="false">IF(ISNUMBER(AH109),AH109+AH110,"")</f>
        <v>0.066055</v>
      </c>
      <c r="AI113" s="32" t="n">
        <f aca="false">IF(ISNUMBER(AI109),AI109+AI110,"")</f>
        <v>0.093665</v>
      </c>
      <c r="AJ113" s="32" t="n">
        <f aca="false">IF(ISNUMBER(AJ109),AJ109+AJ110,"")</f>
        <v>0.093133</v>
      </c>
      <c r="AK113" s="32" t="n">
        <f aca="false">IF(ISNUMBER(AK109),AK109+AK110,"")</f>
        <v>0.074445</v>
      </c>
      <c r="AL113" s="32" t="n">
        <f aca="false">IF(ISNUMBER(AL109),AL109+AL110,"")</f>
        <v>0.015196</v>
      </c>
      <c r="AM113" s="32" t="n">
        <f aca="false">IF(ISNUMBER(AM109),AM109+AM110,"")</f>
        <v>0.066295</v>
      </c>
      <c r="AN113" s="32" t="n">
        <f aca="false">IF(ISNUMBER(AN109),AN109+AN110,"")</f>
        <v>0.009241</v>
      </c>
      <c r="AO113" s="32" t="n">
        <f aca="false">IF(ISNUMBER(AO109),AO109+AO110,"")</f>
        <v>-0.034077</v>
      </c>
      <c r="AP113" s="32" t="n">
        <f aca="false">IF(ISNUMBER(AP109),AP109+AP110,"")</f>
        <v>-0.046638</v>
      </c>
      <c r="AQ113" s="32" t="n">
        <f aca="false">IF(ISNUMBER(AQ109),AQ109+AQ110,"")</f>
        <v>-0.065718</v>
      </c>
      <c r="AR113" s="32" t="n">
        <f aca="false">IF(ISNUMBER(AR109),AR109+AR110,"")</f>
        <v>-0.034068</v>
      </c>
      <c r="AS113" s="32" t="n">
        <f aca="false">IF(ISNUMBER(AS109),AS109+AS110,"")</f>
        <v>-0.095049</v>
      </c>
      <c r="AT113" s="32" t="n">
        <f aca="false">IF(ISNUMBER(AT109),AT109+AT110,"")</f>
        <v>-0.248112</v>
      </c>
      <c r="AU113" s="32" t="n">
        <f aca="false">IF(ISNUMBER(AU109),AU109+AU110,"")</f>
        <v>-0.083022</v>
      </c>
      <c r="AV113" s="32" t="n">
        <f aca="false">IF(ISNUMBER(AV109),AV109+AV110,"")</f>
        <v>-0.055844</v>
      </c>
      <c r="AW113" s="32" t="n">
        <f aca="false">IF(ISNUMBER(AW109),AW109+AW110,"")</f>
        <v>-0.122112</v>
      </c>
      <c r="AX113" s="32" t="n">
        <f aca="false">IF(ISNUMBER(AX109),AX109+AX110,"")</f>
        <v>0.06443</v>
      </c>
      <c r="AY113" s="32" t="n">
        <f aca="false">IF(ISNUMBER(AY109),AY109+AY110,"")</f>
        <v>0.360271</v>
      </c>
      <c r="AZ113" s="32" t="n">
        <f aca="false">IF(ISNUMBER(AZ109),AZ109+AZ110,"")</f>
        <v>0.182806</v>
      </c>
      <c r="BA113" s="32" t="n">
        <f aca="false">IF(ISNUMBER(BA109),BA109+BA110,"")</f>
        <v>0.190193</v>
      </c>
      <c r="BB113" s="32" t="n">
        <f aca="false">IF(ISNUMBER(BB109),BB109+BB110,"")</f>
        <v>0.192921</v>
      </c>
      <c r="BC113" s="32" t="n">
        <f aca="false">IF(ISNUMBER(BC109),BC109+BC110,"")</f>
        <v>0.220935</v>
      </c>
      <c r="BD113" s="32" t="n">
        <f aca="false">IF(ISNUMBER(BD109),BD109+BD110,"")</f>
        <v>0.204894</v>
      </c>
      <c r="BE113" s="32" t="n">
        <f aca="false">IF(ISNUMBER(BE109),BE109+BE110,"")</f>
        <v>0.213139</v>
      </c>
      <c r="BF113" s="32" t="n">
        <f aca="false">IF(ISNUMBER(BF109),BF109+BF110,"")</f>
        <v>0.1431</v>
      </c>
      <c r="BG113" s="32" t="n">
        <f aca="false">IF(ISNUMBER(BG109),BG109+BG110,"")</f>
        <v>0.194574</v>
      </c>
      <c r="BH113" s="32" t="n">
        <f aca="false">IF(ISNUMBER(BH109),BH109+BH110,"")</f>
        <v>0.085482</v>
      </c>
      <c r="BI113" s="32" t="n">
        <f aca="false">IF(ISNUMBER(BI109),BI109+BI110,"")</f>
        <v>0.044264</v>
      </c>
      <c r="BJ113" s="32" t="n">
        <f aca="false">IF(ISNUMBER(BJ109),BJ109+BJ110,"")</f>
        <v>0.003897</v>
      </c>
      <c r="BK113" s="32" t="n">
        <f aca="false">IF(ISNUMBER(BK109),BK109+BK110,"")</f>
        <v>0.025952</v>
      </c>
      <c r="BL113" s="32" t="n">
        <f aca="false">IF(ISNUMBER(BL109),BL109+BL110,"")</f>
        <v>0.039836</v>
      </c>
      <c r="BM113" s="32" t="n">
        <f aca="false">IF(ISNUMBER(BM109),BM109+BM110,"")</f>
        <v>-0.061639</v>
      </c>
      <c r="BN113" s="32" t="n">
        <f aca="false">IF(ISNUMBER(BN109),BN109+BN110,"")</f>
        <v>-0.044923</v>
      </c>
      <c r="BO113" s="32" t="n">
        <f aca="false">IF(ISNUMBER(BO109),BO109+BO110,"")</f>
        <v>-0.077296</v>
      </c>
      <c r="BP113" s="32" t="n">
        <f aca="false">IF(ISNUMBER(BP109),BP109+BP110,"")</f>
        <v>-0.074813</v>
      </c>
      <c r="BQ113" s="32" t="n">
        <f aca="false">IF(ISNUMBER(BQ109),BQ109+BQ110,"")</f>
        <v>-0.064596</v>
      </c>
      <c r="BR113" s="32" t="n">
        <f aca="false">IF(ISNUMBER(BR109),BR109+BR110,"")</f>
        <v>-0.012098</v>
      </c>
      <c r="BS113" s="32" t="n">
        <f aca="false">IF(ISNUMBER(BS109),BS109+BS110,"")</f>
        <v>0.02851</v>
      </c>
      <c r="BT113" s="32" t="n">
        <f aca="false">IF(ISNUMBER(BT109),BT109+BT110,"")</f>
        <v>0.056134</v>
      </c>
      <c r="BU113" s="32" t="n">
        <f aca="false">IF(ISNUMBER(BU109),BU109+BU110,"")</f>
        <v>0.025808</v>
      </c>
      <c r="BV113" s="32" t="n">
        <f aca="false">IF(ISNUMBER(BV109),BV109+BV110,"")</f>
        <v>0.024661</v>
      </c>
      <c r="BW113" s="32" t="n">
        <f aca="false">IF(ISNUMBER(BW109),BW109+BW110,"")</f>
        <v>0.078572</v>
      </c>
      <c r="BX113" s="32" t="n">
        <f aca="false">IF(ISNUMBER(BX109),BX109+BX110,"")</f>
        <v>0.100765</v>
      </c>
      <c r="BY113" s="33" t="n">
        <f aca="false">IF(ISNUMBER(BY109),BY109+BY110,"")</f>
        <v>0.106733625728991</v>
      </c>
      <c r="BZ113" s="33" t="n">
        <f aca="false">IF(ISNUMBER(BZ109),BZ109+BZ110,"")</f>
        <v>0.0999870631932428</v>
      </c>
      <c r="CA113" s="33" t="n">
        <f aca="false">IF(ISNUMBER(CA109),CA109+CA110,"")</f>
        <v>0.0967972522308628</v>
      </c>
      <c r="CB113" s="33" t="n">
        <f aca="false">IF(ISNUMBER(CB109),CB109+CB110,"")</f>
        <v>0.0501715747455918</v>
      </c>
      <c r="CC113" s="33" t="n">
        <f aca="false">IF(ISNUMBER(CC109),CC109+CC110,"")</f>
        <v>0.0502551977203993</v>
      </c>
      <c r="CD113" s="33" t="n">
        <f aca="false">IF(ISNUMBER(CD109),CD109+CD110,"")</f>
        <v>0.0470738767562714</v>
      </c>
      <c r="CE113" s="33" t="n">
        <f aca="false">IF(ISNUMBER(CE109),CE109+CE110,"")</f>
        <v>0.0471076180730999</v>
      </c>
      <c r="CH113" s="60" t="n">
        <f aca="false">IFERROR(AVERAGE(CA113,CB113,CC113,CD113,CE113),"n/m")</f>
        <v>0.058281103905245</v>
      </c>
      <c r="CI113" s="60" t="n">
        <f aca="false">IFERROR(AVERAGE(BB113,BG113,BL113,BQ113,BV113),"n/m")</f>
        <v>0.0774792</v>
      </c>
      <c r="CJ113" s="60" t="n">
        <f aca="false">IFERROR(AVERAGE(AC113,AH113,AM113,AR113,AW113,BB113,BG113,BL113,BQ113,BV113),"n/m")</f>
        <v>0.0368311</v>
      </c>
      <c r="CK113" s="60" t="n">
        <f aca="false">IFERROR(AVERAGE(C113,D113,E113,F113,G113,H113,I113,N113,S113,X113,AC113,AH113,AM113,AR113,AW113,BB113,BG113,BL113,BQ113,BV113),"n/m")</f>
        <v>0.0431531875</v>
      </c>
    </row>
    <row r="114" customFormat="false" ht="15" hidden="false" customHeight="false" outlineLevel="0" collapsed="false">
      <c r="B114" s="37" t="s">
        <v>243</v>
      </c>
      <c r="CA114" s="23" t="n">
        <f aca="false">CHOOSE(MATCH($CF$2,{"Bull","Base","Bear"},0),$CO$12,$CP$12,$CQ$12)</f>
        <v>0.115</v>
      </c>
      <c r="CF114" s="19" t="s">
        <v>244</v>
      </c>
    </row>
    <row r="115" customFormat="false" ht="15" hidden="false" customHeight="false" outlineLevel="0" collapsed="false">
      <c r="B115" s="37" t="s">
        <v>245</v>
      </c>
      <c r="CA115" s="51" t="n">
        <f aca="false">BV133*(1+CA114)</f>
        <v>4719.798345</v>
      </c>
    </row>
    <row r="116" customFormat="false" ht="15" hidden="false" customHeight="false" outlineLevel="0" collapsed="false">
      <c r="B116" s="25" t="s">
        <v>246</v>
      </c>
      <c r="BY116" s="51" t="n">
        <f aca="false">BT10*(1+BY12+BY14+BY15+BY16)+BT29*(1+BY31+BY33+BY34+BY35)+BT48*(1+BY50+BY52+BY53+BY54)</f>
        <v>1180.978118774</v>
      </c>
      <c r="BZ116" s="51" t="n">
        <f aca="false">BU10*(1+BZ12+BZ14+BZ15+BZ16)+BU29*(1+BZ31+BZ33+BZ34+BZ35)+BU48*(1+BZ50+BZ52+BZ53+BZ54)</f>
        <v>1185.373804616</v>
      </c>
    </row>
    <row r="117" customFormat="false" ht="15" hidden="false" customHeight="false" outlineLevel="0" collapsed="false">
      <c r="B117" s="25" t="s">
        <v>247</v>
      </c>
      <c r="BY117" s="51" t="n">
        <f aca="false">BT10+BT29+BT48</f>
        <v>1061.227</v>
      </c>
      <c r="BZ117" s="51" t="n">
        <f aca="false">BU10+BU29+BU48</f>
        <v>1078.715</v>
      </c>
    </row>
    <row r="118" customFormat="false" ht="15" hidden="false" customHeight="false" outlineLevel="0" collapsed="false">
      <c r="B118" s="25" t="s">
        <v>248</v>
      </c>
      <c r="BY118" s="23" t="n">
        <f aca="false">($CA$115-$BW$133-$BX$133-$BY$116-$BZ$116)/($BY$117+$BZ$117)</f>
        <v>0.00577091416963597</v>
      </c>
      <c r="BZ118" s="23" t="n">
        <f aca="false">($CA$115-$BW$133-$BX$133-$BY$116-$BZ$116)/($BY$117+$BZ$117)</f>
        <v>0.00577091416963597</v>
      </c>
      <c r="CF118" s="19" t="s">
        <v>249</v>
      </c>
    </row>
    <row r="119" customFormat="false" ht="15" hidden="false" customHeight="false" outlineLevel="0" collapsed="false">
      <c r="B119" s="36" t="s">
        <v>250</v>
      </c>
      <c r="CA119" s="56" t="n">
        <f aca="false">ROUND(CA133-CA115,1)</f>
        <v>0</v>
      </c>
    </row>
    <row r="120" customFormat="false" ht="15" hidden="false" customHeight="false" outlineLevel="0" collapsed="false">
      <c r="B120" s="37" t="s">
        <v>251</v>
      </c>
      <c r="CA120" s="23" t="n">
        <f aca="false">CHOOSE(MATCH($CF$2,{"Bull","Base","Bear"},0),$CO$13,$CP$13,$CQ$13)</f>
        <v>0.23</v>
      </c>
    </row>
    <row r="121" customFormat="false" ht="15" hidden="false" customHeight="false" outlineLevel="0" collapsed="false">
      <c r="B121" s="37" t="s">
        <v>252</v>
      </c>
      <c r="CA121" s="51" t="n">
        <f aca="false">$BT$178+$BU$178+CA120*(($BY$133+$BZ$133)-($BT$133+$BU$133))</f>
        <v>438.50864935</v>
      </c>
    </row>
    <row r="122" customFormat="false" ht="15" hidden="false" customHeight="false" outlineLevel="0" collapsed="false">
      <c r="B122" s="25" t="s">
        <v>253</v>
      </c>
      <c r="BY122" s="51" t="n">
        <f aca="false">BY10*BY24+BY29*BY43+BY48*BY62+BY67</f>
        <v>208.461364992551</v>
      </c>
      <c r="BZ122" s="51" t="n">
        <f aca="false">BZ10*BZ24+BZ29*BZ43+BZ48*BZ62+BZ67</f>
        <v>216.476028026081</v>
      </c>
    </row>
    <row r="123" customFormat="false" ht="15" hidden="false" customHeight="false" outlineLevel="0" collapsed="false">
      <c r="B123" s="25" t="s">
        <v>254</v>
      </c>
      <c r="BY123" s="23" t="n">
        <f aca="false">($CA$121-$BY$122-$BZ$122)/($BY$102+$BZ$102)</f>
        <v>0.00570532167053875</v>
      </c>
      <c r="BZ123" s="23" t="n">
        <f aca="false">($CA$121-$BY$122-$BZ$122)/($BY$102+$BZ$102)</f>
        <v>0.00570532167053875</v>
      </c>
      <c r="CF123" s="19" t="s">
        <v>255</v>
      </c>
    </row>
    <row r="124" customFormat="false" ht="15" hidden="false" customHeight="false" outlineLevel="0" collapsed="false">
      <c r="B124" s="36" t="s">
        <v>256</v>
      </c>
      <c r="CA124" s="56" t="n">
        <f aca="false">ROUND($BY$104+$BZ$104-CA121,1)</f>
        <v>0</v>
      </c>
    </row>
    <row r="126" customFormat="false" ht="15" hidden="false" customHeight="false" outlineLevel="0" collapsed="false">
      <c r="B126" s="11" t="s">
        <v>257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</row>
    <row r="127" customFormat="false" ht="15" hidden="false" customHeight="false" outlineLevel="0" collapsed="false">
      <c r="B127" s="21" t="s">
        <v>258</v>
      </c>
      <c r="C127" s="22" t="n">
        <f aca="false">IF(AND(ISNUMBER(C152),ISNUMBER(C133)),IFERROR((C152-N(C94))/C133,""),"")</f>
        <v>0.0242530737886775</v>
      </c>
      <c r="D127" s="22" t="n">
        <f aca="false">IF(AND(ISNUMBER(D152),ISNUMBER(D133)),IFERROR((D152-N(D94))/D133,""),"")</f>
        <v>0.0230666297203067</v>
      </c>
      <c r="E127" s="22" t="n">
        <f aca="false">IF(AND(ISNUMBER(E152),ISNUMBER(E133)),IFERROR((E152-N(E94))/E133,""),"")</f>
        <v>0.022961674877205</v>
      </c>
      <c r="F127" s="22" t="n">
        <f aca="false">IF(AND(ISNUMBER(F152),ISNUMBER(F133)),IFERROR((F152-N(F94))/F133,""),"")</f>
        <v>0.0327291337171143</v>
      </c>
      <c r="G127" s="22" t="n">
        <f aca="false">IF(AND(ISNUMBER(G152),ISNUMBER(G133)),IFERROR((G152-N(G94))/G133,""),"")</f>
        <v>0.0277063934784163</v>
      </c>
      <c r="H127" s="22" t="n">
        <f aca="false">IF(AND(ISNUMBER(H152),ISNUMBER(H133)),IFERROR((H152-N(H94))/H133,""),"")</f>
        <v>0.0230278307539239</v>
      </c>
      <c r="I127" s="22" t="n">
        <f aca="false">IF(AND(ISNUMBER(I152),ISNUMBER(I133)),IFERROR((I152-N(I94))/I133,""),"")</f>
        <v>0.0228971597414563</v>
      </c>
      <c r="J127" s="22" t="n">
        <f aca="false">IF(AND(ISNUMBER(J152),ISNUMBER(J133)),IFERROR((J152-N(J94))/J133,""),"")</f>
        <v>0.024210483833932</v>
      </c>
      <c r="K127" s="22" t="n">
        <f aca="false">IF(AND(ISNUMBER(K152),ISNUMBER(K133)),IFERROR((K152-N(K94))/K133,""),"")</f>
        <v>0.0235870844285102</v>
      </c>
      <c r="L127" s="22" t="n">
        <f aca="false">IF(AND(ISNUMBER(L152),ISNUMBER(L133)),IFERROR((L152-N(L94))/L133,""),"")</f>
        <v>0.0250420957542909</v>
      </c>
      <c r="M127" s="22" t="n">
        <f aca="false">IF(AND(ISNUMBER(M152),ISNUMBER(M133)),IFERROR((M152-N(M94))/M133,""),"")</f>
        <v>0.0237859738021324</v>
      </c>
      <c r="N127" s="22" t="n">
        <f aca="false">IF(AND(ISNUMBER(N152),ISNUMBER(N133)),IFERROR((N152-N(N94))/N133,""),"")</f>
        <v>0.0241468434319976</v>
      </c>
      <c r="O127" s="22" t="n">
        <f aca="false">IF(AND(ISNUMBER(O152),ISNUMBER(O133)),IFERROR((O152-N(O94))/O133,""),"")</f>
        <v>0.0261742732774552</v>
      </c>
      <c r="P127" s="22" t="n">
        <f aca="false">IF(AND(ISNUMBER(P152),ISNUMBER(P133)),IFERROR((P152-N(P94))/P133,""),"")</f>
        <v>0.0246647019824826</v>
      </c>
      <c r="Q127" s="22" t="n">
        <f aca="false">IF(AND(ISNUMBER(Q152),ISNUMBER(Q133)),IFERROR((Q152-N(Q94))/Q133,""),"")</f>
        <v>0.0239138726167507</v>
      </c>
      <c r="R127" s="22" t="n">
        <f aca="false">IF(AND(ISNUMBER(R152),ISNUMBER(R133)),IFERROR((R152-N(R94))/R133,""),"")</f>
        <v>0.0242560172175322</v>
      </c>
      <c r="S127" s="22" t="n">
        <f aca="false">IF(AND(ISNUMBER(S152),ISNUMBER(S133)),IFERROR((S152-N(S94))/S133,""),"")</f>
        <v>0.0247419067267048</v>
      </c>
      <c r="T127" s="22" t="n">
        <f aca="false">IF(AND(ISNUMBER(T152),ISNUMBER(T133)),IFERROR((T152-N(T94))/T133,""),"")</f>
        <v>0.0243684450524396</v>
      </c>
      <c r="U127" s="22" t="n">
        <f aca="false">IF(AND(ISNUMBER(U152),ISNUMBER(U133)),IFERROR((U152-N(U94))/U133,""),"")</f>
        <v>0.0235971958961398</v>
      </c>
      <c r="V127" s="22" t="n">
        <f aca="false">IF(AND(ISNUMBER(V152),ISNUMBER(V133)),IFERROR((V152-N(V94))/V133,""),"")</f>
        <v>0.0250772669359514</v>
      </c>
      <c r="W127" s="22" t="n">
        <f aca="false">IF(AND(ISNUMBER(W152),ISNUMBER(W133)),IFERROR((W152-N(W94))/W133,""),"")</f>
        <v>0.0283634250904513</v>
      </c>
      <c r="X127" s="22" t="n">
        <f aca="false">IF(AND(ISNUMBER(X152),ISNUMBER(X133)),IFERROR((X152-N(X94))/X133,""),"")</f>
        <v>0.0252414335408557</v>
      </c>
      <c r="Y127" s="22" t="n">
        <f aca="false">IF(AND(ISNUMBER(Y152),ISNUMBER(Y133)),IFERROR((Y152-N(Y94))/Y133,""),"")</f>
        <v>0.0283718464125276</v>
      </c>
      <c r="Z127" s="22" t="n">
        <f aca="false">IF(AND(ISNUMBER(Z152),ISNUMBER(Z133)),IFERROR((Z152-N(Z94))/Z133,""),"")</f>
        <v>0.0280325715964066</v>
      </c>
      <c r="AA127" s="22" t="n">
        <f aca="false">IF(AND(ISNUMBER(AA152),ISNUMBER(AA133)),IFERROR((AA152-N(AA94))/AA133,""),"")</f>
        <v>0.0286498979998097</v>
      </c>
      <c r="AB127" s="22" t="n">
        <f aca="false">IF(AND(ISNUMBER(AB152),ISNUMBER(AB133)),IFERROR((AB152-N(AB94))/AB133,""),"")</f>
        <v>0.0294025837666806</v>
      </c>
      <c r="AC127" s="22" t="n">
        <f aca="false">IF(AND(ISNUMBER(AC152),ISNUMBER(AC133)),IFERROR((AC152-N(AC94))/AC133,""),"")</f>
        <v>0.0286083704751663</v>
      </c>
      <c r="AD127" s="22" t="n">
        <f aca="false">IF(AND(ISNUMBER(AD152),ISNUMBER(AD133)),IFERROR((AD152-N(AD94))/AD133,""),"")</f>
        <v>0.0278293742264119</v>
      </c>
      <c r="AE127" s="22" t="n">
        <f aca="false">IF(AND(ISNUMBER(AE152),ISNUMBER(AE133)),IFERROR((AE152-N(AE94))/AE133,""),"")</f>
        <v>0.0252688806715396</v>
      </c>
      <c r="AF127" s="22" t="n">
        <f aca="false">IF(AND(ISNUMBER(AF152),ISNUMBER(AF133)),IFERROR((AF152-N(AF94))/AF133,""),"")</f>
        <v>0.0275597431481529</v>
      </c>
      <c r="AG127" s="22" t="n">
        <f aca="false">IF(AND(ISNUMBER(AG152),ISNUMBER(AG133)),IFERROR((AG152-N(AG94))/AG133,""),"")</f>
        <v>0.0236327014059436</v>
      </c>
      <c r="AH127" s="22" t="n">
        <f aca="false">IF(AND(ISNUMBER(AH152),ISNUMBER(AH133)),IFERROR((AH152-N(AH94))/AH133,""),"")</f>
        <v>0.0259541973098169</v>
      </c>
      <c r="AI127" s="22" t="n">
        <f aca="false">IF(AND(ISNUMBER(AI152),ISNUMBER(AI133)),IFERROR((AI152-N(AI94))/AI133,""),"")</f>
        <v>0.0239330813413295</v>
      </c>
      <c r="AJ127" s="22" t="n">
        <f aca="false">IF(AND(ISNUMBER(AJ152),ISNUMBER(AJ133)),IFERROR((AJ152-N(AJ94))/AJ133,""),"")</f>
        <v>0.0230225352255295</v>
      </c>
      <c r="AK127" s="22" t="n">
        <f aca="false">IF(AND(ISNUMBER(AK152),ISNUMBER(AK133)),IFERROR((AK152-N(AK94))/AK133,""),"")</f>
        <v>0.0239085930112509</v>
      </c>
      <c r="AL127" s="22" t="n">
        <f aca="false">IF(AND(ISNUMBER(AL152),ISNUMBER(AL133)),IFERROR((AL152-N(AL94))/AL133,""),"")</f>
        <v>0.0247369347980108</v>
      </c>
      <c r="AM127" s="22" t="n">
        <f aca="false">IF(AND(ISNUMBER(AM152),ISNUMBER(AM133)),IFERROR((AM152-N(AM94))/AM133,""),"")</f>
        <v>0.0238870211848486</v>
      </c>
      <c r="AN127" s="22" t="n">
        <f aca="false">IF(AND(ISNUMBER(AN152),ISNUMBER(AN133)),IFERROR((AN152-N(AN94))/AN133,""),"")</f>
        <v>0.0248967957279886</v>
      </c>
      <c r="AO127" s="22" t="n">
        <f aca="false">IF(AND(ISNUMBER(AO152),ISNUMBER(AO133)),IFERROR((AO152-N(AO94))/AO133,""),"")</f>
        <v>0.0261914935238762</v>
      </c>
      <c r="AP127" s="22" t="n">
        <f aca="false">IF(AND(ISNUMBER(AP152),ISNUMBER(AP133)),IFERROR((AP152-N(AP94))/AP133,""),"")</f>
        <v>0.0289388231527006</v>
      </c>
      <c r="AQ127" s="22" t="n">
        <f aca="false">IF(AND(ISNUMBER(AQ152),ISNUMBER(AQ133)),IFERROR((AQ152-N(AQ94))/AQ133,""),"")</f>
        <v>0.0286388693846453</v>
      </c>
      <c r="AR127" s="22" t="n">
        <f aca="false">IF(AND(ISNUMBER(AR152),ISNUMBER(AR133)),IFERROR((AR152-N(AR94))/AR133,""),"")</f>
        <v>0.0271327405576318</v>
      </c>
      <c r="AS127" s="22" t="n">
        <f aca="false">IF(AND(ISNUMBER(AS152),ISNUMBER(AS133)),IFERROR((AS152-N(AS94))/AS133,""),"")</f>
        <v>0.0299547999903133</v>
      </c>
      <c r="AT127" s="22" t="n">
        <f aca="false">IF(AND(ISNUMBER(AT152),ISNUMBER(AT133)),IFERROR((AT152-N(AT94))/AT133,""),"")</f>
        <v>0.0339412283508287</v>
      </c>
      <c r="AU127" s="22" t="n">
        <f aca="false">IF(AND(ISNUMBER(AU152),ISNUMBER(AU133)),IFERROR((AU152-N(AU94))/AU133,""),"")</f>
        <v>0.0291349224384351</v>
      </c>
      <c r="AV127" s="22" t="n">
        <f aca="false">IF(AND(ISNUMBER(AV152),ISNUMBER(AV133)),IFERROR((AV152-N(AV94))/AV133,""),"")</f>
        <v>0.0287203406198382</v>
      </c>
      <c r="AW127" s="22" t="n">
        <f aca="false">IF(AND(ISNUMBER(AW152),ISNUMBER(AW133)),IFERROR((AW152-N(AW94))/AW133,""),"")</f>
        <v>0.0303125706108308</v>
      </c>
      <c r="AX127" s="22" t="n">
        <f aca="false">IF(AND(ISNUMBER(AX152),ISNUMBER(AX133)),IFERROR((AX152-N(AX94))/AX133,""),"")</f>
        <v>0.025254253184522</v>
      </c>
      <c r="AY127" s="22" t="n">
        <f aca="false">IF(AND(ISNUMBER(AY152),ISNUMBER(AY133)),IFERROR((AY152-N(AY94))/AY133,""),"")</f>
        <v>0.0234616808679007</v>
      </c>
      <c r="AZ127" s="22" t="n">
        <f aca="false">IF(AND(ISNUMBER(AZ152),ISNUMBER(AZ133)),IFERROR((AZ152-N(AZ94))/AZ133,""),"")</f>
        <v>0.0273419190679196</v>
      </c>
      <c r="BA127" s="22" t="n">
        <f aca="false">IF(AND(ISNUMBER(BA152),ISNUMBER(BA133)),IFERROR((BA152-N(BA94))/BA133,""),"")</f>
        <v>0.0243861126608082</v>
      </c>
      <c r="BB127" s="22" t="n">
        <f aca="false">IF(AND(ISNUMBER(BB152),ISNUMBER(BB133)),IFERROR((BB152-N(BB94))/BB133,""),"")</f>
        <v>0.0250901310378519</v>
      </c>
      <c r="BC127" s="22" t="n">
        <f aca="false">IF(AND(ISNUMBER(BC152),ISNUMBER(BC133)),IFERROR((BC152-N(BC94))/BC133,""),"")</f>
        <v>0.0214933740199341</v>
      </c>
      <c r="BD127" s="22" t="n">
        <f aca="false">IF(AND(ISNUMBER(BD152),ISNUMBER(BD133)),IFERROR((BD152-N(BD94))/BD133,""),"")</f>
        <v>0.0204911565622135</v>
      </c>
      <c r="BE127" s="22" t="n">
        <f aca="false">IF(AND(ISNUMBER(BE152),ISNUMBER(BE133)),IFERROR((BE152-N(BE94))/BE133,""),"")</f>
        <v>0.0205829519695479</v>
      </c>
      <c r="BF127" s="22" t="n">
        <f aca="false">IF(AND(ISNUMBER(BF152),ISNUMBER(BF133)),IFERROR((BF152-N(BF94))/BF133,""),"")</f>
        <v>0.0204633196338301</v>
      </c>
      <c r="BG127" s="22" t="n">
        <f aca="false">IF(AND(ISNUMBER(BG152),ISNUMBER(BG133)),IFERROR((BG152-N(BG94))/BG133,""),"")</f>
        <v>0.0207536881073675</v>
      </c>
      <c r="BH127" s="22" t="n">
        <f aca="false">IF(AND(ISNUMBER(BH152),ISNUMBER(BH133)),IFERROR((BH152-N(BH94))/BH133,""),"")</f>
        <v>0.0204889050101843</v>
      </c>
      <c r="BI127" s="22" t="n">
        <f aca="false">IF(AND(ISNUMBER(BI152),ISNUMBER(BI133)),IFERROR((BI152-N(BI94))/BI133,""),"")</f>
        <v>0.0206654000462018</v>
      </c>
      <c r="BJ127" s="22" t="n">
        <f aca="false">IF(AND(ISNUMBER(BJ152),ISNUMBER(BJ133)),IFERROR((BJ152-N(BJ94))/BJ133,""),"")</f>
        <v>0.0207982083092176</v>
      </c>
      <c r="BK127" s="22" t="n">
        <f aca="false">IF(AND(ISNUMBER(BK152),ISNUMBER(BK133)),IFERROR((BK152-N(BK94))/BK133,""),"")</f>
        <v>0.0207545672518266</v>
      </c>
      <c r="BL127" s="22" t="n">
        <f aca="false">IF(AND(ISNUMBER(BL152),ISNUMBER(BL133)),IFERROR((BL152-N(BL94))/BL133,""),"")</f>
        <v>0.0206768908368952</v>
      </c>
      <c r="BM127" s="22" t="n">
        <f aca="false">IF(AND(ISNUMBER(BM152),ISNUMBER(BM133)),IFERROR((BM152-N(BM94))/BM133,""),"")</f>
        <v>0.0219996595994484</v>
      </c>
      <c r="BN127" s="22" t="n">
        <f aca="false">IF(AND(ISNUMBER(BN152),ISNUMBER(BN133)),IFERROR((BN152-N(BN94))/BN133,""),"")</f>
        <v>0.0204221857464595</v>
      </c>
      <c r="BO127" s="22" t="n">
        <f aca="false">IF(AND(ISNUMBER(BO152),ISNUMBER(BO133)),IFERROR((BO152-N(BO94))/BO133,""),"")</f>
        <v>0.0230178326195745</v>
      </c>
      <c r="BP127" s="22" t="n">
        <f aca="false">IF(AND(ISNUMBER(BP152),ISNUMBER(BP133)),IFERROR((BP152-N(BP94))/BP133,""),"")</f>
        <v>0.0226441272329313</v>
      </c>
      <c r="BQ127" s="22" t="n">
        <f aca="false">IF(AND(ISNUMBER(BQ152),ISNUMBER(BQ133)),IFERROR((BQ152-N(BQ94))/BQ133,""),"")</f>
        <v>0.022011789446375</v>
      </c>
      <c r="BR127" s="22" t="n">
        <f aca="false">IF(AND(ISNUMBER(BR152),ISNUMBER(BR133)),IFERROR((BR152-N(BR94))/BR133,""),"")</f>
        <v>0.0236800917573687</v>
      </c>
      <c r="BS127" s="22" t="n">
        <f aca="false">IF(AND(ISNUMBER(BS152),ISNUMBER(BS133)),IFERROR((BS152-N(BS94))/BS133,""),"")</f>
        <v>0.0224695569744083</v>
      </c>
      <c r="BT127" s="22" t="n">
        <f aca="false">IF(AND(ISNUMBER(BT152),ISNUMBER(BT133)),IFERROR((BT152-N(BT94))/BT133,""),"")</f>
        <v>0.0233164063861926</v>
      </c>
      <c r="BU127" s="22" t="n">
        <f aca="false">IF(AND(ISNUMBER(BU152),ISNUMBER(BU133)),IFERROR((BU152-N(BU94))/BU133,""),"")</f>
        <v>0.0236911510454569</v>
      </c>
      <c r="BV127" s="22" t="n">
        <f aca="false">IF(AND(ISNUMBER(BV152),ISNUMBER(BV133)),IFERROR((BV152-N(BV94))/BV133,""),"")</f>
        <v>0.0232803992815502</v>
      </c>
      <c r="BW127" s="22" t="n">
        <f aca="false">IF(AND(ISNUMBER(BW152),ISNUMBER(BW133)),IFERROR((BW152-N(BW94))/BW133,""),"")</f>
        <v>0.0231926265834637</v>
      </c>
      <c r="BX127" s="22" t="n">
        <f aca="false">IF(AND(ISNUMBER(BX152),ISNUMBER(BX133)),IFERROR((BX152-N(BX94))/BX133,""),"")</f>
        <v>0.0212919470378293</v>
      </c>
      <c r="BY127" s="23" t="n">
        <f aca="false">$BX$152/$BX$133</f>
        <v>0.0212919470378293</v>
      </c>
      <c r="BZ127" s="23" t="n">
        <f aca="false">$BX$152/$BX$133</f>
        <v>0.0212919470378293</v>
      </c>
      <c r="CA127" s="23" t="n">
        <f aca="false">IFERROR(CA152/CA133,"")</f>
        <v>0.0217435524899641</v>
      </c>
      <c r="CB127" s="30" t="n">
        <v>0.023</v>
      </c>
      <c r="CC127" s="30" t="n">
        <v>0.023</v>
      </c>
      <c r="CD127" s="30" t="n">
        <v>0.023</v>
      </c>
      <c r="CE127" s="30" t="n">
        <v>0.023</v>
      </c>
      <c r="CF127" s="19" t="s">
        <v>259</v>
      </c>
    </row>
    <row r="128" customFormat="false" ht="15" hidden="false" customHeight="false" outlineLevel="0" collapsed="false">
      <c r="B128" s="21" t="s">
        <v>260</v>
      </c>
      <c r="C128" s="22" t="n">
        <f aca="false">IF(AND(ISNUMBER(C137),ISNUMBER(C133)),IFERROR(C137/C133,""),"")</f>
        <v>0.1601635973153</v>
      </c>
      <c r="D128" s="22" t="n">
        <f aca="false">IF(AND(ISNUMBER(D137),ISNUMBER(D133)),IFERROR(D137/D133,""),"")</f>
        <v>0.162278409529355</v>
      </c>
      <c r="E128" s="22" t="n">
        <f aca="false">IF(AND(ISNUMBER(E137),ISNUMBER(E133)),IFERROR(E137/E133,""),"")</f>
        <v>0.163515360826031</v>
      </c>
      <c r="F128" s="22" t="n">
        <f aca="false">IF(AND(ISNUMBER(F137),ISNUMBER(F133)),IFERROR(F137/F133,""),"")</f>
        <v>0.19279355340502</v>
      </c>
      <c r="G128" s="22" t="n">
        <f aca="false">IF(AND(ISNUMBER(G137),ISNUMBER(G133)),IFERROR(G137/G133,""),"")</f>
        <v>0.182483870905413</v>
      </c>
      <c r="H128" s="22" t="n">
        <f aca="false">IF(AND(ISNUMBER(H137),ISNUMBER(H133)),IFERROR(H137/H133,""),"")</f>
        <v>0.163205496604517</v>
      </c>
      <c r="I128" s="22" t="n">
        <f aca="false">IF(AND(ISNUMBER(I137),ISNUMBER(I133)),IFERROR(I137/I133,""),"")</f>
        <v>0.173556713875222</v>
      </c>
      <c r="J128" s="22" t="n">
        <f aca="false">IF(AND(ISNUMBER(J137),ISNUMBER(J133)),IFERROR(J137/J133,""),"")</f>
        <v>0.190503957148404</v>
      </c>
      <c r="K128" s="22" t="n">
        <f aca="false">IF(AND(ISNUMBER(K137),ISNUMBER(K133)),IFERROR(K137/K133,""),"")</f>
        <v>0.185879917298112</v>
      </c>
      <c r="L128" s="22" t="n">
        <f aca="false">IF(AND(ISNUMBER(L137),ISNUMBER(L133)),IFERROR(L137/L133,""),"")</f>
        <v>0.189654200542005</v>
      </c>
      <c r="M128" s="22" t="n">
        <f aca="false">IF(AND(ISNUMBER(M137),ISNUMBER(M133)),IFERROR(M137/M133,""),"")</f>
        <v>0.173313597960803</v>
      </c>
      <c r="N128" s="22" t="n">
        <f aca="false">IF(AND(ISNUMBER(N137),ISNUMBER(N133)),IFERROR(N137/N133,""),"")</f>
        <v>0.184811357496185</v>
      </c>
      <c r="O128" s="22" t="n">
        <f aca="false">IF(AND(ISNUMBER(O137),ISNUMBER(O133)),IFERROR(O137/O133,""),"")</f>
        <v>0.212995320131609</v>
      </c>
      <c r="P128" s="22" t="n">
        <f aca="false">IF(AND(ISNUMBER(P137),ISNUMBER(P133)),IFERROR(P137/P133,""),"")</f>
        <v>0.188263780127407</v>
      </c>
      <c r="Q128" s="22" t="n">
        <f aca="false">IF(AND(ISNUMBER(Q137),ISNUMBER(Q133)),IFERROR(Q137/Q133,""),"")</f>
        <v>0.19059567435109</v>
      </c>
      <c r="R128" s="22" t="n">
        <f aca="false">IF(AND(ISNUMBER(R137),ISNUMBER(R133)),IFERROR(R137/R133,""),"")</f>
        <v>0.184225839749457</v>
      </c>
      <c r="S128" s="22" t="n">
        <f aca="false">IF(AND(ISNUMBER(S137),ISNUMBER(S133)),IFERROR(S137/S133,""),"")</f>
        <v>0.193897681177141</v>
      </c>
      <c r="T128" s="22" t="n">
        <f aca="false">IF(AND(ISNUMBER(T137),ISNUMBER(T133)),IFERROR(T137/T133,""),"")</f>
        <v>0.197432740538076</v>
      </c>
      <c r="U128" s="22" t="n">
        <f aca="false">IF(AND(ISNUMBER(U137),ISNUMBER(U133)),IFERROR(U137/U133,""),"")</f>
        <v>0.192187923097752</v>
      </c>
      <c r="V128" s="22" t="n">
        <f aca="false">IF(AND(ISNUMBER(V137),ISNUMBER(V133)),IFERROR(V137/V133,""),"")</f>
        <v>0.198861998307412</v>
      </c>
      <c r="W128" s="22" t="n">
        <f aca="false">IF(AND(ISNUMBER(W137),ISNUMBER(W133)),IFERROR(W137/W133,""),"")</f>
        <v>0.195080856008521</v>
      </c>
      <c r="X128" s="22" t="n">
        <f aca="false">IF(AND(ISNUMBER(X137),ISNUMBER(X133)),IFERROR(X137/X133,""),"")</f>
        <v>0.19589469321407</v>
      </c>
      <c r="Y128" s="22" t="n">
        <f aca="false">IF(AND(ISNUMBER(Y137),ISNUMBER(Y133)),IFERROR(Y137/Y133,""),"")</f>
        <v>0.206655989773425</v>
      </c>
      <c r="Z128" s="22" t="n">
        <f aca="false">IF(AND(ISNUMBER(Z137),ISNUMBER(Z133)),IFERROR(Z137/Z133,""),"")</f>
        <v>0.203398613816596</v>
      </c>
      <c r="AA128" s="22" t="n">
        <f aca="false">IF(AND(ISNUMBER(AA137),ISNUMBER(AA133)),IFERROR(AA137/AA133,""),"")</f>
        <v>0.207846087174049</v>
      </c>
      <c r="AB128" s="22" t="n">
        <f aca="false">IF(AND(ISNUMBER(AB137),ISNUMBER(AB133)),IFERROR(AB137/AB133,""),"")</f>
        <v>0.202873926090936</v>
      </c>
      <c r="AC128" s="22" t="n">
        <f aca="false">IF(AND(ISNUMBER(AC137),ISNUMBER(AC133)),IFERROR(AC137/AC133,""),"")</f>
        <v>0.205167118464935</v>
      </c>
      <c r="AD128" s="22" t="n">
        <f aca="false">IF(AND(ISNUMBER(AD137),ISNUMBER(AD133)),IFERROR(AD137/AD133,""),"")</f>
        <v>0.210656966725599</v>
      </c>
      <c r="AE128" s="22" t="n">
        <f aca="false">IF(AND(ISNUMBER(AE137),ISNUMBER(AE133)),IFERROR(AE137/AE133,""),"")</f>
        <v>0.207137820686663</v>
      </c>
      <c r="AF128" s="22" t="n">
        <f aca="false">IF(AND(ISNUMBER(AF137),ISNUMBER(AF133)),IFERROR(AF137/AF133,""),"")</f>
        <v>0.198281978398515</v>
      </c>
      <c r="AG128" s="22" t="n">
        <f aca="false">IF(AND(ISNUMBER(AG137),ISNUMBER(AG133)),IFERROR(AG137/AG133,""),"")</f>
        <v>0.20418102611803</v>
      </c>
      <c r="AH128" s="22" t="n">
        <f aca="false">IF(AND(ISNUMBER(AH137),ISNUMBER(AH133)),IFERROR(AH137/AH133,""),"")</f>
        <v>0.204815824839746</v>
      </c>
      <c r="AI128" s="22" t="n">
        <f aca="false">IF(AND(ISNUMBER(AI137),ISNUMBER(AI133)),IFERROR(AI137/AI133,""),"")</f>
        <v>0.212738354168426</v>
      </c>
      <c r="AJ128" s="22" t="n">
        <f aca="false">IF(AND(ISNUMBER(AJ137),ISNUMBER(AJ133)),IFERROR(AJ137/AJ133,""),"")</f>
        <v>0.20750532876317</v>
      </c>
      <c r="AK128" s="22" t="n">
        <f aca="false">IF(AND(ISNUMBER(AK137),ISNUMBER(AK133)),IFERROR(AK137/AK133,""),"")</f>
        <v>0.200962150267467</v>
      </c>
      <c r="AL128" s="22" t="n">
        <f aca="false">IF(AND(ISNUMBER(AL137),ISNUMBER(AL133)),IFERROR(AL137/AL133,""),"")</f>
        <v>0.207624891271761</v>
      </c>
      <c r="AM128" s="22" t="n">
        <f aca="false">IF(AND(ISNUMBER(AM137),ISNUMBER(AM133)),IFERROR(AM137/AM133,""),"")</f>
        <v>0.207251424220633</v>
      </c>
      <c r="AN128" s="22" t="n">
        <f aca="false">IF(AND(ISNUMBER(AN137),ISNUMBER(AN133)),IFERROR(AN137/AN133,""),"")</f>
        <v>0.211292799806105</v>
      </c>
      <c r="AO128" s="22" t="n">
        <f aca="false">IF(AND(ISNUMBER(AO137),ISNUMBER(AO133)),IFERROR(AO137/AO133,""),"")</f>
        <v>0.210278401251982</v>
      </c>
      <c r="AP128" s="22" t="n">
        <f aca="false">IF(AND(ISNUMBER(AP137),ISNUMBER(AP133)),IFERROR(AP137/AP133,""),"")</f>
        <v>0.202949439163199</v>
      </c>
      <c r="AQ128" s="22" t="n">
        <f aca="false">IF(AND(ISNUMBER(AQ137),ISNUMBER(AQ133)),IFERROR(AQ137/AQ133,""),"")</f>
        <v>0.202878690546199</v>
      </c>
      <c r="AR128" s="22" t="n">
        <f aca="false">IF(AND(ISNUMBER(AR137),ISNUMBER(AR133)),IFERROR(AR137/AR133,""),"")</f>
        <v>0.206937300384381</v>
      </c>
      <c r="AS128" s="22" t="n">
        <f aca="false">IF(AND(ISNUMBER(AS137),ISNUMBER(AS133)),IFERROR(AS137/AS133,""),"")</f>
        <v>0.213289059261444</v>
      </c>
      <c r="AT128" s="22" t="n">
        <f aca="false">IF(AND(ISNUMBER(AT137),ISNUMBER(AT133)),IFERROR(AT137/AT133,""),"")</f>
        <v>0.213933001200216</v>
      </c>
      <c r="AU128" s="22" t="n">
        <f aca="false">IF(AND(ISNUMBER(AU137),ISNUMBER(AU133)),IFERROR(AU137/AU133,""),"")</f>
        <v>0.196351257609645</v>
      </c>
      <c r="AV128" s="22" t="n">
        <f aca="false">IF(AND(ISNUMBER(AV137),ISNUMBER(AV133)),IFERROR(AV137/AV133,""),"")</f>
        <v>0.196545372257471</v>
      </c>
      <c r="AW128" s="22" t="n">
        <f aca="false">IF(AND(ISNUMBER(AW137),ISNUMBER(AW133)),IFERROR(AW137/AW133,""),"")</f>
        <v>0.204790991940951</v>
      </c>
      <c r="AX128" s="22" t="n">
        <f aca="false">IF(AND(ISNUMBER(AX137),ISNUMBER(AX133)),IFERROR(AX137/AX133,""),"")</f>
        <v>0.192433235009333</v>
      </c>
      <c r="AY128" s="22" t="n">
        <f aca="false">IF(AND(ISNUMBER(AY137),ISNUMBER(AY133)),IFERROR(AY137/AY133,""),"")</f>
        <v>0.183382257209718</v>
      </c>
      <c r="AZ128" s="22" t="n">
        <f aca="false">IF(AND(ISNUMBER(AZ137),ISNUMBER(AZ133)),IFERROR(AZ137/AZ133,""),"")</f>
        <v>0.184905772678913</v>
      </c>
      <c r="BA128" s="22" t="n">
        <f aca="false">IF(AND(ISNUMBER(BA137),ISNUMBER(BA133)),IFERROR(BA137/BA133,""),"")</f>
        <v>0.178570117180791</v>
      </c>
      <c r="BB128" s="22" t="n">
        <f aca="false">IF(AND(ISNUMBER(BB137),ISNUMBER(BB133)),IFERROR(BB137/BB133,""),"")</f>
        <v>0.184624541614876</v>
      </c>
      <c r="BC128" s="22" t="n">
        <f aca="false">IF(AND(ISNUMBER(BC137),ISNUMBER(BC133)),IFERROR(BC137/BC133,""),"")</f>
        <v>0.180113847563558</v>
      </c>
      <c r="BD128" s="22" t="n">
        <f aca="false">IF(AND(ISNUMBER(BD137),ISNUMBER(BD133)),IFERROR(BD137/BD133,""),"")</f>
        <v>0.172023403730859</v>
      </c>
      <c r="BE128" s="22" t="n">
        <f aca="false">IF(AND(ISNUMBER(BE137),ISNUMBER(BE133)),IFERROR(BE137/BE133,""),"")</f>
        <v>0.170057953038792</v>
      </c>
      <c r="BF128" s="22" t="n">
        <f aca="false">IF(AND(ISNUMBER(BF137),ISNUMBER(BF133)),IFERROR(BF137/BF133,""),"")</f>
        <v>0.176288544622927</v>
      </c>
      <c r="BG128" s="22" t="n">
        <f aca="false">IF(AND(ISNUMBER(BG137),ISNUMBER(BG133)),IFERROR(BG137/BG133,""),"")</f>
        <v>0.174581005957922</v>
      </c>
      <c r="BH128" s="22" t="n">
        <f aca="false">IF(AND(ISNUMBER(BH137),ISNUMBER(BH133)),IFERROR(BH137/BH133,""),"")</f>
        <v>0.182919401968359</v>
      </c>
      <c r="BI128" s="22" t="n">
        <f aca="false">IF(AND(ISNUMBER(BI137),ISNUMBER(BI133)),IFERROR(BI137/BI133,""),"")</f>
        <v>0.181740864539184</v>
      </c>
      <c r="BJ128" s="22" t="n">
        <f aca="false">IF(AND(ISNUMBER(BJ137),ISNUMBER(BJ133)),IFERROR(BJ137/BJ133,""),"")</f>
        <v>0.181099946380905</v>
      </c>
      <c r="BK128" s="22" t="n">
        <f aca="false">IF(AND(ISNUMBER(BK137),ISNUMBER(BK133)),IFERROR(BK137/BK133,""),"")</f>
        <v>0.178487011036226</v>
      </c>
      <c r="BL128" s="22" t="n">
        <f aca="false">IF(AND(ISNUMBER(BL137),ISNUMBER(BL133)),IFERROR(BL137/BL133,""),"")</f>
        <v>0.181053412080629</v>
      </c>
      <c r="BM128" s="22" t="n">
        <f aca="false">IF(AND(ISNUMBER(BM137),ISNUMBER(BM133)),IFERROR(BM137/BM133,""),"")</f>
        <v>0.202555653961437</v>
      </c>
      <c r="BN128" s="22" t="n">
        <f aca="false">IF(AND(ISNUMBER(BN137),ISNUMBER(BN133)),IFERROR(BN137/BN133,""),"")</f>
        <v>0.204060359230799</v>
      </c>
      <c r="BO128" s="22" t="n">
        <f aca="false">IF(AND(ISNUMBER(BO137),ISNUMBER(BO133)),IFERROR(BO137/BO133,""),"")</f>
        <v>0.189366501348399</v>
      </c>
      <c r="BP128" s="22" t="n">
        <f aca="false">IF(AND(ISNUMBER(BP137),ISNUMBER(BP133)),IFERROR(BP137/BP133,""),"")</f>
        <v>0.18303456548774</v>
      </c>
      <c r="BQ128" s="22" t="n">
        <f aca="false">IF(AND(ISNUMBER(BQ137),ISNUMBER(BQ133)),IFERROR(BQ137/BQ133,""),"")</f>
        <v>0.194725432624786</v>
      </c>
      <c r="BR128" s="22" t="n">
        <f aca="false">IF(AND(ISNUMBER(BR137),ISNUMBER(BR133)),IFERROR(BR137/BR133,""),"")</f>
        <v>0.195805804131471</v>
      </c>
      <c r="BS128" s="22" t="n">
        <f aca="false">IF(AND(ISNUMBER(BS137),ISNUMBER(BS133)),IFERROR(BS137/BS133,""),"")</f>
        <v>0.193686258408172</v>
      </c>
      <c r="BT128" s="22" t="n">
        <f aca="false">IF(AND(ISNUMBER(BT137),ISNUMBER(BT133)),IFERROR(BT137/BT133,""),"")</f>
        <v>0.194890442855299</v>
      </c>
      <c r="BU128" s="22" t="n">
        <f aca="false">IF(AND(ISNUMBER(BU137),ISNUMBER(BU133)),IFERROR(BU137/BU133,""),"")</f>
        <v>0.170244225768623</v>
      </c>
      <c r="BV128" s="22" t="n">
        <f aca="false">IF(AND(ISNUMBER(BV137),ISNUMBER(BV133)),IFERROR(BV137/BV133,""),"")</f>
        <v>0.188517229966527</v>
      </c>
      <c r="BW128" s="22" t="n">
        <f aca="false">IF(AND(ISNUMBER(BW137),ISNUMBER(BW133)),IFERROR(BW137/BW133,""),"")</f>
        <v>0.187983421226751</v>
      </c>
      <c r="BX128" s="22" t="n">
        <f aca="false">IF(AND(ISNUMBER(BX137),ISNUMBER(BX133)),IFERROR(BX137/BX133,""),"")</f>
        <v>0.184371420630125</v>
      </c>
      <c r="BY128" s="23" t="n">
        <f aca="false">BT128</f>
        <v>0.194890442855299</v>
      </c>
      <c r="BZ128" s="23" t="n">
        <f aca="false">BU128</f>
        <v>0.170244225768623</v>
      </c>
      <c r="CA128" s="23" t="n">
        <f aca="false">IFERROR(CA137/CA133,"")</f>
        <v>0.184308669123348</v>
      </c>
      <c r="CB128" s="23" t="n">
        <f aca="false">$BV$128</f>
        <v>0.188517229966527</v>
      </c>
      <c r="CC128" s="23" t="n">
        <f aca="false">$BV$128</f>
        <v>0.188517229966527</v>
      </c>
      <c r="CD128" s="23" t="n">
        <f aca="false">$BV$128</f>
        <v>0.188517229966527</v>
      </c>
      <c r="CE128" s="23" t="n">
        <f aca="false">$BV$128</f>
        <v>0.188517229966527</v>
      </c>
      <c r="CF128" s="19" t="s">
        <v>261</v>
      </c>
    </row>
    <row r="129" customFormat="false" ht="15" hidden="false" customHeight="false" outlineLevel="0" collapsed="false">
      <c r="B129" s="21" t="s">
        <v>262</v>
      </c>
      <c r="C129" s="22" t="n">
        <f aca="false">IF(AND(ISNUMBER(C153),ISNUMBER(C133)),IFERROR(C153/C133,""),"")</f>
        <v>0.00213853031190492</v>
      </c>
      <c r="D129" s="22" t="n">
        <f aca="false">IF(AND(ISNUMBER(D153),ISNUMBER(D133)),IFERROR(D153/D133,""),"")</f>
        <v>0.00205148755866404</v>
      </c>
      <c r="E129" s="22" t="n">
        <f aca="false">IF(AND(ISNUMBER(E153),ISNUMBER(E133)),IFERROR(E153/E133,""),"")</f>
        <v>0.00191115354533504</v>
      </c>
      <c r="F129" s="22" t="n">
        <f aca="false">IF(AND(ISNUMBER(F153),ISNUMBER(F133)),IFERROR(F153/F133,""),"")</f>
        <v>0.00314118262750212</v>
      </c>
      <c r="G129" s="22" t="n">
        <f aca="false">IF(AND(ISNUMBER(G153),ISNUMBER(G133)),IFERROR(G153/G133,""),"")</f>
        <v>0.00396730319992735</v>
      </c>
      <c r="H129" s="22" t="n">
        <f aca="false">IF(AND(ISNUMBER(H153),ISNUMBER(H133)),IFERROR(H153/H133,""),"")</f>
        <v>0.00245304606345485</v>
      </c>
      <c r="I129" s="22" t="n">
        <f aca="false">IF(AND(ISNUMBER(I153),ISNUMBER(I133)),IFERROR(I153/I133,""),"")</f>
        <v>0.00314050032820874</v>
      </c>
      <c r="N129" s="22" t="n">
        <f aca="false">IF(AND(ISNUMBER(N153),ISNUMBER(N133)),IFERROR(N153/N133,""),"")</f>
        <v>0.00341224066848228</v>
      </c>
      <c r="S129" s="22" t="n">
        <f aca="false">IF(AND(ISNUMBER(S153),ISNUMBER(S133)),IFERROR(S153/S133,""),"")</f>
        <v>0.0029914791186511</v>
      </c>
      <c r="X129" s="22" t="n">
        <f aca="false">IF(AND(ISNUMBER(X153),ISNUMBER(X133)),IFERROR(X153/X133,""),"")</f>
        <v>0.0031280180424964</v>
      </c>
      <c r="AC129" s="22" t="n">
        <f aca="false">IF(AND(ISNUMBER(AC153),ISNUMBER(AC133)),IFERROR(AC153/AC133,""),"")</f>
        <v>0.00454230915663053</v>
      </c>
      <c r="AH129" s="22" t="n">
        <f aca="false">IF(AND(ISNUMBER(AH153),ISNUMBER(AH133)),IFERROR(AH153/AH133,""),"")</f>
        <v>0.00483838211025552</v>
      </c>
      <c r="AM129" s="22" t="n">
        <f aca="false">IF(AND(ISNUMBER(AM153),ISNUMBER(AM133)),IFERROR(AM153/AM133,""),"")</f>
        <v>0.0061261132759749</v>
      </c>
      <c r="AR129" s="22" t="n">
        <f aca="false">IF(AND(ISNUMBER(AR153),ISNUMBER(AR133)),IFERROR(AR153/AR133,""),"")</f>
        <v>0.00553529617031025</v>
      </c>
      <c r="AW129" s="22" t="n">
        <f aca="false">IF(AND(ISNUMBER(AW153),ISNUMBER(AW133)),IFERROR(AW153/AW133,""),"")</f>
        <v>0.00579498380658281</v>
      </c>
      <c r="BB129" s="22" t="n">
        <f aca="false">IF(AND(ISNUMBER(BB153),ISNUMBER(BB133)),IFERROR(BB153/BB133,""),"")</f>
        <v>0.00735487820714988</v>
      </c>
      <c r="BG129" s="22" t="n">
        <f aca="false">IF(AND(ISNUMBER(BG153),ISNUMBER(BG133)),IFERROR(BG153/BG133,""),"")</f>
        <v>0.00671778318206556</v>
      </c>
      <c r="BL129" s="22" t="n">
        <f aca="false">IF(AND(ISNUMBER(BL153),ISNUMBER(BL133)),IFERROR(BL153/BL133,""),"")</f>
        <v>0.00625793842785967</v>
      </c>
      <c r="BQ129" s="22" t="n">
        <f aca="false">IF(AND(ISNUMBER(BQ153),ISNUMBER(BQ133)),IFERROR(BQ153/BQ133,""),"")</f>
        <v>0.00599999501081406</v>
      </c>
      <c r="BV129" s="22" t="n">
        <f aca="false">IF(AND(ISNUMBER(BV153),ISNUMBER(BV133)),IFERROR(BV153/BV133,""),"")</f>
        <v>0.00480698926979263</v>
      </c>
      <c r="CB129" s="30" t="n">
        <v>0.005</v>
      </c>
      <c r="CC129" s="30" t="n">
        <v>0.005</v>
      </c>
      <c r="CD129" s="30" t="n">
        <v>0.005</v>
      </c>
      <c r="CE129" s="30" t="n">
        <v>0.005</v>
      </c>
    </row>
    <row r="130" customFormat="false" ht="15" hidden="false" customHeight="false" outlineLevel="0" collapsed="false">
      <c r="B130" s="26" t="s">
        <v>263</v>
      </c>
      <c r="G130" s="48" t="n">
        <v>5.39</v>
      </c>
      <c r="H130" s="48" t="n">
        <v>6.661</v>
      </c>
      <c r="I130" s="48" t="n">
        <v>10.641</v>
      </c>
      <c r="N130" s="48" t="n">
        <v>13.342</v>
      </c>
      <c r="S130" s="48" t="n">
        <v>13.869</v>
      </c>
      <c r="X130" s="48" t="n">
        <v>13.296</v>
      </c>
      <c r="AC130" s="48" t="n">
        <v>14.525</v>
      </c>
      <c r="AH130" s="48" t="n">
        <v>15.671</v>
      </c>
      <c r="AM130" s="48" t="n">
        <v>15.744</v>
      </c>
      <c r="AR130" s="48" t="n">
        <v>20.755</v>
      </c>
      <c r="AW130" s="48" t="n">
        <v>20.363</v>
      </c>
      <c r="BB130" s="48" t="n">
        <v>21.155</v>
      </c>
      <c r="BG130" s="48" t="n">
        <v>21.908</v>
      </c>
      <c r="BL130" s="48" t="n">
        <v>25.983</v>
      </c>
      <c r="BQ130" s="48" t="n">
        <v>27.075</v>
      </c>
      <c r="BV130" s="48" t="n">
        <v>29.717</v>
      </c>
      <c r="CA130" s="55" t="n">
        <v>30</v>
      </c>
      <c r="CB130" s="55" t="n">
        <v>28</v>
      </c>
      <c r="CC130" s="55" t="n">
        <v>28</v>
      </c>
      <c r="CD130" s="55" t="n">
        <v>28</v>
      </c>
      <c r="CE130" s="55" t="n">
        <v>28</v>
      </c>
      <c r="CF130" s="19" t="s">
        <v>264</v>
      </c>
    </row>
    <row r="132" customFormat="false" ht="15" hidden="false" customHeight="false" outlineLevel="0" collapsed="false">
      <c r="B132" s="10" t="s">
        <v>265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 t="s">
        <v>266</v>
      </c>
    </row>
    <row r="133" customFormat="false" ht="15" hidden="false" customHeight="false" outlineLevel="0" collapsed="false">
      <c r="B133" s="58" t="s">
        <v>267</v>
      </c>
      <c r="C133" s="61" t="n">
        <v>1971.915</v>
      </c>
      <c r="D133" s="61" t="n">
        <v>2280.784</v>
      </c>
      <c r="E133" s="61" t="n">
        <v>2479.131</v>
      </c>
      <c r="F133" s="61" t="n">
        <v>1729.285</v>
      </c>
      <c r="G133" s="61" t="n">
        <v>2070.172</v>
      </c>
      <c r="H133" s="61" t="n">
        <v>2694.609</v>
      </c>
      <c r="I133" s="61" t="n">
        <v>2853.367</v>
      </c>
      <c r="J133" s="61" t="n">
        <v>718.573</v>
      </c>
      <c r="K133" s="61" t="n">
        <v>727.432</v>
      </c>
      <c r="L133" s="61" t="n">
        <v>691.875</v>
      </c>
      <c r="M133" s="61" t="n">
        <v>714.791</v>
      </c>
      <c r="N133" s="61" t="n">
        <v>2852.671</v>
      </c>
      <c r="O133" s="61" t="n">
        <v>685.062</v>
      </c>
      <c r="P133" s="61" t="n">
        <v>728.531</v>
      </c>
      <c r="Q133" s="61" t="n">
        <v>715.777</v>
      </c>
      <c r="R133" s="61" t="n">
        <v>683.954</v>
      </c>
      <c r="S133" s="61" t="n">
        <v>2813.324</v>
      </c>
      <c r="T133" s="61" t="n">
        <v>657.9</v>
      </c>
      <c r="U133" s="61" t="n">
        <v>664.74</v>
      </c>
      <c r="V133" s="61" t="n">
        <v>645.166</v>
      </c>
      <c r="W133" s="61" t="n">
        <v>567.985</v>
      </c>
      <c r="X133" s="61" t="n">
        <v>2535.791</v>
      </c>
      <c r="Y133" s="61" t="n">
        <v>550.722</v>
      </c>
      <c r="Z133" s="61" t="n">
        <v>592.418</v>
      </c>
      <c r="AA133" s="61" t="n">
        <v>567.646</v>
      </c>
      <c r="AB133" s="61" t="n">
        <v>563.828</v>
      </c>
      <c r="AC133" s="61" t="n">
        <v>2274.614</v>
      </c>
      <c r="AD133" s="61" t="n">
        <v>580.897</v>
      </c>
      <c r="AE133" s="61" t="n">
        <v>626.858</v>
      </c>
      <c r="AF133" s="61" t="n">
        <v>669.491</v>
      </c>
      <c r="AG133" s="61" t="n">
        <v>747.185</v>
      </c>
      <c r="AH133" s="61" t="n">
        <v>2624.431</v>
      </c>
      <c r="AI133" s="61" t="n">
        <v>757.696</v>
      </c>
      <c r="AJ133" s="61" t="n">
        <v>790.052</v>
      </c>
      <c r="AK133" s="61" t="n">
        <v>737.099</v>
      </c>
      <c r="AL133" s="61" t="n">
        <v>743.827</v>
      </c>
      <c r="AM133" s="61" t="n">
        <v>3028.674</v>
      </c>
      <c r="AN133" s="61" t="n">
        <v>759.174</v>
      </c>
      <c r="AO133" s="61" t="n">
        <v>777.008</v>
      </c>
      <c r="AP133" s="61" t="n">
        <v>730.783</v>
      </c>
      <c r="AQ133" s="61" t="n">
        <v>736.307</v>
      </c>
      <c r="AR133" s="61" t="n">
        <v>3003.272</v>
      </c>
      <c r="AS133" s="61" t="n">
        <v>701.991</v>
      </c>
      <c r="AT133" s="61" t="n">
        <v>590.727</v>
      </c>
      <c r="AU133" s="61" t="n">
        <v>668.888</v>
      </c>
      <c r="AV133" s="61" t="n">
        <v>693.794</v>
      </c>
      <c r="AW133" s="61" t="n">
        <v>2655.4</v>
      </c>
      <c r="AX133" s="61" t="n">
        <v>757.021</v>
      </c>
      <c r="AY133" s="61" t="n">
        <v>826.454</v>
      </c>
      <c r="AZ133" s="61" t="n">
        <v>806.454</v>
      </c>
      <c r="BA133" s="61" t="n">
        <v>844.251</v>
      </c>
      <c r="BB133" s="61" t="n">
        <v>3234.18</v>
      </c>
      <c r="BC133" s="61" t="n">
        <v>925.448</v>
      </c>
      <c r="BD133" s="61" t="n">
        <v>969.589</v>
      </c>
      <c r="BE133" s="61" t="n">
        <v>935.24</v>
      </c>
      <c r="BF133" s="61" t="n">
        <v>930.934</v>
      </c>
      <c r="BG133" s="61" t="n">
        <v>3761.211</v>
      </c>
      <c r="BH133" s="61" t="n">
        <v>1039.343</v>
      </c>
      <c r="BI133" s="61" t="n">
        <v>1060.565</v>
      </c>
      <c r="BJ133" s="61" t="n">
        <v>1033.214</v>
      </c>
      <c r="BK133" s="61" t="n">
        <v>1058.514</v>
      </c>
      <c r="BL133" s="61" t="n">
        <v>4191.636</v>
      </c>
      <c r="BM133" s="61" t="n">
        <v>981.197</v>
      </c>
      <c r="BN133" s="61" t="n">
        <v>1021.683</v>
      </c>
      <c r="BO133" s="61" t="n">
        <v>983.759</v>
      </c>
      <c r="BP133" s="61" t="n">
        <v>1022.031</v>
      </c>
      <c r="BQ133" s="61" t="n">
        <v>4008.67</v>
      </c>
      <c r="BR133" s="61" t="n">
        <v>1004.388</v>
      </c>
      <c r="BS133" s="61" t="n">
        <v>1088.673</v>
      </c>
      <c r="BT133" s="61" t="n">
        <v>1061.227</v>
      </c>
      <c r="BU133" s="61" t="n">
        <v>1078.715</v>
      </c>
      <c r="BV133" s="61" t="n">
        <v>4233.003</v>
      </c>
      <c r="BW133" s="61" t="n">
        <v>1121.434</v>
      </c>
      <c r="BX133" s="61" t="n">
        <v>1219.663</v>
      </c>
      <c r="BY133" s="59" t="n">
        <f aca="false">BY103</f>
        <v>1187.1023687055</v>
      </c>
      <c r="BZ133" s="59" t="n">
        <f aca="false">BZ103</f>
        <v>1191.5989762945</v>
      </c>
      <c r="CA133" s="59" t="n">
        <f aca="false">SUM(BW133:BZ133)</f>
        <v>4719.798345</v>
      </c>
      <c r="CB133" s="59" t="n">
        <f aca="false">CB103</f>
        <v>5019.09806045029</v>
      </c>
      <c r="CC133" s="59" t="n">
        <f aca="false">CC103</f>
        <v>5398.19287599876</v>
      </c>
      <c r="CD133" s="59" t="n">
        <f aca="false">CD103</f>
        <v>5778.44502087453</v>
      </c>
      <c r="CE133" s="59" t="n">
        <f aca="false">CE103</f>
        <v>6175.82463553174</v>
      </c>
      <c r="CF133" s="19" t="s">
        <v>268</v>
      </c>
      <c r="CH133" s="20" t="n">
        <f aca="false">IFERROR((CE133/BV133)^(1/5)-1,"n/m")</f>
        <v>0.0784729975716656</v>
      </c>
      <c r="CI133" s="20" t="n">
        <f aca="false">IFERROR((BV133/AW133)^(1/5)-1,"n/m")</f>
        <v>0.0977507059583438</v>
      </c>
      <c r="CJ133" s="20" t="n">
        <f aca="false">IFERROR((BV133/X133)^(1/10)-1,"n/m")</f>
        <v>0.052576117929604</v>
      </c>
      <c r="CK133" s="20" t="n">
        <f aca="false">IFERROR((BV133/C133)^(1/19)-1,"n/m")</f>
        <v>0.0410247933774219</v>
      </c>
    </row>
    <row r="134" customFormat="false" ht="15" hidden="false" customHeight="false" outlineLevel="0" collapsed="false">
      <c r="B134" s="26" t="s">
        <v>269</v>
      </c>
      <c r="C134" s="38" t="n">
        <v>1419.638</v>
      </c>
      <c r="D134" s="38" t="n">
        <v>1633.218</v>
      </c>
      <c r="E134" s="38" t="n">
        <v>1758.98</v>
      </c>
      <c r="F134" s="38" t="n">
        <v>1273.017</v>
      </c>
      <c r="G134" s="38" t="n">
        <v>1506.353</v>
      </c>
      <c r="H134" s="38" t="n">
        <v>1957.872</v>
      </c>
      <c r="I134" s="38" t="n">
        <v>1986.711</v>
      </c>
      <c r="J134" s="38" t="n">
        <v>492.001</v>
      </c>
      <c r="K134" s="38" t="n">
        <v>487.094</v>
      </c>
      <c r="L134" s="38" t="n">
        <v>459.178</v>
      </c>
      <c r="M134" s="38" t="n">
        <v>471.744</v>
      </c>
      <c r="N134" s="38" t="n">
        <v>1910.017</v>
      </c>
      <c r="O134" s="38" t="n">
        <v>458.726</v>
      </c>
      <c r="P134" s="38" t="n">
        <v>478.264</v>
      </c>
      <c r="Q134" s="38" t="n">
        <v>474.168</v>
      </c>
      <c r="R134" s="38" t="n">
        <v>452.869</v>
      </c>
      <c r="S134" s="38" t="n">
        <v>1864.027</v>
      </c>
      <c r="T134" s="38" t="n">
        <v>437.51</v>
      </c>
      <c r="U134" s="38" t="n">
        <v>438.959</v>
      </c>
      <c r="V134" s="38" t="n">
        <v>446.272</v>
      </c>
      <c r="W134" s="38" t="n">
        <v>371.906</v>
      </c>
      <c r="X134" s="38" t="n">
        <v>1694.647</v>
      </c>
      <c r="Y134" s="38" t="n">
        <v>361.62</v>
      </c>
      <c r="Z134" s="38" t="n">
        <v>389.491</v>
      </c>
      <c r="AA134" s="38" t="n">
        <v>367.834</v>
      </c>
      <c r="AB134" s="38" t="n">
        <v>366.371</v>
      </c>
      <c r="AC134" s="38" t="n">
        <v>1485.316</v>
      </c>
      <c r="AD134" s="38" t="n">
        <v>377.041</v>
      </c>
      <c r="AE134" s="38" t="n">
        <v>409.37</v>
      </c>
      <c r="AF134" s="38" t="n">
        <v>449.975</v>
      </c>
      <c r="AG134" s="38" t="n">
        <v>507.719</v>
      </c>
      <c r="AH134" s="38" t="n">
        <v>1744.105</v>
      </c>
      <c r="AI134" s="38" t="n">
        <v>501.142</v>
      </c>
      <c r="AJ134" s="38" t="n">
        <v>519.936</v>
      </c>
      <c r="AK134" s="38" t="n">
        <v>485.547</v>
      </c>
      <c r="AL134" s="38" t="n">
        <v>493.528</v>
      </c>
      <c r="AM134" s="38" t="n">
        <v>2000.153</v>
      </c>
      <c r="AN134" s="38" t="n">
        <v>500.753</v>
      </c>
      <c r="AO134" s="38" t="n">
        <v>507.127</v>
      </c>
      <c r="AP134" s="38" t="n">
        <v>492.432</v>
      </c>
      <c r="AQ134" s="38" t="n">
        <v>495.373</v>
      </c>
      <c r="AR134" s="38" t="n">
        <v>1995.685</v>
      </c>
      <c r="AS134" s="38" t="n">
        <v>464.669</v>
      </c>
      <c r="AT134" s="38" t="n">
        <v>401.349</v>
      </c>
      <c r="AU134" s="38" t="n">
        <v>453.501</v>
      </c>
      <c r="AV134" s="38" t="n">
        <v>464.54</v>
      </c>
      <c r="AW134" s="38" t="n">
        <v>1784.059</v>
      </c>
      <c r="AX134" s="38" t="n">
        <v>503.254</v>
      </c>
      <c r="AY134" s="38" t="n">
        <v>552.445</v>
      </c>
      <c r="AZ134" s="38" t="n">
        <v>538.282</v>
      </c>
      <c r="BA134" s="38" t="n">
        <v>571.594</v>
      </c>
      <c r="BB134" s="38" t="n">
        <v>2165.575</v>
      </c>
      <c r="BC134" s="38" t="n">
        <v>595.671</v>
      </c>
      <c r="BD134" s="38" t="n">
        <v>636.108</v>
      </c>
      <c r="BE134" s="38" t="n">
        <v>625.722</v>
      </c>
      <c r="BF134" s="38" t="n">
        <v>622.95</v>
      </c>
      <c r="BG134" s="38" t="n">
        <v>2480.451</v>
      </c>
      <c r="BH134" s="38" t="n">
        <v>683.986</v>
      </c>
      <c r="BI134" s="38" t="n">
        <v>687.137</v>
      </c>
      <c r="BJ134" s="38" t="n">
        <v>667.584</v>
      </c>
      <c r="BK134" s="38" t="n">
        <v>687.484</v>
      </c>
      <c r="BL134" s="38" t="n">
        <v>2726.191</v>
      </c>
      <c r="BM134" s="38" t="n">
        <v>612.798</v>
      </c>
      <c r="BN134" s="38" t="n">
        <v>637.87</v>
      </c>
      <c r="BO134" s="38" t="n">
        <v>631.681</v>
      </c>
      <c r="BP134" s="38" t="n">
        <v>653.409</v>
      </c>
      <c r="BQ134" s="38" t="n">
        <v>2535.758</v>
      </c>
      <c r="BR134" s="38" t="n">
        <v>638.94</v>
      </c>
      <c r="BS134" s="38" t="n">
        <v>683.126</v>
      </c>
      <c r="BT134" s="38" t="n">
        <v>671.916</v>
      </c>
      <c r="BU134" s="38" t="n">
        <v>704.769</v>
      </c>
      <c r="BV134" s="38" t="n">
        <v>2698.751</v>
      </c>
      <c r="BW134" s="38" t="n">
        <v>722.302</v>
      </c>
      <c r="BX134" s="38" t="n">
        <v>770.667</v>
      </c>
      <c r="BY134" s="51" t="n">
        <f aca="false">BY133-BY135</f>
        <v>740.677796492037</v>
      </c>
      <c r="BZ134" s="51" t="n">
        <f aca="false">BZ133-BZ135</f>
        <v>765.626147660433</v>
      </c>
      <c r="CA134" s="51" t="n">
        <f aca="false">SUM(BW134:BZ134)</f>
        <v>2999.27294415247</v>
      </c>
      <c r="CB134" s="51" t="n">
        <f aca="false">CB133-CB135</f>
        <v>3159.69131399467</v>
      </c>
      <c r="CC134" s="51" t="n">
        <f aca="false">CC133-CC135</f>
        <v>3388.1398211882</v>
      </c>
      <c r="CD134" s="51" t="n">
        <f aca="false">CD133-CD135</f>
        <v>3619.97356505062</v>
      </c>
      <c r="CE134" s="51" t="n">
        <f aca="false">CE133-CE135</f>
        <v>3874.52370843429</v>
      </c>
    </row>
    <row r="135" customFormat="false" ht="15" hidden="false" customHeight="false" outlineLevel="0" collapsed="false">
      <c r="B135" s="15" t="s">
        <v>270</v>
      </c>
      <c r="C135" s="62" t="n">
        <f aca="false">C133-C134</f>
        <v>552.277</v>
      </c>
      <c r="D135" s="62" t="n">
        <f aca="false">D133-D134</f>
        <v>647.566</v>
      </c>
      <c r="E135" s="62" t="n">
        <f aca="false">E133-E134</f>
        <v>720.151</v>
      </c>
      <c r="F135" s="62" t="n">
        <f aca="false">F133-F134</f>
        <v>456.268</v>
      </c>
      <c r="G135" s="62" t="n">
        <f aca="false">G133-G134</f>
        <v>563.819</v>
      </c>
      <c r="H135" s="62" t="n">
        <f aca="false">H133-H134</f>
        <v>736.737</v>
      </c>
      <c r="I135" s="62" t="n">
        <f aca="false">I133-I134</f>
        <v>866.656</v>
      </c>
      <c r="J135" s="62" t="n">
        <f aca="false">J133-J134</f>
        <v>226.572</v>
      </c>
      <c r="K135" s="62" t="n">
        <f aca="false">K133-K134</f>
        <v>240.338</v>
      </c>
      <c r="L135" s="62" t="n">
        <f aca="false">L133-L134</f>
        <v>232.697</v>
      </c>
      <c r="M135" s="62" t="n">
        <f aca="false">M133-M134</f>
        <v>243.047</v>
      </c>
      <c r="N135" s="62" t="n">
        <f aca="false">N133-N134</f>
        <v>942.654</v>
      </c>
      <c r="O135" s="62" t="n">
        <f aca="false">O133-O134</f>
        <v>226.336</v>
      </c>
      <c r="P135" s="62" t="n">
        <f aca="false">P133-P134</f>
        <v>250.267</v>
      </c>
      <c r="Q135" s="62" t="n">
        <f aca="false">Q133-Q134</f>
        <v>241.609</v>
      </c>
      <c r="R135" s="62" t="n">
        <f aca="false">R133-R134</f>
        <v>231.085</v>
      </c>
      <c r="S135" s="62" t="n">
        <f aca="false">S133-S134</f>
        <v>949.297</v>
      </c>
      <c r="T135" s="62" t="n">
        <f aca="false">T133-T134</f>
        <v>220.39</v>
      </c>
      <c r="U135" s="62" t="n">
        <f aca="false">U133-U134</f>
        <v>225.781</v>
      </c>
      <c r="V135" s="62" t="n">
        <f aca="false">V133-V134</f>
        <v>198.894</v>
      </c>
      <c r="W135" s="62" t="n">
        <f aca="false">W133-W134</f>
        <v>196.079</v>
      </c>
      <c r="X135" s="62" t="n">
        <f aca="false">X133-X134</f>
        <v>841.144</v>
      </c>
      <c r="Y135" s="62" t="n">
        <f aca="false">Y133-Y134</f>
        <v>189.102</v>
      </c>
      <c r="Z135" s="62" t="n">
        <f aca="false">Z133-Z134</f>
        <v>202.927</v>
      </c>
      <c r="AA135" s="62" t="n">
        <f aca="false">AA133-AA134</f>
        <v>199.812</v>
      </c>
      <c r="AB135" s="62" t="n">
        <f aca="false">AB133-AB134</f>
        <v>197.457</v>
      </c>
      <c r="AC135" s="62" t="n">
        <f aca="false">AC133-AC134</f>
        <v>789.298</v>
      </c>
      <c r="AD135" s="62" t="n">
        <f aca="false">AD133-AD134</f>
        <v>203.856</v>
      </c>
      <c r="AE135" s="62" t="n">
        <f aca="false">AE133-AE134</f>
        <v>217.488</v>
      </c>
      <c r="AF135" s="62" t="n">
        <f aca="false">AF133-AF134</f>
        <v>219.516</v>
      </c>
      <c r="AG135" s="62" t="n">
        <f aca="false">AG133-AG134</f>
        <v>239.466</v>
      </c>
      <c r="AH135" s="62" t="n">
        <f aca="false">AH133-AH134</f>
        <v>880.326</v>
      </c>
      <c r="AI135" s="62" t="n">
        <f aca="false">AI133-AI134</f>
        <v>256.554</v>
      </c>
      <c r="AJ135" s="62" t="n">
        <f aca="false">AJ133-AJ134</f>
        <v>270.116</v>
      </c>
      <c r="AK135" s="62" t="n">
        <f aca="false">AK133-AK134</f>
        <v>251.552</v>
      </c>
      <c r="AL135" s="62" t="n">
        <f aca="false">AL133-AL134</f>
        <v>250.299</v>
      </c>
      <c r="AM135" s="62" t="n">
        <f aca="false">AM133-AM134</f>
        <v>1028.521</v>
      </c>
      <c r="AN135" s="62" t="n">
        <f aca="false">AN133-AN134</f>
        <v>258.421</v>
      </c>
      <c r="AO135" s="62" t="n">
        <f aca="false">AO133-AO134</f>
        <v>269.881</v>
      </c>
      <c r="AP135" s="62" t="n">
        <f aca="false">AP133-AP134</f>
        <v>238.351</v>
      </c>
      <c r="AQ135" s="62" t="n">
        <f aca="false">AQ133-AQ134</f>
        <v>240.934</v>
      </c>
      <c r="AR135" s="62" t="n">
        <f aca="false">AR133-AR134</f>
        <v>1007.587</v>
      </c>
      <c r="AS135" s="62" t="n">
        <f aca="false">AS133-AS134</f>
        <v>237.322</v>
      </c>
      <c r="AT135" s="62" t="n">
        <f aca="false">AT133-AT134</f>
        <v>189.378</v>
      </c>
      <c r="AU135" s="62" t="n">
        <f aca="false">AU133-AU134</f>
        <v>215.387</v>
      </c>
      <c r="AV135" s="62" t="n">
        <f aca="false">AV133-AV134</f>
        <v>229.254</v>
      </c>
      <c r="AW135" s="62" t="n">
        <f aca="false">AW133-AW134</f>
        <v>871.341</v>
      </c>
      <c r="AX135" s="62" t="n">
        <f aca="false">AX133-AX134</f>
        <v>253.767</v>
      </c>
      <c r="AY135" s="62" t="n">
        <f aca="false">AY133-AY134</f>
        <v>274.009</v>
      </c>
      <c r="AZ135" s="62" t="n">
        <f aca="false">AZ133-AZ134</f>
        <v>268.172</v>
      </c>
      <c r="BA135" s="62" t="n">
        <f aca="false">BA133-BA134</f>
        <v>272.657</v>
      </c>
      <c r="BB135" s="62" t="n">
        <f aca="false">BB133-BB134</f>
        <v>1068.605</v>
      </c>
      <c r="BC135" s="62" t="n">
        <f aca="false">BC133-BC134</f>
        <v>329.777</v>
      </c>
      <c r="BD135" s="62" t="n">
        <f aca="false">BD133-BD134</f>
        <v>333.481</v>
      </c>
      <c r="BE135" s="62" t="n">
        <f aca="false">BE133-BE134</f>
        <v>309.518</v>
      </c>
      <c r="BF135" s="62" t="n">
        <f aca="false">BF133-BF134</f>
        <v>307.984</v>
      </c>
      <c r="BG135" s="62" t="n">
        <f aca="false">BG133-BG134</f>
        <v>1280.76</v>
      </c>
      <c r="BH135" s="62" t="n">
        <f aca="false">BH133-BH134</f>
        <v>355.357</v>
      </c>
      <c r="BI135" s="62" t="n">
        <f aca="false">BI133-BI134</f>
        <v>373.428</v>
      </c>
      <c r="BJ135" s="62" t="n">
        <f aca="false">BJ133-BJ134</f>
        <v>365.63</v>
      </c>
      <c r="BK135" s="62" t="n">
        <f aca="false">BK133-BK134</f>
        <v>371.03</v>
      </c>
      <c r="BL135" s="62" t="n">
        <f aca="false">BL133-BL134</f>
        <v>1465.445</v>
      </c>
      <c r="BM135" s="62" t="n">
        <f aca="false">BM133-BM134</f>
        <v>368.399</v>
      </c>
      <c r="BN135" s="62" t="n">
        <f aca="false">BN133-BN134</f>
        <v>383.813</v>
      </c>
      <c r="BO135" s="62" t="n">
        <f aca="false">BO133-BO134</f>
        <v>352.078</v>
      </c>
      <c r="BP135" s="62" t="n">
        <f aca="false">BP133-BP134</f>
        <v>368.622</v>
      </c>
      <c r="BQ135" s="62" t="n">
        <f aca="false">BQ133-BQ134</f>
        <v>1472.912</v>
      </c>
      <c r="BR135" s="62" t="n">
        <f aca="false">BR133-BR134</f>
        <v>365.448</v>
      </c>
      <c r="BS135" s="62" t="n">
        <f aca="false">BS133-BS134</f>
        <v>405.547</v>
      </c>
      <c r="BT135" s="62" t="n">
        <f aca="false">BT133-BT134</f>
        <v>389.311</v>
      </c>
      <c r="BU135" s="62" t="n">
        <f aca="false">BU133-BU134</f>
        <v>373.946</v>
      </c>
      <c r="BV135" s="62" t="n">
        <f aca="false">BV133-BV134</f>
        <v>1534.252</v>
      </c>
      <c r="BW135" s="62" t="n">
        <f aca="false">BW133-BW134</f>
        <v>399.132</v>
      </c>
      <c r="BX135" s="62" t="n">
        <f aca="false">BX133-BX134</f>
        <v>448.996</v>
      </c>
      <c r="BY135" s="18" t="n">
        <f aca="false">BY140+BY137+BY138+BY139</f>
        <v>446.424572213463</v>
      </c>
      <c r="BZ135" s="18" t="n">
        <f aca="false">BZ140+BZ137+BZ138+BZ139</f>
        <v>425.972828634066</v>
      </c>
      <c r="CA135" s="18" t="n">
        <f aca="false">CA133-CA134</f>
        <v>1720.52540084753</v>
      </c>
      <c r="CB135" s="18" t="n">
        <f aca="false">CB140+CB137+CB138+CB139</f>
        <v>1859.40674645562</v>
      </c>
      <c r="CC135" s="18" t="n">
        <f aca="false">CC140+CC137+CC138+CC139</f>
        <v>2010.05305481057</v>
      </c>
      <c r="CD135" s="18" t="n">
        <f aca="false">CD140+CD137+CD138+CD139</f>
        <v>2158.47145582391</v>
      </c>
      <c r="CE135" s="18" t="n">
        <f aca="false">CE140+CE137+CE138+CE139</f>
        <v>2301.30092709745</v>
      </c>
      <c r="CF135" s="19" t="s">
        <v>271</v>
      </c>
      <c r="CH135" s="20" t="n">
        <f aca="false">IFERROR((CE135/BV135)^(1/5)-1,"n/m")</f>
        <v>0.0844645073317152</v>
      </c>
      <c r="CI135" s="20" t="n">
        <f aca="false">IFERROR((BV135/AW135)^(1/5)-1,"n/m")</f>
        <v>0.119803214036751</v>
      </c>
      <c r="CJ135" s="20" t="n">
        <f aca="false">IFERROR((BV135/X135)^(1/10)-1,"n/m")</f>
        <v>0.0619464921160113</v>
      </c>
      <c r="CK135" s="20" t="n">
        <f aca="false">IFERROR((BV135/C135)^(1/19)-1,"n/m")</f>
        <v>0.0552484507220736</v>
      </c>
    </row>
    <row r="136" customFormat="false" ht="15" hidden="false" customHeight="false" outlineLevel="0" collapsed="false">
      <c r="B136" s="21" t="s">
        <v>272</v>
      </c>
      <c r="C136" s="22" t="n">
        <f aca="false">IF(AND(ISNUMBER(C135),ISNUMBER(C133)),IFERROR(C135/C133,""),"")</f>
        <v>0.280071402672022</v>
      </c>
      <c r="D136" s="22" t="n">
        <f aca="false">IF(AND(ISNUMBER(D135),ISNUMBER(D133)),IFERROR(D135/D133,""),"")</f>
        <v>0.283922545931574</v>
      </c>
      <c r="E136" s="22" t="n">
        <f aca="false">IF(AND(ISNUMBER(E135),ISNUMBER(E133)),IFERROR(E135/E133,""),"")</f>
        <v>0.290485254712236</v>
      </c>
      <c r="F136" s="22" t="n">
        <f aca="false">IF(AND(ISNUMBER(F135),ISNUMBER(F133)),IFERROR(F135/F133,""),"")</f>
        <v>0.263847775236586</v>
      </c>
      <c r="G136" s="22" t="n">
        <f aca="false">IF(AND(ISNUMBER(G135),ISNUMBER(G133)),IFERROR(G135/G133,""),"")</f>
        <v>0.272353698146821</v>
      </c>
      <c r="H136" s="22" t="n">
        <f aca="false">IF(AND(ISNUMBER(H135),ISNUMBER(H133)),IFERROR(H135/H133,""),"")</f>
        <v>0.273411467118235</v>
      </c>
      <c r="I136" s="22" t="n">
        <f aca="false">IF(AND(ISNUMBER(I135),ISNUMBER(I133)),IFERROR(I135/I133,""),"")</f>
        <v>0.303730995697364</v>
      </c>
      <c r="J136" s="22" t="n">
        <f aca="false">IF(AND(ISNUMBER(J135),ISNUMBER(J133)),IFERROR(J135/J133,""),"")</f>
        <v>0.315308256781148</v>
      </c>
      <c r="K136" s="22" t="n">
        <f aca="false">IF(AND(ISNUMBER(K135),ISNUMBER(K133)),IFERROR(K135/K133,""),"")</f>
        <v>0.3303923940657</v>
      </c>
      <c r="L136" s="22" t="n">
        <f aca="false">IF(AND(ISNUMBER(L135),ISNUMBER(L133)),IFERROR(L135/L133,""),"")</f>
        <v>0.336328093947606</v>
      </c>
      <c r="M136" s="22" t="n">
        <f aca="false">IF(AND(ISNUMBER(M135),ISNUMBER(M133)),IFERROR(M135/M133,""),"")</f>
        <v>0.340025266126742</v>
      </c>
      <c r="N136" s="22" t="n">
        <f aca="false">IF(AND(ISNUMBER(N135),ISNUMBER(N133)),IFERROR(N135/N133,""),"")</f>
        <v>0.33044609770983</v>
      </c>
      <c r="O136" s="22" t="n">
        <f aca="false">IF(AND(ISNUMBER(O135),ISNUMBER(O133)),IFERROR(O135/O133,""),"")</f>
        <v>0.330387614551676</v>
      </c>
      <c r="P136" s="22" t="n">
        <f aca="false">IF(AND(ISNUMBER(P135),ISNUMBER(P133)),IFERROR(P135/P133,""),"")</f>
        <v>0.343522787637039</v>
      </c>
      <c r="Q136" s="22" t="n">
        <f aca="false">IF(AND(ISNUMBER(Q135),ISNUMBER(Q133)),IFERROR(Q135/Q133,""),"")</f>
        <v>0.337547867562104</v>
      </c>
      <c r="R136" s="22" t="n">
        <f aca="false">IF(AND(ISNUMBER(R135),ISNUMBER(R133)),IFERROR(R135/R133,""),"")</f>
        <v>0.337866289253371</v>
      </c>
      <c r="S136" s="22" t="n">
        <f aca="false">IF(AND(ISNUMBER(S135),ISNUMBER(S133)),IFERROR(S135/S133,""),"")</f>
        <v>0.337428963034475</v>
      </c>
      <c r="T136" s="22" t="n">
        <f aca="false">IF(AND(ISNUMBER(T135),ISNUMBER(T133)),IFERROR(T135/T133,""),"")</f>
        <v>0.334990120079039</v>
      </c>
      <c r="U136" s="22" t="n">
        <f aca="false">IF(AND(ISNUMBER(U135),ISNUMBER(U133)),IFERROR(U135/U133,""),"")</f>
        <v>0.339653097451635</v>
      </c>
      <c r="V136" s="22" t="n">
        <f aca="false">IF(AND(ISNUMBER(V135),ISNUMBER(V133)),IFERROR(V135/V133,""),"")</f>
        <v>0.308283449530819</v>
      </c>
      <c r="W136" s="22" t="n">
        <f aca="false">IF(AND(ISNUMBER(W135),ISNUMBER(W133)),IFERROR(W135/W133,""),"")</f>
        <v>0.345218623731261</v>
      </c>
      <c r="X136" s="22" t="n">
        <f aca="false">IF(AND(ISNUMBER(X135),ISNUMBER(X133)),IFERROR(X135/X133,""),"")</f>
        <v>0.331708725206454</v>
      </c>
      <c r="Y136" s="22" t="n">
        <f aca="false">IF(AND(ISNUMBER(Y135),ISNUMBER(Y133)),IFERROR(Y135/Y133,""),"")</f>
        <v>0.343371065619314</v>
      </c>
      <c r="Z136" s="22" t="n">
        <f aca="false">IF(AND(ISNUMBER(Z135),ISNUMBER(Z133)),IFERROR(Z135/Z133,""),"")</f>
        <v>0.34254023341627</v>
      </c>
      <c r="AA136" s="22" t="n">
        <f aca="false">IF(AND(ISNUMBER(AA135),ISNUMBER(AA133)),IFERROR(AA135/AA133,""),"")</f>
        <v>0.352001071090081</v>
      </c>
      <c r="AB136" s="22" t="n">
        <f aca="false">IF(AND(ISNUMBER(AB135),ISNUMBER(AB133)),IFERROR(AB135/AB133,""),"")</f>
        <v>0.350207864809836</v>
      </c>
      <c r="AC136" s="22" t="n">
        <f aca="false">IF(AND(ISNUMBER(AC135),ISNUMBER(AC133)),IFERROR(AC135/AC133,""),"")</f>
        <v>0.347003051946396</v>
      </c>
      <c r="AD136" s="22" t="n">
        <f aca="false">IF(AND(ISNUMBER(AD135),ISNUMBER(AD133)),IFERROR(AD135/AD133,""),"")</f>
        <v>0.350933125838143</v>
      </c>
      <c r="AE136" s="22" t="n">
        <f aca="false">IF(AND(ISNUMBER(AE135),ISNUMBER(AE133)),IFERROR(AE135/AE133,""),"")</f>
        <v>0.346949388856806</v>
      </c>
      <c r="AF136" s="22" t="n">
        <f aca="false">IF(AND(ISNUMBER(AF135),ISNUMBER(AF133)),IFERROR(AF135/AF133,""),"")</f>
        <v>0.32788491555525</v>
      </c>
      <c r="AG136" s="22" t="n">
        <f aca="false">IF(AND(ISNUMBER(AG135),ISNUMBER(AG133)),IFERROR(AG135/AG133,""),"")</f>
        <v>0.320490909212578</v>
      </c>
      <c r="AH136" s="22" t="n">
        <f aca="false">IF(AND(ISNUMBER(AH135),ISNUMBER(AH133)),IFERROR(AH135/AH133,""),"")</f>
        <v>0.335434995242778</v>
      </c>
      <c r="AI136" s="22" t="n">
        <f aca="false">IF(AND(ISNUMBER(AI135),ISNUMBER(AI133)),IFERROR(AI135/AI133,""),"")</f>
        <v>0.338597537798801</v>
      </c>
      <c r="AJ136" s="22" t="n">
        <f aca="false">IF(AND(ISNUMBER(AJ135),ISNUMBER(AJ133)),IFERROR(AJ135/AJ133,""),"")</f>
        <v>0.34189648276316</v>
      </c>
      <c r="AK136" s="22" t="n">
        <f aca="false">IF(AND(ISNUMBER(AK135),ISNUMBER(AK133)),IFERROR(AK135/AK133,""),"")</f>
        <v>0.341273017600078</v>
      </c>
      <c r="AL136" s="22" t="n">
        <f aca="false">IF(AND(ISNUMBER(AL135),ISNUMBER(AL133)),IFERROR(AL135/AL133,""),"")</f>
        <v>0.336501632772137</v>
      </c>
      <c r="AM136" s="22" t="n">
        <f aca="false">IF(AND(ISNUMBER(AM135),ISNUMBER(AM133)),IFERROR(AM135/AM133,""),"")</f>
        <v>0.339594489205507</v>
      </c>
      <c r="AN136" s="22" t="n">
        <f aca="false">IF(AND(ISNUMBER(AN135),ISNUMBER(AN133)),IFERROR(AN135/AN133,""),"")</f>
        <v>0.340397590012303</v>
      </c>
      <c r="AO136" s="22" t="n">
        <f aca="false">IF(AND(ISNUMBER(AO135),ISNUMBER(AO133)),IFERROR(AO135/AO133,""),"")</f>
        <v>0.347333618186685</v>
      </c>
      <c r="AP136" s="22" t="n">
        <f aca="false">IF(AND(ISNUMBER(AP135),ISNUMBER(AP133)),IFERROR(AP135/AP133,""),"")</f>
        <v>0.326158380805246</v>
      </c>
      <c r="AQ136" s="22" t="n">
        <f aca="false">IF(AND(ISNUMBER(AQ135),ISNUMBER(AQ133)),IFERROR(AQ135/AQ133,""),"")</f>
        <v>0.32721948861005</v>
      </c>
      <c r="AR136" s="22" t="n">
        <f aca="false">IF(AND(ISNUMBER(AR135),ISNUMBER(AR133)),IFERROR(AR135/AR133,""),"")</f>
        <v>0.33549641857281</v>
      </c>
      <c r="AS136" s="22" t="n">
        <f aca="false">IF(AND(ISNUMBER(AS135),ISNUMBER(AS133)),IFERROR(AS135/AS133,""),"")</f>
        <v>0.338069861294518</v>
      </c>
      <c r="AT136" s="22" t="n">
        <f aca="false">IF(AND(ISNUMBER(AT135),ISNUMBER(AT133)),IFERROR(AT135/AT133,""),"")</f>
        <v>0.320584635542306</v>
      </c>
      <c r="AU136" s="22" t="n">
        <f aca="false">IF(AND(ISNUMBER(AU135),ISNUMBER(AU133)),IFERROR(AU135/AU133,""),"")</f>
        <v>0.322007570774181</v>
      </c>
      <c r="AV136" s="22" t="n">
        <f aca="false">IF(AND(ISNUMBER(AV135),ISNUMBER(AV133)),IFERROR(AV135/AV133,""),"")</f>
        <v>0.330435258880878</v>
      </c>
      <c r="AW136" s="22" t="n">
        <f aca="false">IF(AND(ISNUMBER(AW135),ISNUMBER(AW133)),IFERROR(AW135/AW133,""),"")</f>
        <v>0.328139263387814</v>
      </c>
      <c r="AX136" s="22" t="n">
        <f aca="false">IF(AND(ISNUMBER(AX135),ISNUMBER(AX133)),IFERROR(AX135/AX133,""),"")</f>
        <v>0.335217913373605</v>
      </c>
      <c r="AY136" s="22" t="n">
        <f aca="false">IF(AND(ISNUMBER(AY135),ISNUMBER(AY133)),IFERROR(AY135/AY133,""),"")</f>
        <v>0.33154779334361</v>
      </c>
      <c r="AZ136" s="22" t="n">
        <f aca="false">IF(AND(ISNUMBER(AZ135),ISNUMBER(AZ133)),IFERROR(AZ135/AZ133,""),"")</f>
        <v>0.332532295704405</v>
      </c>
      <c r="BA136" s="22" t="n">
        <f aca="false">IF(AND(ISNUMBER(BA135),ISNUMBER(BA133)),IFERROR(BA135/BA133,""),"")</f>
        <v>0.322957272185641</v>
      </c>
      <c r="BB136" s="22" t="n">
        <f aca="false">IF(AND(ISNUMBER(BB135),ISNUMBER(BB133)),IFERROR(BB135/BB133,""),"")</f>
        <v>0.330409872054122</v>
      </c>
      <c r="BC136" s="22" t="n">
        <f aca="false">IF(AND(ISNUMBER(BC135),ISNUMBER(BC133)),IFERROR(BC135/BC133,""),"")</f>
        <v>0.35634309004936</v>
      </c>
      <c r="BD136" s="22" t="n">
        <f aca="false">IF(AND(ISNUMBER(BD135),ISNUMBER(BD133)),IFERROR(BD135/BD133,""),"")</f>
        <v>0.343940576883607</v>
      </c>
      <c r="BE136" s="22" t="n">
        <f aca="false">IF(AND(ISNUMBER(BE135),ISNUMBER(BE133)),IFERROR(BE135/BE133,""),"")</f>
        <v>0.330950344296651</v>
      </c>
      <c r="BF136" s="22" t="n">
        <f aca="false">IF(AND(ISNUMBER(BF135),ISNUMBER(BF133)),IFERROR(BF135/BF133,""),"")</f>
        <v>0.33083333512365</v>
      </c>
      <c r="BG136" s="22" t="n">
        <f aca="false">IF(AND(ISNUMBER(BG135),ISNUMBER(BG133)),IFERROR(BG135/BG133,""),"")</f>
        <v>0.340517987424795</v>
      </c>
      <c r="BH136" s="22" t="n">
        <f aca="false">IF(AND(ISNUMBER(BH135),ISNUMBER(BH133)),IFERROR(BH135/BH133,""),"")</f>
        <v>0.341905415247902</v>
      </c>
      <c r="BI136" s="22" t="n">
        <f aca="false">IF(AND(ISNUMBER(BI135),ISNUMBER(BI133)),IFERROR(BI135/BI133,""),"")</f>
        <v>0.352102888554686</v>
      </c>
      <c r="BJ136" s="22" t="n">
        <f aca="false">IF(AND(ISNUMBER(BJ135),ISNUMBER(BJ133)),IFERROR(BJ135/BJ133,""),"")</f>
        <v>0.353876350881812</v>
      </c>
      <c r="BK136" s="22" t="n">
        <f aca="false">IF(AND(ISNUMBER(BK135),ISNUMBER(BK133)),IFERROR(BK135/BK133,""),"")</f>
        <v>0.350519690811836</v>
      </c>
      <c r="BL136" s="22" t="n">
        <f aca="false">IF(AND(ISNUMBER(BL135),ISNUMBER(BL133)),IFERROR(BL135/BL133,""),"")</f>
        <v>0.349611702924586</v>
      </c>
      <c r="BM136" s="22" t="n">
        <f aca="false">IF(AND(ISNUMBER(BM135),ISNUMBER(BM133)),IFERROR(BM135/BM133,""),"")</f>
        <v>0.375458750893042</v>
      </c>
      <c r="BN136" s="22" t="n">
        <f aca="false">IF(AND(ISNUMBER(BN135),ISNUMBER(BN133)),IFERROR(BN135/BN133,""),"")</f>
        <v>0.375667403685879</v>
      </c>
      <c r="BO136" s="22" t="n">
        <f aca="false">IF(AND(ISNUMBER(BO135),ISNUMBER(BO133)),IFERROR(BO135/BO133,""),"")</f>
        <v>0.35789049960407</v>
      </c>
      <c r="BP136" s="22" t="n">
        <f aca="false">IF(AND(ISNUMBER(BP135),ISNUMBER(BP133)),IFERROR(BP135/BP133,""),"")</f>
        <v>0.360675948185525</v>
      </c>
      <c r="BQ136" s="22" t="n">
        <f aca="false">IF(AND(ISNUMBER(BQ135),ISNUMBER(BQ133)),IFERROR(BQ135/BQ133,""),"")</f>
        <v>0.367431592024287</v>
      </c>
      <c r="BR136" s="22" t="n">
        <f aca="false">IF(AND(ISNUMBER(BR135),ISNUMBER(BR133)),IFERROR(BR135/BR133,""),"")</f>
        <v>0.363851419969175</v>
      </c>
      <c r="BS136" s="22" t="n">
        <f aca="false">IF(AND(ISNUMBER(BS135),ISNUMBER(BS133)),IFERROR(BS135/BS133,""),"")</f>
        <v>0.372514979245375</v>
      </c>
      <c r="BT136" s="22" t="n">
        <f aca="false">IF(AND(ISNUMBER(BT135),ISNUMBER(BT133)),IFERROR(BT135/BT133,""),"")</f>
        <v>0.366849882258932</v>
      </c>
      <c r="BU136" s="22" t="n">
        <f aca="false">IF(AND(ISNUMBER(BU135),ISNUMBER(BU133)),IFERROR(BU135/BU133,""),"")</f>
        <v>0.346658756019894</v>
      </c>
      <c r="BV136" s="22" t="n">
        <f aca="false">IF(AND(ISNUMBER(BV135),ISNUMBER(BV133)),IFERROR(BV135/BV133,""),"")</f>
        <v>0.362450014800367</v>
      </c>
      <c r="BW136" s="22" t="n">
        <f aca="false">IF(AND(ISNUMBER(BW135),ISNUMBER(BW133)),IFERROR(BW135/BW133,""),"")</f>
        <v>0.355912162463417</v>
      </c>
      <c r="BX136" s="22" t="n">
        <f aca="false">IF(AND(ISNUMBER(BX135),ISNUMBER(BX133)),IFERROR(BX135/BX133,""),"")</f>
        <v>0.368131196896192</v>
      </c>
      <c r="BY136" s="23" t="n">
        <f aca="false">IF(AND(ISNUMBER(BY135),ISNUMBER(BY133)),IFERROR(BY135/BY133,""),"")</f>
        <v>0.376062405384867</v>
      </c>
      <c r="BZ136" s="23" t="n">
        <f aca="false">IF(AND(ISNUMBER(BZ135),ISNUMBER(BZ133)),IFERROR(BZ135/BZ133,""),"")</f>
        <v>0.357480022313135</v>
      </c>
      <c r="CA136" s="23" t="n">
        <f aca="false">IF(AND(ISNUMBER(CA135),ISNUMBER(CA133)),IFERROR(CA135/CA133,""),"")</f>
        <v>0.364533667560225</v>
      </c>
      <c r="CB136" s="23" t="n">
        <f aca="false">IF(AND(ISNUMBER(CB135),ISNUMBER(CB133)),IFERROR(CB135/CB133,""),"")</f>
        <v>0.370466311688041</v>
      </c>
      <c r="CC136" s="23" t="n">
        <f aca="false">IF(AND(ISNUMBER(CC135),ISNUMBER(CC133)),IFERROR(CC135/CC133,""),"")</f>
        <v>0.372356657307964</v>
      </c>
      <c r="CD136" s="23" t="n">
        <f aca="false">IF(AND(ISNUMBER(CD135),ISNUMBER(CD133)),IFERROR(CD135/CD133,""),"")</f>
        <v>0.373538460265083</v>
      </c>
      <c r="CE136" s="23" t="n">
        <f aca="false">IF(AND(ISNUMBER(CE135),ISNUMBER(CE133)),IFERROR(CE135/CE133,""),"")</f>
        <v>0.372630549426102</v>
      </c>
      <c r="CH136" s="41" t="n">
        <f aca="false">IFERROR(AVERAGE(CA136,CB136,CC136,CD136,CE136),"n/m")</f>
        <v>0.370705129249483</v>
      </c>
      <c r="CI136" s="41" t="n">
        <f aca="false">IFERROR(AVERAGE(BB136,BG136,BL136,BQ136,BV136),"n/m")</f>
        <v>0.350084233845632</v>
      </c>
      <c r="CJ136" s="41" t="n">
        <f aca="false">IFERROR(AVERAGE(AC136,AH136,AM136,AR136,AW136,BB136,BG136,BL136,BQ136,BV136),"n/m")</f>
        <v>0.343608938758346</v>
      </c>
      <c r="CK136" s="41" t="n">
        <f aca="false">IFERROR(AVERAGE(C136,D136,E136,F136,G136,H136,I136,N136,S136,X136,AC136,AH136,AM136,AR136,AW136,BB136,BG136,BL136,BQ136,BV136),"n/m")</f>
        <v>0.320174815652453</v>
      </c>
    </row>
    <row r="137" customFormat="false" ht="15" hidden="false" customHeight="false" outlineLevel="0" collapsed="false">
      <c r="B137" s="26" t="s">
        <v>273</v>
      </c>
      <c r="C137" s="38" t="n">
        <v>315.829</v>
      </c>
      <c r="D137" s="38" t="n">
        <v>370.122</v>
      </c>
      <c r="E137" s="38" t="n">
        <v>405.376</v>
      </c>
      <c r="F137" s="38" t="n">
        <v>333.395</v>
      </c>
      <c r="G137" s="38" t="n">
        <v>377.773</v>
      </c>
      <c r="H137" s="38" t="n">
        <v>439.775</v>
      </c>
      <c r="I137" s="38" t="n">
        <v>495.221</v>
      </c>
      <c r="J137" s="38" t="n">
        <v>136.891</v>
      </c>
      <c r="K137" s="38" t="n">
        <v>135.215</v>
      </c>
      <c r="L137" s="38" t="n">
        <v>131.217</v>
      </c>
      <c r="M137" s="38" t="n">
        <v>123.883</v>
      </c>
      <c r="N137" s="38" t="n">
        <v>527.206</v>
      </c>
      <c r="O137" s="38" t="n">
        <v>145.915</v>
      </c>
      <c r="P137" s="38" t="n">
        <v>137.156</v>
      </c>
      <c r="Q137" s="38" t="n">
        <v>136.424</v>
      </c>
      <c r="R137" s="38" t="n">
        <v>126.002</v>
      </c>
      <c r="S137" s="38" t="n">
        <v>545.497</v>
      </c>
      <c r="T137" s="38" t="n">
        <v>129.891</v>
      </c>
      <c r="U137" s="38" t="n">
        <v>127.755</v>
      </c>
      <c r="V137" s="38" t="n">
        <v>128.299</v>
      </c>
      <c r="W137" s="38" t="n">
        <v>110.803</v>
      </c>
      <c r="X137" s="38" t="n">
        <v>496.748</v>
      </c>
      <c r="Y137" s="38" t="n">
        <v>113.81</v>
      </c>
      <c r="Z137" s="38" t="n">
        <v>120.497</v>
      </c>
      <c r="AA137" s="38" t="n">
        <v>117.983</v>
      </c>
      <c r="AB137" s="38" t="n">
        <v>114.386</v>
      </c>
      <c r="AC137" s="38" t="n">
        <v>466.676</v>
      </c>
      <c r="AD137" s="38" t="n">
        <v>122.37</v>
      </c>
      <c r="AE137" s="38" t="n">
        <v>129.846</v>
      </c>
      <c r="AF137" s="38" t="n">
        <v>132.748</v>
      </c>
      <c r="AG137" s="38" t="n">
        <v>152.561</v>
      </c>
      <c r="AH137" s="38" t="n">
        <v>537.525</v>
      </c>
      <c r="AI137" s="38" t="n">
        <v>161.191</v>
      </c>
      <c r="AJ137" s="38" t="n">
        <v>163.94</v>
      </c>
      <c r="AK137" s="38" t="n">
        <v>148.129</v>
      </c>
      <c r="AL137" s="38" t="n">
        <v>154.437</v>
      </c>
      <c r="AM137" s="38" t="n">
        <v>627.697</v>
      </c>
      <c r="AN137" s="38" t="n">
        <v>160.408</v>
      </c>
      <c r="AO137" s="38" t="n">
        <v>163.388</v>
      </c>
      <c r="AP137" s="38" t="n">
        <v>148.312</v>
      </c>
      <c r="AQ137" s="38" t="n">
        <v>149.381</v>
      </c>
      <c r="AR137" s="38" t="n">
        <v>621.489</v>
      </c>
      <c r="AS137" s="38" t="n">
        <v>149.727</v>
      </c>
      <c r="AT137" s="38" t="n">
        <v>126.376</v>
      </c>
      <c r="AU137" s="38" t="n">
        <v>131.337</v>
      </c>
      <c r="AV137" s="38" t="n">
        <v>136.362</v>
      </c>
      <c r="AW137" s="38" t="n">
        <v>543.802</v>
      </c>
      <c r="AX137" s="38" t="n">
        <v>145.676</v>
      </c>
      <c r="AY137" s="38" t="n">
        <v>151.557</v>
      </c>
      <c r="AZ137" s="38" t="n">
        <v>149.118</v>
      </c>
      <c r="BA137" s="38" t="n">
        <v>150.758</v>
      </c>
      <c r="BB137" s="38" t="n">
        <v>597.109</v>
      </c>
      <c r="BC137" s="38" t="n">
        <v>166.686</v>
      </c>
      <c r="BD137" s="38" t="n">
        <v>166.792</v>
      </c>
      <c r="BE137" s="38" t="n">
        <v>159.045</v>
      </c>
      <c r="BF137" s="38" t="n">
        <v>164.113</v>
      </c>
      <c r="BG137" s="38" t="n">
        <v>656.636</v>
      </c>
      <c r="BH137" s="38" t="n">
        <v>190.116</v>
      </c>
      <c r="BI137" s="38" t="n">
        <v>192.748</v>
      </c>
      <c r="BJ137" s="38" t="n">
        <v>187.115</v>
      </c>
      <c r="BK137" s="38" t="n">
        <v>188.931</v>
      </c>
      <c r="BL137" s="38" t="n">
        <v>758.91</v>
      </c>
      <c r="BM137" s="38" t="n">
        <v>198.747</v>
      </c>
      <c r="BN137" s="38" t="n">
        <v>208.485</v>
      </c>
      <c r="BO137" s="38" t="n">
        <v>186.291</v>
      </c>
      <c r="BP137" s="38" t="n">
        <v>187.067</v>
      </c>
      <c r="BQ137" s="38" t="n">
        <v>780.59</v>
      </c>
      <c r="BR137" s="38" t="n">
        <v>196.665</v>
      </c>
      <c r="BS137" s="38" t="n">
        <v>210.861</v>
      </c>
      <c r="BT137" s="38" t="n">
        <v>206.823</v>
      </c>
      <c r="BU137" s="38" t="n">
        <v>183.645</v>
      </c>
      <c r="BV137" s="38" t="n">
        <v>797.994</v>
      </c>
      <c r="BW137" s="38" t="n">
        <v>210.811</v>
      </c>
      <c r="BX137" s="38" t="n">
        <v>224.871</v>
      </c>
      <c r="BY137" s="51" t="n">
        <f aca="false">BY133*BY128</f>
        <v>231.354906351589</v>
      </c>
      <c r="BZ137" s="51" t="n">
        <f aca="false">BZ133*BZ128</f>
        <v>202.862845145941</v>
      </c>
      <c r="CA137" s="51" t="n">
        <f aca="false">SUM(BW137:BZ137)</f>
        <v>869.89975149753</v>
      </c>
      <c r="CB137" s="51" t="n">
        <f aca="false">CB133*CB128</f>
        <v>946.186463286458</v>
      </c>
      <c r="CC137" s="51" t="n">
        <f aca="false">CC133*CC128</f>
        <v>1017.65236780833</v>
      </c>
      <c r="CD137" s="51" t="n">
        <f aca="false">CD133*CD128</f>
        <v>1089.33644884914</v>
      </c>
      <c r="CE137" s="51" t="n">
        <f aca="false">CE133*CE128</f>
        <v>1164.24935304948</v>
      </c>
    </row>
    <row r="138" customFormat="false" ht="15" hidden="false" customHeight="false" outlineLevel="0" collapsed="false">
      <c r="B138" s="26" t="s">
        <v>274</v>
      </c>
      <c r="C138" s="48" t="n">
        <v>3.478</v>
      </c>
      <c r="D138" s="48" t="n">
        <v>-0.188</v>
      </c>
      <c r="E138" s="48" t="n">
        <v>19.371</v>
      </c>
      <c r="F138" s="48" t="n">
        <v>29.897</v>
      </c>
      <c r="G138" s="48" t="n">
        <v>-0.384</v>
      </c>
      <c r="H138" s="48" t="n">
        <v>0.282</v>
      </c>
      <c r="I138" s="48" t="n">
        <v>9.354</v>
      </c>
      <c r="J138" s="48" t="n">
        <v>1.051</v>
      </c>
      <c r="K138" s="48" t="n">
        <v>0.851</v>
      </c>
      <c r="L138" s="48" t="n">
        <v>6.302</v>
      </c>
      <c r="M138" s="48" t="n">
        <v>0.259</v>
      </c>
      <c r="N138" s="48" t="n">
        <v>8.463</v>
      </c>
      <c r="O138" s="48" t="n">
        <v>-0.017</v>
      </c>
      <c r="P138" s="48" t="n">
        <v>0.836</v>
      </c>
      <c r="Q138" s="48" t="n">
        <v>29.068</v>
      </c>
      <c r="R138" s="48" t="n">
        <v>0.166</v>
      </c>
      <c r="S138" s="48" t="n">
        <v>30.053</v>
      </c>
      <c r="T138" s="48" t="n">
        <v>0</v>
      </c>
      <c r="U138" s="48" t="n">
        <v>1.239</v>
      </c>
      <c r="V138" s="48" t="n">
        <v>18.285</v>
      </c>
      <c r="W138" s="48" t="n">
        <v>0.434</v>
      </c>
      <c r="X138" s="48" t="n">
        <v>19.958</v>
      </c>
      <c r="Z138" s="48" t="n">
        <v>0</v>
      </c>
      <c r="AA138" s="48" t="n">
        <v>0</v>
      </c>
      <c r="AB138" s="48" t="n">
        <v>0</v>
      </c>
      <c r="AC138" s="48" t="n">
        <v>0</v>
      </c>
      <c r="AG138" s="48" t="n">
        <v>6.59</v>
      </c>
      <c r="AH138" s="48" t="n">
        <v>6.59</v>
      </c>
      <c r="AI138" s="48" t="n">
        <v>10.175</v>
      </c>
      <c r="AJ138" s="48" t="n">
        <v>11.542</v>
      </c>
      <c r="AK138" s="48" t="n">
        <v>2.636</v>
      </c>
      <c r="AL138" s="48" t="n">
        <v>0.932</v>
      </c>
      <c r="AM138" s="48" t="n">
        <v>25.285</v>
      </c>
      <c r="AN138" s="48" t="n">
        <v>3.535</v>
      </c>
      <c r="AO138" s="48" t="n">
        <v>1.307</v>
      </c>
      <c r="AP138" s="48" t="n">
        <v>1.495</v>
      </c>
      <c r="AQ138" s="48" t="n">
        <v>8.851</v>
      </c>
      <c r="AR138" s="48" t="n">
        <v>15.188</v>
      </c>
      <c r="AS138" s="48" t="n">
        <v>6.521</v>
      </c>
      <c r="AT138" s="48" t="n">
        <v>23.238</v>
      </c>
      <c r="AU138" s="48" t="n">
        <v>6.257</v>
      </c>
      <c r="AV138" s="48" t="n">
        <v>9.452</v>
      </c>
      <c r="AW138" s="48" t="n">
        <v>45.468</v>
      </c>
      <c r="AX138" s="48" t="n">
        <v>4.163</v>
      </c>
      <c r="AY138" s="48" t="n">
        <v>0.63</v>
      </c>
      <c r="AZ138" s="48" t="n">
        <v>3.484</v>
      </c>
      <c r="BA138" s="48" t="n">
        <v>1.55</v>
      </c>
      <c r="BB138" s="48" t="n">
        <v>9.827</v>
      </c>
      <c r="BC138" s="48" t="n">
        <v>1.885</v>
      </c>
      <c r="BD138" s="48" t="n">
        <v>-0.844</v>
      </c>
      <c r="BE138" s="48" t="n">
        <v>8.364</v>
      </c>
      <c r="BF138" s="48" t="n">
        <v>2.383</v>
      </c>
      <c r="BG138" s="48" t="n">
        <v>11.788</v>
      </c>
      <c r="BH138" s="48" t="n">
        <v>0.877</v>
      </c>
      <c r="BI138" s="48" t="n">
        <v>2.667</v>
      </c>
      <c r="BJ138" s="48" t="n">
        <v>7.074</v>
      </c>
      <c r="BK138" s="48" t="n">
        <v>-21.932</v>
      </c>
      <c r="BL138" s="48" t="n">
        <v>-11.314</v>
      </c>
      <c r="BM138" s="48" t="n">
        <v>4.605</v>
      </c>
      <c r="BN138" s="48" t="n">
        <v>26.49</v>
      </c>
      <c r="BO138" s="48" t="n">
        <v>20.227</v>
      </c>
      <c r="BP138" s="48" t="n">
        <v>4.538</v>
      </c>
      <c r="BQ138" s="48" t="n">
        <v>55.86</v>
      </c>
      <c r="BR138" s="48" t="n">
        <v>3.865</v>
      </c>
      <c r="BS138" s="48" t="n">
        <v>2.542</v>
      </c>
      <c r="BT138" s="48" t="n">
        <v>5.831</v>
      </c>
      <c r="BU138" s="48" t="n">
        <v>5.961</v>
      </c>
      <c r="BV138" s="48" t="n">
        <v>18.199</v>
      </c>
      <c r="BW138" s="48" t="n">
        <v>2.163</v>
      </c>
      <c r="BX138" s="48" t="n">
        <v>3.481</v>
      </c>
      <c r="BY138" s="56" t="n">
        <f aca="false">$CP$19/2</f>
        <v>3</v>
      </c>
      <c r="BZ138" s="56" t="n">
        <f aca="false">$CP$19/2</f>
        <v>3</v>
      </c>
      <c r="CA138" s="56" t="n">
        <f aca="false">SUM(BW138:BZ138)</f>
        <v>11.644</v>
      </c>
      <c r="CB138" s="56" t="n">
        <f aca="false">$CP$20</f>
        <v>12</v>
      </c>
      <c r="CC138" s="56" t="n">
        <f aca="false">$CP$20</f>
        <v>12</v>
      </c>
      <c r="CD138" s="56" t="n">
        <f aca="false">$CP$20</f>
        <v>12</v>
      </c>
      <c r="CE138" s="56" t="n">
        <f aca="false">$CP$20</f>
        <v>12</v>
      </c>
      <c r="CF138" s="19" t="s">
        <v>275</v>
      </c>
    </row>
    <row r="139" customFormat="false" ht="15" hidden="false" customHeight="false" outlineLevel="0" collapsed="false">
      <c r="B139" s="26" t="s">
        <v>276</v>
      </c>
      <c r="C139" s="48" t="n">
        <v>0</v>
      </c>
      <c r="D139" s="48" t="n">
        <v>0</v>
      </c>
      <c r="E139" s="48" t="n">
        <v>0</v>
      </c>
      <c r="F139" s="48" t="n">
        <v>0</v>
      </c>
      <c r="G139" s="48" t="n">
        <v>0</v>
      </c>
      <c r="H139" s="48" t="n">
        <v>0</v>
      </c>
      <c r="I139" s="48" t="n">
        <v>0</v>
      </c>
      <c r="J139" s="48" t="n">
        <v>0</v>
      </c>
      <c r="K139" s="48" t="n">
        <v>0</v>
      </c>
      <c r="L139" s="48" t="n">
        <v>0</v>
      </c>
      <c r="M139" s="48" t="n">
        <v>0</v>
      </c>
      <c r="N139" s="48" t="n">
        <v>0</v>
      </c>
      <c r="O139" s="48" t="n">
        <v>0</v>
      </c>
      <c r="P139" s="48" t="n">
        <v>0</v>
      </c>
      <c r="Q139" s="48" t="n">
        <v>0</v>
      </c>
      <c r="R139" s="48" t="n">
        <v>0</v>
      </c>
      <c r="S139" s="48" t="n">
        <v>0</v>
      </c>
      <c r="T139" s="48" t="n">
        <v>0</v>
      </c>
      <c r="U139" s="48" t="n">
        <v>0</v>
      </c>
      <c r="V139" s="48" t="n">
        <v>136.331</v>
      </c>
      <c r="W139" s="48" t="n">
        <v>6.407</v>
      </c>
      <c r="X139" s="48" t="n">
        <v>142.738</v>
      </c>
      <c r="Y139" s="48" t="n">
        <v>0</v>
      </c>
      <c r="Z139" s="48" t="n">
        <v>34.348</v>
      </c>
      <c r="AA139" s="48" t="n">
        <v>0</v>
      </c>
      <c r="AB139" s="48" t="n">
        <v>0</v>
      </c>
      <c r="AC139" s="48" t="n">
        <v>34.348</v>
      </c>
      <c r="AD139" s="48" t="n">
        <v>0</v>
      </c>
      <c r="AE139" s="48" t="n">
        <v>0</v>
      </c>
      <c r="AF139" s="48" t="n">
        <v>-46.302</v>
      </c>
      <c r="AG139" s="48" t="n">
        <v>4.802</v>
      </c>
      <c r="AH139" s="48" t="n">
        <v>-41.5</v>
      </c>
      <c r="AI139" s="48" t="n">
        <v>0</v>
      </c>
      <c r="AJ139" s="48" t="n">
        <v>0</v>
      </c>
      <c r="AK139" s="48" t="n">
        <v>0</v>
      </c>
      <c r="AL139" s="48" t="n">
        <v>0</v>
      </c>
      <c r="AM139" s="48" t="n">
        <v>0</v>
      </c>
      <c r="AN139" s="48" t="n">
        <v>0</v>
      </c>
      <c r="AO139" s="48" t="n">
        <v>0</v>
      </c>
      <c r="AP139" s="48" t="n">
        <v>0</v>
      </c>
      <c r="AQ139" s="48" t="n">
        <v>0</v>
      </c>
      <c r="AR139" s="48" t="n">
        <v>0</v>
      </c>
      <c r="AS139" s="48" t="n">
        <v>0</v>
      </c>
      <c r="AT139" s="48" t="n">
        <v>0</v>
      </c>
      <c r="AU139" s="48" t="n">
        <v>0</v>
      </c>
      <c r="AV139" s="48" t="n">
        <v>0</v>
      </c>
      <c r="AW139" s="48" t="n">
        <v>0</v>
      </c>
      <c r="AX139" s="48" t="n">
        <v>0</v>
      </c>
      <c r="AY139" s="48" t="n">
        <v>0</v>
      </c>
      <c r="AZ139" s="48" t="n">
        <v>0</v>
      </c>
      <c r="BA139" s="48" t="n">
        <v>0</v>
      </c>
      <c r="BB139" s="48" t="n">
        <v>0</v>
      </c>
      <c r="BC139" s="48" t="n">
        <v>0</v>
      </c>
      <c r="BD139" s="48" t="n">
        <v>0</v>
      </c>
      <c r="BE139" s="48" t="n">
        <v>0</v>
      </c>
      <c r="BF139" s="48" t="n">
        <v>0</v>
      </c>
      <c r="BG139" s="48" t="n">
        <v>0</v>
      </c>
      <c r="BH139" s="48" t="n">
        <v>0</v>
      </c>
      <c r="BI139" s="48" t="n">
        <v>0</v>
      </c>
      <c r="BJ139" s="48" t="n">
        <v>0</v>
      </c>
      <c r="BK139" s="48" t="n">
        <v>0</v>
      </c>
      <c r="BL139" s="48" t="n">
        <v>0</v>
      </c>
      <c r="BM139" s="48" t="n">
        <v>0</v>
      </c>
      <c r="BN139" s="48" t="n">
        <v>0</v>
      </c>
      <c r="BO139" s="48" t="n">
        <v>0</v>
      </c>
      <c r="BP139" s="48" t="n">
        <v>0</v>
      </c>
      <c r="BQ139" s="48" t="n">
        <v>0</v>
      </c>
      <c r="BR139" s="48" t="n">
        <v>0</v>
      </c>
      <c r="BS139" s="48" t="n">
        <v>0</v>
      </c>
      <c r="BT139" s="48" t="n">
        <v>0</v>
      </c>
      <c r="BU139" s="48" t="n">
        <v>0</v>
      </c>
      <c r="BV139" s="48" t="n">
        <v>0</v>
      </c>
      <c r="BW139" s="48" t="n">
        <v>0</v>
      </c>
      <c r="BX139" s="48" t="n">
        <v>0</v>
      </c>
      <c r="BY139" s="55" t="n">
        <v>0</v>
      </c>
      <c r="BZ139" s="55" t="n">
        <v>0</v>
      </c>
      <c r="CA139" s="56" t="n">
        <f aca="false">SUM(BW139:BZ139)</f>
        <v>0</v>
      </c>
      <c r="CB139" s="55" t="n">
        <v>0</v>
      </c>
      <c r="CC139" s="55" t="n">
        <v>0</v>
      </c>
      <c r="CD139" s="55" t="n">
        <v>0</v>
      </c>
      <c r="CE139" s="55" t="n">
        <v>0</v>
      </c>
      <c r="CF139" s="19" t="s">
        <v>277</v>
      </c>
    </row>
    <row r="140" customFormat="false" ht="15" hidden="false" customHeight="false" outlineLevel="0" collapsed="false">
      <c r="B140" s="58" t="s">
        <v>278</v>
      </c>
      <c r="C140" s="59" t="n">
        <f aca="false">C135-C137-C138-C139</f>
        <v>232.97</v>
      </c>
      <c r="D140" s="59" t="n">
        <f aca="false">D135-D137-D138-D139</f>
        <v>277.632</v>
      </c>
      <c r="E140" s="59" t="n">
        <f aca="false">E135-E137-E138-E139</f>
        <v>295.404</v>
      </c>
      <c r="F140" s="59" t="n">
        <f aca="false">F135-F137-F138-F139</f>
        <v>92.9760000000001</v>
      </c>
      <c r="G140" s="59" t="n">
        <f aca="false">G135-G137-G138-G139</f>
        <v>186.43</v>
      </c>
      <c r="H140" s="59" t="n">
        <f aca="false">H135-H137-H138-H139</f>
        <v>296.68</v>
      </c>
      <c r="I140" s="59" t="n">
        <f aca="false">I135-I137-I138-I139</f>
        <v>362.081</v>
      </c>
      <c r="J140" s="59" t="n">
        <f aca="false">J135-J137-J138-J139</f>
        <v>88.63</v>
      </c>
      <c r="K140" s="59" t="n">
        <f aca="false">K135-K137-K138-K139</f>
        <v>104.272</v>
      </c>
      <c r="L140" s="59" t="n">
        <f aca="false">L135-L137-L138-L139</f>
        <v>95.178</v>
      </c>
      <c r="M140" s="59" t="n">
        <f aca="false">M135-M137-M138-M139</f>
        <v>118.905</v>
      </c>
      <c r="N140" s="59" t="n">
        <f aca="false">N135-N137-N138-N139</f>
        <v>406.985</v>
      </c>
      <c r="O140" s="59" t="n">
        <f aca="false">O135-O137-O138-O139</f>
        <v>80.438</v>
      </c>
      <c r="P140" s="59" t="n">
        <f aca="false">P135-P137-P138-P139</f>
        <v>112.275</v>
      </c>
      <c r="Q140" s="59" t="n">
        <f aca="false">Q135-Q137-Q138-Q139</f>
        <v>76.117</v>
      </c>
      <c r="R140" s="59" t="n">
        <f aca="false">R135-R137-R138-R139</f>
        <v>104.917</v>
      </c>
      <c r="S140" s="59" t="n">
        <f aca="false">S135-S137-S138-S139</f>
        <v>373.747</v>
      </c>
      <c r="T140" s="59" t="n">
        <f aca="false">T135-T137-T138-T139</f>
        <v>90.499</v>
      </c>
      <c r="U140" s="59" t="n">
        <f aca="false">U135-U137-U138-U139</f>
        <v>96.787</v>
      </c>
      <c r="V140" s="59" t="n">
        <f aca="false">V135-V137-V138-V139</f>
        <v>-84.0209999999999</v>
      </c>
      <c r="W140" s="59" t="n">
        <f aca="false">W135-W137-W138-W139</f>
        <v>78.435</v>
      </c>
      <c r="X140" s="59" t="n">
        <f aca="false">X135-X137-X138-X139</f>
        <v>181.7</v>
      </c>
      <c r="Y140" s="59" t="n">
        <f aca="false">Y135-Y137-Y138-Y139</f>
        <v>75.292</v>
      </c>
      <c r="Z140" s="59" t="n">
        <f aca="false">Z135-Z137-Z138-Z139</f>
        <v>48.082</v>
      </c>
      <c r="AA140" s="59" t="n">
        <f aca="false">AA135-AA137-AA138-AA139</f>
        <v>81.829</v>
      </c>
      <c r="AB140" s="59" t="n">
        <f aca="false">AB135-AB137-AB138-AB139</f>
        <v>83.071</v>
      </c>
      <c r="AC140" s="59" t="n">
        <f aca="false">AC135-AC137-AC138-AC139</f>
        <v>288.274</v>
      </c>
      <c r="AD140" s="59" t="n">
        <f aca="false">AD135-AD137-AD138-AD139</f>
        <v>81.4860000000001</v>
      </c>
      <c r="AE140" s="59" t="n">
        <f aca="false">AE135-AE137-AE138-AE139</f>
        <v>87.6419999999999</v>
      </c>
      <c r="AF140" s="59" t="n">
        <f aca="false">AF135-AF137-AF138-AF139</f>
        <v>133.07</v>
      </c>
      <c r="AG140" s="59" t="n">
        <f aca="false">AG135-AG137-AG138-AG139</f>
        <v>75.513</v>
      </c>
      <c r="AH140" s="59" t="n">
        <f aca="false">AH135-AH137-AH138-AH139</f>
        <v>377.711</v>
      </c>
      <c r="AI140" s="59" t="n">
        <f aca="false">AI135-AI137-AI138-AI139</f>
        <v>85.188</v>
      </c>
      <c r="AJ140" s="59" t="n">
        <f aca="false">AJ135-AJ137-AJ138-AJ139</f>
        <v>94.634</v>
      </c>
      <c r="AK140" s="59" t="n">
        <f aca="false">AK135-AK137-AK138-AK139</f>
        <v>100.787</v>
      </c>
      <c r="AL140" s="59" t="n">
        <f aca="false">AL135-AL137-AL138-AL139</f>
        <v>94.93</v>
      </c>
      <c r="AM140" s="59" t="n">
        <f aca="false">AM135-AM137-AM138-AM139</f>
        <v>375.539</v>
      </c>
      <c r="AN140" s="59" t="n">
        <f aca="false">AN135-AN137-AN138-AN139</f>
        <v>94.478</v>
      </c>
      <c r="AO140" s="59" t="n">
        <f aca="false">AO135-AO137-AO138-AO139</f>
        <v>105.186</v>
      </c>
      <c r="AP140" s="59" t="n">
        <f aca="false">AP135-AP137-AP138-AP139</f>
        <v>88.544</v>
      </c>
      <c r="AQ140" s="59" t="n">
        <f aca="false">AQ135-AQ137-AQ138-AQ139</f>
        <v>82.702</v>
      </c>
      <c r="AR140" s="59" t="n">
        <f aca="false">AR135-AR137-AR138-AR139</f>
        <v>370.91</v>
      </c>
      <c r="AS140" s="59" t="n">
        <f aca="false">AS135-AS137-AS138-AS139</f>
        <v>81.074</v>
      </c>
      <c r="AT140" s="59" t="n">
        <f aca="false">AT135-AT137-AT138-AT139</f>
        <v>39.764</v>
      </c>
      <c r="AU140" s="59" t="n">
        <f aca="false">AU135-AU137-AU138-AU139</f>
        <v>77.7930000000001</v>
      </c>
      <c r="AV140" s="59" t="n">
        <f aca="false">AV135-AV137-AV138-AV139</f>
        <v>83.44</v>
      </c>
      <c r="AW140" s="59" t="n">
        <f aca="false">AW135-AW137-AW138-AW139</f>
        <v>282.071</v>
      </c>
      <c r="AX140" s="59" t="n">
        <f aca="false">AX135-AX137-AX138-AX139</f>
        <v>103.928</v>
      </c>
      <c r="AY140" s="59" t="n">
        <f aca="false">AY135-AY137-AY138-AY139</f>
        <v>121.822</v>
      </c>
      <c r="AZ140" s="59" t="n">
        <f aca="false">AZ135-AZ137-AZ138-AZ139</f>
        <v>115.57</v>
      </c>
      <c r="BA140" s="59" t="n">
        <f aca="false">BA135-BA137-BA138-BA139</f>
        <v>120.349</v>
      </c>
      <c r="BB140" s="59" t="n">
        <f aca="false">BB135-BB137-BB138-BB139</f>
        <v>461.669</v>
      </c>
      <c r="BC140" s="59" t="n">
        <f aca="false">BC135-BC137-BC138-BC139</f>
        <v>161.206</v>
      </c>
      <c r="BD140" s="59" t="n">
        <f aca="false">BD135-BD137-BD138-BD139</f>
        <v>167.533</v>
      </c>
      <c r="BE140" s="59" t="n">
        <f aca="false">BE135-BE137-BE138-BE139</f>
        <v>142.109</v>
      </c>
      <c r="BF140" s="59" t="n">
        <f aca="false">BF135-BF137-BF138-BF139</f>
        <v>141.488</v>
      </c>
      <c r="BG140" s="59" t="n">
        <f aca="false">BG135-BG137-BG138-BG139</f>
        <v>612.336</v>
      </c>
      <c r="BH140" s="59" t="n">
        <f aca="false">BH135-BH137-BH138-BH139</f>
        <v>164.364</v>
      </c>
      <c r="BI140" s="59" t="n">
        <f aca="false">BI135-BI137-BI138-BI139</f>
        <v>178.013</v>
      </c>
      <c r="BJ140" s="59" t="n">
        <f aca="false">BJ135-BJ137-BJ138-BJ139</f>
        <v>171.441</v>
      </c>
      <c r="BK140" s="59" t="n">
        <f aca="false">BK135-BK137-BK138-BK139</f>
        <v>204.031</v>
      </c>
      <c r="BL140" s="59" t="n">
        <f aca="false">BL135-BL137-BL138-BL139</f>
        <v>717.849000000001</v>
      </c>
      <c r="BM140" s="59" t="n">
        <f aca="false">BM135-BM137-BM138-BM139</f>
        <v>165.047</v>
      </c>
      <c r="BN140" s="59" t="n">
        <f aca="false">BN135-BN137-BN138-BN139</f>
        <v>148.838</v>
      </c>
      <c r="BO140" s="59" t="n">
        <f aca="false">BO135-BO137-BO138-BO139</f>
        <v>145.56</v>
      </c>
      <c r="BP140" s="59" t="n">
        <f aca="false">BP135-BP137-BP138-BP139</f>
        <v>177.017</v>
      </c>
      <c r="BQ140" s="59" t="n">
        <f aca="false">BQ135-BQ137-BQ138-BQ139</f>
        <v>636.462</v>
      </c>
      <c r="BR140" s="59" t="n">
        <f aca="false">BR135-BR137-BR138-BR139</f>
        <v>164.918</v>
      </c>
      <c r="BS140" s="59" t="n">
        <f aca="false">BS135-BS137-BS138-BS139</f>
        <v>192.144</v>
      </c>
      <c r="BT140" s="59" t="n">
        <f aca="false">BT135-BT137-BT138-BT139</f>
        <v>176.657</v>
      </c>
      <c r="BU140" s="59" t="n">
        <f aca="false">BU135-BU137-BU138-BU139</f>
        <v>184.34</v>
      </c>
      <c r="BV140" s="59" t="n">
        <f aca="false">BV135-BV137-BV138-BV139</f>
        <v>718.059</v>
      </c>
      <c r="BW140" s="59" t="n">
        <f aca="false">BW135-BW137-BW138-BW139</f>
        <v>186.158</v>
      </c>
      <c r="BX140" s="59" t="n">
        <f aca="false">BX135-BX137-BX138-BX139</f>
        <v>220.644</v>
      </c>
      <c r="BY140" s="59" t="n">
        <f aca="false">BY104-BY177-BY143</f>
        <v>212.069665861874</v>
      </c>
      <c r="BZ140" s="59" t="n">
        <f aca="false">BZ104-BZ177-BZ143</f>
        <v>220.109983488125</v>
      </c>
      <c r="CA140" s="59" t="n">
        <f aca="false">SUM(BW140:BZ140)</f>
        <v>838.98164935</v>
      </c>
      <c r="CB140" s="59" t="n">
        <f aca="false">CB104-CB177-CB143</f>
        <v>901.220283169161</v>
      </c>
      <c r="CC140" s="59" t="n">
        <f aca="false">CC104-CC177-CC143</f>
        <v>980.400687002238</v>
      </c>
      <c r="CD140" s="59" t="n">
        <f aca="false">CD104-CD177-CD143</f>
        <v>1057.13500697477</v>
      </c>
      <c r="CE140" s="59" t="n">
        <f aca="false">CE104-CE177-CE143</f>
        <v>1125.05157404797</v>
      </c>
      <c r="CH140" s="20" t="n">
        <f aca="false">IFERROR((CE140/BV140)^(1/5)-1,"n/m")</f>
        <v>0.093962563700783</v>
      </c>
      <c r="CI140" s="20" t="n">
        <f aca="false">IFERROR((BV140/AW140)^(1/5)-1,"n/m")</f>
        <v>0.205480912958594</v>
      </c>
      <c r="CJ140" s="20" t="n">
        <f aca="false">IFERROR((BV140/X140)^(1/10)-1,"n/m")</f>
        <v>0.147309316657929</v>
      </c>
      <c r="CK140" s="20" t="n">
        <f aca="false">IFERROR((BV140/C140)^(1/19)-1,"n/m")</f>
        <v>0.061034439248441</v>
      </c>
    </row>
    <row r="141" customFormat="false" ht="15" hidden="false" customHeight="false" outlineLevel="0" collapsed="false">
      <c r="B141" s="26" t="s">
        <v>279</v>
      </c>
      <c r="C141" s="48" t="n">
        <v>4.277</v>
      </c>
      <c r="D141" s="48" t="n">
        <v>3.136</v>
      </c>
      <c r="E141" s="48" t="n">
        <v>3.31</v>
      </c>
      <c r="F141" s="48" t="n">
        <v>5.059</v>
      </c>
      <c r="G141" s="48" t="n">
        <v>4.31</v>
      </c>
      <c r="H141" s="48" t="n">
        <v>3.583</v>
      </c>
      <c r="I141" s="48" t="n">
        <v>0.203</v>
      </c>
      <c r="J141" s="48" t="n">
        <v>-0.076</v>
      </c>
      <c r="K141" s="48" t="n">
        <v>-0.091</v>
      </c>
      <c r="L141" s="48" t="n">
        <v>0.022</v>
      </c>
      <c r="M141" s="48" t="n">
        <v>-0.311</v>
      </c>
      <c r="N141" s="48" t="n">
        <v>-0.456</v>
      </c>
      <c r="O141" s="48" t="n">
        <v>0.656</v>
      </c>
      <c r="P141" s="48" t="n">
        <v>0.062</v>
      </c>
      <c r="Q141" s="48" t="n">
        <v>0.547</v>
      </c>
      <c r="R141" s="48" t="n">
        <v>6.076</v>
      </c>
      <c r="S141" s="48" t="n">
        <v>7.341</v>
      </c>
      <c r="T141" s="48" t="n">
        <v>1.251</v>
      </c>
      <c r="U141" s="48" t="n">
        <v>3.649</v>
      </c>
      <c r="V141" s="48" t="n">
        <v>5.111</v>
      </c>
      <c r="W141" s="48" t="n">
        <v>9.099</v>
      </c>
      <c r="X141" s="48" t="n">
        <v>19.11</v>
      </c>
      <c r="Y141" s="48" t="n">
        <v>3.397</v>
      </c>
      <c r="Z141" s="48" t="n">
        <v>3.751</v>
      </c>
      <c r="AA141" s="48" t="n">
        <v>3.455</v>
      </c>
      <c r="AB141" s="48" t="n">
        <v>6.384</v>
      </c>
      <c r="AC141" s="48" t="n">
        <v>16.987</v>
      </c>
      <c r="AD141" s="48" t="n">
        <v>5.337</v>
      </c>
      <c r="AE141" s="48" t="n">
        <v>5.052</v>
      </c>
      <c r="AF141" s="48" t="n">
        <v>4.595</v>
      </c>
      <c r="AG141" s="48" t="n">
        <v>4.448</v>
      </c>
      <c r="AH141" s="48" t="n">
        <v>19.432</v>
      </c>
      <c r="AI141" s="48" t="n">
        <v>4.441</v>
      </c>
      <c r="AJ141" s="48" t="n">
        <v>4.812</v>
      </c>
      <c r="AK141" s="48" t="n">
        <v>3.969</v>
      </c>
      <c r="AL141" s="48" t="n">
        <v>4.343</v>
      </c>
      <c r="AM141" s="48" t="n">
        <v>17.565</v>
      </c>
      <c r="AN141" s="48" t="n">
        <v>5.323</v>
      </c>
      <c r="AO141" s="48" t="n">
        <v>5.898</v>
      </c>
      <c r="AP141" s="48" t="n">
        <v>6.4</v>
      </c>
      <c r="AQ141" s="48" t="n">
        <v>5.794</v>
      </c>
      <c r="AR141" s="48" t="n">
        <v>23.415</v>
      </c>
      <c r="AS141" s="48" t="n">
        <v>5.458</v>
      </c>
      <c r="AT141" s="48" t="n">
        <v>5.881</v>
      </c>
      <c r="AU141" s="48" t="n">
        <v>5.552</v>
      </c>
      <c r="AV141" s="48" t="n">
        <v>5.082</v>
      </c>
      <c r="AW141" s="48" t="n">
        <v>21.973</v>
      </c>
      <c r="AX141" s="48" t="n">
        <v>5.359</v>
      </c>
      <c r="AY141" s="48" t="n">
        <v>5.663</v>
      </c>
      <c r="AZ141" s="48" t="n">
        <v>5.714</v>
      </c>
      <c r="BA141" s="48" t="n">
        <v>5.478</v>
      </c>
      <c r="BB141" s="48" t="n">
        <v>22.214</v>
      </c>
      <c r="BC141" s="48" t="n">
        <v>6.198</v>
      </c>
      <c r="BD141" s="48" t="n">
        <v>6.459</v>
      </c>
      <c r="BE141" s="48" t="n">
        <v>8.21</v>
      </c>
      <c r="BF141" s="48" t="n">
        <v>8.633</v>
      </c>
      <c r="BG141" s="48" t="n">
        <v>29.5</v>
      </c>
      <c r="BH141" s="48" t="n">
        <v>13.201</v>
      </c>
      <c r="BI141" s="48" t="n">
        <v>11.699</v>
      </c>
      <c r="BJ141" s="48" t="n">
        <v>10.809</v>
      </c>
      <c r="BK141" s="48" t="n">
        <v>8.663</v>
      </c>
      <c r="BL141" s="48" t="n">
        <v>44.371</v>
      </c>
      <c r="BM141" s="48" t="n">
        <v>8.779</v>
      </c>
      <c r="BN141" s="48" t="n">
        <v>10.661</v>
      </c>
      <c r="BO141" s="48" t="n">
        <v>11.974</v>
      </c>
      <c r="BP141" s="48" t="n">
        <v>11.372</v>
      </c>
      <c r="BQ141" s="48" t="n">
        <v>42.786</v>
      </c>
      <c r="BR141" s="48" t="n">
        <v>12.127</v>
      </c>
      <c r="BS141" s="48" t="n">
        <v>12.619</v>
      </c>
      <c r="BT141" s="48" t="n">
        <v>13.648</v>
      </c>
      <c r="BU141" s="48" t="n">
        <v>13.167</v>
      </c>
      <c r="BV141" s="48" t="n">
        <v>51.561</v>
      </c>
      <c r="BW141" s="48" t="n">
        <v>13.374</v>
      </c>
      <c r="BX141" s="48" t="n">
        <v>12.521</v>
      </c>
      <c r="BY141" s="56" t="n">
        <f aca="false">($CP$16-$BW$141-$BX$141)/2</f>
        <v>13.3025</v>
      </c>
      <c r="BZ141" s="56" t="n">
        <f aca="false">($CP$16-$BW$141-$BX$141)/2</f>
        <v>13.3025</v>
      </c>
      <c r="CA141" s="56" t="n">
        <f aca="false">SUM(BW141:BZ141)</f>
        <v>52.5</v>
      </c>
      <c r="CB141" s="56" t="n">
        <f aca="false">CB342</f>
        <v>46.3809407903321</v>
      </c>
      <c r="CC141" s="56" t="n">
        <f aca="false">CC342</f>
        <v>51.9114368540629</v>
      </c>
      <c r="CD141" s="56" t="n">
        <f aca="false">CD342</f>
        <v>56.6314160835974</v>
      </c>
      <c r="CE141" s="56" t="n">
        <f aca="false">CE342</f>
        <v>61.2434220488311</v>
      </c>
      <c r="CF141" s="19" t="s">
        <v>280</v>
      </c>
    </row>
    <row r="142" customFormat="false" ht="15" hidden="false" customHeight="false" outlineLevel="0" collapsed="false">
      <c r="B142" s="37" t="s">
        <v>281</v>
      </c>
      <c r="C142" s="48" t="n">
        <v>5.876</v>
      </c>
      <c r="D142" s="48" t="n">
        <v>8.294</v>
      </c>
      <c r="E142" s="48" t="n">
        <v>8.845</v>
      </c>
      <c r="F142" s="48" t="n">
        <v>3.462</v>
      </c>
      <c r="G142" s="48" t="n">
        <v>2.381</v>
      </c>
      <c r="H142" s="48" t="n">
        <v>3.121</v>
      </c>
      <c r="I142" s="48" t="n">
        <v>3.988</v>
      </c>
      <c r="J142" s="48" t="n">
        <v>1.026</v>
      </c>
      <c r="K142" s="48" t="n">
        <v>0.89</v>
      </c>
      <c r="L142" s="48" t="n">
        <v>0.536</v>
      </c>
      <c r="M142" s="48" t="n">
        <v>0.868</v>
      </c>
      <c r="N142" s="48" t="n">
        <v>3.32</v>
      </c>
      <c r="O142" s="48" t="n">
        <v>0.914</v>
      </c>
      <c r="P142" s="48" t="n">
        <v>0.924</v>
      </c>
      <c r="Q142" s="48" t="n">
        <v>0.627</v>
      </c>
      <c r="R142" s="48" t="n">
        <v>0.628</v>
      </c>
      <c r="S142" s="48" t="n">
        <v>3.093</v>
      </c>
      <c r="T142" s="48" t="n">
        <v>0.593</v>
      </c>
      <c r="U142" s="48" t="n">
        <v>0.738</v>
      </c>
      <c r="V142" s="48" t="n">
        <v>0.692</v>
      </c>
      <c r="W142" s="48" t="n">
        <v>0.691</v>
      </c>
      <c r="X142" s="48" t="n">
        <v>2.714</v>
      </c>
      <c r="Y142" s="48" t="n">
        <v>0.43</v>
      </c>
      <c r="Z142" s="48" t="n">
        <v>0.435</v>
      </c>
      <c r="AA142" s="48" t="n">
        <v>0.36</v>
      </c>
      <c r="AB142" s="48" t="n">
        <v>0.867</v>
      </c>
      <c r="AC142" s="48" t="n">
        <v>2.092</v>
      </c>
      <c r="AD142" s="48" t="n">
        <v>0.777</v>
      </c>
      <c r="AE142" s="48" t="n">
        <v>1.245</v>
      </c>
      <c r="AF142" s="48" t="n">
        <v>1.327</v>
      </c>
      <c r="AG142" s="48" t="n">
        <v>1.439</v>
      </c>
      <c r="AH142" s="48" t="n">
        <v>4.788</v>
      </c>
    </row>
    <row r="143" customFormat="false" ht="15" hidden="false" customHeight="false" outlineLevel="0" collapsed="false">
      <c r="B143" s="26" t="s">
        <v>282</v>
      </c>
      <c r="C143" s="48" t="n">
        <v>9.479</v>
      </c>
      <c r="D143" s="48" t="n">
        <v>12.661</v>
      </c>
      <c r="E143" s="48" t="n">
        <v>7.715</v>
      </c>
      <c r="F143" s="48" t="n">
        <v>-1.436</v>
      </c>
      <c r="G143" s="48" t="n">
        <v>4.988</v>
      </c>
      <c r="H143" s="48" t="n">
        <v>8.234</v>
      </c>
      <c r="I143" s="48" t="n">
        <v>7.692</v>
      </c>
      <c r="J143" s="48" t="n">
        <v>1.973</v>
      </c>
      <c r="K143" s="48" t="n">
        <v>2.171</v>
      </c>
      <c r="L143" s="48" t="n">
        <v>2.684</v>
      </c>
      <c r="M143" s="48" t="n">
        <v>2.172</v>
      </c>
      <c r="N143" s="48" t="n">
        <v>9</v>
      </c>
      <c r="O143" s="48" t="n">
        <v>2.644</v>
      </c>
      <c r="P143" s="48" t="n">
        <v>2.653</v>
      </c>
      <c r="Q143" s="48" t="n">
        <v>2.215</v>
      </c>
      <c r="R143" s="48" t="n">
        <v>1.895</v>
      </c>
      <c r="S143" s="48" t="n">
        <v>9.407</v>
      </c>
      <c r="T143" s="48" t="n">
        <v>3.459</v>
      </c>
      <c r="U143" s="48" t="n">
        <v>1.296</v>
      </c>
      <c r="V143" s="48" t="n">
        <v>0.606</v>
      </c>
      <c r="W143" s="48" t="n">
        <v>1.836</v>
      </c>
      <c r="X143" s="48" t="n">
        <v>7.197</v>
      </c>
      <c r="Y143" s="48" t="n">
        <v>1.287</v>
      </c>
      <c r="Z143" s="48" t="n">
        <v>1.427</v>
      </c>
      <c r="AA143" s="48" t="n">
        <v>1.922</v>
      </c>
      <c r="AB143" s="48" t="n">
        <v>1.465</v>
      </c>
      <c r="AC143" s="48" t="n">
        <v>6.101</v>
      </c>
      <c r="AD143" s="48" t="n">
        <v>1.751</v>
      </c>
      <c r="AE143" s="48" t="n">
        <v>1.376</v>
      </c>
      <c r="AF143" s="48" t="n">
        <v>2.167</v>
      </c>
      <c r="AG143" s="48" t="n">
        <v>2.663</v>
      </c>
      <c r="AH143" s="48" t="n">
        <v>7.957</v>
      </c>
      <c r="AI143" s="48" t="n">
        <v>3.451</v>
      </c>
      <c r="AJ143" s="48" t="n">
        <v>4.441</v>
      </c>
      <c r="AK143" s="48" t="n">
        <v>-1.074</v>
      </c>
      <c r="AL143" s="48" t="n">
        <v>3.868</v>
      </c>
      <c r="AM143" s="48" t="n">
        <v>10.686</v>
      </c>
      <c r="AN143" s="48" t="n">
        <v>3.763</v>
      </c>
      <c r="AO143" s="48" t="n">
        <v>4.196</v>
      </c>
      <c r="AP143" s="48" t="n">
        <v>9.653</v>
      </c>
      <c r="AQ143" s="48" t="n">
        <v>3.386</v>
      </c>
      <c r="AR143" s="48" t="n">
        <v>20.998</v>
      </c>
      <c r="AS143" s="48" t="n">
        <v>0.309</v>
      </c>
      <c r="AT143" s="48" t="n">
        <v>-0.203</v>
      </c>
      <c r="AU143" s="48" t="n">
        <v>1.062</v>
      </c>
      <c r="AV143" s="48" t="n">
        <v>2.774</v>
      </c>
      <c r="AW143" s="48" t="n">
        <v>3.942</v>
      </c>
      <c r="AX143" s="48" t="n">
        <v>-1.416</v>
      </c>
      <c r="AY143" s="48" t="n">
        <v>1.702</v>
      </c>
      <c r="AZ143" s="48" t="n">
        <v>-71.441</v>
      </c>
      <c r="BA143" s="48" t="n">
        <v>-43.302</v>
      </c>
      <c r="BB143" s="48" t="n">
        <v>-114.457</v>
      </c>
      <c r="BC143" s="48" t="n">
        <v>4.634</v>
      </c>
      <c r="BD143" s="48" t="n">
        <v>-1.134</v>
      </c>
      <c r="BE143" s="48" t="n">
        <v>3.588</v>
      </c>
      <c r="BF143" s="48" t="n">
        <v>2.903</v>
      </c>
      <c r="BG143" s="48" t="n">
        <v>9.991</v>
      </c>
      <c r="BH143" s="48" t="n">
        <v>4.209</v>
      </c>
      <c r="BI143" s="48" t="n">
        <v>6.746</v>
      </c>
      <c r="BJ143" s="48" t="n">
        <v>0.801</v>
      </c>
      <c r="BK143" s="48" t="n">
        <v>1.662</v>
      </c>
      <c r="BL143" s="48" t="n">
        <v>13.388</v>
      </c>
      <c r="BM143" s="48" t="n">
        <v>2.262</v>
      </c>
      <c r="BN143" s="48" t="n">
        <v>-1.553</v>
      </c>
      <c r="BO143" s="48" t="n">
        <v>-1.644</v>
      </c>
      <c r="BP143" s="48" t="n">
        <v>1.408</v>
      </c>
      <c r="BQ143" s="48" t="n">
        <v>0.473</v>
      </c>
      <c r="BR143" s="48" t="n">
        <v>0.444</v>
      </c>
      <c r="BS143" s="48" t="n">
        <v>4.034</v>
      </c>
      <c r="BT143" s="48" t="n">
        <v>2.986</v>
      </c>
      <c r="BU143" s="48" t="n">
        <v>1.488</v>
      </c>
      <c r="BV143" s="48" t="n">
        <v>8.952</v>
      </c>
      <c r="BW143" s="48" t="n">
        <v>0.57</v>
      </c>
      <c r="BX143" s="48" t="n">
        <v>-0.241</v>
      </c>
      <c r="BY143" s="56" t="n">
        <f aca="false">AVERAGE($BW$143,$BX$143)</f>
        <v>0.1645</v>
      </c>
      <c r="BZ143" s="56" t="n">
        <f aca="false">AVERAGE($BW$143,$BX$143)</f>
        <v>0.1645</v>
      </c>
      <c r="CA143" s="56" t="n">
        <f aca="false">SUM(BW143:BZ143)</f>
        <v>0.658</v>
      </c>
      <c r="CB143" s="55" t="n">
        <v>5</v>
      </c>
      <c r="CC143" s="55" t="n">
        <v>5</v>
      </c>
      <c r="CD143" s="55" t="n">
        <v>5</v>
      </c>
      <c r="CE143" s="55" t="n">
        <v>5</v>
      </c>
      <c r="CF143" s="19" t="s">
        <v>283</v>
      </c>
    </row>
    <row r="144" customFormat="false" ht="15" hidden="false" customHeight="false" outlineLevel="0" collapsed="false">
      <c r="B144" s="15" t="s">
        <v>284</v>
      </c>
      <c r="C144" s="62" t="n">
        <f aca="false">C140-C141+C143</f>
        <v>238.172</v>
      </c>
      <c r="D144" s="62" t="n">
        <f aca="false">D140-D141+D143</f>
        <v>287.157</v>
      </c>
      <c r="E144" s="62" t="n">
        <f aca="false">E140-E141+E143</f>
        <v>299.809</v>
      </c>
      <c r="F144" s="62" t="n">
        <f aca="false">F140-F141+F143</f>
        <v>86.4810000000001</v>
      </c>
      <c r="G144" s="62" t="n">
        <f aca="false">G140-G141+G143</f>
        <v>187.108</v>
      </c>
      <c r="H144" s="62" t="n">
        <f aca="false">H140-H141+H143</f>
        <v>301.331</v>
      </c>
      <c r="I144" s="62" t="n">
        <f aca="false">I140-I141+I143</f>
        <v>369.57</v>
      </c>
      <c r="J144" s="62" t="n">
        <f aca="false">J140-J141+J143</f>
        <v>90.679</v>
      </c>
      <c r="K144" s="62" t="n">
        <f aca="false">K140-K141+K143</f>
        <v>106.534</v>
      </c>
      <c r="L144" s="62" t="n">
        <f aca="false">L140-L141+L143</f>
        <v>97.84</v>
      </c>
      <c r="M144" s="62" t="n">
        <f aca="false">M140-M141+M143</f>
        <v>121.388</v>
      </c>
      <c r="N144" s="62" t="n">
        <f aca="false">N140-N141+N143</f>
        <v>416.441</v>
      </c>
      <c r="O144" s="62" t="n">
        <f aca="false">O140-O141+O143</f>
        <v>82.426</v>
      </c>
      <c r="P144" s="62" t="n">
        <f aca="false">P140-P141+P143</f>
        <v>114.866</v>
      </c>
      <c r="Q144" s="62" t="n">
        <f aca="false">Q140-Q141+Q143</f>
        <v>77.785</v>
      </c>
      <c r="R144" s="62" t="n">
        <f aca="false">R140-R141+R143</f>
        <v>100.736</v>
      </c>
      <c r="S144" s="62" t="n">
        <f aca="false">S140-S141+S143</f>
        <v>375.813</v>
      </c>
      <c r="T144" s="62" t="n">
        <f aca="false">T140-T141+T143</f>
        <v>92.707</v>
      </c>
      <c r="U144" s="62" t="n">
        <f aca="false">U140-U141+U143</f>
        <v>94.434</v>
      </c>
      <c r="V144" s="62" t="n">
        <f aca="false">V140-V141+V143</f>
        <v>-88.5259999999999</v>
      </c>
      <c r="W144" s="62" t="n">
        <f aca="false">W140-W141+W143</f>
        <v>71.172</v>
      </c>
      <c r="X144" s="62" t="n">
        <f aca="false">X140-X141+X143</f>
        <v>169.787</v>
      </c>
      <c r="Y144" s="62" t="n">
        <f aca="false">Y140-Y141+Y143</f>
        <v>73.182</v>
      </c>
      <c r="Z144" s="62" t="n">
        <f aca="false">Z140-Z141+Z143</f>
        <v>45.758</v>
      </c>
      <c r="AA144" s="62" t="n">
        <f aca="false">AA140-AA141+AA143</f>
        <v>80.296</v>
      </c>
      <c r="AB144" s="62" t="n">
        <f aca="false">AB140-AB141+AB143</f>
        <v>78.152</v>
      </c>
      <c r="AC144" s="62" t="n">
        <f aca="false">AC140-AC141+AC143</f>
        <v>277.388</v>
      </c>
      <c r="AD144" s="62" t="n">
        <f aca="false">AD140-AD141+AD143</f>
        <v>77.9000000000001</v>
      </c>
      <c r="AE144" s="62" t="n">
        <f aca="false">AE140-AE141+AE143</f>
        <v>83.966</v>
      </c>
      <c r="AF144" s="62" t="n">
        <f aca="false">AF140-AF141+AF143</f>
        <v>130.642</v>
      </c>
      <c r="AG144" s="62" t="n">
        <f aca="false">AG140-AG141+AG143</f>
        <v>73.7279999999999</v>
      </c>
      <c r="AH144" s="62" t="n">
        <f aca="false">AH140-AH141+AH143</f>
        <v>366.236</v>
      </c>
      <c r="AI144" s="62" t="n">
        <f aca="false">AI140-AI141+AI143</f>
        <v>84.198</v>
      </c>
      <c r="AJ144" s="62" t="n">
        <f aca="false">AJ140-AJ141+AJ143</f>
        <v>94.263</v>
      </c>
      <c r="AK144" s="62" t="n">
        <f aca="false">AK140-AK141+AK143</f>
        <v>95.744</v>
      </c>
      <c r="AL144" s="62" t="n">
        <f aca="false">AL140-AL141+AL143</f>
        <v>94.455</v>
      </c>
      <c r="AM144" s="62" t="n">
        <f aca="false">AM140-AM141+AM143</f>
        <v>368.66</v>
      </c>
      <c r="AN144" s="62" t="n">
        <f aca="false">AN140-AN141+AN143</f>
        <v>92.918</v>
      </c>
      <c r="AO144" s="62" t="n">
        <f aca="false">AO140-AO141+AO143</f>
        <v>103.484</v>
      </c>
      <c r="AP144" s="62" t="n">
        <f aca="false">AP140-AP141+AP143</f>
        <v>91.797</v>
      </c>
      <c r="AQ144" s="62" t="n">
        <f aca="false">AQ140-AQ141+AQ143</f>
        <v>80.294</v>
      </c>
      <c r="AR144" s="62" t="n">
        <f aca="false">AR140-AR141+AR143</f>
        <v>368.493</v>
      </c>
      <c r="AS144" s="62" t="n">
        <f aca="false">AS140-AS141+AS143</f>
        <v>75.925</v>
      </c>
      <c r="AT144" s="62" t="n">
        <f aca="false">AT140-AT141+AT143</f>
        <v>33.68</v>
      </c>
      <c r="AU144" s="62" t="n">
        <f aca="false">AU140-AU141+AU143</f>
        <v>73.3030000000001</v>
      </c>
      <c r="AV144" s="62" t="n">
        <f aca="false">AV140-AV141+AV143</f>
        <v>81.132</v>
      </c>
      <c r="AW144" s="62" t="n">
        <f aca="false">AW140-AW141+AW143</f>
        <v>264.04</v>
      </c>
      <c r="AX144" s="62" t="n">
        <f aca="false">AX140-AX141+AX143</f>
        <v>97.153</v>
      </c>
      <c r="AY144" s="62" t="n">
        <f aca="false">AY140-AY141+AY143</f>
        <v>117.861</v>
      </c>
      <c r="AZ144" s="62" t="n">
        <f aca="false">AZ140-AZ141+AZ143</f>
        <v>38.4149999999999</v>
      </c>
      <c r="BA144" s="62" t="n">
        <f aca="false">BA140-BA141+BA143</f>
        <v>71.5689999999999</v>
      </c>
      <c r="BB144" s="62" t="n">
        <f aca="false">BB140-BB141+BB143</f>
        <v>324.998</v>
      </c>
      <c r="BC144" s="62" t="n">
        <f aca="false">BC140-BC141+BC143</f>
        <v>159.642</v>
      </c>
      <c r="BD144" s="62" t="n">
        <f aca="false">BD140-BD141+BD143</f>
        <v>159.94</v>
      </c>
      <c r="BE144" s="62" t="n">
        <f aca="false">BE140-BE141+BE143</f>
        <v>137.487</v>
      </c>
      <c r="BF144" s="62" t="n">
        <f aca="false">BF140-BF141+BF143</f>
        <v>135.758</v>
      </c>
      <c r="BG144" s="62" t="n">
        <f aca="false">BG140-BG141+BG143</f>
        <v>592.827</v>
      </c>
      <c r="BH144" s="62" t="n">
        <f aca="false">BH140-BH141+BH143</f>
        <v>155.372</v>
      </c>
      <c r="BI144" s="62" t="n">
        <f aca="false">BI140-BI141+BI143</f>
        <v>173.06</v>
      </c>
      <c r="BJ144" s="62" t="n">
        <f aca="false">BJ140-BJ141+BJ143</f>
        <v>161.433</v>
      </c>
      <c r="BK144" s="62" t="n">
        <f aca="false">BK140-BK141+BK143</f>
        <v>197.03</v>
      </c>
      <c r="BL144" s="62" t="n">
        <f aca="false">BL140-BL141+BL143</f>
        <v>686.866000000001</v>
      </c>
      <c r="BM144" s="62" t="n">
        <f aca="false">BM140-BM141+BM143</f>
        <v>158.53</v>
      </c>
      <c r="BN144" s="62" t="n">
        <f aca="false">BN140-BN141+BN143</f>
        <v>136.624</v>
      </c>
      <c r="BO144" s="62" t="n">
        <f aca="false">BO140-BO141+BO143</f>
        <v>131.942</v>
      </c>
      <c r="BP144" s="62" t="n">
        <f aca="false">BP140-BP141+BP143</f>
        <v>167.053</v>
      </c>
      <c r="BQ144" s="62" t="n">
        <f aca="false">BQ140-BQ141+BQ143</f>
        <v>594.149</v>
      </c>
      <c r="BR144" s="62" t="n">
        <f aca="false">BR140-BR141+BR143</f>
        <v>153.235</v>
      </c>
      <c r="BS144" s="62" t="n">
        <f aca="false">BS140-BS141+BS143</f>
        <v>183.559</v>
      </c>
      <c r="BT144" s="62" t="n">
        <f aca="false">BT140-BT141+BT143</f>
        <v>165.995</v>
      </c>
      <c r="BU144" s="62" t="n">
        <f aca="false">BU140-BU141+BU143</f>
        <v>172.661</v>
      </c>
      <c r="BV144" s="62" t="n">
        <f aca="false">BV140-BV141+BV143</f>
        <v>675.45</v>
      </c>
      <c r="BW144" s="62" t="n">
        <f aca="false">BW140-BW141+BW143</f>
        <v>173.354</v>
      </c>
      <c r="BX144" s="62" t="n">
        <f aca="false">BX140-BX141+BX143</f>
        <v>207.882</v>
      </c>
      <c r="BY144" s="18" t="n">
        <f aca="false">BY140-BY141+BY143</f>
        <v>198.931665861874</v>
      </c>
      <c r="BZ144" s="18" t="n">
        <f aca="false">BZ140-BZ141+BZ143</f>
        <v>206.971983488125</v>
      </c>
      <c r="CA144" s="18" t="n">
        <f aca="false">CA140-CA141+CA143</f>
        <v>787.13964935</v>
      </c>
      <c r="CB144" s="18" t="n">
        <f aca="false">CB140-CB141+CB143</f>
        <v>859.839342378829</v>
      </c>
      <c r="CC144" s="18" t="n">
        <f aca="false">CC140-CC141+CC143</f>
        <v>933.489250148175</v>
      </c>
      <c r="CD144" s="18" t="n">
        <f aca="false">CD140-CD141+CD143</f>
        <v>1005.50359089117</v>
      </c>
      <c r="CE144" s="18" t="n">
        <f aca="false">CE140-CE141+CE143</f>
        <v>1068.80815199913</v>
      </c>
      <c r="CH144" s="20" t="n">
        <f aca="false">IFERROR((CE144/BV144)^(1/5)-1,"n/m")</f>
        <v>0.0961280974333907</v>
      </c>
      <c r="CI144" s="20" t="n">
        <f aca="false">IFERROR((BV144/AW144)^(1/5)-1,"n/m")</f>
        <v>0.206659388738289</v>
      </c>
      <c r="CJ144" s="20" t="n">
        <f aca="false">IFERROR((BV144/X144)^(1/10)-1,"n/m")</f>
        <v>0.148071344235425</v>
      </c>
      <c r="CK144" s="20" t="n">
        <f aca="false">IFERROR((BV144/C144)^(1/19)-1,"n/m")</f>
        <v>0.056395268801243</v>
      </c>
    </row>
    <row r="145" customFormat="false" ht="15" hidden="false" customHeight="false" outlineLevel="0" collapsed="false">
      <c r="B145" s="26" t="s">
        <v>285</v>
      </c>
      <c r="C145" s="38" t="n">
        <v>63.164</v>
      </c>
      <c r="D145" s="38" t="n">
        <v>84.421</v>
      </c>
      <c r="E145" s="38" t="n">
        <v>87.523</v>
      </c>
      <c r="F145" s="38" t="n">
        <v>37.905</v>
      </c>
      <c r="G145" s="38" t="n">
        <v>54.898</v>
      </c>
      <c r="H145" s="38" t="n">
        <v>84.318</v>
      </c>
      <c r="I145" s="38" t="n">
        <v>112.354</v>
      </c>
      <c r="J145" s="38" t="n">
        <v>23.836</v>
      </c>
      <c r="K145" s="38" t="n">
        <v>34.007</v>
      </c>
      <c r="L145" s="38" t="n">
        <v>33.588</v>
      </c>
      <c r="M145" s="38" t="n">
        <v>33.323</v>
      </c>
      <c r="N145" s="38" t="n">
        <v>124.754</v>
      </c>
      <c r="O145" s="38" t="n">
        <v>26.002</v>
      </c>
      <c r="P145" s="38" t="n">
        <v>37.577</v>
      </c>
      <c r="Q145" s="38" t="n">
        <v>32.953</v>
      </c>
      <c r="R145" s="38" t="n">
        <v>25.401</v>
      </c>
      <c r="S145" s="38" t="n">
        <v>121.933</v>
      </c>
      <c r="T145" s="38" t="n">
        <v>24.389</v>
      </c>
      <c r="U145" s="38" t="n">
        <v>23.558</v>
      </c>
      <c r="V145" s="38" t="n">
        <v>-28.045</v>
      </c>
      <c r="W145" s="38" t="n">
        <v>22.473</v>
      </c>
      <c r="X145" s="38" t="n">
        <v>42.375</v>
      </c>
      <c r="Y145" s="38" t="n">
        <v>19.558</v>
      </c>
      <c r="Z145" s="38" t="n">
        <v>14.449</v>
      </c>
      <c r="AA145" s="38" t="n">
        <v>20.257</v>
      </c>
      <c r="AB145" s="38" t="n">
        <v>24.751</v>
      </c>
      <c r="AC145" s="38" t="n">
        <v>79.015</v>
      </c>
      <c r="AD145" s="38" t="n">
        <v>22.052</v>
      </c>
      <c r="AE145" s="38" t="n">
        <v>22.635</v>
      </c>
      <c r="AF145" s="38" t="n">
        <v>24.531</v>
      </c>
      <c r="AG145" s="38" t="n">
        <v>49.543</v>
      </c>
      <c r="AH145" s="38" t="n">
        <v>118.761</v>
      </c>
      <c r="AI145" s="38" t="n">
        <v>23.378</v>
      </c>
      <c r="AJ145" s="38" t="n">
        <v>25.404</v>
      </c>
      <c r="AK145" s="38" t="n">
        <v>25.209</v>
      </c>
      <c r="AL145" s="38" t="n">
        <v>7.676</v>
      </c>
      <c r="AM145" s="38" t="n">
        <v>81.667</v>
      </c>
      <c r="AN145" s="38" t="n">
        <v>21.452</v>
      </c>
      <c r="AO145" s="38" t="n">
        <v>18.04</v>
      </c>
      <c r="AP145" s="38" t="n">
        <v>19.34</v>
      </c>
      <c r="AQ145" s="38" t="n">
        <v>16.578</v>
      </c>
      <c r="AR145" s="38" t="n">
        <v>75.41</v>
      </c>
      <c r="AS145" s="38" t="n">
        <v>20.37</v>
      </c>
      <c r="AT145" s="38" t="n">
        <v>6.667</v>
      </c>
      <c r="AU145" s="38" t="n">
        <v>14.797</v>
      </c>
      <c r="AV145" s="38" t="n">
        <v>16.062</v>
      </c>
      <c r="AW145" s="38" t="n">
        <v>57.896</v>
      </c>
      <c r="AX145" s="38" t="n">
        <v>23.02</v>
      </c>
      <c r="AY145" s="38" t="n">
        <v>21.581</v>
      </c>
      <c r="AZ145" s="38" t="n">
        <v>6.658</v>
      </c>
      <c r="BA145" s="38" t="n">
        <v>-2.841</v>
      </c>
      <c r="BB145" s="38" t="n">
        <v>48.418</v>
      </c>
      <c r="BC145" s="38" t="n">
        <v>33.611</v>
      </c>
      <c r="BD145" s="38" t="n">
        <v>32.118</v>
      </c>
      <c r="BE145" s="38" t="n">
        <v>28.262</v>
      </c>
      <c r="BF145" s="38" t="n">
        <v>26.612</v>
      </c>
      <c r="BG145" s="38" t="n">
        <v>120.603</v>
      </c>
      <c r="BH145" s="38" t="n">
        <v>33.413</v>
      </c>
      <c r="BI145" s="38" t="n">
        <v>35.729</v>
      </c>
      <c r="BJ145" s="38" t="n">
        <v>32.09</v>
      </c>
      <c r="BK145" s="38" t="n">
        <v>40.386</v>
      </c>
      <c r="BL145" s="38" t="n">
        <v>141.618</v>
      </c>
      <c r="BM145" s="38" t="n">
        <v>35.115</v>
      </c>
      <c r="BN145" s="38" t="n">
        <v>34.916</v>
      </c>
      <c r="BO145" s="38" t="n">
        <v>31.186</v>
      </c>
      <c r="BP145" s="38" t="n">
        <v>26.824</v>
      </c>
      <c r="BQ145" s="38" t="n">
        <v>128.041</v>
      </c>
      <c r="BR145" s="38" t="n">
        <v>34.748</v>
      </c>
      <c r="BS145" s="38" t="n">
        <v>40.163</v>
      </c>
      <c r="BT145" s="38" t="n">
        <v>43.367</v>
      </c>
      <c r="BU145" s="38" t="n">
        <v>36.639</v>
      </c>
      <c r="BV145" s="38" t="n">
        <v>154.917</v>
      </c>
      <c r="BW145" s="38" t="n">
        <v>36.972</v>
      </c>
      <c r="BX145" s="38" t="n">
        <v>49.363</v>
      </c>
      <c r="BY145" s="51" t="n">
        <f aca="false">BY144*BY146</f>
        <v>44.7596248189217</v>
      </c>
      <c r="BZ145" s="51" t="n">
        <f aca="false">BZ144*BZ146</f>
        <v>46.5686962848282</v>
      </c>
      <c r="CA145" s="51" t="n">
        <f aca="false">SUM(BW145:BZ145)</f>
        <v>177.66332110375</v>
      </c>
      <c r="CB145" s="51" t="n">
        <f aca="false">CB144*CB146</f>
        <v>197.763048747131</v>
      </c>
      <c r="CC145" s="51" t="n">
        <f aca="false">CC144*CC146</f>
        <v>214.70252753408</v>
      </c>
      <c r="CD145" s="51" t="n">
        <f aca="false">CD144*CD146</f>
        <v>231.265825904969</v>
      </c>
      <c r="CE145" s="51" t="n">
        <f aca="false">CE144*CE146</f>
        <v>245.825874959801</v>
      </c>
    </row>
    <row r="146" customFormat="false" ht="15" hidden="false" customHeight="false" outlineLevel="0" collapsed="false">
      <c r="B146" s="21" t="s">
        <v>286</v>
      </c>
      <c r="C146" s="22" t="n">
        <f aca="false">IF(AND(ISNUMBER(C145),ISNUMBER(C144)),IFERROR(C145/C144,""),"")</f>
        <v>0.265203298456578</v>
      </c>
      <c r="D146" s="22" t="n">
        <f aca="false">IF(AND(ISNUMBER(D145),ISNUMBER(D144)),IFERROR(D145/D144,""),"")</f>
        <v>0.293989002531716</v>
      </c>
      <c r="E146" s="22" t="n">
        <f aca="false">IF(AND(ISNUMBER(E145),ISNUMBER(E144)),IFERROR(E145/E144,""),"")</f>
        <v>0.291929194920766</v>
      </c>
      <c r="F146" s="22" t="n">
        <f aca="false">IF(AND(ISNUMBER(F145),ISNUMBER(F144)),IFERROR(F145/F144,""),"")</f>
        <v>0.438304367433309</v>
      </c>
      <c r="G146" s="22" t="n">
        <f aca="false">IF(AND(ISNUMBER(G145),ISNUMBER(G144)),IFERROR(G145/G144,""),"")</f>
        <v>0.293402740663147</v>
      </c>
      <c r="H146" s="22" t="n">
        <f aca="false">IF(AND(ISNUMBER(H145),ISNUMBER(H144)),IFERROR(H145/H144,""),"")</f>
        <v>0.279818538417886</v>
      </c>
      <c r="I146" s="22" t="n">
        <f aca="false">IF(AND(ISNUMBER(I145),ISNUMBER(I144)),IFERROR(I145/I144,""),"")</f>
        <v>0.304012771599426</v>
      </c>
      <c r="J146" s="22" t="n">
        <f aca="false">IF(AND(ISNUMBER(J145),ISNUMBER(J144)),IFERROR(J145/J144,""),"")</f>
        <v>0.262861301955249</v>
      </c>
      <c r="K146" s="22" t="n">
        <f aca="false">IF(AND(ISNUMBER(K145),ISNUMBER(K144)),IFERROR(K145/K144,""),"")</f>
        <v>0.319212645728124</v>
      </c>
      <c r="L146" s="22" t="n">
        <f aca="false">IF(AND(ISNUMBER(L145),ISNUMBER(L144)),IFERROR(L145/L144,""),"")</f>
        <v>0.34329517579722</v>
      </c>
      <c r="M146" s="22" t="n">
        <f aca="false">IF(AND(ISNUMBER(M145),ISNUMBER(M144)),IFERROR(M145/M144,""),"")</f>
        <v>0.274516426664909</v>
      </c>
      <c r="N146" s="22" t="n">
        <f aca="false">IF(AND(ISNUMBER(N145),ISNUMBER(N144)),IFERROR(N145/N144,""),"")</f>
        <v>0.299571848112938</v>
      </c>
      <c r="O146" s="22" t="n">
        <f aca="false">IF(AND(ISNUMBER(O145),ISNUMBER(O144)),IFERROR(O145/O144,""),"")</f>
        <v>0.315458714483294</v>
      </c>
      <c r="P146" s="22" t="n">
        <f aca="false">IF(AND(ISNUMBER(P145),ISNUMBER(P144)),IFERROR(P145/P144,""),"")</f>
        <v>0.327137708286177</v>
      </c>
      <c r="Q146" s="22" t="n">
        <f aca="false">IF(AND(ISNUMBER(Q145),ISNUMBER(Q144)),IFERROR(Q145/Q144,""),"")</f>
        <v>0.423642090377322</v>
      </c>
      <c r="R146" s="22" t="n">
        <f aca="false">IF(AND(ISNUMBER(R145),ISNUMBER(R144)),IFERROR(R145/R144,""),"")</f>
        <v>0.2521541454892</v>
      </c>
      <c r="S146" s="22" t="n">
        <f aca="false">IF(AND(ISNUMBER(S145),ISNUMBER(S144)),IFERROR(S145/S144,""),"")</f>
        <v>0.324451256342915</v>
      </c>
      <c r="T146" s="22" t="n">
        <f aca="false">IF(AND(ISNUMBER(T145),ISNUMBER(T144)),IFERROR(T145/T144,""),"")</f>
        <v>0.263076143117564</v>
      </c>
      <c r="U146" s="22" t="n">
        <f aca="false">IF(AND(ISNUMBER(U145),ISNUMBER(U144)),IFERROR(U145/U144,""),"")</f>
        <v>0.249465234978927</v>
      </c>
      <c r="V146" s="22" t="n">
        <f aca="false">IF(AND(ISNUMBER(V145),ISNUMBER(V144)),IFERROR(V145/V144,""),"")</f>
        <v>0.316799584302917</v>
      </c>
      <c r="W146" s="22" t="n">
        <f aca="false">IF(AND(ISNUMBER(W145),ISNUMBER(W144)),IFERROR(W145/W144,""),"")</f>
        <v>0.315756196256955</v>
      </c>
      <c r="X146" s="22" t="n">
        <f aca="false">IF(AND(ISNUMBER(X145),ISNUMBER(X144)),IFERROR(X145/X144,""),"")</f>
        <v>0.249577411698186</v>
      </c>
      <c r="Y146" s="22" t="n">
        <f aca="false">IF(AND(ISNUMBER(Y145),ISNUMBER(Y144)),IFERROR(Y145/Y144,""),"")</f>
        <v>0.267251509934137</v>
      </c>
      <c r="Z146" s="22" t="n">
        <f aca="false">IF(AND(ISNUMBER(Z145),ISNUMBER(Z144)),IFERROR(Z145/Z144,""),"")</f>
        <v>0.315769920013986</v>
      </c>
      <c r="AA146" s="22" t="n">
        <f aca="false">IF(AND(ISNUMBER(AA145),ISNUMBER(AA144)),IFERROR(AA145/AA144,""),"")</f>
        <v>0.252279067450434</v>
      </c>
      <c r="AB146" s="22" t="n">
        <f aca="false">IF(AND(ISNUMBER(AB145),ISNUMBER(AB144)),IFERROR(AB145/AB144,""),"")</f>
        <v>0.316703347323165</v>
      </c>
      <c r="AC146" s="22" t="n">
        <f aca="false">IF(AND(ISNUMBER(AC145),ISNUMBER(AC144)),IFERROR(AC145/AC144,""),"")</f>
        <v>0.284853706721271</v>
      </c>
      <c r="AD146" s="22" t="n">
        <f aca="false">IF(AND(ISNUMBER(AD145),ISNUMBER(AD144)),IFERROR(AD145/AD144,""),"")</f>
        <v>0.283080872913992</v>
      </c>
      <c r="AE146" s="22" t="n">
        <f aca="false">IF(AND(ISNUMBER(AE145),ISNUMBER(AE144)),IFERROR(AE145/AE144,""),"")</f>
        <v>0.26957339875664</v>
      </c>
      <c r="AF146" s="22" t="n">
        <f aca="false">IF(AND(ISNUMBER(AF145),ISNUMBER(AF144)),IFERROR(AF145/AF144,""),"")</f>
        <v>0.187772691783653</v>
      </c>
      <c r="AG146" s="22" t="n">
        <f aca="false">IF(AND(ISNUMBER(AG145),ISNUMBER(AG144)),IFERROR(AG145/AG144,""),"")</f>
        <v>0.671969943576389</v>
      </c>
      <c r="AH146" s="22" t="n">
        <f aca="false">IF(AND(ISNUMBER(AH145),ISNUMBER(AH144)),IFERROR(AH145/AH144,""),"")</f>
        <v>0.324274511517164</v>
      </c>
      <c r="AI146" s="22" t="n">
        <f aca="false">IF(AND(ISNUMBER(AI145),ISNUMBER(AI144)),IFERROR(AI145/AI144,""),"")</f>
        <v>0.277655051188864</v>
      </c>
      <c r="AJ146" s="22" t="n">
        <f aca="false">IF(AND(ISNUMBER(AJ145),ISNUMBER(AJ144)),IFERROR(AJ145/AJ144,""),"")</f>
        <v>0.269501288946883</v>
      </c>
      <c r="AK146" s="22" t="n">
        <f aca="false">IF(AND(ISNUMBER(AK145),ISNUMBER(AK144)),IFERROR(AK145/AK144,""),"")</f>
        <v>0.263295872326203</v>
      </c>
      <c r="AL146" s="22" t="n">
        <f aca="false">IF(AND(ISNUMBER(AL145),ISNUMBER(AL144)),IFERROR(AL145/AL144,""),"")</f>
        <v>0.0812662114234292</v>
      </c>
      <c r="AM146" s="22" t="n">
        <f aca="false">IF(AND(ISNUMBER(AM145),ISNUMBER(AM144)),IFERROR(AM145/AM144,""),"")</f>
        <v>0.221523897357999</v>
      </c>
      <c r="AN146" s="22" t="n">
        <f aca="false">IF(AND(ISNUMBER(AN145),ISNUMBER(AN144)),IFERROR(AN145/AN144,""),"")</f>
        <v>0.230870229664866</v>
      </c>
      <c r="AO146" s="22" t="n">
        <f aca="false">IF(AND(ISNUMBER(AO145),ISNUMBER(AO144)),IFERROR(AO145/AO144,""),"")</f>
        <v>0.1743264659271</v>
      </c>
      <c r="AP146" s="22" t="n">
        <f aca="false">IF(AND(ISNUMBER(AP145),ISNUMBER(AP144)),IFERROR(AP145/AP144,""),"")</f>
        <v>0.210682266304999</v>
      </c>
      <c r="AQ146" s="22" t="n">
        <f aca="false">IF(AND(ISNUMBER(AQ145),ISNUMBER(AQ144)),IFERROR(AQ145/AQ144,""),"")</f>
        <v>0.206466236580566</v>
      </c>
      <c r="AR146" s="22" t="n">
        <f aca="false">IF(AND(ISNUMBER(AR145),ISNUMBER(AR144)),IFERROR(AR145/AR144,""),"")</f>
        <v>0.204644321601767</v>
      </c>
      <c r="AS146" s="22" t="n">
        <f aca="false">IF(AND(ISNUMBER(AS145),ISNUMBER(AS144)),IFERROR(AS145/AS144,""),"")</f>
        <v>0.268291076720448</v>
      </c>
      <c r="AT146" s="22" t="n">
        <f aca="false">IF(AND(ISNUMBER(AT145),ISNUMBER(AT144)),IFERROR(AT145/AT144,""),"")</f>
        <v>0.197951306413302</v>
      </c>
      <c r="AU146" s="22" t="n">
        <f aca="false">IF(AND(ISNUMBER(AU145),ISNUMBER(AU144)),IFERROR(AU145/AU144,""),"")</f>
        <v>0.201860769682005</v>
      </c>
      <c r="AV146" s="22" t="n">
        <f aca="false">IF(AND(ISNUMBER(AV145),ISNUMBER(AV144)),IFERROR(AV145/AV144,""),"")</f>
        <v>0.197973672533649</v>
      </c>
      <c r="AW146" s="22" t="n">
        <f aca="false">IF(AND(ISNUMBER(AW145),ISNUMBER(AW144)),IFERROR(AW145/AW144,""),"")</f>
        <v>0.219269807604908</v>
      </c>
      <c r="AX146" s="22" t="n">
        <f aca="false">IF(AND(ISNUMBER(AX145),ISNUMBER(AX144)),IFERROR(AX145/AX144,""),"")</f>
        <v>0.236945848301133</v>
      </c>
      <c r="AY146" s="22" t="n">
        <f aca="false">IF(AND(ISNUMBER(AY145),ISNUMBER(AY144)),IFERROR(AY145/AY144,""),"")</f>
        <v>0.183105522607139</v>
      </c>
      <c r="AZ146" s="22" t="n">
        <f aca="false">IF(AND(ISNUMBER(AZ145),ISNUMBER(AZ144)),IFERROR(AZ145/AZ144,""),"")</f>
        <v>0.173317714434466</v>
      </c>
      <c r="BA146" s="22" t="n">
        <f aca="false">IF(AND(ISNUMBER(BA145),ISNUMBER(BA144)),IFERROR(BA145/BA144,""),"")</f>
        <v>-0.0396959577470693</v>
      </c>
      <c r="BB146" s="22" t="n">
        <f aca="false">IF(AND(ISNUMBER(BB145),ISNUMBER(BB144)),IFERROR(BB145/BB144,""),"")</f>
        <v>0.148979378334636</v>
      </c>
      <c r="BC146" s="22" t="n">
        <f aca="false">IF(AND(ISNUMBER(BC145),ISNUMBER(BC144)),IFERROR(BC145/BC144,""),"")</f>
        <v>0.21053983287606</v>
      </c>
      <c r="BD146" s="22" t="n">
        <f aca="false">IF(AND(ISNUMBER(BD145),ISNUMBER(BD144)),IFERROR(BD145/BD144,""),"")</f>
        <v>0.200812804801801</v>
      </c>
      <c r="BE146" s="22" t="n">
        <f aca="false">IF(AND(ISNUMBER(BE145),ISNUMBER(BE144)),IFERROR(BE145/BE144,""),"")</f>
        <v>0.205561253063926</v>
      </c>
      <c r="BF146" s="22" t="n">
        <f aca="false">IF(AND(ISNUMBER(BF145),ISNUMBER(BF144)),IFERROR(BF145/BF144,""),"")</f>
        <v>0.196025280278142</v>
      </c>
      <c r="BG146" s="22" t="n">
        <f aca="false">IF(AND(ISNUMBER(BG145),ISNUMBER(BG144)),IFERROR(BG145/BG144,""),"")</f>
        <v>0.203437090415922</v>
      </c>
      <c r="BH146" s="22" t="n">
        <f aca="false">IF(AND(ISNUMBER(BH145),ISNUMBER(BH144)),IFERROR(BH145/BH144,""),"")</f>
        <v>0.215051618052159</v>
      </c>
      <c r="BI146" s="22" t="n">
        <f aca="false">IF(AND(ISNUMBER(BI145),ISNUMBER(BI144)),IFERROR(BI145/BI144,""),"")</f>
        <v>0.206454408875534</v>
      </c>
      <c r="BJ146" s="22" t="n">
        <f aca="false">IF(AND(ISNUMBER(BJ145),ISNUMBER(BJ144)),IFERROR(BJ145/BJ144,""),"")</f>
        <v>0.198782157303649</v>
      </c>
      <c r="BK146" s="22" t="n">
        <f aca="false">IF(AND(ISNUMBER(BK145),ISNUMBER(BK144)),IFERROR(BK145/BK144,""),"")</f>
        <v>0.20497386184845</v>
      </c>
      <c r="BL146" s="22" t="n">
        <f aca="false">IF(AND(ISNUMBER(BL145),ISNUMBER(BL144)),IFERROR(BL145/BL144,""),"")</f>
        <v>0.206179953586289</v>
      </c>
      <c r="BM146" s="22" t="n">
        <f aca="false">IF(AND(ISNUMBER(BM145),ISNUMBER(BM144)),IFERROR(BM145/BM144,""),"")</f>
        <v>0.22150381631237</v>
      </c>
      <c r="BN146" s="22" t="n">
        <f aca="false">IF(AND(ISNUMBER(BN145),ISNUMBER(BN144)),IFERROR(BN145/BN144,""),"")</f>
        <v>0.255562712261389</v>
      </c>
      <c r="BO146" s="22" t="n">
        <f aca="false">IF(AND(ISNUMBER(BO145),ISNUMBER(BO144)),IFERROR(BO145/BO144,""),"")</f>
        <v>0.2363614315381</v>
      </c>
      <c r="BP146" s="22" t="n">
        <f aca="false">IF(AND(ISNUMBER(BP145),ISNUMBER(BP144)),IFERROR(BP145/BP144,""),"")</f>
        <v>0.160571794580163</v>
      </c>
      <c r="BQ146" s="22" t="n">
        <f aca="false">IF(AND(ISNUMBER(BQ145),ISNUMBER(BQ144)),IFERROR(BQ145/BQ144,""),"")</f>
        <v>0.215503181861789</v>
      </c>
      <c r="BR146" s="22" t="n">
        <f aca="false">IF(AND(ISNUMBER(BR145),ISNUMBER(BR144)),IFERROR(BR145/BR144,""),"")</f>
        <v>0.226762815283715</v>
      </c>
      <c r="BS146" s="22" t="n">
        <f aca="false">IF(AND(ISNUMBER(BS145),ISNUMBER(BS144)),IFERROR(BS145/BS144,""),"")</f>
        <v>0.218801584231773</v>
      </c>
      <c r="BT146" s="22" t="n">
        <f aca="false">IF(AND(ISNUMBER(BT145),ISNUMBER(BT144)),IFERROR(BT145/BT144,""),"")</f>
        <v>0.261254857074008</v>
      </c>
      <c r="BU146" s="22" t="n">
        <f aca="false">IF(AND(ISNUMBER(BU145),ISNUMBER(BU144)),IFERROR(BU145/BU144,""),"")</f>
        <v>0.212201944851472</v>
      </c>
      <c r="BV146" s="22" t="n">
        <f aca="false">IF(AND(ISNUMBER(BV145),ISNUMBER(BV144)),IFERROR(BV145/BV144,""),"")</f>
        <v>0.229353764157229</v>
      </c>
      <c r="BW146" s="22" t="n">
        <f aca="false">IF(AND(ISNUMBER(BW145),ISNUMBER(BW144)),IFERROR(BW145/BW144,""),"")</f>
        <v>0.213274571108829</v>
      </c>
      <c r="BX146" s="22" t="n">
        <f aca="false">IF(AND(ISNUMBER(BX145),ISNUMBER(BX144)),IFERROR(BX145/BX144,""),"")</f>
        <v>0.237456826468862</v>
      </c>
      <c r="BY146" s="23" t="n">
        <f aca="false">$CP$17</f>
        <v>0.225</v>
      </c>
      <c r="BZ146" s="23" t="n">
        <f aca="false">$CP$17</f>
        <v>0.225</v>
      </c>
      <c r="CA146" s="23" t="n">
        <f aca="false">IFERROR(CA145/CA144,"")</f>
        <v>0.225707498346018</v>
      </c>
      <c r="CB146" s="30" t="n">
        <v>0.23</v>
      </c>
      <c r="CC146" s="30" t="n">
        <v>0.23</v>
      </c>
      <c r="CD146" s="30" t="n">
        <v>0.23</v>
      </c>
      <c r="CE146" s="30" t="n">
        <v>0.23</v>
      </c>
      <c r="CF146" s="19" t="s">
        <v>287</v>
      </c>
      <c r="CH146" s="41" t="n">
        <f aca="false">IFERROR(AVERAGE(CA146,CB146,CC146,CD146,CE146),"n/m")</f>
        <v>0.229141499669204</v>
      </c>
      <c r="CI146" s="41" t="n">
        <f aca="false">IFERROR(AVERAGE(BB146,BG146,BL146,BQ146,BV146),"n/m")</f>
        <v>0.200690673671173</v>
      </c>
      <c r="CJ146" s="41" t="n">
        <f aca="false">IFERROR(AVERAGE(AC146,AH146,AM146,AR146,AW146,BB146,BG146,BL146,BQ146,BV146),"n/m")</f>
        <v>0.225801961315897</v>
      </c>
      <c r="CK146" s="41" t="n">
        <f aca="false">IFERROR(AVERAGE(C146,D146,E146,F146,G146,H146,I146,N146,S146,X146,AC146,AH146,AM146,AR146,AW146,BB146,BG146,BL146,BQ146,BV146),"n/m")</f>
        <v>0.264914002166792</v>
      </c>
    </row>
    <row r="147" customFormat="false" ht="15" hidden="false" customHeight="false" outlineLevel="0" collapsed="false">
      <c r="B147" s="15" t="s">
        <v>288</v>
      </c>
      <c r="C147" s="62" t="n">
        <f aca="false">C144-C145</f>
        <v>175.008</v>
      </c>
      <c r="D147" s="62" t="n">
        <f aca="false">D144-D145</f>
        <v>202.736</v>
      </c>
      <c r="E147" s="62" t="n">
        <f aca="false">E144-E145</f>
        <v>212.286</v>
      </c>
      <c r="F147" s="62" t="n">
        <f aca="false">F144-F145</f>
        <v>48.5760000000001</v>
      </c>
      <c r="G147" s="62" t="n">
        <f aca="false">G144-G145</f>
        <v>132.21</v>
      </c>
      <c r="H147" s="62" t="n">
        <f aca="false">H144-H145</f>
        <v>217.013</v>
      </c>
      <c r="I147" s="62" t="n">
        <f aca="false">I144-I145</f>
        <v>257.216</v>
      </c>
      <c r="J147" s="62" t="n">
        <f aca="false">J144-J145</f>
        <v>66.843</v>
      </c>
      <c r="K147" s="62" t="n">
        <f aca="false">K144-K145</f>
        <v>72.527</v>
      </c>
      <c r="L147" s="62" t="n">
        <f aca="false">L144-L145</f>
        <v>64.252</v>
      </c>
      <c r="M147" s="62" t="n">
        <f aca="false">M144-M145</f>
        <v>88.065</v>
      </c>
      <c r="N147" s="62" t="n">
        <f aca="false">N144-N145</f>
        <v>291.687</v>
      </c>
      <c r="O147" s="62" t="n">
        <f aca="false">O144-O145</f>
        <v>56.424</v>
      </c>
      <c r="P147" s="62" t="n">
        <f aca="false">P144-P145</f>
        <v>77.2889999999999</v>
      </c>
      <c r="Q147" s="62" t="n">
        <f aca="false">Q144-Q145</f>
        <v>44.832</v>
      </c>
      <c r="R147" s="62" t="n">
        <f aca="false">R144-R145</f>
        <v>75.3349999999999</v>
      </c>
      <c r="S147" s="62" t="n">
        <f aca="false">S144-S145</f>
        <v>253.88</v>
      </c>
      <c r="T147" s="62" t="n">
        <f aca="false">T144-T145</f>
        <v>68.318</v>
      </c>
      <c r="U147" s="62" t="n">
        <f aca="false">U144-U145</f>
        <v>70.876</v>
      </c>
      <c r="V147" s="62" t="n">
        <f aca="false">V144-V145</f>
        <v>-60.4809999999999</v>
      </c>
      <c r="W147" s="62" t="n">
        <f aca="false">W144-W145</f>
        <v>48.699</v>
      </c>
      <c r="X147" s="62" t="n">
        <f aca="false">X144-X145</f>
        <v>127.412</v>
      </c>
      <c r="Y147" s="62" t="n">
        <f aca="false">Y144-Y145</f>
        <v>53.624</v>
      </c>
      <c r="Z147" s="62" t="n">
        <f aca="false">Z144-Z145</f>
        <v>31.309</v>
      </c>
      <c r="AA147" s="62" t="n">
        <f aca="false">AA144-AA145</f>
        <v>60.0389999999999</v>
      </c>
      <c r="AB147" s="62" t="n">
        <f aca="false">AB144-AB145</f>
        <v>53.401</v>
      </c>
      <c r="AC147" s="62" t="n">
        <f aca="false">AC144-AC145</f>
        <v>198.373</v>
      </c>
      <c r="AD147" s="62" t="n">
        <f aca="false">AD144-AD145</f>
        <v>55.8480000000001</v>
      </c>
      <c r="AE147" s="62" t="n">
        <f aca="false">AE144-AE145</f>
        <v>61.3309999999999</v>
      </c>
      <c r="AF147" s="62" t="n">
        <f aca="false">AF144-AF145</f>
        <v>106.111</v>
      </c>
      <c r="AG147" s="62" t="n">
        <f aca="false">AG144-AG145</f>
        <v>24.1849999999999</v>
      </c>
      <c r="AH147" s="62" t="n">
        <f aca="false">AH144-AH145</f>
        <v>247.475</v>
      </c>
      <c r="AI147" s="62" t="n">
        <f aca="false">AI144-AI145</f>
        <v>60.82</v>
      </c>
      <c r="AJ147" s="62" t="n">
        <f aca="false">AJ144-AJ145</f>
        <v>68.859</v>
      </c>
      <c r="AK147" s="62" t="n">
        <f aca="false">AK144-AK145</f>
        <v>70.535</v>
      </c>
      <c r="AL147" s="62" t="n">
        <f aca="false">AL144-AL145</f>
        <v>86.779</v>
      </c>
      <c r="AM147" s="62" t="n">
        <f aca="false">AM144-AM145</f>
        <v>286.993</v>
      </c>
      <c r="AN147" s="62" t="n">
        <f aca="false">AN144-AN145</f>
        <v>71.466</v>
      </c>
      <c r="AO147" s="62" t="n">
        <f aca="false">AO144-AO145</f>
        <v>85.444</v>
      </c>
      <c r="AP147" s="62" t="n">
        <f aca="false">AP144-AP145</f>
        <v>72.457</v>
      </c>
      <c r="AQ147" s="62" t="n">
        <f aca="false">AQ144-AQ145</f>
        <v>63.716</v>
      </c>
      <c r="AR147" s="62" t="n">
        <f aca="false">AR144-AR145</f>
        <v>293.083</v>
      </c>
      <c r="AS147" s="62" t="n">
        <f aca="false">AS144-AS145</f>
        <v>55.555</v>
      </c>
      <c r="AT147" s="62" t="n">
        <f aca="false">AT144-AT145</f>
        <v>27.013</v>
      </c>
      <c r="AU147" s="62" t="n">
        <f aca="false">AU144-AU145</f>
        <v>58.5060000000001</v>
      </c>
      <c r="AV147" s="62" t="n">
        <f aca="false">AV144-AV145</f>
        <v>65.07</v>
      </c>
      <c r="AW147" s="62" t="n">
        <f aca="false">AW144-AW145</f>
        <v>206.144</v>
      </c>
      <c r="AX147" s="62" t="n">
        <f aca="false">AX144-AX145</f>
        <v>74.133</v>
      </c>
      <c r="AY147" s="62" t="n">
        <f aca="false">AY144-AY145</f>
        <v>96.2799999999999</v>
      </c>
      <c r="AZ147" s="62" t="n">
        <f aca="false">AZ144-AZ145</f>
        <v>31.7569999999999</v>
      </c>
      <c r="BA147" s="62" t="n">
        <f aca="false">BA144-BA145</f>
        <v>74.4099999999999</v>
      </c>
      <c r="BB147" s="62" t="n">
        <f aca="false">BB144-BB145</f>
        <v>276.58</v>
      </c>
      <c r="BC147" s="62" t="n">
        <f aca="false">BC144-BC145</f>
        <v>126.031</v>
      </c>
      <c r="BD147" s="62" t="n">
        <f aca="false">BD144-BD145</f>
        <v>127.822</v>
      </c>
      <c r="BE147" s="62" t="n">
        <f aca="false">BE144-BE145</f>
        <v>109.225</v>
      </c>
      <c r="BF147" s="62" t="n">
        <f aca="false">BF144-BF145</f>
        <v>109.146</v>
      </c>
      <c r="BG147" s="62" t="n">
        <f aca="false">BG144-BG145</f>
        <v>472.224</v>
      </c>
      <c r="BH147" s="62" t="n">
        <f aca="false">BH144-BH145</f>
        <v>121.959</v>
      </c>
      <c r="BI147" s="62" t="n">
        <f aca="false">BI144-BI145</f>
        <v>137.331</v>
      </c>
      <c r="BJ147" s="62" t="n">
        <f aca="false">BJ144-BJ145</f>
        <v>129.343</v>
      </c>
      <c r="BK147" s="62" t="n">
        <f aca="false">BK144-BK145</f>
        <v>156.644</v>
      </c>
      <c r="BL147" s="62" t="n">
        <f aca="false">BL144-BL145</f>
        <v>545.248000000001</v>
      </c>
      <c r="BM147" s="62" t="n">
        <f aca="false">BM144-BM145</f>
        <v>123.415</v>
      </c>
      <c r="BN147" s="62" t="n">
        <f aca="false">BN144-BN145</f>
        <v>101.708</v>
      </c>
      <c r="BO147" s="62" t="n">
        <f aca="false">BO144-BO145</f>
        <v>100.756</v>
      </c>
      <c r="BP147" s="62" t="n">
        <f aca="false">BP144-BP145</f>
        <v>140.229</v>
      </c>
      <c r="BQ147" s="62" t="n">
        <f aca="false">BQ144-BQ145</f>
        <v>466.108</v>
      </c>
      <c r="BR147" s="62" t="n">
        <f aca="false">BR144-BR145</f>
        <v>118.487</v>
      </c>
      <c r="BS147" s="62" t="n">
        <f aca="false">BS144-BS145</f>
        <v>143.396</v>
      </c>
      <c r="BT147" s="62" t="n">
        <f aca="false">BT144-BT145</f>
        <v>122.628</v>
      </c>
      <c r="BU147" s="62" t="n">
        <f aca="false">BU144-BU145</f>
        <v>136.022</v>
      </c>
      <c r="BV147" s="62" t="n">
        <f aca="false">BV144-BV145</f>
        <v>520.532999999999</v>
      </c>
      <c r="BW147" s="62" t="n">
        <f aca="false">BW144-BW145</f>
        <v>136.382</v>
      </c>
      <c r="BX147" s="62" t="n">
        <f aca="false">BX144-BX145</f>
        <v>158.519</v>
      </c>
      <c r="BY147" s="18" t="n">
        <f aca="false">BY144-BY145</f>
        <v>154.172041042953</v>
      </c>
      <c r="BZ147" s="18" t="n">
        <f aca="false">BZ144-BZ145</f>
        <v>160.403287203297</v>
      </c>
      <c r="CA147" s="18" t="n">
        <f aca="false">CA144-CA145</f>
        <v>609.47632824625</v>
      </c>
      <c r="CB147" s="18" t="n">
        <f aca="false">CB144-CB145</f>
        <v>662.076293631698</v>
      </c>
      <c r="CC147" s="18" t="n">
        <f aca="false">CC144-CC145</f>
        <v>718.786722614095</v>
      </c>
      <c r="CD147" s="18" t="n">
        <f aca="false">CD144-CD145</f>
        <v>774.237764986202</v>
      </c>
      <c r="CE147" s="18" t="n">
        <f aca="false">CE144-CE145</f>
        <v>822.982277039333</v>
      </c>
    </row>
    <row r="148" customFormat="false" ht="15" hidden="false" customHeight="false" outlineLevel="0" collapsed="false">
      <c r="B148" s="26" t="s">
        <v>289</v>
      </c>
      <c r="C148" s="48" t="n">
        <v>0</v>
      </c>
      <c r="D148" s="48" t="n">
        <v>0</v>
      </c>
      <c r="E148" s="48" t="n">
        <v>0</v>
      </c>
      <c r="F148" s="48" t="n">
        <v>0</v>
      </c>
      <c r="G148" s="48" t="n">
        <v>1.966</v>
      </c>
      <c r="H148" s="48" t="n">
        <v>-0.173</v>
      </c>
      <c r="I148" s="48" t="n">
        <v>-0.195</v>
      </c>
      <c r="J148" s="48" t="n">
        <v>0.037</v>
      </c>
      <c r="K148" s="48" t="n">
        <v>-0.079</v>
      </c>
      <c r="L148" s="48" t="n">
        <v>-1.792</v>
      </c>
      <c r="M148" s="48" t="n">
        <v>-0.259</v>
      </c>
      <c r="N148" s="48" t="n">
        <v>-2.093</v>
      </c>
      <c r="O148" s="48" t="n">
        <v>-0.029</v>
      </c>
      <c r="P148" s="48" t="n">
        <v>-0.043</v>
      </c>
      <c r="Q148" s="48" t="n">
        <v>-0.857</v>
      </c>
      <c r="R148" s="48" t="n">
        <v>0.123</v>
      </c>
      <c r="S148" s="48" t="n">
        <v>-0.806</v>
      </c>
      <c r="T148" s="48" t="n">
        <v>-0.036</v>
      </c>
      <c r="U148" s="48" t="n">
        <v>-0.022</v>
      </c>
      <c r="V148" s="48" t="n">
        <v>-0.015</v>
      </c>
      <c r="W148" s="48" t="n">
        <v>0.007</v>
      </c>
      <c r="X148" s="48" t="n">
        <v>-0.066</v>
      </c>
      <c r="Y148" s="48" t="n">
        <v>-0.014</v>
      </c>
      <c r="Z148" s="48" t="n">
        <v>-0.008</v>
      </c>
      <c r="AA148" s="48" t="n">
        <v>-0.01</v>
      </c>
      <c r="AB148" s="48" t="n">
        <v>0.006</v>
      </c>
      <c r="AC148" s="48" t="n">
        <v>-0.026</v>
      </c>
      <c r="AD148" s="48" t="n">
        <v>0.004</v>
      </c>
      <c r="AE148" s="48" t="n">
        <v>-0.021</v>
      </c>
      <c r="AF148" s="48" t="n">
        <v>-0.015</v>
      </c>
      <c r="AG148" s="48" t="n">
        <v>0.004</v>
      </c>
      <c r="AH148" s="48" t="n">
        <v>-0.028</v>
      </c>
      <c r="AI148" s="48" t="n">
        <v>-0.004</v>
      </c>
      <c r="AJ148" s="48" t="n">
        <v>-0.005</v>
      </c>
      <c r="AK148" s="48" t="n">
        <v>-0.004</v>
      </c>
      <c r="AL148" s="48" t="n">
        <v>-0.06</v>
      </c>
      <c r="AM148" s="48" t="n">
        <v>-0.073</v>
      </c>
      <c r="AN148" s="48" t="n">
        <v>-0.014</v>
      </c>
      <c r="AO148" s="48" t="n">
        <v>-0.008</v>
      </c>
      <c r="AP148" s="48" t="n">
        <v>-0.004</v>
      </c>
      <c r="AQ148" s="48" t="n">
        <v>0</v>
      </c>
      <c r="AR148" s="48" t="n">
        <v>-0.026</v>
      </c>
      <c r="AS148" s="48" t="n">
        <v>-0.007</v>
      </c>
      <c r="AT148" s="48" t="n">
        <v>0.017</v>
      </c>
      <c r="AU148" s="48" t="n">
        <v>0.027</v>
      </c>
      <c r="AV148" s="48" t="n">
        <v>-0.008</v>
      </c>
      <c r="AW148" s="48" t="n">
        <v>0.029</v>
      </c>
      <c r="AX148" s="48" t="n">
        <v>-0.044</v>
      </c>
      <c r="AY148" s="48" t="n">
        <v>0.175</v>
      </c>
      <c r="AZ148" s="48" t="n">
        <v>0</v>
      </c>
      <c r="BA148" s="48" t="n">
        <v>-0.017</v>
      </c>
      <c r="BB148" s="48" t="n">
        <v>0.114</v>
      </c>
      <c r="BC148" s="48" t="n">
        <v>0.001</v>
      </c>
      <c r="BD148" s="48" t="n">
        <v>-0.001</v>
      </c>
      <c r="BE148" s="48" t="n">
        <v>0</v>
      </c>
      <c r="BF148" s="48" t="n">
        <v>0</v>
      </c>
      <c r="BG148" s="48" t="n">
        <v>0</v>
      </c>
      <c r="BH148" s="48" t="n">
        <v>0.028</v>
      </c>
      <c r="BI148" s="48" t="n">
        <v>0</v>
      </c>
      <c r="BJ148" s="48" t="n">
        <v>0</v>
      </c>
      <c r="BK148" s="48" t="n">
        <v>0</v>
      </c>
      <c r="BL148" s="48" t="n">
        <v>0</v>
      </c>
      <c r="BM148" s="48" t="n">
        <v>0</v>
      </c>
      <c r="BN148" s="48" t="n">
        <v>0</v>
      </c>
      <c r="BO148" s="48" t="n">
        <v>0</v>
      </c>
      <c r="BP148" s="48" t="n">
        <v>0</v>
      </c>
      <c r="BQ148" s="48" t="n">
        <v>0</v>
      </c>
      <c r="BR148" s="48" t="n">
        <v>0</v>
      </c>
      <c r="BS148" s="48" t="n">
        <v>0</v>
      </c>
      <c r="BT148" s="48" t="n">
        <v>0</v>
      </c>
      <c r="BU148" s="48" t="n">
        <v>0</v>
      </c>
      <c r="BV148" s="48" t="n">
        <v>0</v>
      </c>
      <c r="BW148" s="48" t="n">
        <v>0</v>
      </c>
      <c r="BX148" s="48" t="n">
        <v>0</v>
      </c>
      <c r="BY148" s="55" t="n">
        <v>0</v>
      </c>
      <c r="BZ148" s="55" t="n">
        <v>0</v>
      </c>
      <c r="CA148" s="56" t="n">
        <f aca="false">SUM(BW148:BZ148)</f>
        <v>0</v>
      </c>
      <c r="CB148" s="55" t="n">
        <v>0</v>
      </c>
      <c r="CC148" s="55" t="n">
        <v>0</v>
      </c>
      <c r="CD148" s="55" t="n">
        <v>0</v>
      </c>
      <c r="CE148" s="55" t="n">
        <v>0</v>
      </c>
    </row>
    <row r="149" customFormat="false" ht="15" hidden="false" customHeight="false" outlineLevel="0" collapsed="false">
      <c r="B149" s="58" t="s">
        <v>290</v>
      </c>
      <c r="C149" s="59" t="n">
        <f aca="false">C147-C148</f>
        <v>175.008</v>
      </c>
      <c r="D149" s="59" t="n">
        <f aca="false">D147-D148</f>
        <v>202.736</v>
      </c>
      <c r="E149" s="59" t="n">
        <f aca="false">E147-E148</f>
        <v>212.286</v>
      </c>
      <c r="F149" s="59" t="n">
        <f aca="false">F147-F148</f>
        <v>48.5760000000001</v>
      </c>
      <c r="G149" s="59" t="n">
        <f aca="false">G147-G148</f>
        <v>130.244</v>
      </c>
      <c r="H149" s="59" t="n">
        <f aca="false">H147-H148</f>
        <v>217.186</v>
      </c>
      <c r="I149" s="59" t="n">
        <f aca="false">I147-I148</f>
        <v>257.411</v>
      </c>
      <c r="J149" s="59" t="n">
        <f aca="false">J147-J148</f>
        <v>66.806</v>
      </c>
      <c r="K149" s="59" t="n">
        <f aca="false">K147-K148</f>
        <v>72.606</v>
      </c>
      <c r="L149" s="59" t="n">
        <f aca="false">L147-L148</f>
        <v>66.044</v>
      </c>
      <c r="M149" s="59" t="n">
        <f aca="false">M147-M148</f>
        <v>88.324</v>
      </c>
      <c r="N149" s="59" t="n">
        <f aca="false">N147-N148</f>
        <v>293.78</v>
      </c>
      <c r="O149" s="59" t="n">
        <f aca="false">O147-O148</f>
        <v>56.453</v>
      </c>
      <c r="P149" s="59" t="n">
        <f aca="false">P147-P148</f>
        <v>77.332</v>
      </c>
      <c r="Q149" s="59" t="n">
        <f aca="false">Q147-Q148</f>
        <v>45.689</v>
      </c>
      <c r="R149" s="59" t="n">
        <f aca="false">R147-R148</f>
        <v>75.2119999999999</v>
      </c>
      <c r="S149" s="59" t="n">
        <f aca="false">S147-S148</f>
        <v>254.686</v>
      </c>
      <c r="T149" s="59" t="n">
        <f aca="false">T147-T148</f>
        <v>68.354</v>
      </c>
      <c r="U149" s="59" t="n">
        <f aca="false">U147-U148</f>
        <v>70.898</v>
      </c>
      <c r="V149" s="59" t="n">
        <f aca="false">V147-V148</f>
        <v>-60.4659999999999</v>
      </c>
      <c r="W149" s="59" t="n">
        <f aca="false">W147-W148</f>
        <v>48.692</v>
      </c>
      <c r="X149" s="59" t="n">
        <f aca="false">X147-X148</f>
        <v>127.478</v>
      </c>
      <c r="Y149" s="59" t="n">
        <f aca="false">Y147-Y148</f>
        <v>53.638</v>
      </c>
      <c r="Z149" s="59" t="n">
        <f aca="false">Z147-Z148</f>
        <v>31.317</v>
      </c>
      <c r="AA149" s="59" t="n">
        <f aca="false">AA147-AA148</f>
        <v>60.0489999999999</v>
      </c>
      <c r="AB149" s="59" t="n">
        <f aca="false">AB147-AB148</f>
        <v>53.395</v>
      </c>
      <c r="AC149" s="59" t="n">
        <f aca="false">AC147-AC148</f>
        <v>198.399</v>
      </c>
      <c r="AD149" s="59" t="n">
        <f aca="false">AD147-AD148</f>
        <v>55.8440000000001</v>
      </c>
      <c r="AE149" s="59" t="n">
        <f aca="false">AE147-AE148</f>
        <v>61.352</v>
      </c>
      <c r="AF149" s="59" t="n">
        <f aca="false">AF147-AF148</f>
        <v>106.126</v>
      </c>
      <c r="AG149" s="59" t="n">
        <f aca="false">AG147-AG148</f>
        <v>24.1809999999999</v>
      </c>
      <c r="AH149" s="59" t="n">
        <f aca="false">AH147-AH148</f>
        <v>247.503</v>
      </c>
      <c r="AI149" s="59" t="n">
        <f aca="false">AI147-AI148</f>
        <v>60.824</v>
      </c>
      <c r="AJ149" s="59" t="n">
        <f aca="false">AJ147-AJ148</f>
        <v>68.864</v>
      </c>
      <c r="AK149" s="59" t="n">
        <f aca="false">AK147-AK148</f>
        <v>70.539</v>
      </c>
      <c r="AL149" s="59" t="n">
        <f aca="false">AL147-AL148</f>
        <v>86.839</v>
      </c>
      <c r="AM149" s="59" t="n">
        <f aca="false">AM147-AM148</f>
        <v>287.066</v>
      </c>
      <c r="AN149" s="59" t="n">
        <f aca="false">AN147-AN148</f>
        <v>71.48</v>
      </c>
      <c r="AO149" s="59" t="n">
        <f aca="false">AO147-AO148</f>
        <v>85.452</v>
      </c>
      <c r="AP149" s="59" t="n">
        <f aca="false">AP147-AP148</f>
        <v>72.461</v>
      </c>
      <c r="AQ149" s="59" t="n">
        <f aca="false">AQ147-AQ148</f>
        <v>63.716</v>
      </c>
      <c r="AR149" s="59" t="n">
        <f aca="false">AR147-AR148</f>
        <v>293.109</v>
      </c>
      <c r="AS149" s="59" t="n">
        <f aca="false">AS147-AS148</f>
        <v>55.562</v>
      </c>
      <c r="AT149" s="59" t="n">
        <f aca="false">AT147-AT148</f>
        <v>26.996</v>
      </c>
      <c r="AU149" s="59" t="n">
        <f aca="false">AU147-AU148</f>
        <v>58.4790000000001</v>
      </c>
      <c r="AV149" s="59" t="n">
        <f aca="false">AV147-AV148</f>
        <v>65.078</v>
      </c>
      <c r="AW149" s="59" t="n">
        <f aca="false">AW147-AW148</f>
        <v>206.115</v>
      </c>
      <c r="AX149" s="59" t="n">
        <f aca="false">AX147-AX148</f>
        <v>74.177</v>
      </c>
      <c r="AY149" s="59" t="n">
        <f aca="false">AY147-AY148</f>
        <v>96.1049999999999</v>
      </c>
      <c r="AZ149" s="59" t="n">
        <f aca="false">AZ147-AZ148</f>
        <v>31.7569999999999</v>
      </c>
      <c r="BA149" s="59" t="n">
        <f aca="false">BA147-BA148</f>
        <v>74.4269999999999</v>
      </c>
      <c r="BB149" s="59" t="n">
        <f aca="false">BB147-BB148</f>
        <v>276.466</v>
      </c>
      <c r="BC149" s="59" t="n">
        <f aca="false">BC147-BC148</f>
        <v>126.03</v>
      </c>
      <c r="BD149" s="59" t="n">
        <f aca="false">BD147-BD148</f>
        <v>127.823</v>
      </c>
      <c r="BE149" s="59" t="n">
        <f aca="false">BE147-BE148</f>
        <v>109.225</v>
      </c>
      <c r="BF149" s="59" t="n">
        <f aca="false">BF147-BF148</f>
        <v>109.146</v>
      </c>
      <c r="BG149" s="59" t="n">
        <f aca="false">BG147-BG148</f>
        <v>472.224</v>
      </c>
      <c r="BH149" s="59" t="n">
        <f aca="false">BH147-BH148</f>
        <v>121.931</v>
      </c>
      <c r="BI149" s="59" t="n">
        <f aca="false">BI147-BI148</f>
        <v>137.331</v>
      </c>
      <c r="BJ149" s="59" t="n">
        <f aca="false">BJ147-BJ148</f>
        <v>129.343</v>
      </c>
      <c r="BK149" s="59" t="n">
        <f aca="false">BK147-BK148</f>
        <v>156.644</v>
      </c>
      <c r="BL149" s="59" t="n">
        <f aca="false">BL147-BL148</f>
        <v>545.248000000001</v>
      </c>
      <c r="BM149" s="59" t="n">
        <f aca="false">BM147-BM148</f>
        <v>123.415</v>
      </c>
      <c r="BN149" s="59" t="n">
        <f aca="false">BN147-BN148</f>
        <v>101.708</v>
      </c>
      <c r="BO149" s="59" t="n">
        <f aca="false">BO147-BO148</f>
        <v>100.756</v>
      </c>
      <c r="BP149" s="59" t="n">
        <f aca="false">BP147-BP148</f>
        <v>140.229</v>
      </c>
      <c r="BQ149" s="59" t="n">
        <f aca="false">BQ147-BQ148</f>
        <v>466.108</v>
      </c>
      <c r="BR149" s="59" t="n">
        <f aca="false">BR147-BR148</f>
        <v>118.487</v>
      </c>
      <c r="BS149" s="59" t="n">
        <f aca="false">BS147-BS148</f>
        <v>143.396</v>
      </c>
      <c r="BT149" s="59" t="n">
        <f aca="false">BT147-BT148</f>
        <v>122.628</v>
      </c>
      <c r="BU149" s="59" t="n">
        <f aca="false">BU147-BU148</f>
        <v>136.022</v>
      </c>
      <c r="BV149" s="59" t="n">
        <f aca="false">BV147-BV148</f>
        <v>520.532999999999</v>
      </c>
      <c r="BW149" s="59" t="n">
        <f aca="false">BW147-BW148</f>
        <v>136.382</v>
      </c>
      <c r="BX149" s="59" t="n">
        <f aca="false">BX147-BX148</f>
        <v>158.519</v>
      </c>
      <c r="BY149" s="59" t="n">
        <f aca="false">BY147-BY148</f>
        <v>154.172041042953</v>
      </c>
      <c r="BZ149" s="59" t="n">
        <f aca="false">BZ147-BZ148</f>
        <v>160.403287203297</v>
      </c>
      <c r="CA149" s="59" t="n">
        <f aca="false">CA147-CA148</f>
        <v>609.47632824625</v>
      </c>
      <c r="CB149" s="59" t="n">
        <f aca="false">CB147-CB148</f>
        <v>662.076293631698</v>
      </c>
      <c r="CC149" s="59" t="n">
        <f aca="false">CC147-CC148</f>
        <v>718.786722614095</v>
      </c>
      <c r="CD149" s="59" t="n">
        <f aca="false">CD147-CD148</f>
        <v>774.237764986202</v>
      </c>
      <c r="CE149" s="59" t="n">
        <f aca="false">CE147-CE148</f>
        <v>822.982277039333</v>
      </c>
      <c r="CH149" s="20" t="n">
        <f aca="false">IFERROR((CE149/BV149)^(1/5)-1,"n/m")</f>
        <v>0.0959442011259744</v>
      </c>
      <c r="CI149" s="20" t="n">
        <f aca="false">IFERROR((BV149/AW149)^(1/5)-1,"n/m")</f>
        <v>0.20355996707649</v>
      </c>
      <c r="CJ149" s="20" t="n">
        <f aca="false">IFERROR((BV149/X149)^(1/10)-1,"n/m")</f>
        <v>0.15106885355957</v>
      </c>
      <c r="CK149" s="20" t="n">
        <f aca="false">IFERROR((BV149/C149)^(1/19)-1,"n/m")</f>
        <v>0.0590471172786169</v>
      </c>
    </row>
    <row r="150" customFormat="false" ht="15" hidden="false" customHeight="false" outlineLevel="0" collapsed="false">
      <c r="B150" s="36" t="s">
        <v>291</v>
      </c>
      <c r="C150" s="39" t="n">
        <f aca="false">IF(ISNUMBER(C151),ROUND(C149-C151,1),"")</f>
        <v>0</v>
      </c>
      <c r="D150" s="39" t="n">
        <f aca="false">IF(ISNUMBER(D151),ROUND(D149-D151,1),"")</f>
        <v>0</v>
      </c>
      <c r="E150" s="39" t="n">
        <f aca="false">IF(ISNUMBER(E151),ROUND(E149-E151,1),"")</f>
        <v>0</v>
      </c>
      <c r="F150" s="39" t="n">
        <f aca="false">IF(ISNUMBER(F151),ROUND(F149-F151,1),"")</f>
        <v>0</v>
      </c>
      <c r="G150" s="39" t="n">
        <f aca="false">IF(ISNUMBER(G151),ROUND(G149-G151,1),"")</f>
        <v>0</v>
      </c>
      <c r="H150" s="39" t="n">
        <f aca="false">IF(ISNUMBER(H151),ROUND(H149-H151,1),"")</f>
        <v>0</v>
      </c>
      <c r="I150" s="39" t="n">
        <f aca="false">IF(ISNUMBER(I151),ROUND(I149-I151,1),"")</f>
        <v>0</v>
      </c>
      <c r="J150" s="39" t="n">
        <f aca="false">IF(ISNUMBER(J151),ROUND(J149-J151,1),"")</f>
        <v>0</v>
      </c>
      <c r="K150" s="39" t="n">
        <f aca="false">IF(ISNUMBER(K151),ROUND(K149-K151,1),"")</f>
        <v>0</v>
      </c>
      <c r="L150" s="39" t="n">
        <f aca="false">IF(ISNUMBER(L151),ROUND(L149-L151,1),"")</f>
        <v>0</v>
      </c>
      <c r="M150" s="39" t="n">
        <f aca="false">IF(ISNUMBER(M151),ROUND(M149-M151,1),"")</f>
        <v>0</v>
      </c>
      <c r="N150" s="39" t="n">
        <f aca="false">IF(ISNUMBER(N151),ROUND(N149-N151,1),"")</f>
        <v>0</v>
      </c>
      <c r="O150" s="39" t="n">
        <f aca="false">IF(ISNUMBER(O151),ROUND(O149-O151,1),"")</f>
        <v>0</v>
      </c>
      <c r="P150" s="39" t="n">
        <f aca="false">IF(ISNUMBER(P151),ROUND(P149-P151,1),"")</f>
        <v>0</v>
      </c>
      <c r="Q150" s="39" t="n">
        <f aca="false">IF(ISNUMBER(Q151),ROUND(Q149-Q151,1),"")</f>
        <v>0</v>
      </c>
      <c r="R150" s="39" t="n">
        <f aca="false">IF(ISNUMBER(R151),ROUND(R149-R151,1),"")</f>
        <v>0</v>
      </c>
      <c r="S150" s="39" t="n">
        <f aca="false">IF(ISNUMBER(S151),ROUND(S149-S151,1),"")</f>
        <v>0</v>
      </c>
      <c r="T150" s="39" t="n">
        <f aca="false">IF(ISNUMBER(T151),ROUND(T149-T151,1),"")</f>
        <v>0</v>
      </c>
      <c r="U150" s="39" t="n">
        <f aca="false">IF(ISNUMBER(U151),ROUND(U149-U151,1),"")</f>
        <v>0</v>
      </c>
      <c r="V150" s="39" t="n">
        <f aca="false">IF(ISNUMBER(V151),ROUND(V149-V151,1),"")</f>
        <v>0</v>
      </c>
      <c r="W150" s="39" t="n">
        <f aca="false">IF(ISNUMBER(W151),ROUND(W149-W151,1),"")</f>
        <v>0</v>
      </c>
      <c r="X150" s="39" t="n">
        <f aca="false">IF(ISNUMBER(X151),ROUND(X149-X151,1),"")</f>
        <v>0</v>
      </c>
      <c r="Y150" s="39" t="n">
        <f aca="false">IF(ISNUMBER(Y151),ROUND(Y149-Y151,1),"")</f>
        <v>0</v>
      </c>
      <c r="Z150" s="39" t="n">
        <f aca="false">IF(ISNUMBER(Z151),ROUND(Z149-Z151,1),"")</f>
        <v>0</v>
      </c>
      <c r="AA150" s="39" t="n">
        <f aca="false">IF(ISNUMBER(AA151),ROUND(AA149-AA151,1),"")</f>
        <v>0</v>
      </c>
      <c r="AB150" s="39" t="n">
        <f aca="false">IF(ISNUMBER(AB151),ROUND(AB149-AB151,1),"")</f>
        <v>0</v>
      </c>
      <c r="AC150" s="39" t="n">
        <f aca="false">IF(ISNUMBER(AC151),ROUND(AC149-AC151,1),"")</f>
        <v>0</v>
      </c>
      <c r="AD150" s="39" t="n">
        <f aca="false">IF(ISNUMBER(AD151),ROUND(AD149-AD151,1),"")</f>
        <v>0</v>
      </c>
      <c r="AE150" s="39" t="n">
        <f aca="false">IF(ISNUMBER(AE151),ROUND(AE149-AE151,1),"")</f>
        <v>0</v>
      </c>
      <c r="AF150" s="39" t="n">
        <f aca="false">IF(ISNUMBER(AF151),ROUND(AF149-AF151,1),"")</f>
        <v>0</v>
      </c>
      <c r="AG150" s="39" t="n">
        <f aca="false">IF(ISNUMBER(AG151),ROUND(AG149-AG151,1),"")</f>
        <v>0</v>
      </c>
      <c r="AH150" s="39" t="n">
        <f aca="false">IF(ISNUMBER(AH151),ROUND(AH149-AH151,1),"")</f>
        <v>0</v>
      </c>
      <c r="AI150" s="39" t="n">
        <f aca="false">IF(ISNUMBER(AI151),ROUND(AI149-AI151,1),"")</f>
        <v>0</v>
      </c>
      <c r="AJ150" s="39" t="n">
        <f aca="false">IF(ISNUMBER(AJ151),ROUND(AJ149-AJ151,1),"")</f>
        <v>0</v>
      </c>
      <c r="AK150" s="39" t="n">
        <f aca="false">IF(ISNUMBER(AK151),ROUND(AK149-AK151,1),"")</f>
        <v>0</v>
      </c>
      <c r="AL150" s="39" t="n">
        <f aca="false">IF(ISNUMBER(AL151),ROUND(AL149-AL151,1),"")</f>
        <v>0</v>
      </c>
      <c r="AM150" s="39" t="n">
        <f aca="false">IF(ISNUMBER(AM151),ROUND(AM149-AM151,1),"")</f>
        <v>0</v>
      </c>
      <c r="AN150" s="39" t="n">
        <f aca="false">IF(ISNUMBER(AN151),ROUND(AN149-AN151,1),"")</f>
        <v>0</v>
      </c>
      <c r="AO150" s="39" t="n">
        <f aca="false">IF(ISNUMBER(AO151),ROUND(AO149-AO151,1),"")</f>
        <v>0</v>
      </c>
      <c r="AP150" s="39" t="n">
        <f aca="false">IF(ISNUMBER(AP151),ROUND(AP149-AP151,1),"")</f>
        <v>0</v>
      </c>
      <c r="AQ150" s="39" t="n">
        <f aca="false">IF(ISNUMBER(AQ151),ROUND(AQ149-AQ151,1),"")</f>
        <v>0</v>
      </c>
      <c r="AR150" s="39" t="n">
        <f aca="false">IF(ISNUMBER(AR151),ROUND(AR149-AR151,1),"")</f>
        <v>0</v>
      </c>
      <c r="AS150" s="39" t="n">
        <f aca="false">IF(ISNUMBER(AS151),ROUND(AS149-AS151,1),"")</f>
        <v>0</v>
      </c>
      <c r="AT150" s="39" t="n">
        <f aca="false">IF(ISNUMBER(AT151),ROUND(AT149-AT151,1),"")</f>
        <v>0</v>
      </c>
      <c r="AU150" s="39" t="n">
        <f aca="false">IF(ISNUMBER(AU151),ROUND(AU149-AU151,1),"")</f>
        <v>0</v>
      </c>
      <c r="AV150" s="39" t="n">
        <f aca="false">IF(ISNUMBER(AV151),ROUND(AV149-AV151,1),"")</f>
        <v>0</v>
      </c>
      <c r="AW150" s="39" t="n">
        <f aca="false">IF(ISNUMBER(AW151),ROUND(AW149-AW151,1),"")</f>
        <v>0</v>
      </c>
      <c r="AX150" s="39" t="n">
        <f aca="false">IF(ISNUMBER(AX151),ROUND(AX149-AX151,1),"")</f>
        <v>0</v>
      </c>
      <c r="AY150" s="39" t="n">
        <f aca="false">IF(ISNUMBER(AY151),ROUND(AY149-AY151,1),"")</f>
        <v>0</v>
      </c>
      <c r="AZ150" s="39" t="n">
        <f aca="false">IF(ISNUMBER(AZ151),ROUND(AZ149-AZ151,1),"")</f>
        <v>0</v>
      </c>
      <c r="BA150" s="39" t="n">
        <f aca="false">IF(ISNUMBER(BA151),ROUND(BA149-BA151,1),"")</f>
        <v>0</v>
      </c>
      <c r="BB150" s="39" t="n">
        <f aca="false">IF(ISNUMBER(BB151),ROUND(BB149-BB151,1),"")</f>
        <v>0</v>
      </c>
      <c r="BC150" s="39" t="n">
        <f aca="false">IF(ISNUMBER(BC151),ROUND(BC149-BC151,1),"")</f>
        <v>0</v>
      </c>
      <c r="BD150" s="39" t="n">
        <f aca="false">IF(ISNUMBER(BD151),ROUND(BD149-BD151,1),"")</f>
        <v>0</v>
      </c>
      <c r="BE150" s="39" t="n">
        <f aca="false">IF(ISNUMBER(BE151),ROUND(BE149-BE151,1),"")</f>
        <v>0</v>
      </c>
      <c r="BF150" s="39" t="n">
        <f aca="false">IF(ISNUMBER(BF151),ROUND(BF149-BF151,1),"")</f>
        <v>0</v>
      </c>
      <c r="BG150" s="39" t="n">
        <f aca="false">IF(ISNUMBER(BG151),ROUND(BG149-BG151,1),"")</f>
        <v>0</v>
      </c>
      <c r="BH150" s="39" t="n">
        <f aca="false">IF(ISNUMBER(BH151),ROUND(BH149-BH151,1),"")</f>
        <v>0</v>
      </c>
      <c r="BI150" s="39" t="n">
        <f aca="false">IF(ISNUMBER(BI151),ROUND(BI149-BI151,1),"")</f>
        <v>0</v>
      </c>
      <c r="BJ150" s="39" t="n">
        <f aca="false">IF(ISNUMBER(BJ151),ROUND(BJ149-BJ151,1),"")</f>
        <v>0</v>
      </c>
      <c r="BK150" s="39" t="n">
        <f aca="false">IF(ISNUMBER(BK151),ROUND(BK149-BK151,1),"")</f>
        <v>0</v>
      </c>
      <c r="BL150" s="39" t="n">
        <f aca="false">IF(ISNUMBER(BL151),ROUND(BL149-BL151,1),"")</f>
        <v>0</v>
      </c>
      <c r="BM150" s="39" t="n">
        <f aca="false">IF(ISNUMBER(BM151),ROUND(BM149-BM151,1),"")</f>
        <v>0</v>
      </c>
      <c r="BN150" s="39" t="n">
        <f aca="false">IF(ISNUMBER(BN151),ROUND(BN149-BN151,1),"")</f>
        <v>0</v>
      </c>
      <c r="BO150" s="39" t="n">
        <f aca="false">IF(ISNUMBER(BO151),ROUND(BO149-BO151,1),"")</f>
        <v>0</v>
      </c>
      <c r="BP150" s="39" t="n">
        <f aca="false">IF(ISNUMBER(BP151),ROUND(BP149-BP151,1),"")</f>
        <v>0</v>
      </c>
      <c r="BQ150" s="39" t="n">
        <f aca="false">IF(ISNUMBER(BQ151),ROUND(BQ149-BQ151,1),"")</f>
        <v>0</v>
      </c>
      <c r="BR150" s="39" t="n">
        <f aca="false">IF(ISNUMBER(BR151),ROUND(BR149-BR151,1),"")</f>
        <v>0</v>
      </c>
      <c r="BS150" s="39" t="n">
        <f aca="false">IF(ISNUMBER(BS151),ROUND(BS149-BS151,1),"")</f>
        <v>0</v>
      </c>
      <c r="BT150" s="39" t="n">
        <f aca="false">IF(ISNUMBER(BT151),ROUND(BT149-BT151,1),"")</f>
        <v>0</v>
      </c>
      <c r="BU150" s="39" t="n">
        <f aca="false">IF(ISNUMBER(BU151),ROUND(BU149-BU151,1),"")</f>
        <v>0</v>
      </c>
      <c r="BV150" s="39" t="n">
        <f aca="false">IF(ISNUMBER(BV151),ROUND(BV149-BV151,1),"")</f>
        <v>0</v>
      </c>
      <c r="BW150" s="39" t="n">
        <f aca="false">IF(ISNUMBER(BW151),ROUND(BW149-BW151,1),"")</f>
        <v>0</v>
      </c>
      <c r="BX150" s="39" t="n">
        <f aca="false">IF(ISNUMBER(BX151),ROUND(BX149-BX151,1),"")</f>
        <v>0</v>
      </c>
    </row>
    <row r="151" customFormat="false" ht="15" hidden="false" customHeight="false" outlineLevel="0" collapsed="false">
      <c r="B151" s="37" t="s">
        <v>292</v>
      </c>
      <c r="C151" s="48" t="n">
        <v>175.008</v>
      </c>
      <c r="D151" s="48" t="n">
        <v>202.736</v>
      </c>
      <c r="E151" s="48" t="n">
        <v>212.286</v>
      </c>
      <c r="F151" s="48" t="n">
        <v>48.576</v>
      </c>
      <c r="G151" s="48" t="n">
        <v>130.244</v>
      </c>
      <c r="H151" s="48" t="n">
        <v>217.186</v>
      </c>
      <c r="I151" s="48" t="n">
        <v>257.411</v>
      </c>
      <c r="J151" s="48" t="n">
        <v>66.806</v>
      </c>
      <c r="K151" s="48" t="n">
        <v>72.606</v>
      </c>
      <c r="L151" s="48" t="n">
        <v>66.044</v>
      </c>
      <c r="M151" s="48" t="n">
        <v>88.324</v>
      </c>
      <c r="N151" s="48" t="n">
        <v>293.78</v>
      </c>
      <c r="O151" s="48" t="n">
        <v>56.453</v>
      </c>
      <c r="P151" s="48" t="n">
        <v>77.332</v>
      </c>
      <c r="Q151" s="48" t="n">
        <v>45.689</v>
      </c>
      <c r="R151" s="48" t="n">
        <v>75.212</v>
      </c>
      <c r="S151" s="48" t="n">
        <v>254.686</v>
      </c>
      <c r="T151" s="48" t="n">
        <v>68.354</v>
      </c>
      <c r="U151" s="48" t="n">
        <v>70.898</v>
      </c>
      <c r="V151" s="48" t="n">
        <v>-60.466</v>
      </c>
      <c r="W151" s="48" t="n">
        <v>48.692</v>
      </c>
      <c r="X151" s="48" t="n">
        <v>127.478</v>
      </c>
      <c r="Y151" s="48" t="n">
        <v>53.638</v>
      </c>
      <c r="Z151" s="48" t="n">
        <v>31.317</v>
      </c>
      <c r="AA151" s="48" t="n">
        <v>60.049</v>
      </c>
      <c r="AB151" s="48" t="n">
        <v>53.395</v>
      </c>
      <c r="AC151" s="48" t="n">
        <v>198.399</v>
      </c>
      <c r="AD151" s="48" t="n">
        <v>55.844</v>
      </c>
      <c r="AE151" s="48" t="n">
        <v>61.352</v>
      </c>
      <c r="AF151" s="48" t="n">
        <v>106.126</v>
      </c>
      <c r="AG151" s="48" t="n">
        <v>24.181</v>
      </c>
      <c r="AH151" s="48" t="n">
        <v>247.503</v>
      </c>
      <c r="AI151" s="48" t="n">
        <v>60.824</v>
      </c>
      <c r="AJ151" s="48" t="n">
        <v>68.864</v>
      </c>
      <c r="AK151" s="48" t="n">
        <v>70.539</v>
      </c>
      <c r="AL151" s="48" t="n">
        <v>86.839</v>
      </c>
      <c r="AM151" s="48" t="n">
        <v>287.066</v>
      </c>
      <c r="AN151" s="48" t="n">
        <v>71.48</v>
      </c>
      <c r="AO151" s="48" t="n">
        <v>85.452</v>
      </c>
      <c r="AP151" s="48" t="n">
        <v>72.461</v>
      </c>
      <c r="AQ151" s="48" t="n">
        <v>63.716</v>
      </c>
      <c r="AR151" s="48" t="n">
        <v>293.109</v>
      </c>
      <c r="AS151" s="48" t="n">
        <v>55.562</v>
      </c>
      <c r="AT151" s="48" t="n">
        <v>26.996</v>
      </c>
      <c r="AU151" s="48" t="n">
        <v>58.479</v>
      </c>
      <c r="AV151" s="48" t="n">
        <v>65.078</v>
      </c>
      <c r="AW151" s="48" t="n">
        <v>206.115</v>
      </c>
      <c r="AX151" s="48" t="n">
        <v>74.177</v>
      </c>
      <c r="AY151" s="48" t="n">
        <v>96.105</v>
      </c>
      <c r="AZ151" s="48" t="n">
        <v>31.757</v>
      </c>
      <c r="BA151" s="48" t="n">
        <v>74.427</v>
      </c>
      <c r="BB151" s="48" t="n">
        <v>276.466</v>
      </c>
      <c r="BC151" s="48" t="n">
        <v>126.03</v>
      </c>
      <c r="BD151" s="48" t="n">
        <v>127.823</v>
      </c>
      <c r="BE151" s="48" t="n">
        <v>109.225</v>
      </c>
      <c r="BF151" s="48" t="n">
        <v>109.146</v>
      </c>
      <c r="BG151" s="48" t="n">
        <v>472.224</v>
      </c>
      <c r="BH151" s="48" t="n">
        <v>121.931</v>
      </c>
      <c r="BI151" s="48" t="n">
        <v>137.331</v>
      </c>
      <c r="BJ151" s="48" t="n">
        <v>129.343</v>
      </c>
      <c r="BK151" s="48" t="n">
        <v>156.644</v>
      </c>
      <c r="BL151" s="48" t="n">
        <v>545.248</v>
      </c>
      <c r="BM151" s="48" t="n">
        <v>123.415</v>
      </c>
      <c r="BN151" s="48" t="n">
        <v>101.708</v>
      </c>
      <c r="BO151" s="48" t="n">
        <v>100.756</v>
      </c>
      <c r="BP151" s="48" t="n">
        <v>140.229</v>
      </c>
      <c r="BQ151" s="48" t="n">
        <v>466.108</v>
      </c>
      <c r="BR151" s="48" t="n">
        <v>118.487</v>
      </c>
      <c r="BS151" s="48" t="n">
        <v>143.396</v>
      </c>
      <c r="BT151" s="48" t="n">
        <v>122.628</v>
      </c>
      <c r="BU151" s="48" t="n">
        <v>136.022</v>
      </c>
      <c r="BV151" s="48" t="n">
        <v>520.533</v>
      </c>
      <c r="BW151" s="48" t="n">
        <v>136.382</v>
      </c>
      <c r="BX151" s="48" t="n">
        <v>158.519</v>
      </c>
    </row>
    <row r="152" customFormat="false" ht="15" hidden="false" customHeight="false" outlineLevel="0" collapsed="false">
      <c r="B152" s="37" t="s">
        <v>293</v>
      </c>
      <c r="C152" s="48" t="n">
        <v>47.825</v>
      </c>
      <c r="D152" s="48" t="n">
        <v>52.61</v>
      </c>
      <c r="E152" s="48" t="n">
        <v>56.925</v>
      </c>
      <c r="F152" s="48" t="n">
        <v>56.598</v>
      </c>
      <c r="G152" s="48" t="n">
        <v>57.357</v>
      </c>
      <c r="H152" s="48" t="n">
        <v>62.051</v>
      </c>
      <c r="I152" s="48" t="n">
        <v>65.334</v>
      </c>
      <c r="J152" s="48" t="n">
        <v>17.397</v>
      </c>
      <c r="K152" s="48" t="n">
        <v>17.158</v>
      </c>
      <c r="L152" s="48" t="n">
        <v>17.326</v>
      </c>
      <c r="M152" s="48" t="n">
        <v>17.002</v>
      </c>
      <c r="N152" s="48" t="n">
        <v>68.883</v>
      </c>
      <c r="O152" s="48" t="n">
        <v>17.931</v>
      </c>
      <c r="P152" s="48" t="n">
        <v>17.969</v>
      </c>
      <c r="Q152" s="48" t="n">
        <v>17.117</v>
      </c>
      <c r="R152" s="48" t="n">
        <v>16.59</v>
      </c>
      <c r="S152" s="48" t="n">
        <v>69.607</v>
      </c>
      <c r="T152" s="48" t="n">
        <v>16.032</v>
      </c>
      <c r="U152" s="48" t="n">
        <v>15.686</v>
      </c>
      <c r="V152" s="48" t="n">
        <v>16.179</v>
      </c>
      <c r="W152" s="48" t="n">
        <v>16.11</v>
      </c>
      <c r="X152" s="48" t="n">
        <v>64.007</v>
      </c>
      <c r="Y152" s="48" t="n">
        <v>15.625</v>
      </c>
      <c r="Z152" s="48" t="n">
        <v>16.607</v>
      </c>
      <c r="AA152" s="48" t="n">
        <v>16.263</v>
      </c>
      <c r="AB152" s="48" t="n">
        <v>16.578</v>
      </c>
      <c r="AC152" s="48" t="n">
        <v>65.073</v>
      </c>
      <c r="AD152" s="48" t="n">
        <v>16.166</v>
      </c>
      <c r="AE152" s="48" t="n">
        <v>15.84</v>
      </c>
      <c r="AF152" s="48" t="n">
        <v>18.451</v>
      </c>
      <c r="AG152" s="48" t="n">
        <v>17.658</v>
      </c>
      <c r="AH152" s="48" t="n">
        <v>68.115</v>
      </c>
      <c r="AI152" s="48" t="n">
        <v>18.134</v>
      </c>
      <c r="AJ152" s="48" t="n">
        <v>18.189</v>
      </c>
      <c r="AK152" s="48" t="n">
        <v>17.623</v>
      </c>
      <c r="AL152" s="48" t="n">
        <v>18.4</v>
      </c>
      <c r="AM152" s="48" t="n">
        <v>72.346</v>
      </c>
      <c r="AN152" s="48" t="n">
        <v>18.901</v>
      </c>
      <c r="AO152" s="48" t="n">
        <v>20.351</v>
      </c>
      <c r="AP152" s="48" t="n">
        <v>21.148</v>
      </c>
      <c r="AQ152" s="48" t="n">
        <v>21.087</v>
      </c>
      <c r="AR152" s="48" t="n">
        <v>81.487</v>
      </c>
      <c r="AS152" s="48" t="n">
        <v>21.028</v>
      </c>
      <c r="AT152" s="48" t="n">
        <v>20.05</v>
      </c>
      <c r="AU152" s="48" t="n">
        <v>19.488</v>
      </c>
      <c r="AV152" s="48" t="n">
        <v>19.926</v>
      </c>
      <c r="AW152" s="48" t="n">
        <v>80.492</v>
      </c>
      <c r="AX152" s="48" t="n">
        <v>19.118</v>
      </c>
      <c r="AY152" s="48" t="n">
        <v>19.39</v>
      </c>
      <c r="AZ152" s="48" t="n">
        <v>22.05</v>
      </c>
      <c r="BA152" s="48" t="n">
        <v>20.588</v>
      </c>
      <c r="BB152" s="48" t="n">
        <v>81.146</v>
      </c>
      <c r="BC152" s="48" t="n">
        <v>19.891</v>
      </c>
      <c r="BD152" s="48" t="n">
        <v>19.868</v>
      </c>
      <c r="BE152" s="48" t="n">
        <v>19.25</v>
      </c>
      <c r="BF152" s="48" t="n">
        <v>19.05</v>
      </c>
      <c r="BG152" s="48" t="n">
        <v>78.059</v>
      </c>
      <c r="BH152" s="48" t="n">
        <v>21.295</v>
      </c>
      <c r="BI152" s="48" t="n">
        <v>21.917</v>
      </c>
      <c r="BJ152" s="48" t="n">
        <v>21.489</v>
      </c>
      <c r="BK152" s="48" t="n">
        <v>21.969</v>
      </c>
      <c r="BL152" s="48" t="n">
        <v>86.67</v>
      </c>
      <c r="BM152" s="48" t="n">
        <v>21.586</v>
      </c>
      <c r="BN152" s="48" t="n">
        <v>20.865</v>
      </c>
      <c r="BO152" s="48" t="n">
        <v>22.644</v>
      </c>
      <c r="BP152" s="48" t="n">
        <v>23.143</v>
      </c>
      <c r="BQ152" s="48" t="n">
        <v>88.238</v>
      </c>
      <c r="BR152" s="48" t="n">
        <v>23.784</v>
      </c>
      <c r="BS152" s="48" t="n">
        <v>24.462</v>
      </c>
      <c r="BT152" s="48" t="n">
        <v>24.744</v>
      </c>
      <c r="BU152" s="48" t="n">
        <v>25.556</v>
      </c>
      <c r="BV152" s="48" t="n">
        <v>98.546</v>
      </c>
      <c r="BW152" s="48" t="n">
        <v>26.009</v>
      </c>
      <c r="BX152" s="48" t="n">
        <v>25.969</v>
      </c>
      <c r="BY152" s="56" t="n">
        <f aca="false">BY133*BY127</f>
        <v>25.2757207629592</v>
      </c>
      <c r="BZ152" s="56" t="n">
        <f aca="false">BZ133*BZ127</f>
        <v>25.3714622935941</v>
      </c>
      <c r="CA152" s="56" t="n">
        <f aca="false">SUM(BW152:BZ152)</f>
        <v>102.625183056553</v>
      </c>
      <c r="CB152" s="56" t="n">
        <f aca="false">CB133*CB127+CB94</f>
        <v>118.564255390357</v>
      </c>
      <c r="CC152" s="56" t="n">
        <f aca="false">CC133*CC127+CC94</f>
        <v>133.783436147972</v>
      </c>
      <c r="CD152" s="56" t="n">
        <f aca="false">CD133*CD127+CD94</f>
        <v>149.289235480114</v>
      </c>
      <c r="CE152" s="56" t="n">
        <f aca="false">CE133*CE127+CE94</f>
        <v>165.45936661723</v>
      </c>
      <c r="CH152" s="63" t="n">
        <f aca="false">IFERROR((CE152/BV152)^(1/5)-1,"n/m")</f>
        <v>0.109201559027085</v>
      </c>
      <c r="CI152" s="63" t="n">
        <f aca="false">IFERROR((BV152/AW152)^(1/5)-1,"n/m")</f>
        <v>0.041303328181006</v>
      </c>
      <c r="CJ152" s="63" t="n">
        <f aca="false">IFERROR((BV152/X152)^(1/10)-1,"n/m")</f>
        <v>0.0440977331280621</v>
      </c>
      <c r="CK152" s="63" t="n">
        <f aca="false">IFERROR((BV152/C152)^(1/19)-1,"n/m")</f>
        <v>0.0387845336730137</v>
      </c>
    </row>
    <row r="153" customFormat="false" ht="15" hidden="false" customHeight="false" outlineLevel="0" collapsed="false">
      <c r="B153" s="37" t="s">
        <v>294</v>
      </c>
      <c r="C153" s="48" t="n">
        <v>4.217</v>
      </c>
      <c r="D153" s="48" t="n">
        <v>4.679</v>
      </c>
      <c r="E153" s="48" t="n">
        <v>4.738</v>
      </c>
      <c r="F153" s="48" t="n">
        <v>5.432</v>
      </c>
      <c r="G153" s="48" t="n">
        <v>8.213</v>
      </c>
      <c r="H153" s="48" t="n">
        <v>6.61</v>
      </c>
      <c r="I153" s="48" t="n">
        <v>8.961</v>
      </c>
      <c r="N153" s="48" t="n">
        <v>9.734</v>
      </c>
      <c r="S153" s="48" t="n">
        <v>8.416</v>
      </c>
      <c r="X153" s="48" t="n">
        <v>7.932</v>
      </c>
      <c r="AC153" s="48" t="n">
        <v>10.332</v>
      </c>
      <c r="AH153" s="48" t="n">
        <v>12.698</v>
      </c>
      <c r="AM153" s="48" t="n">
        <v>18.554</v>
      </c>
      <c r="AR153" s="48" t="n">
        <v>16.624</v>
      </c>
      <c r="AW153" s="48" t="n">
        <v>15.388</v>
      </c>
      <c r="BB153" s="48" t="n">
        <v>23.787</v>
      </c>
      <c r="BG153" s="48" t="n">
        <v>25.267</v>
      </c>
      <c r="BL153" s="48" t="n">
        <v>26.231</v>
      </c>
      <c r="BQ153" s="48" t="n">
        <v>24.052</v>
      </c>
      <c r="BV153" s="48" t="n">
        <v>20.348</v>
      </c>
      <c r="CA153" s="56" t="n">
        <f aca="false">$BV$153*CA133/$BV$133</f>
        <v>22.68802</v>
      </c>
      <c r="CB153" s="56" t="n">
        <f aca="false">CB133*CB129</f>
        <v>25.0954903022514</v>
      </c>
      <c r="CC153" s="56" t="n">
        <f aca="false">CC133*CC129</f>
        <v>26.9909643799938</v>
      </c>
      <c r="CD153" s="56" t="n">
        <f aca="false">CD133*CD129</f>
        <v>28.8922251043726</v>
      </c>
      <c r="CE153" s="56" t="n">
        <f aca="false">CE133*CE129</f>
        <v>30.8791231776587</v>
      </c>
    </row>
    <row r="155" customFormat="false" ht="15" hidden="false" customHeight="false" outlineLevel="0" collapsed="false">
      <c r="B155" s="37" t="s">
        <v>295</v>
      </c>
    </row>
    <row r="156" customFormat="false" ht="15" hidden="false" customHeight="false" outlineLevel="0" collapsed="false">
      <c r="B156" s="26" t="s">
        <v>296</v>
      </c>
      <c r="C156" s="64" t="n">
        <v>85.064</v>
      </c>
      <c r="D156" s="64" t="n">
        <v>85.798</v>
      </c>
      <c r="E156" s="64" t="n">
        <v>85.296</v>
      </c>
      <c r="F156" s="64" t="n">
        <v>84.782</v>
      </c>
      <c r="G156" s="64" t="n">
        <v>84.406</v>
      </c>
      <c r="H156" s="64" t="n">
        <v>83.681</v>
      </c>
      <c r="I156" s="64" t="n">
        <v>83.087</v>
      </c>
      <c r="J156" s="64" t="n">
        <v>82.719</v>
      </c>
      <c r="K156" s="64" t="n">
        <v>82.419</v>
      </c>
      <c r="L156" s="64" t="n">
        <v>81.644</v>
      </c>
      <c r="M156" s="64" t="n">
        <v>81.132</v>
      </c>
      <c r="N156" s="64" t="n">
        <v>81.978</v>
      </c>
      <c r="O156" s="64" t="n">
        <v>80.648</v>
      </c>
      <c r="P156" s="64" t="n">
        <v>79.873</v>
      </c>
      <c r="Q156" s="64" t="n">
        <v>78.817</v>
      </c>
      <c r="R156" s="64" t="n">
        <v>77.403</v>
      </c>
      <c r="S156" s="64" t="n">
        <v>79.185</v>
      </c>
      <c r="T156" s="64" t="n">
        <v>76.242</v>
      </c>
      <c r="U156" s="64" t="n">
        <v>75</v>
      </c>
      <c r="V156" s="64" t="n">
        <v>73.754</v>
      </c>
      <c r="W156" s="64" t="n">
        <v>71.446</v>
      </c>
      <c r="X156" s="64" t="n">
        <v>74.111</v>
      </c>
      <c r="Y156" s="64" t="n">
        <v>69.585</v>
      </c>
      <c r="Z156" s="64" t="n">
        <v>68.181</v>
      </c>
      <c r="AA156" s="64" t="n">
        <v>66.477</v>
      </c>
      <c r="AB156" s="64" t="n">
        <v>65.603</v>
      </c>
      <c r="AC156" s="64" t="n">
        <v>67.462</v>
      </c>
      <c r="AD156" s="64" t="n">
        <v>65.688</v>
      </c>
      <c r="AE156" s="64" t="n">
        <v>65.811</v>
      </c>
      <c r="AF156" s="64" t="n">
        <v>65.806</v>
      </c>
      <c r="AG156" s="64" t="n">
        <v>65.649</v>
      </c>
      <c r="AH156" s="64" t="n">
        <v>65.739</v>
      </c>
      <c r="AI156" s="64" t="n">
        <v>65.579</v>
      </c>
      <c r="AJ156" s="64" t="n">
        <v>65.337</v>
      </c>
      <c r="AK156" s="64" t="n">
        <v>64.821</v>
      </c>
      <c r="AL156" s="64" t="n">
        <v>63.808</v>
      </c>
      <c r="AM156" s="64" t="n">
        <v>64.886</v>
      </c>
      <c r="AN156" s="64" t="n">
        <v>63.16</v>
      </c>
      <c r="AO156" s="64" t="n">
        <v>62.305</v>
      </c>
      <c r="AP156" s="64" t="n">
        <v>61.38</v>
      </c>
      <c r="AQ156" s="64" t="n">
        <v>60.996</v>
      </c>
      <c r="AR156" s="64" t="n">
        <v>61.96</v>
      </c>
      <c r="AS156" s="64" t="n">
        <v>60.184</v>
      </c>
      <c r="AT156" s="64" t="n">
        <v>59.354</v>
      </c>
      <c r="AU156" s="64" t="n">
        <v>59.426</v>
      </c>
      <c r="AV156" s="64" t="n">
        <v>59.567</v>
      </c>
      <c r="AW156" s="64" t="n">
        <v>59.633</v>
      </c>
      <c r="AX156" s="64" t="n">
        <v>59.642</v>
      </c>
      <c r="AY156" s="64" t="n">
        <v>59.464</v>
      </c>
      <c r="AZ156" s="64" t="n">
        <v>59.289</v>
      </c>
      <c r="BA156" s="64" t="n">
        <v>58.842</v>
      </c>
      <c r="BB156" s="64" t="n">
        <v>59.309</v>
      </c>
      <c r="BC156" s="64" t="n">
        <v>58.606</v>
      </c>
      <c r="BD156" s="64" t="n">
        <v>58.016</v>
      </c>
      <c r="BE156" s="64" t="n">
        <v>57.823</v>
      </c>
      <c r="BF156" s="64" t="n">
        <v>57.676</v>
      </c>
      <c r="BG156" s="64" t="n">
        <v>58.03</v>
      </c>
      <c r="BH156" s="64" t="n">
        <v>57.596</v>
      </c>
      <c r="BI156" s="64" t="n">
        <v>57.479</v>
      </c>
      <c r="BJ156" s="64" t="n">
        <v>57.32</v>
      </c>
      <c r="BK156" s="64" t="n">
        <v>57.063</v>
      </c>
      <c r="BL156" s="64" t="n">
        <v>57.364</v>
      </c>
      <c r="BM156" s="64" t="n">
        <v>56.865</v>
      </c>
      <c r="BN156" s="64" t="n">
        <v>56.816</v>
      </c>
      <c r="BO156" s="64" t="n">
        <v>56.565</v>
      </c>
      <c r="BP156" s="64" t="n">
        <v>56.309</v>
      </c>
      <c r="BQ156" s="64" t="n">
        <v>56.639</v>
      </c>
      <c r="BR156" s="64" t="n">
        <v>56.058</v>
      </c>
      <c r="BS156" s="64" t="n">
        <v>55.545</v>
      </c>
      <c r="BT156" s="64" t="n">
        <v>55.097</v>
      </c>
      <c r="BU156" s="64" t="n">
        <v>54.941</v>
      </c>
      <c r="BV156" s="64" t="n">
        <v>55.41</v>
      </c>
      <c r="BW156" s="64" t="n">
        <v>54.822</v>
      </c>
      <c r="BX156" s="64" t="n">
        <v>54.662</v>
      </c>
      <c r="BY156" s="65" t="n">
        <f aca="false">BY157-($BX$157-$BX$156)</f>
        <v>54.5259036074617</v>
      </c>
      <c r="BZ156" s="65" t="n">
        <f aca="false">BZ157-($BX$157-$BX$156)</f>
        <v>54.2537108223851</v>
      </c>
      <c r="CA156" s="65" t="n">
        <f aca="false">AVERAGE(BW156:BZ156)</f>
        <v>54.5659036074617</v>
      </c>
      <c r="CB156" s="65" t="n">
        <f aca="false">AVERAGE(CB272,CB273)</f>
        <v>53.5497694991117</v>
      </c>
      <c r="CC156" s="65" t="n">
        <f aca="false">AVERAGE(CC272,CC273)</f>
        <v>52.5331052520942</v>
      </c>
      <c r="CD156" s="65" t="n">
        <f aca="false">AVERAGE(CD272,CD273)</f>
        <v>51.4929634002351</v>
      </c>
      <c r="CE156" s="65" t="n">
        <f aca="false">AVERAGE(CE272,CE273)</f>
        <v>50.4219013212268</v>
      </c>
    </row>
    <row r="157" customFormat="false" ht="15" hidden="false" customHeight="false" outlineLevel="0" collapsed="false">
      <c r="B157" s="26" t="s">
        <v>297</v>
      </c>
      <c r="C157" s="64" t="n">
        <v>86.064</v>
      </c>
      <c r="D157" s="64" t="n">
        <v>86.784</v>
      </c>
      <c r="E157" s="64" t="n">
        <v>86.108</v>
      </c>
      <c r="F157" s="64" t="n">
        <v>85.268</v>
      </c>
      <c r="G157" s="64" t="n">
        <v>85.224</v>
      </c>
      <c r="H157" s="64" t="n">
        <v>84.708</v>
      </c>
      <c r="I157" s="64" t="n">
        <v>84.175</v>
      </c>
      <c r="J157" s="64" t="n">
        <v>83.786</v>
      </c>
      <c r="K157" s="64" t="n">
        <v>83.411</v>
      </c>
      <c r="L157" s="64" t="n">
        <v>82.707</v>
      </c>
      <c r="M157" s="64" t="n">
        <v>82.184</v>
      </c>
      <c r="N157" s="64" t="n">
        <v>83.042</v>
      </c>
      <c r="O157" s="64" t="n">
        <v>81.616</v>
      </c>
      <c r="P157" s="64" t="n">
        <v>80.773</v>
      </c>
      <c r="Q157" s="64" t="n">
        <v>79.725</v>
      </c>
      <c r="R157" s="64" t="n">
        <v>78.28</v>
      </c>
      <c r="S157" s="64" t="n">
        <v>80.096</v>
      </c>
      <c r="T157" s="64" t="n">
        <v>77.059</v>
      </c>
      <c r="U157" s="64" t="n">
        <v>75.773</v>
      </c>
      <c r="V157" s="64" t="n">
        <v>73.754</v>
      </c>
      <c r="W157" s="64" t="n">
        <v>72.121</v>
      </c>
      <c r="X157" s="64" t="n">
        <v>74.854</v>
      </c>
      <c r="Y157" s="64" t="n">
        <v>70.246</v>
      </c>
      <c r="Z157" s="64" t="n">
        <v>68.89</v>
      </c>
      <c r="AA157" s="64" t="n">
        <v>67.182</v>
      </c>
      <c r="AB157" s="64" t="n">
        <v>66.303</v>
      </c>
      <c r="AC157" s="64" t="n">
        <v>68.156</v>
      </c>
      <c r="AD157" s="64" t="n">
        <v>66.583</v>
      </c>
      <c r="AE157" s="64" t="n">
        <v>66.743</v>
      </c>
      <c r="AF157" s="64" t="n">
        <v>66.702</v>
      </c>
      <c r="AG157" s="64" t="n">
        <v>66.53</v>
      </c>
      <c r="AH157" s="64" t="n">
        <v>66.643</v>
      </c>
      <c r="AI157" s="64" t="n">
        <v>66.443</v>
      </c>
      <c r="AJ157" s="64" t="n">
        <v>66.121</v>
      </c>
      <c r="AK157" s="64" t="n">
        <v>65.652</v>
      </c>
      <c r="AL157" s="64" t="n">
        <v>64.559</v>
      </c>
      <c r="AM157" s="64" t="n">
        <v>65.682</v>
      </c>
      <c r="AN157" s="64" t="n">
        <v>63.899</v>
      </c>
      <c r="AO157" s="64" t="n">
        <v>62.97</v>
      </c>
      <c r="AP157" s="64" t="n">
        <v>62.061</v>
      </c>
      <c r="AQ157" s="64" t="n">
        <v>61.71</v>
      </c>
      <c r="AR157" s="64" t="n">
        <v>62.658</v>
      </c>
      <c r="AS157" s="64" t="n">
        <v>60.799</v>
      </c>
      <c r="AT157" s="64" t="n">
        <v>59.831</v>
      </c>
      <c r="AU157" s="64" t="n">
        <v>60.018</v>
      </c>
      <c r="AV157" s="64" t="n">
        <v>60.301</v>
      </c>
      <c r="AW157" s="64" t="n">
        <v>60.248</v>
      </c>
      <c r="AX157" s="64" t="n">
        <v>60.299</v>
      </c>
      <c r="AY157" s="64" t="n">
        <v>60.164</v>
      </c>
      <c r="AZ157" s="64" t="n">
        <v>60.055</v>
      </c>
      <c r="BA157" s="64" t="n">
        <v>59.637</v>
      </c>
      <c r="BB157" s="64" t="n">
        <v>60.062</v>
      </c>
      <c r="BC157" s="64" t="n">
        <v>59.272</v>
      </c>
      <c r="BD157" s="64" t="n">
        <v>58.688</v>
      </c>
      <c r="BE157" s="64" t="n">
        <v>58.526</v>
      </c>
      <c r="BF157" s="64" t="n">
        <v>58.459</v>
      </c>
      <c r="BG157" s="64" t="n">
        <v>58.749</v>
      </c>
      <c r="BH157" s="64" t="n">
        <v>58.417</v>
      </c>
      <c r="BI157" s="64" t="n">
        <v>58.303</v>
      </c>
      <c r="BJ157" s="64" t="n">
        <v>58.136</v>
      </c>
      <c r="BK157" s="64" t="n">
        <v>57.911</v>
      </c>
      <c r="BL157" s="64" t="n">
        <v>58.221</v>
      </c>
      <c r="BM157" s="64" t="n">
        <v>57.641</v>
      </c>
      <c r="BN157" s="64" t="n">
        <v>57.366</v>
      </c>
      <c r="BO157" s="64" t="n">
        <v>57.066</v>
      </c>
      <c r="BP157" s="64" t="n">
        <v>56.818</v>
      </c>
      <c r="BQ157" s="64" t="n">
        <v>57.194</v>
      </c>
      <c r="BR157" s="64" t="n">
        <v>56.527</v>
      </c>
      <c r="BS157" s="64" t="n">
        <v>55.968</v>
      </c>
      <c r="BT157" s="64" t="n">
        <v>55.574</v>
      </c>
      <c r="BU157" s="64" t="n">
        <v>55.412</v>
      </c>
      <c r="BV157" s="64" t="n">
        <v>55.875</v>
      </c>
      <c r="BW157" s="64" t="n">
        <v>55.317</v>
      </c>
      <c r="BX157" s="64" t="n">
        <v>55.102</v>
      </c>
      <c r="BY157" s="65" t="n">
        <f aca="false">$BX$157-$CA$270*0.25</f>
        <v>54.9659036074617</v>
      </c>
      <c r="BZ157" s="65" t="n">
        <f aca="false">$BX$157-$CA$270*0.75</f>
        <v>54.6937108223851</v>
      </c>
      <c r="CA157" s="65" t="n">
        <f aca="false">AVERAGE(BW157:BZ157)</f>
        <v>55.0196536074617</v>
      </c>
      <c r="CB157" s="65" t="n">
        <f aca="false">CB156+CB327</f>
        <v>53.9997694991117</v>
      </c>
      <c r="CC157" s="65" t="n">
        <f aca="false">CC156+CC327</f>
        <v>52.9831052520943</v>
      </c>
      <c r="CD157" s="65" t="n">
        <f aca="false">CD156+CD327</f>
        <v>51.9429634002351</v>
      </c>
      <c r="CE157" s="65" t="n">
        <f aca="false">CE156+CE327</f>
        <v>50.8719013212268</v>
      </c>
      <c r="CF157" s="19" t="s">
        <v>298</v>
      </c>
    </row>
    <row r="158" customFormat="false" ht="15" hidden="false" customHeight="false" outlineLevel="0" collapsed="false">
      <c r="B158" s="26" t="s">
        <v>299</v>
      </c>
      <c r="C158" s="66" t="n">
        <f aca="false">IFERROR(C149/C156,"")</f>
        <v>2.05736856954764</v>
      </c>
      <c r="D158" s="66" t="n">
        <f aca="false">IFERROR(D149/D156,"")</f>
        <v>2.36294552320567</v>
      </c>
      <c r="E158" s="66" t="n">
        <f aca="false">IFERROR(E149/E156,"")</f>
        <v>2.48881541924592</v>
      </c>
      <c r="F158" s="66" t="n">
        <f aca="false">IFERROR(F149/F156,"")</f>
        <v>0.572951805807837</v>
      </c>
      <c r="G158" s="66" t="n">
        <f aca="false">IFERROR(G149/G156,"")</f>
        <v>1.54306565883942</v>
      </c>
      <c r="H158" s="66" t="n">
        <f aca="false">IFERROR(H149/H156,"")</f>
        <v>2.59540397461789</v>
      </c>
      <c r="I158" s="66" t="n">
        <f aca="false">IFERROR(I149/I156,"")</f>
        <v>3.09808995390374</v>
      </c>
      <c r="J158" s="66" t="n">
        <f aca="false">IFERROR(J149/J156,"")</f>
        <v>0.807625817526808</v>
      </c>
      <c r="K158" s="66" t="n">
        <f aca="false">IFERROR(K149/K156,"")</f>
        <v>0.880937647872457</v>
      </c>
      <c r="L158" s="66" t="n">
        <f aca="false">IFERROR(L149/L156,"")</f>
        <v>0.80892655920827</v>
      </c>
      <c r="M158" s="66" t="n">
        <f aca="false">IFERROR(M149/M156,"")</f>
        <v>1.08864566385643</v>
      </c>
      <c r="N158" s="66" t="n">
        <f aca="false">IFERROR(N149/N156,"")</f>
        <v>3.58364439239796</v>
      </c>
      <c r="O158" s="66" t="n">
        <f aca="false">IFERROR(O149/O156,"")</f>
        <v>0.699992560261879</v>
      </c>
      <c r="P158" s="66" t="n">
        <f aca="false">IFERROR(P149/P156,"")</f>
        <v>0.968186996857511</v>
      </c>
      <c r="Q158" s="66" t="n">
        <f aca="false">IFERROR(Q149/Q156,"")</f>
        <v>0.579684585812706</v>
      </c>
      <c r="R158" s="66" t="n">
        <f aca="false">IFERROR(R149/R156,"")</f>
        <v>0.971693603607094</v>
      </c>
      <c r="S158" s="66" t="n">
        <f aca="false">IFERROR(S149/S156,"")</f>
        <v>3.21634147881543</v>
      </c>
      <c r="T158" s="66" t="n">
        <f aca="false">IFERROR(T149/T156,"")</f>
        <v>0.896539964848771</v>
      </c>
      <c r="U158" s="66" t="n">
        <f aca="false">IFERROR(U149/U156,"")</f>
        <v>0.945306666666667</v>
      </c>
      <c r="V158" s="66" t="n">
        <f aca="false">IFERROR(V149/V156,"")</f>
        <v>-0.819833500555901</v>
      </c>
      <c r="W158" s="66" t="n">
        <f aca="false">IFERROR(W149/W156,"")</f>
        <v>0.681521708703077</v>
      </c>
      <c r="X158" s="66" t="n">
        <f aca="false">IFERROR(X149/X156,"")</f>
        <v>1.72009553237711</v>
      </c>
      <c r="Y158" s="66" t="n">
        <f aca="false">IFERROR(Y149/Y156,"")</f>
        <v>0.770827046058777</v>
      </c>
      <c r="Z158" s="66" t="n">
        <f aca="false">IFERROR(Z149/Z156,"")</f>
        <v>0.459321511858143</v>
      </c>
      <c r="AA158" s="66" t="n">
        <f aca="false">IFERROR(AA149/AA156,"")</f>
        <v>0.903304902447462</v>
      </c>
      <c r="AB158" s="66" t="n">
        <f aca="false">IFERROR(AB149/AB156,"")</f>
        <v>0.813910949194397</v>
      </c>
      <c r="AC158" s="66" t="n">
        <f aca="false">IFERROR(AC149/AC156,"")</f>
        <v>2.94090006225727</v>
      </c>
      <c r="AD158" s="66" t="n">
        <f aca="false">IFERROR(AD149/AD156,"")</f>
        <v>0.85014005602241</v>
      </c>
      <c r="AE158" s="66" t="n">
        <f aca="false">IFERROR(AE149/AE156,"")</f>
        <v>0.932245369315159</v>
      </c>
      <c r="AF158" s="66" t="n">
        <f aca="false">IFERROR(AF149/AF156,"")</f>
        <v>1.61271008722609</v>
      </c>
      <c r="AG158" s="66" t="n">
        <f aca="false">IFERROR(AG149/AG156,"")</f>
        <v>0.368337674602811</v>
      </c>
      <c r="AH158" s="66" t="n">
        <f aca="false">IFERROR(AH149/AH156,"")</f>
        <v>3.76493405740884</v>
      </c>
      <c r="AI158" s="66" t="n">
        <f aca="false">IFERROR(AI149/AI156,"")</f>
        <v>0.927492032510408</v>
      </c>
      <c r="AJ158" s="66" t="n">
        <f aca="false">IFERROR(AJ149/AJ156,"")</f>
        <v>1.05398166429435</v>
      </c>
      <c r="AK158" s="66" t="n">
        <f aca="false">IFERROR(AK149/AK156,"")</f>
        <v>1.08821215346878</v>
      </c>
      <c r="AL158" s="66" t="n">
        <f aca="false">IFERROR(AL149/AL156,"")</f>
        <v>1.36094220160481</v>
      </c>
      <c r="AM158" s="66" t="n">
        <f aca="false">IFERROR(AM149/AM156,"")</f>
        <v>4.42415929476312</v>
      </c>
      <c r="AN158" s="66" t="n">
        <f aca="false">IFERROR(AN149/AN156,"")</f>
        <v>1.13172894236859</v>
      </c>
      <c r="AO158" s="66" t="n">
        <f aca="false">IFERROR(AO149/AO156,"")</f>
        <v>1.3715111146778</v>
      </c>
      <c r="AP158" s="66" t="n">
        <f aca="false">IFERROR(AP149/AP156,"")</f>
        <v>1.18053111762789</v>
      </c>
      <c r="AQ158" s="66" t="n">
        <f aca="false">IFERROR(AQ149/AQ156,"")</f>
        <v>1.04459308807135</v>
      </c>
      <c r="AR158" s="66" t="n">
        <f aca="false">IFERROR(AR149/AR156,"")</f>
        <v>4.73061652679148</v>
      </c>
      <c r="AS158" s="66" t="n">
        <f aca="false">IFERROR(AS149/AS156,"")</f>
        <v>0.92320217998139</v>
      </c>
      <c r="AT158" s="66" t="n">
        <f aca="false">IFERROR(AT149/AT156,"")</f>
        <v>0.454830339993934</v>
      </c>
      <c r="AU158" s="66" t="n">
        <f aca="false">IFERROR(AU149/AU156,"")</f>
        <v>0.984064214316967</v>
      </c>
      <c r="AV158" s="66" t="n">
        <f aca="false">IFERROR(AV149/AV156,"")</f>
        <v>1.09251766917924</v>
      </c>
      <c r="AW158" s="66" t="n">
        <f aca="false">IFERROR(AW149/AW156,"")</f>
        <v>3.45639159525766</v>
      </c>
      <c r="AX158" s="66" t="n">
        <f aca="false">IFERROR(AX149/AX156,"")</f>
        <v>1.24370410113678</v>
      </c>
      <c r="AY158" s="66" t="n">
        <f aca="false">IFERROR(AY149/AY156,"")</f>
        <v>1.61618794564779</v>
      </c>
      <c r="AZ158" s="66" t="n">
        <f aca="false">IFERROR(AZ149/AZ156,"")</f>
        <v>0.535630555415</v>
      </c>
      <c r="BA158" s="66" t="n">
        <f aca="false">IFERROR(BA149/BA156,"")</f>
        <v>1.26486183338432</v>
      </c>
      <c r="BB158" s="66" t="n">
        <f aca="false">IFERROR(BB149/BB156,"")</f>
        <v>4.6614510445295</v>
      </c>
      <c r="BC158" s="66" t="n">
        <f aca="false">IFERROR(BC149/BC156,"")</f>
        <v>2.15046240999215</v>
      </c>
      <c r="BD158" s="66" t="n">
        <f aca="false">IFERROR(BD149/BD156,"")</f>
        <v>2.20323703805847</v>
      </c>
      <c r="BE158" s="66" t="n">
        <f aca="false">IFERROR(BE149/BE156,"")</f>
        <v>1.88895422236826</v>
      </c>
      <c r="BF158" s="66" t="n">
        <f aca="false">IFERROR(BF149/BF156,"")</f>
        <v>1.89239891809418</v>
      </c>
      <c r="BG158" s="66" t="n">
        <f aca="false">IFERROR(BG149/BG156,"")</f>
        <v>8.13758400827158</v>
      </c>
      <c r="BH158" s="66" t="n">
        <f aca="false">IFERROR(BH149/BH156,"")</f>
        <v>2.11700465310091</v>
      </c>
      <c r="BI158" s="66" t="n">
        <f aca="false">IFERROR(BI149/BI156,"")</f>
        <v>2.38923780859097</v>
      </c>
      <c r="BJ158" s="66" t="n">
        <f aca="false">IFERROR(BJ149/BJ156,"")</f>
        <v>2.25650732728541</v>
      </c>
      <c r="BK158" s="66" t="n">
        <f aca="false">IFERROR(BK149/BK156,"")</f>
        <v>2.74510628603473</v>
      </c>
      <c r="BL158" s="66" t="n">
        <f aca="false">IFERROR(BL149/BL156,"")</f>
        <v>9.50505543546477</v>
      </c>
      <c r="BM158" s="66" t="n">
        <f aca="false">IFERROR(BM149/BM156,"")</f>
        <v>2.17031565989625</v>
      </c>
      <c r="BN158" s="66" t="n">
        <f aca="false">IFERROR(BN149/BN156,"")</f>
        <v>1.79012954097437</v>
      </c>
      <c r="BO158" s="66" t="n">
        <f aca="false">IFERROR(BO149/BO156,"")</f>
        <v>1.78124281799699</v>
      </c>
      <c r="BP158" s="66" t="n">
        <f aca="false">IFERROR(BP149/BP156,"")</f>
        <v>2.49034790175638</v>
      </c>
      <c r="BQ158" s="66" t="n">
        <f aca="false">IFERROR(BQ149/BQ156,"")</f>
        <v>8.22945320362295</v>
      </c>
      <c r="BR158" s="66" t="n">
        <f aca="false">IFERROR(BR149/BR156,"")</f>
        <v>2.11365014806094</v>
      </c>
      <c r="BS158" s="66" t="n">
        <f aca="false">IFERROR(BS149/BS156,"")</f>
        <v>2.58161850751643</v>
      </c>
      <c r="BT158" s="66" t="n">
        <f aca="false">IFERROR(BT149/BT156,"")</f>
        <v>2.22567471913171</v>
      </c>
      <c r="BU158" s="66" t="n">
        <f aca="false">IFERROR(BU149/BU156,"")</f>
        <v>2.47578311279372</v>
      </c>
      <c r="BV158" s="66" t="n">
        <f aca="false">IFERROR(BV149/BV156,"")</f>
        <v>9.3942068218733</v>
      </c>
      <c r="BW158" s="66" t="n">
        <f aca="false">IFERROR(BW149/BW156,"")</f>
        <v>2.48772390646091</v>
      </c>
      <c r="BX158" s="66" t="n">
        <f aca="false">IFERROR(BX149/BX156,"")</f>
        <v>2.8999853646043</v>
      </c>
      <c r="BY158" s="67" t="n">
        <f aca="false">IFERROR(BY149/BY156,"")</f>
        <v>2.82750089118843</v>
      </c>
      <c r="BZ158" s="67" t="n">
        <f aca="false">IFERROR(BZ149/BZ156,"")</f>
        <v>2.95654038722665</v>
      </c>
      <c r="CA158" s="67" t="n">
        <f aca="false">IFERROR(CA149/CA156,"")</f>
        <v>11.169545227927</v>
      </c>
      <c r="CB158" s="67" t="n">
        <f aca="false">IFERROR(CB149/CB156,"")</f>
        <v>12.363756180924</v>
      </c>
      <c r="CC158" s="67" t="n">
        <f aca="false">IFERROR(CC149/CC156,"")</f>
        <v>13.6825477794393</v>
      </c>
      <c r="CD158" s="67" t="n">
        <f aca="false">IFERROR(CD149/CD156,"")</f>
        <v>15.0357973956237</v>
      </c>
      <c r="CE158" s="67" t="n">
        <f aca="false">IFERROR(CE149/CE156,"")</f>
        <v>16.3219207422643</v>
      </c>
    </row>
    <row r="159" customFormat="false" ht="15" hidden="false" customHeight="false" outlineLevel="0" collapsed="false">
      <c r="B159" s="58" t="s">
        <v>300</v>
      </c>
      <c r="C159" s="68" t="n">
        <f aca="false">IFERROR(C149/C157,"")</f>
        <v>2.03346346904629</v>
      </c>
      <c r="D159" s="68" t="n">
        <f aca="false">IFERROR(D149/D157,"")</f>
        <v>2.336098820059</v>
      </c>
      <c r="E159" s="68" t="n">
        <f aca="false">IFERROR(E149/E157,"")</f>
        <v>2.4653458447531</v>
      </c>
      <c r="F159" s="68" t="n">
        <f aca="false">IFERROR(F149/F157,"")</f>
        <v>0.569686165970822</v>
      </c>
      <c r="G159" s="68" t="n">
        <f aca="false">IFERROR(G149/G157,"")</f>
        <v>1.52825495165681</v>
      </c>
      <c r="H159" s="68" t="n">
        <f aca="false">IFERROR(H149/H157,"")</f>
        <v>2.56393729045663</v>
      </c>
      <c r="I159" s="68" t="n">
        <f aca="false">IFERROR(I149/I157,"")</f>
        <v>3.05804573804574</v>
      </c>
      <c r="J159" s="68" t="n">
        <f aca="false">IFERROR(J149/J157,"")</f>
        <v>0.797340844532499</v>
      </c>
      <c r="K159" s="68" t="n">
        <f aca="false">IFERROR(K149/K157,"")</f>
        <v>0.870460730599082</v>
      </c>
      <c r="L159" s="68" t="n">
        <f aca="false">IFERROR(L149/L157,"")</f>
        <v>0.798529749597978</v>
      </c>
      <c r="M159" s="68" t="n">
        <f aca="false">IFERROR(M149/M157,"")</f>
        <v>1.07471040591843</v>
      </c>
      <c r="N159" s="68" t="n">
        <f aca="false">IFERROR(N149/N157,"")</f>
        <v>3.53772789672695</v>
      </c>
      <c r="O159" s="68" t="n">
        <f aca="false">IFERROR(O149/O157,"")</f>
        <v>0.691690354832386</v>
      </c>
      <c r="P159" s="68" t="n">
        <f aca="false">IFERROR(P149/P157,"")</f>
        <v>0.957399130897701</v>
      </c>
      <c r="Q159" s="68" t="n">
        <f aca="false">IFERROR(Q149/Q157,"")</f>
        <v>0.573082470994043</v>
      </c>
      <c r="R159" s="68" t="n">
        <f aca="false">IFERROR(R149/R157,"")</f>
        <v>0.960807358201328</v>
      </c>
      <c r="S159" s="68" t="n">
        <f aca="false">IFERROR(S149/S157,"")</f>
        <v>3.17975928885338</v>
      </c>
      <c r="T159" s="68" t="n">
        <f aca="false">IFERROR(T149/T157,"")</f>
        <v>0.887034609844405</v>
      </c>
      <c r="U159" s="68" t="n">
        <f aca="false">IFERROR(U149/U157,"")</f>
        <v>0.935663098993045</v>
      </c>
      <c r="V159" s="68" t="n">
        <f aca="false">IFERROR(V149/V157,"")</f>
        <v>-0.819833500555901</v>
      </c>
      <c r="W159" s="68" t="n">
        <f aca="false">IFERROR(W149/W157,"")</f>
        <v>0.675143162185771</v>
      </c>
      <c r="X159" s="68" t="n">
        <f aca="false">IFERROR(X149/X157,"")</f>
        <v>1.70302188259813</v>
      </c>
      <c r="Y159" s="68" t="n">
        <f aca="false">IFERROR(Y149/Y157,"")</f>
        <v>0.763573726617886</v>
      </c>
      <c r="Z159" s="68" t="n">
        <f aca="false">IFERROR(Z149/Z157,"")</f>
        <v>0.454594280737408</v>
      </c>
      <c r="AA159" s="68" t="n">
        <f aca="false">IFERROR(AA149/AA157,"")</f>
        <v>0.89382572712929</v>
      </c>
      <c r="AB159" s="68" t="n">
        <f aca="false">IFERROR(AB149/AB157,"")</f>
        <v>0.805318009743149</v>
      </c>
      <c r="AC159" s="68" t="n">
        <f aca="false">IFERROR(AC149/AC157,"")</f>
        <v>2.91095428135454</v>
      </c>
      <c r="AD159" s="68" t="n">
        <f aca="false">IFERROR(AD149/AD157,"")</f>
        <v>0.838712584293289</v>
      </c>
      <c r="AE159" s="68" t="n">
        <f aca="false">IFERROR(AE149/AE157,"")</f>
        <v>0.919227484530212</v>
      </c>
      <c r="AF159" s="68" t="n">
        <f aca="false">IFERROR(AF149/AF157,"")</f>
        <v>1.59104674522503</v>
      </c>
      <c r="AG159" s="68" t="n">
        <f aca="false">IFERROR(AG149/AG157,"")</f>
        <v>0.363460093191041</v>
      </c>
      <c r="AH159" s="68" t="n">
        <f aca="false">IFERROR(AH149/AH157,"")</f>
        <v>3.71386342151464</v>
      </c>
      <c r="AI159" s="68" t="n">
        <f aca="false">IFERROR(AI149/AI157,"")</f>
        <v>0.915431271917283</v>
      </c>
      <c r="AJ159" s="68" t="n">
        <f aca="false">IFERROR(AJ149/AJ157,"")</f>
        <v>1.04148455105035</v>
      </c>
      <c r="AK159" s="68" t="n">
        <f aca="false">IFERROR(AK149/AK157,"")</f>
        <v>1.07443794553098</v>
      </c>
      <c r="AL159" s="68" t="n">
        <f aca="false">IFERROR(AL149/AL157,"")</f>
        <v>1.34511067395715</v>
      </c>
      <c r="AM159" s="68" t="n">
        <f aca="false">IFERROR(AM149/AM157,"")</f>
        <v>4.37054291891233</v>
      </c>
      <c r="AN159" s="68" t="n">
        <f aca="false">IFERROR(AN149/AN157,"")</f>
        <v>1.11864035430914</v>
      </c>
      <c r="AO159" s="68" t="n">
        <f aca="false">IFERROR(AO149/AO157,"")</f>
        <v>1.35702715578847</v>
      </c>
      <c r="AP159" s="68" t="n">
        <f aca="false">IFERROR(AP149/AP157,"")</f>
        <v>1.16757706127842</v>
      </c>
      <c r="AQ159" s="68" t="n">
        <f aca="false">IFERROR(AQ149/AQ157,"")</f>
        <v>1.03250688705234</v>
      </c>
      <c r="AR159" s="68" t="n">
        <f aca="false">IFERROR(AR149/AR157,"")</f>
        <v>4.67791822273293</v>
      </c>
      <c r="AS159" s="68" t="n">
        <f aca="false">IFERROR(AS149/AS157,"")</f>
        <v>0.913863714863731</v>
      </c>
      <c r="AT159" s="68" t="n">
        <f aca="false">IFERROR(AT149/AT157,"")</f>
        <v>0.45120422523441</v>
      </c>
      <c r="AU159" s="68" t="n">
        <f aca="false">IFERROR(AU149/AU157,"")</f>
        <v>0.974357692692194</v>
      </c>
      <c r="AV159" s="68" t="n">
        <f aca="false">IFERROR(AV149/AV157,"")</f>
        <v>1.07921925009535</v>
      </c>
      <c r="AW159" s="68" t="n">
        <f aca="false">IFERROR(AW149/AW157,"")</f>
        <v>3.4211094144204</v>
      </c>
      <c r="AX159" s="68" t="n">
        <f aca="false">IFERROR(AX149/AX157,"")</f>
        <v>1.23015307053185</v>
      </c>
      <c r="AY159" s="68" t="n">
        <f aca="false">IFERROR(AY149/AY157,"")</f>
        <v>1.59738381756532</v>
      </c>
      <c r="AZ159" s="68" t="n">
        <f aca="false">IFERROR(AZ149/AZ157,"")</f>
        <v>0.528798601282157</v>
      </c>
      <c r="BA159" s="68" t="n">
        <f aca="false">IFERROR(BA149/BA157,"")</f>
        <v>1.24800040243473</v>
      </c>
      <c r="BB159" s="68" t="n">
        <f aca="false">IFERROR(BB149/BB157,"")</f>
        <v>4.60301022276981</v>
      </c>
      <c r="BC159" s="68" t="n">
        <f aca="false">IFERROR(BC149/BC157,"")</f>
        <v>2.12629909569442</v>
      </c>
      <c r="BD159" s="68" t="n">
        <f aca="false">IFERROR(BD149/BD157,"")</f>
        <v>2.17800913304253</v>
      </c>
      <c r="BE159" s="68" t="n">
        <f aca="false">IFERROR(BE149/BE157,"")</f>
        <v>1.86626456617572</v>
      </c>
      <c r="BF159" s="68" t="n">
        <f aca="false">IFERROR(BF149/BF157,"")</f>
        <v>1.86705212200003</v>
      </c>
      <c r="BG159" s="68" t="n">
        <f aca="false">IFERROR(BG149/BG157,"")</f>
        <v>8.03799213603635</v>
      </c>
      <c r="BH159" s="68" t="n">
        <f aca="false">IFERROR(BH149/BH157,"")</f>
        <v>2.08725199856206</v>
      </c>
      <c r="BI159" s="68" t="n">
        <f aca="false">IFERROR(BI149/BI157,"")</f>
        <v>2.35547055897638</v>
      </c>
      <c r="BJ159" s="68" t="n">
        <f aca="false">IFERROR(BJ149/BJ157,"")</f>
        <v>2.22483486996009</v>
      </c>
      <c r="BK159" s="68" t="n">
        <f aca="false">IFERROR(BK149/BK157,"")</f>
        <v>2.70490925730863</v>
      </c>
      <c r="BL159" s="68" t="n">
        <f aca="false">IFERROR(BL149/BL157,"")</f>
        <v>9.36514316140226</v>
      </c>
      <c r="BM159" s="68" t="n">
        <f aca="false">IFERROR(BM149/BM157,"")</f>
        <v>2.14109748269461</v>
      </c>
      <c r="BN159" s="68" t="n">
        <f aca="false">IFERROR(BN149/BN157,"")</f>
        <v>1.77296656556148</v>
      </c>
      <c r="BO159" s="68" t="n">
        <f aca="false">IFERROR(BO149/BO157,"")</f>
        <v>1.76560473837311</v>
      </c>
      <c r="BP159" s="68" t="n">
        <f aca="false">IFERROR(BP149/BP157,"")</f>
        <v>2.46803829772255</v>
      </c>
      <c r="BQ159" s="68" t="n">
        <f aca="false">IFERROR(BQ149/BQ157,"")</f>
        <v>8.14959611148023</v>
      </c>
      <c r="BR159" s="68" t="n">
        <f aca="false">IFERROR(BR149/BR157,"")</f>
        <v>2.09611336175633</v>
      </c>
      <c r="BS159" s="68" t="n">
        <f aca="false">IFERROR(BS149/BS157,"")</f>
        <v>2.56210691823899</v>
      </c>
      <c r="BT159" s="68" t="n">
        <f aca="false">IFERROR(BT149/BT157,"")</f>
        <v>2.20657141828913</v>
      </c>
      <c r="BU159" s="68" t="n">
        <f aca="false">IFERROR(BU149/BU157,"")</f>
        <v>2.45473904569407</v>
      </c>
      <c r="BV159" s="68" t="n">
        <f aca="false">IFERROR(BV149/BV157,"")</f>
        <v>9.31602684563757</v>
      </c>
      <c r="BW159" s="68" t="n">
        <f aca="false">IFERROR(BW149/BW157,"")</f>
        <v>2.46546269682014</v>
      </c>
      <c r="BX159" s="68" t="n">
        <f aca="false">IFERROR(BX149/BX157,"")</f>
        <v>2.87682842728032</v>
      </c>
      <c r="BY159" s="68" t="n">
        <f aca="false">IFERROR(BY149/BY157,"")</f>
        <v>2.80486685243947</v>
      </c>
      <c r="BZ159" s="68" t="n">
        <f aca="false">IFERROR(BZ149/BZ157,"")</f>
        <v>2.932755609218</v>
      </c>
      <c r="CA159" s="68" t="n">
        <f aca="false">IFERROR(CA149/CA157,"")</f>
        <v>11.0774293963129</v>
      </c>
      <c r="CB159" s="68" t="n">
        <f aca="false">IFERROR(CB149/CB157,"")</f>
        <v>12.2607244396217</v>
      </c>
      <c r="CC159" s="68" t="n">
        <f aca="false">IFERROR(CC149/CC157,"")</f>
        <v>13.5663381599493</v>
      </c>
      <c r="CD159" s="68" t="n">
        <f aca="false">IFERROR(CD149/CD157,"")</f>
        <v>14.9055370410903</v>
      </c>
      <c r="CE159" s="68" t="n">
        <f aca="false">IFERROR(CE149/CE157,"")</f>
        <v>16.1775411507165</v>
      </c>
      <c r="CH159" s="20" t="n">
        <f aca="false">IFERROR((CE159/BV159)^(1/5)-1,"n/m")</f>
        <v>0.116699589190864</v>
      </c>
      <c r="CI159" s="20" t="n">
        <f aca="false">IFERROR((BV159/AW159)^(1/5)-1,"n/m")</f>
        <v>0.221835539958545</v>
      </c>
      <c r="CJ159" s="20" t="n">
        <f aca="false">IFERROR((BV159/X159)^(1/10)-1,"n/m")</f>
        <v>0.185225673544295</v>
      </c>
      <c r="CK159" s="20" t="n">
        <f aca="false">IFERROR((BV159/C159)^(1/19)-1,"n/m")</f>
        <v>0.0834008616718631</v>
      </c>
    </row>
    <row r="160" customFormat="false" ht="15" hidden="false" customHeight="false" outlineLevel="0" collapsed="false">
      <c r="B160" s="21" t="s">
        <v>301</v>
      </c>
      <c r="D160" s="22" t="n">
        <f aca="false">IF(AND(ISNUMBER(D159),ISNUMBER(C159)),IFERROR(D159/C159-1,""),"")</f>
        <v>0.148827532738832</v>
      </c>
      <c r="E160" s="22" t="n">
        <f aca="false">IF(AND(ISNUMBER(E159),ISNUMBER(D159)),IFERROR(E159/D159-1,""),"")</f>
        <v>0.0553260091500916</v>
      </c>
      <c r="F160" s="22" t="n">
        <f aca="false">IF(AND(ISNUMBER(F159),ISNUMBER(E159)),IFERROR(F159/E159-1,""),"")</f>
        <v>-0.768922414198696</v>
      </c>
      <c r="G160" s="22" t="n">
        <f aca="false">IF(AND(ISNUMBER(G159),ISNUMBER(F159)),IFERROR(G159/F159-1,""),"")</f>
        <v>1.68262605438638</v>
      </c>
      <c r="H160" s="22" t="n">
        <f aca="false">IF(AND(ISNUMBER(H159),ISNUMBER(G159)),IFERROR(H159/G159-1,""),"")</f>
        <v>0.677689503100916</v>
      </c>
      <c r="I160" s="22" t="n">
        <f aca="false">IF(AND(ISNUMBER(I159),ISNUMBER(H159)),IFERROR(I159/H159-1,""),"")</f>
        <v>0.192714716318634</v>
      </c>
      <c r="N160" s="22" t="n">
        <f aca="false">IF(AND(ISNUMBER(N159),ISNUMBER(I159)),IFERROR(N159/I159-1,""),"")</f>
        <v>0.156859053059081</v>
      </c>
      <c r="O160" s="22" t="n">
        <f aca="false">IF(AND(ISNUMBER(O159),ISNUMBER(J159)),IFERROR(O159/J159-1,""),"")</f>
        <v>-0.132503546537941</v>
      </c>
      <c r="P160" s="22" t="n">
        <f aca="false">IF(AND(ISNUMBER(P159),ISNUMBER(K159)),IFERROR(P159/K159-1,""),"")</f>
        <v>0.0998763037119257</v>
      </c>
      <c r="Q160" s="22" t="n">
        <f aca="false">IF(AND(ISNUMBER(Q159),ISNUMBER(L159)),IFERROR(Q159/L159-1,""),"")</f>
        <v>-0.282327964258611</v>
      </c>
      <c r="R160" s="22" t="n">
        <f aca="false">IF(AND(ISNUMBER(R159),ISNUMBER(M159)),IFERROR(R159/M159-1,""),"")</f>
        <v>-0.105984874706559</v>
      </c>
      <c r="S160" s="22" t="n">
        <f aca="false">IF(AND(ISNUMBER(S159),ISNUMBER(N159)),IFERROR(S159/N159-1,""),"")</f>
        <v>-0.101186020610789</v>
      </c>
      <c r="T160" s="22" t="n">
        <f aca="false">IF(AND(ISNUMBER(T159),ISNUMBER(O159)),IFERROR(T159/O159-1,""),"")</f>
        <v>0.282415756772199</v>
      </c>
      <c r="U160" s="22" t="n">
        <f aca="false">IF(AND(ISNUMBER(U159),ISNUMBER(P159)),IFERROR(U159/P159-1,""),"")</f>
        <v>-0.022703208310075</v>
      </c>
      <c r="V160" s="22" t="n">
        <f aca="false">IF(AND(ISNUMBER(V159),ISNUMBER(Q159)),IFERROR(V159/Q159-1,""),"")</f>
        <v>-2.43056809805028</v>
      </c>
      <c r="W160" s="22" t="n">
        <f aca="false">IF(AND(ISNUMBER(W159),ISNUMBER(R159)),IFERROR(W159/R159-1,""),"")</f>
        <v>-0.297316827954286</v>
      </c>
      <c r="X160" s="22" t="n">
        <f aca="false">IF(AND(ISNUMBER(X159),ISNUMBER(S159)),IFERROR(X159/S159-1,""),"")</f>
        <v>-0.464417986428074</v>
      </c>
      <c r="Y160" s="22" t="n">
        <f aca="false">IF(AND(ISNUMBER(Y159),ISNUMBER(T159)),IFERROR(Y159/T159-1,""),"")</f>
        <v>-0.139183840017444</v>
      </c>
      <c r="Z160" s="22" t="n">
        <f aca="false">IF(AND(ISNUMBER(Z159),ISNUMBER(U159)),IFERROR(Z159/U159-1,""),"")</f>
        <v>-0.514147473351638</v>
      </c>
      <c r="AA160" s="22" t="n">
        <f aca="false">IF(AND(ISNUMBER(AA159),ISNUMBER(V159)),IFERROR(AA159/V159-1,""),"")</f>
        <v>-2.09025274829977</v>
      </c>
      <c r="AB160" s="22" t="n">
        <f aca="false">IF(AND(ISNUMBER(AB159),ISNUMBER(W159)),IFERROR(AB159/W159-1,""),"")</f>
        <v>0.192810732372579</v>
      </c>
      <c r="AC160" s="22" t="n">
        <f aca="false">IF(AND(ISNUMBER(AC159),ISNUMBER(X159)),IFERROR(AC159/X159-1,""),"")</f>
        <v>0.709287655725006</v>
      </c>
      <c r="AD160" s="22" t="n">
        <f aca="false">IF(AND(ISNUMBER(AD159),ISNUMBER(Y159)),IFERROR(AD159/Y159-1,""),"")</f>
        <v>0.0984041947176702</v>
      </c>
      <c r="AE160" s="22" t="n">
        <f aca="false">IF(AND(ISNUMBER(AE159),ISNUMBER(Z159)),IFERROR(AE159/Z159-1,""),"")</f>
        <v>1.02208325859074</v>
      </c>
      <c r="AF160" s="22" t="n">
        <f aca="false">IF(AND(ISNUMBER(AF159),ISNUMBER(AA159)),IFERROR(AF159/AA159-1,""),"")</f>
        <v>0.780041340200638</v>
      </c>
      <c r="AG160" s="22" t="n">
        <f aca="false">IF(AND(ISNUMBER(AG159),ISNUMBER(AB159)),IFERROR(AG159/AB159-1,""),"")</f>
        <v>-0.548675071470258</v>
      </c>
      <c r="AH160" s="22" t="n">
        <f aca="false">IF(AND(ISNUMBER(AH159),ISNUMBER(AC159)),IFERROR(AH159/AC159-1,""),"")</f>
        <v>0.275823342641605</v>
      </c>
      <c r="AI160" s="22" t="n">
        <f aca="false">IF(AND(ISNUMBER(AI159),ISNUMBER(AD159)),IFERROR(AI159/AD159-1,""),"")</f>
        <v>0.0914719643662414</v>
      </c>
      <c r="AJ160" s="22" t="n">
        <f aca="false">IF(AND(ISNUMBER(AJ159),ISNUMBER(AE159)),IFERROR(AJ159/AE159-1,""),"")</f>
        <v>0.132999794477007</v>
      </c>
      <c r="AK160" s="22" t="n">
        <f aca="false">IF(AND(ISNUMBER(AK159),ISNUMBER(AF159)),IFERROR(AK159/AF159-1,""),"")</f>
        <v>-0.324697436605473</v>
      </c>
      <c r="AL160" s="22" t="n">
        <f aca="false">IF(AND(ISNUMBER(AL159),ISNUMBER(AG159)),IFERROR(AL159/AG159-1,""),"")</f>
        <v>2.70084831637938</v>
      </c>
      <c r="AM160" s="22" t="n">
        <f aca="false">IF(AND(ISNUMBER(AM159),ISNUMBER(AH159)),IFERROR(AM159/AH159-1,""),"")</f>
        <v>0.176818429453682</v>
      </c>
      <c r="AN160" s="22" t="n">
        <f aca="false">IF(AND(ISNUMBER(AN159),ISNUMBER(AI159)),IFERROR(AN159/AI159-1,""),"")</f>
        <v>0.221981800956242</v>
      </c>
      <c r="AO160" s="22" t="n">
        <f aca="false">IF(AND(ISNUMBER(AO159),ISNUMBER(AJ159)),IFERROR(AO159/AJ159-1,""),"")</f>
        <v>0.3029738697707</v>
      </c>
      <c r="AP160" s="22" t="n">
        <f aca="false">IF(AND(ISNUMBER(AP159),ISNUMBER(AK159)),IFERROR(AP159/AK159-1,""),"")</f>
        <v>0.0866863611201001</v>
      </c>
      <c r="AQ160" s="22" t="n">
        <f aca="false">IF(AND(ISNUMBER(AQ159),ISNUMBER(AL159)),IFERROR(AQ159/AL159-1,""),"")</f>
        <v>-0.232400049272652</v>
      </c>
      <c r="AR160" s="22" t="n">
        <f aca="false">IF(AND(ISNUMBER(AR159),ISNUMBER(AM159)),IFERROR(AR159/AM159-1,""),"")</f>
        <v>0.0703288606297661</v>
      </c>
      <c r="AS160" s="22" t="n">
        <f aca="false">IF(AND(ISNUMBER(AS159),ISNUMBER(AN159)),IFERROR(AS159/AN159-1,""),"")</f>
        <v>-0.183058512645809</v>
      </c>
      <c r="AT160" s="22" t="n">
        <f aca="false">IF(AND(ISNUMBER(AT159),ISNUMBER(AO159)),IFERROR(AT159/AO159-1,""),"")</f>
        <v>-0.66750538240169</v>
      </c>
      <c r="AU160" s="22" t="n">
        <f aca="false">IF(AND(ISNUMBER(AU159),ISNUMBER(AP159)),IFERROR(AU159/AP159-1,""),"")</f>
        <v>-0.165487465448031</v>
      </c>
      <c r="AV160" s="22" t="n">
        <f aca="false">IF(AND(ISNUMBER(AV159),ISNUMBER(AQ159)),IFERROR(AV159/AQ159-1,""),"")</f>
        <v>0.0452416963303457</v>
      </c>
      <c r="AW160" s="22" t="n">
        <f aca="false">IF(AND(ISNUMBER(AW159),ISNUMBER(AR159)),IFERROR(AW159/AR159-1,""),"")</f>
        <v>-0.26866840087219</v>
      </c>
      <c r="AX160" s="22" t="n">
        <f aca="false">IF(AND(ISNUMBER(AX159),ISNUMBER(AS159)),IFERROR(AX159/AS159-1,""),"")</f>
        <v>0.346101229892119</v>
      </c>
      <c r="AY160" s="22" t="n">
        <f aca="false">IF(AND(ISNUMBER(AY159),ISNUMBER(AT159)),IFERROR(AY159/AT159-1,""),"")</f>
        <v>2.54026786148877</v>
      </c>
      <c r="AZ160" s="22" t="n">
        <f aca="false">IF(AND(ISNUMBER(AZ159),ISNUMBER(AU159)),IFERROR(AZ159/AU159-1,""),"")</f>
        <v>-0.457284932167916</v>
      </c>
      <c r="BA160" s="22" t="n">
        <f aca="false">IF(AND(ISNUMBER(BA159),ISNUMBER(AV159)),IFERROR(BA159/AV159-1,""),"")</f>
        <v>0.156391903058124</v>
      </c>
      <c r="BB160" s="22" t="n">
        <f aca="false">IF(AND(ISNUMBER(BB159),ISNUMBER(AW159)),IFERROR(BB159/AW159-1,""),"")</f>
        <v>0.345472963643767</v>
      </c>
      <c r="BC160" s="22" t="n">
        <f aca="false">IF(AND(ISNUMBER(BC159),ISNUMBER(AX159)),IFERROR(BC159/AX159-1,""),"")</f>
        <v>0.728483346202707</v>
      </c>
      <c r="BD160" s="22" t="n">
        <f aca="false">IF(AND(ISNUMBER(BD159),ISNUMBER(AY159)),IFERROR(BD159/AY159-1,""),"")</f>
        <v>0.363485161858082</v>
      </c>
      <c r="BE160" s="22" t="n">
        <f aca="false">IF(AND(ISNUMBER(BE159),ISNUMBER(AZ159)),IFERROR(BE159/AZ159-1,""),"")</f>
        <v>2.52925397618424</v>
      </c>
      <c r="BF160" s="22" t="n">
        <f aca="false">IF(AND(ISNUMBER(BF159),ISNUMBER(BA159)),IFERROR(BF159/BA159-1,""),"")</f>
        <v>0.496034871749715</v>
      </c>
      <c r="BG160" s="22" t="n">
        <f aca="false">IF(AND(ISNUMBER(BG159),ISNUMBER(BB159)),IFERROR(BG159/BB159-1,""),"")</f>
        <v>0.746246857387944</v>
      </c>
      <c r="BH160" s="22" t="n">
        <f aca="false">IF(AND(ISNUMBER(BH159),ISNUMBER(BC159)),IFERROR(BH159/BC159-1,""),"")</f>
        <v>-0.0183638779753179</v>
      </c>
      <c r="BI160" s="22" t="n">
        <f aca="false">IF(AND(ISNUMBER(BI159),ISNUMBER(BD159)),IFERROR(BI159/BD159-1,""),"")</f>
        <v>0.0814787336019802</v>
      </c>
      <c r="BJ160" s="22" t="n">
        <f aca="false">IF(AND(ISNUMBER(BJ159),ISNUMBER(BE159)),IFERROR(BJ159/BE159-1,""),"")</f>
        <v>0.192132621646</v>
      </c>
      <c r="BK160" s="22" t="n">
        <f aca="false">IF(AND(ISNUMBER(BK159),ISNUMBER(BF159)),IFERROR(BK159/BF159-1,""),"")</f>
        <v>0.448759370687017</v>
      </c>
      <c r="BL160" s="22" t="n">
        <f aca="false">IF(AND(ISNUMBER(BL159),ISNUMBER(BG159)),IFERROR(BL159/BG159-1,""),"")</f>
        <v>0.165109769069809</v>
      </c>
      <c r="BM160" s="22" t="n">
        <f aca="false">IF(AND(ISNUMBER(BM159),ISNUMBER(BH159)),IFERROR(BM159/BH159-1,""),"")</f>
        <v>0.0257973086956635</v>
      </c>
      <c r="BN160" s="22" t="n">
        <f aca="false">IF(AND(ISNUMBER(BN159),ISNUMBER(BI159)),IFERROR(BN159/BI159-1,""),"")</f>
        <v>-0.247298354545361</v>
      </c>
      <c r="BO160" s="22" t="n">
        <f aca="false">IF(AND(ISNUMBER(BO159),ISNUMBER(BJ159)),IFERROR(BO159/BJ159-1,""),"")</f>
        <v>-0.206410883696379</v>
      </c>
      <c r="BP160" s="22" t="n">
        <f aca="false">IF(AND(ISNUMBER(BP159),ISNUMBER(BK159)),IFERROR(BP159/BK159-1,""),"")</f>
        <v>-0.0875707600711754</v>
      </c>
      <c r="BQ160" s="22" t="n">
        <f aca="false">IF(AND(ISNUMBER(BQ159),ISNUMBER(BL159)),IFERROR(BQ159/BL159-1,""),"")</f>
        <v>-0.129794817759094</v>
      </c>
      <c r="BR160" s="22" t="n">
        <f aca="false">IF(AND(ISNUMBER(BR159),ISNUMBER(BM159)),IFERROR(BR159/BM159-1,""),"")</f>
        <v>-0.0210098425232224</v>
      </c>
      <c r="BS160" s="22" t="n">
        <f aca="false">IF(AND(ISNUMBER(BS159),ISNUMBER(BN159)),IFERROR(BS159/BN159-1,""),"")</f>
        <v>0.445096014784463</v>
      </c>
      <c r="BT160" s="22" t="n">
        <f aca="false">IF(AND(ISNUMBER(BT159),ISNUMBER(BO159)),IFERROR(BT159/BO159-1,""),"")</f>
        <v>0.249753906031278</v>
      </c>
      <c r="BU160" s="22" t="n">
        <f aca="false">IF(AND(ISNUMBER(BU159),ISNUMBER(BP159)),IFERROR(BU159/BP159-1,""),"")</f>
        <v>-0.00538859224378818</v>
      </c>
      <c r="BV160" s="22" t="n">
        <f aca="false">IF(AND(ISNUMBER(BV159),ISNUMBER(BQ159)),IFERROR(BV159/BQ159-1,""),"")</f>
        <v>0.143127428427307</v>
      </c>
      <c r="BW160" s="22" t="n">
        <f aca="false">IF(AND(ISNUMBER(BW159),ISNUMBER(BR159)),IFERROR(BW159/BR159-1,""),"")</f>
        <v>0.176206755704443</v>
      </c>
      <c r="BX160" s="22" t="n">
        <f aca="false">IF(AND(ISNUMBER(BX159),ISNUMBER(BS159)),IFERROR(BX159/BS159-1,""),"")</f>
        <v>0.122836992789372</v>
      </c>
      <c r="BY160" s="23" t="n">
        <f aca="false">IF(AND(ISNUMBER(BY159),ISNUMBER(BT159)),IFERROR(BY159/BT159-1,""),"")</f>
        <v>0.271142564972692</v>
      </c>
      <c r="BZ160" s="23" t="n">
        <f aca="false">IF(AND(ISNUMBER(BZ159),ISNUMBER(BU159)),IFERROR(BZ159/BU159-1,""),"")</f>
        <v>0.194732130228845</v>
      </c>
      <c r="CA160" s="23" t="n">
        <f aca="false">IF(AND(ISNUMBER(CA159),ISNUMBER(BV159)),IFERROR(CA159/BV159-1,""),"")</f>
        <v>0.189072292283072</v>
      </c>
      <c r="CB160" s="23" t="n">
        <f aca="false">IF(AND(ISNUMBER(CB159),ISNUMBER(CA159)),IFERROR(CB159/CA159-1,""),"")</f>
        <v>0.106820364271756</v>
      </c>
      <c r="CC160" s="23" t="n">
        <f aca="false">IF(AND(ISNUMBER(CC159),ISNUMBER(CB159)),IFERROR(CC159/CB159-1,""),"")</f>
        <v>0.106487485854289</v>
      </c>
      <c r="CD160" s="23" t="n">
        <f aca="false">IF(AND(ISNUMBER(CD159),ISNUMBER(CC159)),IFERROR(CD159/CC159-1,""),"")</f>
        <v>0.0987148385475618</v>
      </c>
      <c r="CE160" s="23" t="n">
        <f aca="false">IF(AND(ISNUMBER(CE159),ISNUMBER(CD159)),IFERROR(CE159/CD159-1,""),"")</f>
        <v>0.0853376906930374</v>
      </c>
    </row>
    <row r="161" customFormat="false" ht="15" hidden="false" customHeight="false" outlineLevel="0" collapsed="false">
      <c r="B161" s="37" t="s">
        <v>302</v>
      </c>
      <c r="C161" s="69" t="n">
        <v>2.035</v>
      </c>
      <c r="D161" s="69" t="n">
        <v>2.335</v>
      </c>
      <c r="E161" s="69" t="n">
        <v>2.465</v>
      </c>
      <c r="F161" s="69" t="n">
        <v>0.57</v>
      </c>
      <c r="G161" s="69" t="n">
        <v>1.53</v>
      </c>
      <c r="H161" s="69" t="n">
        <v>2.56</v>
      </c>
      <c r="I161" s="69" t="n">
        <v>3.06</v>
      </c>
      <c r="J161" s="69" t="n">
        <v>0.8</v>
      </c>
      <c r="K161" s="69" t="n">
        <v>0.87</v>
      </c>
      <c r="L161" s="69" t="n">
        <v>0.8</v>
      </c>
      <c r="M161" s="69" t="n">
        <v>1.07</v>
      </c>
      <c r="N161" s="69" t="n">
        <v>3.54</v>
      </c>
      <c r="O161" s="69" t="n">
        <v>0.69</v>
      </c>
      <c r="P161" s="69" t="n">
        <v>0.96</v>
      </c>
      <c r="Q161" s="69" t="n">
        <v>0.57</v>
      </c>
      <c r="R161" s="69" t="n">
        <v>0.96</v>
      </c>
      <c r="S161" s="69" t="n">
        <v>3.18</v>
      </c>
      <c r="T161" s="69" t="n">
        <v>0.89</v>
      </c>
      <c r="U161" s="69" t="n">
        <v>0.94</v>
      </c>
      <c r="V161" s="69" t="n">
        <v>-0.82</v>
      </c>
      <c r="W161" s="69" t="n">
        <v>0.68</v>
      </c>
      <c r="X161" s="69" t="n">
        <v>1.7</v>
      </c>
      <c r="Y161" s="69" t="n">
        <v>0.76</v>
      </c>
      <c r="Z161" s="69" t="n">
        <v>0.45</v>
      </c>
      <c r="AA161" s="69" t="n">
        <v>0.89</v>
      </c>
      <c r="AB161" s="69" t="n">
        <v>0.81</v>
      </c>
      <c r="AC161" s="69" t="n">
        <v>2.91</v>
      </c>
      <c r="AD161" s="69" t="n">
        <v>0.84</v>
      </c>
      <c r="AE161" s="69" t="n">
        <v>0.92</v>
      </c>
      <c r="AF161" s="69" t="n">
        <v>1.59</v>
      </c>
      <c r="AG161" s="69" t="n">
        <v>0.36</v>
      </c>
      <c r="AH161" s="69" t="n">
        <v>3.71</v>
      </c>
      <c r="AI161" s="69" t="n">
        <v>0.92</v>
      </c>
      <c r="AJ161" s="69" t="n">
        <v>1.04</v>
      </c>
      <c r="AK161" s="69" t="n">
        <v>1.07</v>
      </c>
      <c r="AL161" s="69" t="n">
        <v>1.35</v>
      </c>
      <c r="AM161" s="69" t="n">
        <v>4.37</v>
      </c>
      <c r="AN161" s="69" t="n">
        <v>1.12</v>
      </c>
      <c r="AO161" s="69" t="n">
        <v>1.36</v>
      </c>
      <c r="AP161" s="69" t="n">
        <v>1.17</v>
      </c>
      <c r="AQ161" s="69" t="n">
        <v>1.03</v>
      </c>
      <c r="AR161" s="69" t="n">
        <v>4.68</v>
      </c>
      <c r="AS161" s="69" t="n">
        <v>0.91</v>
      </c>
      <c r="AT161" s="69" t="n">
        <v>0.45</v>
      </c>
      <c r="AU161" s="69" t="n">
        <v>0.97</v>
      </c>
      <c r="AV161" s="69" t="n">
        <v>1.08</v>
      </c>
      <c r="AW161" s="69" t="n">
        <v>3.42</v>
      </c>
      <c r="AX161" s="69" t="n">
        <v>1.23</v>
      </c>
      <c r="AY161" s="69" t="n">
        <v>1.6</v>
      </c>
      <c r="AZ161" s="69" t="n">
        <v>0.53</v>
      </c>
      <c r="BA161" s="69" t="n">
        <v>1.25</v>
      </c>
      <c r="BB161" s="69" t="n">
        <v>4.6</v>
      </c>
      <c r="BC161" s="69" t="n">
        <v>2.13</v>
      </c>
      <c r="BD161" s="69" t="n">
        <v>2.18</v>
      </c>
      <c r="BE161" s="69" t="n">
        <v>1.87</v>
      </c>
      <c r="BF161" s="69" t="n">
        <v>1.87</v>
      </c>
      <c r="BG161" s="69" t="n">
        <v>8.04</v>
      </c>
      <c r="BH161" s="69" t="n">
        <v>2.09</v>
      </c>
      <c r="BI161" s="69" t="n">
        <v>2.36</v>
      </c>
      <c r="BJ161" s="69" t="n">
        <v>2.22</v>
      </c>
      <c r="BK161" s="69" t="n">
        <v>2.7</v>
      </c>
      <c r="BL161" s="69" t="n">
        <v>9.37</v>
      </c>
      <c r="BM161" s="69" t="n">
        <v>2.14</v>
      </c>
      <c r="BN161" s="69" t="n">
        <v>1.77</v>
      </c>
      <c r="BO161" s="69" t="n">
        <v>1.77</v>
      </c>
      <c r="BP161" s="69" t="n">
        <v>2.47</v>
      </c>
      <c r="BQ161" s="69" t="n">
        <v>8.15</v>
      </c>
      <c r="BR161" s="69" t="n">
        <v>2.1</v>
      </c>
      <c r="BS161" s="69" t="n">
        <v>2.56</v>
      </c>
      <c r="BT161" s="69" t="n">
        <v>2.21</v>
      </c>
      <c r="BU161" s="69" t="n">
        <v>2.45</v>
      </c>
      <c r="BV161" s="69" t="n">
        <v>9.32</v>
      </c>
      <c r="BW161" s="69" t="n">
        <v>2.47</v>
      </c>
      <c r="BX161" s="69" t="n">
        <v>2.88</v>
      </c>
    </row>
    <row r="162" customFormat="false" ht="15" hidden="false" customHeight="false" outlineLevel="0" collapsed="false">
      <c r="B162" s="26" t="s">
        <v>303</v>
      </c>
      <c r="C162" s="69" t="n">
        <v>0.395</v>
      </c>
      <c r="D162" s="69" t="n">
        <v>0.455</v>
      </c>
      <c r="E162" s="69" t="n">
        <v>0.51</v>
      </c>
      <c r="F162" s="69" t="n">
        <v>0.545</v>
      </c>
      <c r="G162" s="69" t="n">
        <v>0.575</v>
      </c>
      <c r="H162" s="69" t="n">
        <v>0.635</v>
      </c>
      <c r="I162" s="69" t="n">
        <v>0.71</v>
      </c>
      <c r="J162" s="69" t="n">
        <v>0.2</v>
      </c>
      <c r="K162" s="69" t="n">
        <v>0.2</v>
      </c>
      <c r="L162" s="69" t="n">
        <v>0.2</v>
      </c>
      <c r="N162" s="69" t="n">
        <v>0.83</v>
      </c>
      <c r="O162" s="69" t="n">
        <v>0.23</v>
      </c>
      <c r="P162" s="69" t="n">
        <v>0.23</v>
      </c>
      <c r="Q162" s="69" t="n">
        <v>0.23</v>
      </c>
      <c r="S162" s="69" t="n">
        <v>0.98</v>
      </c>
      <c r="T162" s="69" t="n">
        <v>0.29</v>
      </c>
      <c r="U162" s="69" t="n">
        <v>0.29</v>
      </c>
      <c r="V162" s="69" t="n">
        <v>0.29</v>
      </c>
      <c r="X162" s="69" t="n">
        <v>1.19</v>
      </c>
      <c r="Y162" s="69" t="n">
        <v>0.32</v>
      </c>
      <c r="Z162" s="69" t="n">
        <v>0.32</v>
      </c>
      <c r="AA162" s="69" t="n">
        <v>0.32</v>
      </c>
      <c r="AC162" s="69" t="n">
        <v>1.31</v>
      </c>
      <c r="AD162" s="69" t="n">
        <v>0.35</v>
      </c>
      <c r="AE162" s="69" t="n">
        <v>0.35</v>
      </c>
      <c r="AF162" s="69" t="n">
        <v>0.35</v>
      </c>
      <c r="AH162" s="69" t="n">
        <v>1.44</v>
      </c>
      <c r="AI162" s="69" t="n">
        <v>0.39</v>
      </c>
      <c r="AJ162" s="69" t="n">
        <v>0.39</v>
      </c>
      <c r="AK162" s="69" t="n">
        <v>0.39</v>
      </c>
      <c r="AM162" s="69" t="n">
        <v>1.64</v>
      </c>
      <c r="AN162" s="69" t="n">
        <v>0.47</v>
      </c>
      <c r="AO162" s="69" t="n">
        <v>0.47</v>
      </c>
      <c r="AP162" s="69" t="n">
        <v>0.47</v>
      </c>
      <c r="AR162" s="69" t="n">
        <v>1.9</v>
      </c>
      <c r="AS162" s="69" t="n">
        <v>0.49</v>
      </c>
      <c r="AT162" s="69" t="n">
        <v>0.49</v>
      </c>
      <c r="AU162" s="69" t="n">
        <v>0.49</v>
      </c>
      <c r="AW162" s="69" t="n">
        <v>1.98</v>
      </c>
      <c r="AX162" s="69" t="n">
        <v>0.51</v>
      </c>
      <c r="AY162" s="69" t="n">
        <v>0.51</v>
      </c>
      <c r="AZ162" s="69" t="n">
        <v>0.51</v>
      </c>
      <c r="BB162" s="69" t="n">
        <v>2.09</v>
      </c>
      <c r="BC162" s="69" t="n">
        <v>0.56</v>
      </c>
      <c r="BD162" s="69" t="n">
        <v>0.56</v>
      </c>
      <c r="BE162" s="69" t="n">
        <v>0.56</v>
      </c>
      <c r="BG162" s="69" t="n">
        <v>2.32</v>
      </c>
      <c r="BH162" s="69" t="n">
        <v>0.64</v>
      </c>
      <c r="BI162" s="69" t="n">
        <v>0.64</v>
      </c>
      <c r="BJ162" s="69" t="n">
        <v>0.64</v>
      </c>
      <c r="BL162" s="69" t="n">
        <v>2.63</v>
      </c>
      <c r="BM162" s="69" t="n">
        <v>0.71</v>
      </c>
      <c r="BN162" s="69" t="n">
        <v>0.71</v>
      </c>
      <c r="BO162" s="69" t="n">
        <v>0.71</v>
      </c>
      <c r="BQ162" s="69" t="n">
        <v>2.88</v>
      </c>
      <c r="BR162" s="69" t="n">
        <v>0.75</v>
      </c>
      <c r="BS162" s="69" t="n">
        <v>0.75</v>
      </c>
      <c r="BT162" s="69" t="n">
        <v>0.75</v>
      </c>
      <c r="BV162" s="69" t="n">
        <v>3.04</v>
      </c>
      <c r="BW162" s="69" t="n">
        <v>0.79</v>
      </c>
      <c r="BX162" s="69" t="n">
        <v>0.79</v>
      </c>
      <c r="BY162" s="67" t="n">
        <f aca="false">$BX$162</f>
        <v>0.79</v>
      </c>
      <c r="BZ162" s="67" t="n">
        <f aca="false">$BX$162</f>
        <v>0.79</v>
      </c>
      <c r="CA162" s="67" t="n">
        <f aca="false">SUM(BW162:BZ162)</f>
        <v>3.16</v>
      </c>
      <c r="CB162" s="67" t="n">
        <f aca="false">CA162*(1+CB163)</f>
        <v>3.3496</v>
      </c>
      <c r="CC162" s="67" t="n">
        <f aca="false">CB162*(1+CC163)</f>
        <v>3.550576</v>
      </c>
      <c r="CD162" s="67" t="n">
        <f aca="false">CC162*(1+CD163)</f>
        <v>3.76361056</v>
      </c>
      <c r="CE162" s="67" t="n">
        <f aca="false">CD162*(1+CE163)</f>
        <v>3.9894271936</v>
      </c>
      <c r="CF162" s="19" t="s">
        <v>304</v>
      </c>
      <c r="CH162" s="63" t="n">
        <f aca="false">IFERROR((CE162/BV162)^(1/5)-1,"n/m")</f>
        <v>0.0558625638400074</v>
      </c>
      <c r="CI162" s="63" t="n">
        <f aca="false">IFERROR((BV162/AW162)^(1/5)-1,"n/m")</f>
        <v>0.0895362359995904</v>
      </c>
      <c r="CJ162" s="63" t="n">
        <f aca="false">IFERROR((BV162/X162)^(1/10)-1,"n/m")</f>
        <v>0.0983295348014159</v>
      </c>
      <c r="CK162" s="63" t="n">
        <f aca="false">IFERROR((BV162/C162)^(1/19)-1,"n/m")</f>
        <v>0.113386961044321</v>
      </c>
    </row>
    <row r="163" customFormat="false" ht="15" hidden="false" customHeight="false" outlineLevel="0" collapsed="false">
      <c r="B163" s="21" t="s">
        <v>305</v>
      </c>
      <c r="D163" s="22" t="n">
        <f aca="false">IF(AND(ISNUMBER(D162),ISNUMBER(C162)),IFERROR(D162/C162-1,""),"")</f>
        <v>0.151898734177215</v>
      </c>
      <c r="E163" s="22" t="n">
        <f aca="false">IF(AND(ISNUMBER(E162),ISNUMBER(D162)),IFERROR(E162/D162-1,""),"")</f>
        <v>0.120879120879121</v>
      </c>
      <c r="F163" s="22" t="n">
        <f aca="false">IF(AND(ISNUMBER(F162),ISNUMBER(E162)),IFERROR(F162/E162-1,""),"")</f>
        <v>0.0686274509803921</v>
      </c>
      <c r="G163" s="22" t="n">
        <f aca="false">IF(AND(ISNUMBER(G162),ISNUMBER(F162)),IFERROR(G162/F162-1,""),"")</f>
        <v>0.0550458715596329</v>
      </c>
      <c r="H163" s="22" t="n">
        <f aca="false">IF(AND(ISNUMBER(H162),ISNUMBER(G162)),IFERROR(H162/G162-1,""),"")</f>
        <v>0.104347826086957</v>
      </c>
      <c r="I163" s="22" t="n">
        <f aca="false">IF(AND(ISNUMBER(I162),ISNUMBER(H162)),IFERROR(I162/H162-1,""),"")</f>
        <v>0.118110236220472</v>
      </c>
      <c r="N163" s="22" t="n">
        <f aca="false">IF(AND(ISNUMBER(N162),ISNUMBER(I162)),IFERROR(N162/I162-1,""),"")</f>
        <v>0.169014084507042</v>
      </c>
      <c r="S163" s="22" t="n">
        <f aca="false">IF(AND(ISNUMBER(S162),ISNUMBER(N162)),IFERROR(S162/N162-1,""),"")</f>
        <v>0.180722891566265</v>
      </c>
      <c r="X163" s="22" t="n">
        <f aca="false">IF(AND(ISNUMBER(X162),ISNUMBER(S162)),IFERROR(X162/S162-1,""),"")</f>
        <v>0.214285714285714</v>
      </c>
      <c r="AC163" s="22" t="n">
        <f aca="false">IF(AND(ISNUMBER(AC162),ISNUMBER(X162)),IFERROR(AC162/X162-1,""),"")</f>
        <v>0.100840336134454</v>
      </c>
      <c r="AH163" s="22" t="n">
        <f aca="false">IF(AND(ISNUMBER(AH162),ISNUMBER(AC162)),IFERROR(AH162/AC162-1,""),"")</f>
        <v>0.0992366412213739</v>
      </c>
      <c r="AM163" s="22" t="n">
        <f aca="false">IF(AND(ISNUMBER(AM162),ISNUMBER(AH162)),IFERROR(AM162/AH162-1,""),"")</f>
        <v>0.138888888888889</v>
      </c>
      <c r="AR163" s="22" t="n">
        <f aca="false">IF(AND(ISNUMBER(AR162),ISNUMBER(AM162)),IFERROR(AR162/AM162-1,""),"")</f>
        <v>0.158536585365854</v>
      </c>
      <c r="AW163" s="22" t="n">
        <f aca="false">IF(AND(ISNUMBER(AW162),ISNUMBER(AR162)),IFERROR(AW162/AR162-1,""),"")</f>
        <v>0.0421052631578949</v>
      </c>
      <c r="BB163" s="22" t="n">
        <f aca="false">IF(AND(ISNUMBER(BB162),ISNUMBER(AW162)),IFERROR(BB162/AW162-1,""),"")</f>
        <v>0.0555555555555556</v>
      </c>
      <c r="BG163" s="22" t="n">
        <f aca="false">IF(AND(ISNUMBER(BG162),ISNUMBER(BB162)),IFERROR(BG162/BB162-1,""),"")</f>
        <v>0.110047846889952</v>
      </c>
      <c r="BL163" s="22" t="n">
        <f aca="false">IF(AND(ISNUMBER(BL162),ISNUMBER(BG162)),IFERROR(BL162/BG162-1,""),"")</f>
        <v>0.133620689655172</v>
      </c>
      <c r="BQ163" s="22" t="n">
        <f aca="false">IF(AND(ISNUMBER(BQ162),ISNUMBER(BL162)),IFERROR(BQ162/BL162-1,""),"")</f>
        <v>0.0950570342205324</v>
      </c>
      <c r="BV163" s="22" t="n">
        <f aca="false">IF(AND(ISNUMBER(BV162),ISNUMBER(BQ162)),IFERROR(BV162/BQ162-1,""),"")</f>
        <v>0.0555555555555556</v>
      </c>
      <c r="CB163" s="30" t="n">
        <v>0.06</v>
      </c>
      <c r="CC163" s="30" t="n">
        <v>0.06</v>
      </c>
      <c r="CD163" s="30" t="n">
        <v>0.06</v>
      </c>
      <c r="CE163" s="30" t="n">
        <v>0.06</v>
      </c>
    </row>
    <row r="165" customFormat="false" ht="15" hidden="false" customHeight="false" outlineLevel="0" collapsed="false">
      <c r="B165" s="10" t="s">
        <v>306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 t="s">
        <v>307</v>
      </c>
    </row>
    <row r="166" customFormat="false" ht="15" hidden="false" customHeight="false" outlineLevel="0" collapsed="false">
      <c r="B166" s="26" t="s">
        <v>290</v>
      </c>
      <c r="C166" s="57" t="n">
        <f aca="false">C149</f>
        <v>175.008</v>
      </c>
      <c r="D166" s="57" t="n">
        <f aca="false">D149</f>
        <v>202.736</v>
      </c>
      <c r="E166" s="57" t="n">
        <f aca="false">E149</f>
        <v>212.286</v>
      </c>
      <c r="F166" s="57" t="n">
        <f aca="false">F149</f>
        <v>48.5760000000001</v>
      </c>
      <c r="G166" s="57" t="n">
        <f aca="false">G149</f>
        <v>130.244</v>
      </c>
      <c r="H166" s="57" t="n">
        <f aca="false">H149</f>
        <v>217.186</v>
      </c>
      <c r="I166" s="57" t="n">
        <f aca="false">I149</f>
        <v>257.411</v>
      </c>
      <c r="J166" s="57" t="n">
        <f aca="false">J149</f>
        <v>66.806</v>
      </c>
      <c r="K166" s="57" t="n">
        <f aca="false">K149</f>
        <v>72.606</v>
      </c>
      <c r="L166" s="57" t="n">
        <f aca="false">L149</f>
        <v>66.044</v>
      </c>
      <c r="M166" s="57" t="n">
        <f aca="false">M149</f>
        <v>88.324</v>
      </c>
      <c r="N166" s="57" t="n">
        <f aca="false">N149</f>
        <v>293.78</v>
      </c>
      <c r="O166" s="57" t="n">
        <f aca="false">O149</f>
        <v>56.453</v>
      </c>
      <c r="P166" s="57" t="n">
        <f aca="false">P149</f>
        <v>77.332</v>
      </c>
      <c r="Q166" s="57" t="n">
        <f aca="false">Q149</f>
        <v>45.689</v>
      </c>
      <c r="R166" s="57" t="n">
        <f aca="false">R149</f>
        <v>75.2119999999999</v>
      </c>
      <c r="S166" s="57" t="n">
        <f aca="false">S149</f>
        <v>254.686</v>
      </c>
      <c r="T166" s="57" t="n">
        <f aca="false">T149</f>
        <v>68.354</v>
      </c>
      <c r="U166" s="57" t="n">
        <f aca="false">U149</f>
        <v>70.898</v>
      </c>
      <c r="V166" s="57" t="n">
        <f aca="false">V149</f>
        <v>-60.4659999999999</v>
      </c>
      <c r="W166" s="57" t="n">
        <f aca="false">W149</f>
        <v>48.692</v>
      </c>
      <c r="X166" s="57" t="n">
        <f aca="false">X149</f>
        <v>127.478</v>
      </c>
      <c r="Y166" s="57" t="n">
        <f aca="false">Y149</f>
        <v>53.638</v>
      </c>
      <c r="Z166" s="57" t="n">
        <f aca="false">Z149</f>
        <v>31.317</v>
      </c>
      <c r="AA166" s="57" t="n">
        <f aca="false">AA149</f>
        <v>60.0489999999999</v>
      </c>
      <c r="AB166" s="57" t="n">
        <f aca="false">AB149</f>
        <v>53.395</v>
      </c>
      <c r="AC166" s="57" t="n">
        <f aca="false">AC149</f>
        <v>198.399</v>
      </c>
      <c r="AD166" s="57" t="n">
        <f aca="false">AD149</f>
        <v>55.8440000000001</v>
      </c>
      <c r="AE166" s="57" t="n">
        <f aca="false">AE149</f>
        <v>61.352</v>
      </c>
      <c r="AF166" s="57" t="n">
        <f aca="false">AF149</f>
        <v>106.126</v>
      </c>
      <c r="AG166" s="57" t="n">
        <f aca="false">AG149</f>
        <v>24.1809999999999</v>
      </c>
      <c r="AH166" s="57" t="n">
        <f aca="false">AH149</f>
        <v>247.503</v>
      </c>
      <c r="AI166" s="57" t="n">
        <f aca="false">AI149</f>
        <v>60.824</v>
      </c>
      <c r="AJ166" s="57" t="n">
        <f aca="false">AJ149</f>
        <v>68.864</v>
      </c>
      <c r="AK166" s="57" t="n">
        <f aca="false">AK149</f>
        <v>70.539</v>
      </c>
      <c r="AL166" s="57" t="n">
        <f aca="false">AL149</f>
        <v>86.839</v>
      </c>
      <c r="AM166" s="57" t="n">
        <f aca="false">AM149</f>
        <v>287.066</v>
      </c>
      <c r="AN166" s="57" t="n">
        <f aca="false">AN149</f>
        <v>71.48</v>
      </c>
      <c r="AO166" s="57" t="n">
        <f aca="false">AO149</f>
        <v>85.452</v>
      </c>
      <c r="AP166" s="57" t="n">
        <f aca="false">AP149</f>
        <v>72.461</v>
      </c>
      <c r="AQ166" s="57" t="n">
        <f aca="false">AQ149</f>
        <v>63.716</v>
      </c>
      <c r="AR166" s="57" t="n">
        <f aca="false">AR149</f>
        <v>293.109</v>
      </c>
      <c r="AS166" s="57" t="n">
        <f aca="false">AS149</f>
        <v>55.562</v>
      </c>
      <c r="AT166" s="57" t="n">
        <f aca="false">AT149</f>
        <v>26.996</v>
      </c>
      <c r="AU166" s="57" t="n">
        <f aca="false">AU149</f>
        <v>58.4790000000001</v>
      </c>
      <c r="AV166" s="57" t="n">
        <f aca="false">AV149</f>
        <v>65.078</v>
      </c>
      <c r="AW166" s="57" t="n">
        <f aca="false">AW149</f>
        <v>206.115</v>
      </c>
      <c r="AX166" s="57" t="n">
        <f aca="false">AX149</f>
        <v>74.177</v>
      </c>
      <c r="AY166" s="57" t="n">
        <f aca="false">AY149</f>
        <v>96.1049999999999</v>
      </c>
      <c r="AZ166" s="57" t="n">
        <f aca="false">AZ149</f>
        <v>31.7569999999999</v>
      </c>
      <c r="BA166" s="57" t="n">
        <f aca="false">BA149</f>
        <v>74.4269999999999</v>
      </c>
      <c r="BB166" s="57" t="n">
        <f aca="false">BB149</f>
        <v>276.466</v>
      </c>
      <c r="BC166" s="57" t="n">
        <f aca="false">BC149</f>
        <v>126.03</v>
      </c>
      <c r="BD166" s="57" t="n">
        <f aca="false">BD149</f>
        <v>127.823</v>
      </c>
      <c r="BE166" s="57" t="n">
        <f aca="false">BE149</f>
        <v>109.225</v>
      </c>
      <c r="BF166" s="57" t="n">
        <f aca="false">BF149</f>
        <v>109.146</v>
      </c>
      <c r="BG166" s="57" t="n">
        <f aca="false">BG149</f>
        <v>472.224</v>
      </c>
      <c r="BH166" s="57" t="n">
        <f aca="false">BH149</f>
        <v>121.931</v>
      </c>
      <c r="BI166" s="57" t="n">
        <f aca="false">BI149</f>
        <v>137.331</v>
      </c>
      <c r="BJ166" s="57" t="n">
        <f aca="false">BJ149</f>
        <v>129.343</v>
      </c>
      <c r="BK166" s="57" t="n">
        <f aca="false">BK149</f>
        <v>156.644</v>
      </c>
      <c r="BL166" s="57" t="n">
        <f aca="false">BL149</f>
        <v>545.248000000001</v>
      </c>
      <c r="BM166" s="57" t="n">
        <f aca="false">BM149</f>
        <v>123.415</v>
      </c>
      <c r="BN166" s="57" t="n">
        <f aca="false">BN149</f>
        <v>101.708</v>
      </c>
      <c r="BO166" s="57" t="n">
        <f aca="false">BO149</f>
        <v>100.756</v>
      </c>
      <c r="BP166" s="57" t="n">
        <f aca="false">BP149</f>
        <v>140.229</v>
      </c>
      <c r="BQ166" s="57" t="n">
        <f aca="false">BQ149</f>
        <v>466.108</v>
      </c>
      <c r="BR166" s="57" t="n">
        <f aca="false">BR149</f>
        <v>118.487</v>
      </c>
      <c r="BS166" s="57" t="n">
        <f aca="false">BS149</f>
        <v>143.396</v>
      </c>
      <c r="BT166" s="57" t="n">
        <f aca="false">BT149</f>
        <v>122.628</v>
      </c>
      <c r="BU166" s="57" t="n">
        <f aca="false">BU149</f>
        <v>136.022</v>
      </c>
      <c r="BV166" s="57" t="n">
        <f aca="false">BV149</f>
        <v>520.532999999999</v>
      </c>
      <c r="BW166" s="57" t="n">
        <f aca="false">BW149</f>
        <v>136.382</v>
      </c>
      <c r="BX166" s="57" t="n">
        <f aca="false">BX149</f>
        <v>158.519</v>
      </c>
      <c r="BY166" s="51" t="n">
        <f aca="false">BY149</f>
        <v>154.172041042953</v>
      </c>
      <c r="BZ166" s="51" t="n">
        <f aca="false">BZ149</f>
        <v>160.403287203297</v>
      </c>
      <c r="CA166" s="51" t="n">
        <f aca="false">CA149</f>
        <v>609.47632824625</v>
      </c>
      <c r="CB166" s="51" t="n">
        <f aca="false">CB149</f>
        <v>662.076293631698</v>
      </c>
      <c r="CC166" s="51" t="n">
        <f aca="false">CC149</f>
        <v>718.786722614095</v>
      </c>
      <c r="CD166" s="51" t="n">
        <f aca="false">CD149</f>
        <v>774.237764986202</v>
      </c>
      <c r="CE166" s="51" t="n">
        <f aca="false">CE149</f>
        <v>822.982277039333</v>
      </c>
    </row>
    <row r="167" customFormat="false" ht="15" hidden="false" customHeight="false" outlineLevel="0" collapsed="false">
      <c r="B167" s="26" t="s">
        <v>308</v>
      </c>
      <c r="C167" s="39" t="n">
        <f aca="false">C148</f>
        <v>0</v>
      </c>
      <c r="D167" s="39" t="n">
        <f aca="false">D148</f>
        <v>0</v>
      </c>
      <c r="E167" s="39" t="n">
        <f aca="false">E148</f>
        <v>0</v>
      </c>
      <c r="F167" s="39" t="n">
        <f aca="false">F148</f>
        <v>0</v>
      </c>
      <c r="G167" s="39" t="n">
        <f aca="false">G148</f>
        <v>1.966</v>
      </c>
      <c r="H167" s="39" t="n">
        <f aca="false">H148</f>
        <v>-0.173</v>
      </c>
      <c r="I167" s="39" t="n">
        <f aca="false">I148</f>
        <v>-0.195</v>
      </c>
      <c r="J167" s="39" t="n">
        <f aca="false">J148</f>
        <v>0.037</v>
      </c>
      <c r="K167" s="39" t="n">
        <f aca="false">K148</f>
        <v>-0.079</v>
      </c>
      <c r="L167" s="39" t="n">
        <f aca="false">L148</f>
        <v>-1.792</v>
      </c>
      <c r="M167" s="39" t="n">
        <f aca="false">M148</f>
        <v>-0.259</v>
      </c>
      <c r="N167" s="39" t="n">
        <f aca="false">N148</f>
        <v>-2.093</v>
      </c>
      <c r="O167" s="39" t="n">
        <f aca="false">O148</f>
        <v>-0.029</v>
      </c>
      <c r="P167" s="39" t="n">
        <f aca="false">P148</f>
        <v>-0.043</v>
      </c>
      <c r="Q167" s="39" t="n">
        <f aca="false">Q148</f>
        <v>-0.857</v>
      </c>
      <c r="R167" s="39" t="n">
        <f aca="false">R148</f>
        <v>0.123</v>
      </c>
      <c r="S167" s="39" t="n">
        <f aca="false">S148</f>
        <v>-0.806</v>
      </c>
      <c r="T167" s="39" t="n">
        <f aca="false">T148</f>
        <v>-0.036</v>
      </c>
      <c r="U167" s="39" t="n">
        <f aca="false">U148</f>
        <v>-0.022</v>
      </c>
      <c r="V167" s="39" t="n">
        <f aca="false">V148</f>
        <v>-0.015</v>
      </c>
      <c r="W167" s="39" t="n">
        <f aca="false">W148</f>
        <v>0.007</v>
      </c>
      <c r="X167" s="39" t="n">
        <f aca="false">X148</f>
        <v>-0.066</v>
      </c>
      <c r="Y167" s="39" t="n">
        <f aca="false">Y148</f>
        <v>-0.014</v>
      </c>
      <c r="Z167" s="39" t="n">
        <f aca="false">Z148</f>
        <v>-0.008</v>
      </c>
      <c r="AA167" s="39" t="n">
        <f aca="false">AA148</f>
        <v>-0.01</v>
      </c>
      <c r="AB167" s="39" t="n">
        <f aca="false">AB148</f>
        <v>0.006</v>
      </c>
      <c r="AC167" s="39" t="n">
        <f aca="false">AC148</f>
        <v>-0.026</v>
      </c>
      <c r="AD167" s="39" t="n">
        <f aca="false">AD148</f>
        <v>0.004</v>
      </c>
      <c r="AE167" s="39" t="n">
        <f aca="false">AE148</f>
        <v>-0.021</v>
      </c>
      <c r="AF167" s="39" t="n">
        <f aca="false">AF148</f>
        <v>-0.015</v>
      </c>
      <c r="AG167" s="39" t="n">
        <f aca="false">AG148</f>
        <v>0.004</v>
      </c>
      <c r="AH167" s="39" t="n">
        <f aca="false">AH148</f>
        <v>-0.028</v>
      </c>
      <c r="AI167" s="39" t="n">
        <f aca="false">AI148</f>
        <v>-0.004</v>
      </c>
      <c r="AJ167" s="39" t="n">
        <f aca="false">AJ148</f>
        <v>-0.005</v>
      </c>
      <c r="AK167" s="39" t="n">
        <f aca="false">AK148</f>
        <v>-0.004</v>
      </c>
      <c r="AL167" s="39" t="n">
        <f aca="false">AL148</f>
        <v>-0.06</v>
      </c>
      <c r="AM167" s="39" t="n">
        <f aca="false">AM148</f>
        <v>-0.073</v>
      </c>
      <c r="AN167" s="39" t="n">
        <f aca="false">AN148</f>
        <v>-0.014</v>
      </c>
      <c r="AO167" s="39" t="n">
        <f aca="false">AO148</f>
        <v>-0.008</v>
      </c>
      <c r="AP167" s="39" t="n">
        <f aca="false">AP148</f>
        <v>-0.004</v>
      </c>
      <c r="AQ167" s="39" t="n">
        <f aca="false">AQ148</f>
        <v>0</v>
      </c>
      <c r="AR167" s="39" t="n">
        <f aca="false">AR148</f>
        <v>-0.026</v>
      </c>
      <c r="AS167" s="39" t="n">
        <f aca="false">AS148</f>
        <v>-0.007</v>
      </c>
      <c r="AT167" s="39" t="n">
        <f aca="false">AT148</f>
        <v>0.017</v>
      </c>
      <c r="AU167" s="39" t="n">
        <f aca="false">AU148</f>
        <v>0.027</v>
      </c>
      <c r="AV167" s="39" t="n">
        <f aca="false">AV148</f>
        <v>-0.008</v>
      </c>
      <c r="AW167" s="39" t="n">
        <f aca="false">AW148</f>
        <v>0.029</v>
      </c>
      <c r="AX167" s="39" t="n">
        <f aca="false">AX148</f>
        <v>-0.044</v>
      </c>
      <c r="AY167" s="39" t="n">
        <f aca="false">AY148</f>
        <v>0.175</v>
      </c>
      <c r="AZ167" s="39" t="n">
        <f aca="false">AZ148</f>
        <v>0</v>
      </c>
      <c r="BA167" s="39" t="n">
        <f aca="false">BA148</f>
        <v>-0.017</v>
      </c>
      <c r="BB167" s="39" t="n">
        <f aca="false">BB148</f>
        <v>0.114</v>
      </c>
      <c r="BC167" s="39" t="n">
        <f aca="false">BC148</f>
        <v>0.001</v>
      </c>
      <c r="BD167" s="39" t="n">
        <f aca="false">BD148</f>
        <v>-0.001</v>
      </c>
      <c r="BE167" s="39" t="n">
        <f aca="false">BE148</f>
        <v>0</v>
      </c>
      <c r="BF167" s="39" t="n">
        <f aca="false">BF148</f>
        <v>0</v>
      </c>
      <c r="BG167" s="39" t="n">
        <f aca="false">BG148</f>
        <v>0</v>
      </c>
      <c r="BH167" s="39" t="n">
        <f aca="false">BH148</f>
        <v>0.028</v>
      </c>
      <c r="BI167" s="39" t="n">
        <f aca="false">BI148</f>
        <v>0</v>
      </c>
      <c r="BJ167" s="39" t="n">
        <f aca="false">BJ148</f>
        <v>0</v>
      </c>
      <c r="BK167" s="39" t="n">
        <f aca="false">BK148</f>
        <v>0</v>
      </c>
      <c r="BL167" s="39" t="n">
        <f aca="false">BL148</f>
        <v>0</v>
      </c>
      <c r="BM167" s="39" t="n">
        <f aca="false">BM148</f>
        <v>0</v>
      </c>
      <c r="BN167" s="39" t="n">
        <f aca="false">BN148</f>
        <v>0</v>
      </c>
      <c r="BO167" s="39" t="n">
        <f aca="false">BO148</f>
        <v>0</v>
      </c>
      <c r="BP167" s="39" t="n">
        <f aca="false">BP148</f>
        <v>0</v>
      </c>
      <c r="BQ167" s="39" t="n">
        <f aca="false">BQ148</f>
        <v>0</v>
      </c>
      <c r="BR167" s="39" t="n">
        <f aca="false">BR148</f>
        <v>0</v>
      </c>
      <c r="BS167" s="39" t="n">
        <f aca="false">BS148</f>
        <v>0</v>
      </c>
      <c r="BT167" s="39" t="n">
        <f aca="false">BT148</f>
        <v>0</v>
      </c>
      <c r="BU167" s="39" t="n">
        <f aca="false">BU148</f>
        <v>0</v>
      </c>
      <c r="BV167" s="39" t="n">
        <f aca="false">BV148</f>
        <v>0</v>
      </c>
      <c r="BW167" s="39" t="n">
        <f aca="false">BW148</f>
        <v>0</v>
      </c>
      <c r="BX167" s="39" t="n">
        <f aca="false">BX148</f>
        <v>0</v>
      </c>
      <c r="BY167" s="56" t="n">
        <f aca="false">BY148</f>
        <v>0</v>
      </c>
      <c r="BZ167" s="56" t="n">
        <f aca="false">BZ148</f>
        <v>0</v>
      </c>
      <c r="CA167" s="56" t="n">
        <f aca="false">CA148</f>
        <v>0</v>
      </c>
      <c r="CB167" s="56" t="n">
        <f aca="false">CB148</f>
        <v>0</v>
      </c>
      <c r="CC167" s="56" t="n">
        <f aca="false">CC148</f>
        <v>0</v>
      </c>
      <c r="CD167" s="56" t="n">
        <f aca="false">CD148</f>
        <v>0</v>
      </c>
      <c r="CE167" s="56" t="n">
        <f aca="false">CE148</f>
        <v>0</v>
      </c>
    </row>
    <row r="168" customFormat="false" ht="15" hidden="false" customHeight="false" outlineLevel="0" collapsed="false">
      <c r="B168" s="26" t="s">
        <v>309</v>
      </c>
      <c r="C168" s="39" t="n">
        <f aca="false">C141</f>
        <v>4.277</v>
      </c>
      <c r="D168" s="39" t="n">
        <f aca="false">D141</f>
        <v>3.136</v>
      </c>
      <c r="E168" s="39" t="n">
        <f aca="false">E141</f>
        <v>3.31</v>
      </c>
      <c r="F168" s="39" t="n">
        <f aca="false">F141</f>
        <v>5.059</v>
      </c>
      <c r="G168" s="39" t="n">
        <f aca="false">G141</f>
        <v>4.31</v>
      </c>
      <c r="H168" s="39" t="n">
        <f aca="false">H141</f>
        <v>3.583</v>
      </c>
      <c r="I168" s="39" t="n">
        <f aca="false">I141</f>
        <v>0.203</v>
      </c>
      <c r="J168" s="39" t="n">
        <f aca="false">J141</f>
        <v>-0.076</v>
      </c>
      <c r="K168" s="39" t="n">
        <f aca="false">K141</f>
        <v>-0.091</v>
      </c>
      <c r="L168" s="39" t="n">
        <f aca="false">L141</f>
        <v>0.022</v>
      </c>
      <c r="M168" s="39" t="n">
        <f aca="false">M141</f>
        <v>-0.311</v>
      </c>
      <c r="N168" s="39" t="n">
        <f aca="false">N141</f>
        <v>-0.456</v>
      </c>
      <c r="O168" s="39" t="n">
        <f aca="false">O141</f>
        <v>0.656</v>
      </c>
      <c r="P168" s="39" t="n">
        <f aca="false">P141</f>
        <v>0.062</v>
      </c>
      <c r="Q168" s="39" t="n">
        <f aca="false">Q141</f>
        <v>0.547</v>
      </c>
      <c r="R168" s="39" t="n">
        <f aca="false">R141</f>
        <v>6.076</v>
      </c>
      <c r="S168" s="39" t="n">
        <f aca="false">S141</f>
        <v>7.341</v>
      </c>
      <c r="T168" s="39" t="n">
        <f aca="false">T141</f>
        <v>1.251</v>
      </c>
      <c r="U168" s="39" t="n">
        <f aca="false">U141</f>
        <v>3.649</v>
      </c>
      <c r="V168" s="39" t="n">
        <f aca="false">V141</f>
        <v>5.111</v>
      </c>
      <c r="W168" s="39" t="n">
        <f aca="false">W141</f>
        <v>9.099</v>
      </c>
      <c r="X168" s="39" t="n">
        <f aca="false">X141</f>
        <v>19.11</v>
      </c>
      <c r="Y168" s="39" t="n">
        <f aca="false">Y141</f>
        <v>3.397</v>
      </c>
      <c r="Z168" s="39" t="n">
        <f aca="false">Z141</f>
        <v>3.751</v>
      </c>
      <c r="AA168" s="39" t="n">
        <f aca="false">AA141</f>
        <v>3.455</v>
      </c>
      <c r="AB168" s="39" t="n">
        <f aca="false">AB141</f>
        <v>6.384</v>
      </c>
      <c r="AC168" s="39" t="n">
        <f aca="false">AC141</f>
        <v>16.987</v>
      </c>
      <c r="AD168" s="39" t="n">
        <f aca="false">AD141</f>
        <v>5.337</v>
      </c>
      <c r="AE168" s="39" t="n">
        <f aca="false">AE141</f>
        <v>5.052</v>
      </c>
      <c r="AF168" s="39" t="n">
        <f aca="false">AF141</f>
        <v>4.595</v>
      </c>
      <c r="AG168" s="39" t="n">
        <f aca="false">AG141</f>
        <v>4.448</v>
      </c>
      <c r="AH168" s="39" t="n">
        <f aca="false">AH141</f>
        <v>19.432</v>
      </c>
      <c r="AI168" s="39" t="n">
        <f aca="false">AI141</f>
        <v>4.441</v>
      </c>
      <c r="AJ168" s="39" t="n">
        <f aca="false">AJ141</f>
        <v>4.812</v>
      </c>
      <c r="AK168" s="39" t="n">
        <f aca="false">AK141</f>
        <v>3.969</v>
      </c>
      <c r="AL168" s="39" t="n">
        <f aca="false">AL141</f>
        <v>4.343</v>
      </c>
      <c r="AM168" s="39" t="n">
        <f aca="false">AM141</f>
        <v>17.565</v>
      </c>
      <c r="AN168" s="39" t="n">
        <f aca="false">AN141</f>
        <v>5.323</v>
      </c>
      <c r="AO168" s="39" t="n">
        <f aca="false">AO141</f>
        <v>5.898</v>
      </c>
      <c r="AP168" s="39" t="n">
        <f aca="false">AP141</f>
        <v>6.4</v>
      </c>
      <c r="AQ168" s="39" t="n">
        <f aca="false">AQ141</f>
        <v>5.794</v>
      </c>
      <c r="AR168" s="39" t="n">
        <f aca="false">AR141</f>
        <v>23.415</v>
      </c>
      <c r="AS168" s="39" t="n">
        <f aca="false">AS141</f>
        <v>5.458</v>
      </c>
      <c r="AT168" s="39" t="n">
        <f aca="false">AT141</f>
        <v>5.881</v>
      </c>
      <c r="AU168" s="39" t="n">
        <f aca="false">AU141</f>
        <v>5.552</v>
      </c>
      <c r="AV168" s="39" t="n">
        <f aca="false">AV141</f>
        <v>5.082</v>
      </c>
      <c r="AW168" s="39" t="n">
        <f aca="false">AW141</f>
        <v>21.973</v>
      </c>
      <c r="AX168" s="39" t="n">
        <f aca="false">AX141</f>
        <v>5.359</v>
      </c>
      <c r="AY168" s="39" t="n">
        <f aca="false">AY141</f>
        <v>5.663</v>
      </c>
      <c r="AZ168" s="39" t="n">
        <f aca="false">AZ141</f>
        <v>5.714</v>
      </c>
      <c r="BA168" s="39" t="n">
        <f aca="false">BA141</f>
        <v>5.478</v>
      </c>
      <c r="BB168" s="39" t="n">
        <f aca="false">BB141</f>
        <v>22.214</v>
      </c>
      <c r="BC168" s="39" t="n">
        <f aca="false">BC141</f>
        <v>6.198</v>
      </c>
      <c r="BD168" s="39" t="n">
        <f aca="false">BD141</f>
        <v>6.459</v>
      </c>
      <c r="BE168" s="39" t="n">
        <f aca="false">BE141</f>
        <v>8.21</v>
      </c>
      <c r="BF168" s="39" t="n">
        <f aca="false">BF141</f>
        <v>8.633</v>
      </c>
      <c r="BG168" s="39" t="n">
        <f aca="false">BG141</f>
        <v>29.5</v>
      </c>
      <c r="BH168" s="39" t="n">
        <f aca="false">BH141</f>
        <v>13.201</v>
      </c>
      <c r="BI168" s="39" t="n">
        <f aca="false">BI141</f>
        <v>11.699</v>
      </c>
      <c r="BJ168" s="39" t="n">
        <f aca="false">BJ141</f>
        <v>10.809</v>
      </c>
      <c r="BK168" s="39" t="n">
        <f aca="false">BK141</f>
        <v>8.663</v>
      </c>
      <c r="BL168" s="39" t="n">
        <f aca="false">BL141</f>
        <v>44.371</v>
      </c>
      <c r="BM168" s="39" t="n">
        <f aca="false">BM141</f>
        <v>8.779</v>
      </c>
      <c r="BN168" s="39" t="n">
        <f aca="false">BN141</f>
        <v>10.661</v>
      </c>
      <c r="BO168" s="39" t="n">
        <f aca="false">BO141</f>
        <v>11.974</v>
      </c>
      <c r="BP168" s="39" t="n">
        <f aca="false">BP141</f>
        <v>11.372</v>
      </c>
      <c r="BQ168" s="39" t="n">
        <f aca="false">BQ141</f>
        <v>42.786</v>
      </c>
      <c r="BR168" s="39" t="n">
        <f aca="false">BR141</f>
        <v>12.127</v>
      </c>
      <c r="BS168" s="39" t="n">
        <f aca="false">BS141</f>
        <v>12.619</v>
      </c>
      <c r="BT168" s="39" t="n">
        <f aca="false">BT141</f>
        <v>13.648</v>
      </c>
      <c r="BU168" s="39" t="n">
        <f aca="false">BU141</f>
        <v>13.167</v>
      </c>
      <c r="BV168" s="39" t="n">
        <f aca="false">BV141</f>
        <v>51.561</v>
      </c>
      <c r="BW168" s="39" t="n">
        <f aca="false">BW141</f>
        <v>13.374</v>
      </c>
      <c r="BX168" s="39" t="n">
        <f aca="false">BX141</f>
        <v>12.521</v>
      </c>
      <c r="BY168" s="56" t="n">
        <f aca="false">BY141</f>
        <v>13.3025</v>
      </c>
      <c r="BZ168" s="56" t="n">
        <f aca="false">BZ141</f>
        <v>13.3025</v>
      </c>
      <c r="CA168" s="56" t="n">
        <f aca="false">CA141</f>
        <v>52.5</v>
      </c>
      <c r="CB168" s="56" t="n">
        <f aca="false">CB141</f>
        <v>46.3809407903321</v>
      </c>
      <c r="CC168" s="56" t="n">
        <f aca="false">CC141</f>
        <v>51.9114368540629</v>
      </c>
      <c r="CD168" s="56" t="n">
        <f aca="false">CD141</f>
        <v>56.6314160835974</v>
      </c>
      <c r="CE168" s="56" t="n">
        <f aca="false">CE141</f>
        <v>61.2434220488311</v>
      </c>
    </row>
    <row r="169" customFormat="false" ht="15" hidden="false" customHeight="false" outlineLevel="0" collapsed="false">
      <c r="B169" s="26" t="s">
        <v>310</v>
      </c>
      <c r="C169" s="57" t="n">
        <f aca="false">C145</f>
        <v>63.164</v>
      </c>
      <c r="D169" s="57" t="n">
        <f aca="false">D145</f>
        <v>84.421</v>
      </c>
      <c r="E169" s="57" t="n">
        <f aca="false">E145</f>
        <v>87.523</v>
      </c>
      <c r="F169" s="57" t="n">
        <f aca="false">F145</f>
        <v>37.905</v>
      </c>
      <c r="G169" s="57" t="n">
        <f aca="false">G145</f>
        <v>54.898</v>
      </c>
      <c r="H169" s="57" t="n">
        <f aca="false">H145</f>
        <v>84.318</v>
      </c>
      <c r="I169" s="57" t="n">
        <f aca="false">I145</f>
        <v>112.354</v>
      </c>
      <c r="J169" s="57" t="n">
        <f aca="false">J145</f>
        <v>23.836</v>
      </c>
      <c r="K169" s="57" t="n">
        <f aca="false">K145</f>
        <v>34.007</v>
      </c>
      <c r="L169" s="57" t="n">
        <f aca="false">L145</f>
        <v>33.588</v>
      </c>
      <c r="M169" s="57" t="n">
        <f aca="false">M145</f>
        <v>33.323</v>
      </c>
      <c r="N169" s="57" t="n">
        <f aca="false">N145</f>
        <v>124.754</v>
      </c>
      <c r="O169" s="57" t="n">
        <f aca="false">O145</f>
        <v>26.002</v>
      </c>
      <c r="P169" s="57" t="n">
        <f aca="false">P145</f>
        <v>37.577</v>
      </c>
      <c r="Q169" s="57" t="n">
        <f aca="false">Q145</f>
        <v>32.953</v>
      </c>
      <c r="R169" s="57" t="n">
        <f aca="false">R145</f>
        <v>25.401</v>
      </c>
      <c r="S169" s="57" t="n">
        <f aca="false">S145</f>
        <v>121.933</v>
      </c>
      <c r="T169" s="57" t="n">
        <f aca="false">T145</f>
        <v>24.389</v>
      </c>
      <c r="U169" s="57" t="n">
        <f aca="false">U145</f>
        <v>23.558</v>
      </c>
      <c r="V169" s="57" t="n">
        <f aca="false">V145</f>
        <v>-28.045</v>
      </c>
      <c r="W169" s="57" t="n">
        <f aca="false">W145</f>
        <v>22.473</v>
      </c>
      <c r="X169" s="57" t="n">
        <f aca="false">X145</f>
        <v>42.375</v>
      </c>
      <c r="Y169" s="57" t="n">
        <f aca="false">Y145</f>
        <v>19.558</v>
      </c>
      <c r="Z169" s="57" t="n">
        <f aca="false">Z145</f>
        <v>14.449</v>
      </c>
      <c r="AA169" s="57" t="n">
        <f aca="false">AA145</f>
        <v>20.257</v>
      </c>
      <c r="AB169" s="57" t="n">
        <f aca="false">AB145</f>
        <v>24.751</v>
      </c>
      <c r="AC169" s="57" t="n">
        <f aca="false">AC145</f>
        <v>79.015</v>
      </c>
      <c r="AD169" s="57" t="n">
        <f aca="false">AD145</f>
        <v>22.052</v>
      </c>
      <c r="AE169" s="57" t="n">
        <f aca="false">AE145</f>
        <v>22.635</v>
      </c>
      <c r="AF169" s="57" t="n">
        <f aca="false">AF145</f>
        <v>24.531</v>
      </c>
      <c r="AG169" s="57" t="n">
        <f aca="false">AG145</f>
        <v>49.543</v>
      </c>
      <c r="AH169" s="57" t="n">
        <f aca="false">AH145</f>
        <v>118.761</v>
      </c>
      <c r="AI169" s="57" t="n">
        <f aca="false">AI145</f>
        <v>23.378</v>
      </c>
      <c r="AJ169" s="57" t="n">
        <f aca="false">AJ145</f>
        <v>25.404</v>
      </c>
      <c r="AK169" s="57" t="n">
        <f aca="false">AK145</f>
        <v>25.209</v>
      </c>
      <c r="AL169" s="57" t="n">
        <f aca="false">AL145</f>
        <v>7.676</v>
      </c>
      <c r="AM169" s="57" t="n">
        <f aca="false">AM145</f>
        <v>81.667</v>
      </c>
      <c r="AN169" s="57" t="n">
        <f aca="false">AN145</f>
        <v>21.452</v>
      </c>
      <c r="AO169" s="57" t="n">
        <f aca="false">AO145</f>
        <v>18.04</v>
      </c>
      <c r="AP169" s="57" t="n">
        <f aca="false">AP145</f>
        <v>19.34</v>
      </c>
      <c r="AQ169" s="57" t="n">
        <f aca="false">AQ145</f>
        <v>16.578</v>
      </c>
      <c r="AR169" s="57" t="n">
        <f aca="false">AR145</f>
        <v>75.41</v>
      </c>
      <c r="AS169" s="57" t="n">
        <f aca="false">AS145</f>
        <v>20.37</v>
      </c>
      <c r="AT169" s="57" t="n">
        <f aca="false">AT145</f>
        <v>6.667</v>
      </c>
      <c r="AU169" s="57" t="n">
        <f aca="false">AU145</f>
        <v>14.797</v>
      </c>
      <c r="AV169" s="57" t="n">
        <f aca="false">AV145</f>
        <v>16.062</v>
      </c>
      <c r="AW169" s="57" t="n">
        <f aca="false">AW145</f>
        <v>57.896</v>
      </c>
      <c r="AX169" s="57" t="n">
        <f aca="false">AX145</f>
        <v>23.02</v>
      </c>
      <c r="AY169" s="57" t="n">
        <f aca="false">AY145</f>
        <v>21.581</v>
      </c>
      <c r="AZ169" s="57" t="n">
        <f aca="false">AZ145</f>
        <v>6.658</v>
      </c>
      <c r="BA169" s="57" t="n">
        <f aca="false">BA145</f>
        <v>-2.841</v>
      </c>
      <c r="BB169" s="57" t="n">
        <f aca="false">BB145</f>
        <v>48.418</v>
      </c>
      <c r="BC169" s="57" t="n">
        <f aca="false">BC145</f>
        <v>33.611</v>
      </c>
      <c r="BD169" s="57" t="n">
        <f aca="false">BD145</f>
        <v>32.118</v>
      </c>
      <c r="BE169" s="57" t="n">
        <f aca="false">BE145</f>
        <v>28.262</v>
      </c>
      <c r="BF169" s="57" t="n">
        <f aca="false">BF145</f>
        <v>26.612</v>
      </c>
      <c r="BG169" s="57" t="n">
        <f aca="false">BG145</f>
        <v>120.603</v>
      </c>
      <c r="BH169" s="57" t="n">
        <f aca="false">BH145</f>
        <v>33.413</v>
      </c>
      <c r="BI169" s="57" t="n">
        <f aca="false">BI145</f>
        <v>35.729</v>
      </c>
      <c r="BJ169" s="57" t="n">
        <f aca="false">BJ145</f>
        <v>32.09</v>
      </c>
      <c r="BK169" s="57" t="n">
        <f aca="false">BK145</f>
        <v>40.386</v>
      </c>
      <c r="BL169" s="57" t="n">
        <f aca="false">BL145</f>
        <v>141.618</v>
      </c>
      <c r="BM169" s="57" t="n">
        <f aca="false">BM145</f>
        <v>35.115</v>
      </c>
      <c r="BN169" s="57" t="n">
        <f aca="false">BN145</f>
        <v>34.916</v>
      </c>
      <c r="BO169" s="57" t="n">
        <f aca="false">BO145</f>
        <v>31.186</v>
      </c>
      <c r="BP169" s="57" t="n">
        <f aca="false">BP145</f>
        <v>26.824</v>
      </c>
      <c r="BQ169" s="57" t="n">
        <f aca="false">BQ145</f>
        <v>128.041</v>
      </c>
      <c r="BR169" s="57" t="n">
        <f aca="false">BR145</f>
        <v>34.748</v>
      </c>
      <c r="BS169" s="57" t="n">
        <f aca="false">BS145</f>
        <v>40.163</v>
      </c>
      <c r="BT169" s="57" t="n">
        <f aca="false">BT145</f>
        <v>43.367</v>
      </c>
      <c r="BU169" s="57" t="n">
        <f aca="false">BU145</f>
        <v>36.639</v>
      </c>
      <c r="BV169" s="57" t="n">
        <f aca="false">BV145</f>
        <v>154.917</v>
      </c>
      <c r="BW169" s="57" t="n">
        <f aca="false">BW145</f>
        <v>36.972</v>
      </c>
      <c r="BX169" s="57" t="n">
        <f aca="false">BX145</f>
        <v>49.363</v>
      </c>
      <c r="BY169" s="51" t="n">
        <f aca="false">BY145</f>
        <v>44.7596248189217</v>
      </c>
      <c r="BZ169" s="51" t="n">
        <f aca="false">BZ145</f>
        <v>46.5686962848282</v>
      </c>
      <c r="CA169" s="51" t="n">
        <f aca="false">CA145</f>
        <v>177.66332110375</v>
      </c>
      <c r="CB169" s="51" t="n">
        <f aca="false">CB145</f>
        <v>197.763048747131</v>
      </c>
      <c r="CC169" s="51" t="n">
        <f aca="false">CC145</f>
        <v>214.70252753408</v>
      </c>
      <c r="CD169" s="51" t="n">
        <f aca="false">CD145</f>
        <v>231.265825904969</v>
      </c>
      <c r="CE169" s="51" t="n">
        <f aca="false">CE145</f>
        <v>245.825874959801</v>
      </c>
    </row>
    <row r="170" customFormat="false" ht="15" hidden="false" customHeight="false" outlineLevel="0" collapsed="false">
      <c r="B170" s="58" t="s">
        <v>311</v>
      </c>
      <c r="C170" s="59" t="n">
        <f aca="false">C166+C167+C168+C169</f>
        <v>242.449</v>
      </c>
      <c r="D170" s="59" t="n">
        <f aca="false">D166+D167+D168+D169</f>
        <v>290.293</v>
      </c>
      <c r="E170" s="59" t="n">
        <f aca="false">E166+E167+E168+E169</f>
        <v>303.119</v>
      </c>
      <c r="F170" s="59" t="n">
        <f aca="false">F166+F167+F168+F169</f>
        <v>91.5400000000001</v>
      </c>
      <c r="G170" s="59" t="n">
        <f aca="false">G166+G167+G168+G169</f>
        <v>191.418</v>
      </c>
      <c r="H170" s="59" t="n">
        <f aca="false">H166+H167+H168+H169</f>
        <v>304.914</v>
      </c>
      <c r="I170" s="59" t="n">
        <f aca="false">I166+I167+I168+I169</f>
        <v>369.773</v>
      </c>
      <c r="J170" s="59" t="n">
        <f aca="false">J166+J167+J168+J169</f>
        <v>90.603</v>
      </c>
      <c r="K170" s="59" t="n">
        <f aca="false">K166+K167+K168+K169</f>
        <v>106.443</v>
      </c>
      <c r="L170" s="59" t="n">
        <f aca="false">L166+L167+L168+L169</f>
        <v>97.862</v>
      </c>
      <c r="M170" s="59" t="n">
        <f aca="false">M166+M167+M168+M169</f>
        <v>121.077</v>
      </c>
      <c r="N170" s="59" t="n">
        <f aca="false">N166+N167+N168+N169</f>
        <v>415.985</v>
      </c>
      <c r="O170" s="59" t="n">
        <f aca="false">O166+O167+O168+O169</f>
        <v>83.082</v>
      </c>
      <c r="P170" s="59" t="n">
        <f aca="false">P166+P167+P168+P169</f>
        <v>114.928</v>
      </c>
      <c r="Q170" s="59" t="n">
        <f aca="false">Q166+Q167+Q168+Q169</f>
        <v>78.332</v>
      </c>
      <c r="R170" s="59" t="n">
        <f aca="false">R166+R167+R168+R169</f>
        <v>106.812</v>
      </c>
      <c r="S170" s="59" t="n">
        <f aca="false">S166+S167+S168+S169</f>
        <v>383.154</v>
      </c>
      <c r="T170" s="59" t="n">
        <f aca="false">T166+T167+T168+T169</f>
        <v>93.958</v>
      </c>
      <c r="U170" s="59" t="n">
        <f aca="false">U166+U167+U168+U169</f>
        <v>98.083</v>
      </c>
      <c r="V170" s="59" t="n">
        <f aca="false">V166+V167+V168+V169</f>
        <v>-83.4149999999999</v>
      </c>
      <c r="W170" s="59" t="n">
        <f aca="false">W166+W167+W168+W169</f>
        <v>80.271</v>
      </c>
      <c r="X170" s="59" t="n">
        <f aca="false">X166+X167+X168+X169</f>
        <v>188.897</v>
      </c>
      <c r="Y170" s="59" t="n">
        <f aca="false">Y166+Y167+Y168+Y169</f>
        <v>76.579</v>
      </c>
      <c r="Z170" s="59" t="n">
        <f aca="false">Z166+Z167+Z168+Z169</f>
        <v>49.509</v>
      </c>
      <c r="AA170" s="59" t="n">
        <f aca="false">AA166+AA167+AA168+AA169</f>
        <v>83.751</v>
      </c>
      <c r="AB170" s="59" t="n">
        <f aca="false">AB166+AB167+AB168+AB169</f>
        <v>84.536</v>
      </c>
      <c r="AC170" s="59" t="n">
        <f aca="false">AC166+AC167+AC168+AC169</f>
        <v>294.375</v>
      </c>
      <c r="AD170" s="59" t="n">
        <f aca="false">AD166+AD167+AD168+AD169</f>
        <v>83.2370000000001</v>
      </c>
      <c r="AE170" s="59" t="n">
        <f aca="false">AE166+AE167+AE168+AE169</f>
        <v>89.018</v>
      </c>
      <c r="AF170" s="59" t="n">
        <f aca="false">AF166+AF167+AF168+AF169</f>
        <v>135.237</v>
      </c>
      <c r="AG170" s="59" t="n">
        <f aca="false">AG166+AG167+AG168+AG169</f>
        <v>78.1759999999999</v>
      </c>
      <c r="AH170" s="59" t="n">
        <f aca="false">AH166+AH167+AH168+AH169</f>
        <v>385.668</v>
      </c>
      <c r="AI170" s="59" t="n">
        <f aca="false">AI166+AI167+AI168+AI169</f>
        <v>88.639</v>
      </c>
      <c r="AJ170" s="59" t="n">
        <f aca="false">AJ166+AJ167+AJ168+AJ169</f>
        <v>99.075</v>
      </c>
      <c r="AK170" s="59" t="n">
        <f aca="false">AK166+AK167+AK168+AK169</f>
        <v>99.713</v>
      </c>
      <c r="AL170" s="59" t="n">
        <f aca="false">AL166+AL167+AL168+AL169</f>
        <v>98.798</v>
      </c>
      <c r="AM170" s="59" t="n">
        <f aca="false">AM166+AM167+AM168+AM169</f>
        <v>386.225</v>
      </c>
      <c r="AN170" s="59" t="n">
        <f aca="false">AN166+AN167+AN168+AN169</f>
        <v>98.241</v>
      </c>
      <c r="AO170" s="59" t="n">
        <f aca="false">AO166+AO167+AO168+AO169</f>
        <v>109.382</v>
      </c>
      <c r="AP170" s="59" t="n">
        <f aca="false">AP166+AP167+AP168+AP169</f>
        <v>98.197</v>
      </c>
      <c r="AQ170" s="59" t="n">
        <f aca="false">AQ166+AQ167+AQ168+AQ169</f>
        <v>86.088</v>
      </c>
      <c r="AR170" s="59" t="n">
        <f aca="false">AR166+AR167+AR168+AR169</f>
        <v>391.908</v>
      </c>
      <c r="AS170" s="59" t="n">
        <f aca="false">AS166+AS167+AS168+AS169</f>
        <v>81.383</v>
      </c>
      <c r="AT170" s="59" t="n">
        <f aca="false">AT166+AT167+AT168+AT169</f>
        <v>39.561</v>
      </c>
      <c r="AU170" s="59" t="n">
        <f aca="false">AU166+AU167+AU168+AU169</f>
        <v>78.8550000000001</v>
      </c>
      <c r="AV170" s="59" t="n">
        <f aca="false">AV166+AV167+AV168+AV169</f>
        <v>86.214</v>
      </c>
      <c r="AW170" s="59" t="n">
        <f aca="false">AW166+AW167+AW168+AW169</f>
        <v>286.013</v>
      </c>
      <c r="AX170" s="59" t="n">
        <f aca="false">AX166+AX167+AX168+AX169</f>
        <v>102.512</v>
      </c>
      <c r="AY170" s="59" t="n">
        <f aca="false">AY166+AY167+AY168+AY169</f>
        <v>123.524</v>
      </c>
      <c r="AZ170" s="59" t="n">
        <f aca="false">AZ166+AZ167+AZ168+AZ169</f>
        <v>44.1289999999999</v>
      </c>
      <c r="BA170" s="59" t="n">
        <f aca="false">BA166+BA167+BA168+BA169</f>
        <v>77.0469999999999</v>
      </c>
      <c r="BB170" s="59" t="n">
        <f aca="false">BB166+BB167+BB168+BB169</f>
        <v>347.212</v>
      </c>
      <c r="BC170" s="59" t="n">
        <f aca="false">BC166+BC167+BC168+BC169</f>
        <v>165.84</v>
      </c>
      <c r="BD170" s="59" t="n">
        <f aca="false">BD166+BD167+BD168+BD169</f>
        <v>166.399</v>
      </c>
      <c r="BE170" s="59" t="n">
        <f aca="false">BE166+BE167+BE168+BE169</f>
        <v>145.697</v>
      </c>
      <c r="BF170" s="59" t="n">
        <f aca="false">BF166+BF167+BF168+BF169</f>
        <v>144.391</v>
      </c>
      <c r="BG170" s="59" t="n">
        <f aca="false">BG166+BG167+BG168+BG169</f>
        <v>622.327</v>
      </c>
      <c r="BH170" s="59" t="n">
        <f aca="false">BH166+BH167+BH168+BH169</f>
        <v>168.573</v>
      </c>
      <c r="BI170" s="59" t="n">
        <f aca="false">BI166+BI167+BI168+BI169</f>
        <v>184.759</v>
      </c>
      <c r="BJ170" s="59" t="n">
        <f aca="false">BJ166+BJ167+BJ168+BJ169</f>
        <v>172.242</v>
      </c>
      <c r="BK170" s="59" t="n">
        <f aca="false">BK166+BK167+BK168+BK169</f>
        <v>205.693</v>
      </c>
      <c r="BL170" s="59" t="n">
        <f aca="false">BL166+BL167+BL168+BL169</f>
        <v>731.237000000001</v>
      </c>
      <c r="BM170" s="59" t="n">
        <f aca="false">BM166+BM167+BM168+BM169</f>
        <v>167.309</v>
      </c>
      <c r="BN170" s="59" t="n">
        <f aca="false">BN166+BN167+BN168+BN169</f>
        <v>147.285</v>
      </c>
      <c r="BO170" s="59" t="n">
        <f aca="false">BO166+BO167+BO168+BO169</f>
        <v>143.916</v>
      </c>
      <c r="BP170" s="59" t="n">
        <f aca="false">BP166+BP167+BP168+BP169</f>
        <v>178.425</v>
      </c>
      <c r="BQ170" s="59" t="n">
        <f aca="false">BQ166+BQ167+BQ168+BQ169</f>
        <v>636.935</v>
      </c>
      <c r="BR170" s="59" t="n">
        <f aca="false">BR166+BR167+BR168+BR169</f>
        <v>165.362</v>
      </c>
      <c r="BS170" s="59" t="n">
        <f aca="false">BS166+BS167+BS168+BS169</f>
        <v>196.178</v>
      </c>
      <c r="BT170" s="59" t="n">
        <f aca="false">BT166+BT167+BT168+BT169</f>
        <v>179.643</v>
      </c>
      <c r="BU170" s="59" t="n">
        <f aca="false">BU166+BU167+BU168+BU169</f>
        <v>185.828</v>
      </c>
      <c r="BV170" s="59" t="n">
        <f aca="false">BV166+BV167+BV168+BV169</f>
        <v>727.011</v>
      </c>
      <c r="BW170" s="59" t="n">
        <f aca="false">BW166+BW167+BW168+BW169</f>
        <v>186.728</v>
      </c>
      <c r="BX170" s="59" t="n">
        <f aca="false">BX166+BX167+BX168+BX169</f>
        <v>220.403</v>
      </c>
      <c r="BY170" s="59" t="n">
        <f aca="false">BY166+BY167+BY168+BY169</f>
        <v>212.234165861874</v>
      </c>
      <c r="BZ170" s="59" t="n">
        <f aca="false">BZ166+BZ167+BZ168+BZ169</f>
        <v>220.274483488125</v>
      </c>
      <c r="CA170" s="59" t="n">
        <f aca="false">CA166+CA167+CA168+CA169</f>
        <v>839.63964935</v>
      </c>
      <c r="CB170" s="59" t="n">
        <f aca="false">CB166+CB167+CB168+CB169</f>
        <v>906.220283169161</v>
      </c>
      <c r="CC170" s="59" t="n">
        <f aca="false">CC166+CC167+CC168+CC169</f>
        <v>985.400687002238</v>
      </c>
      <c r="CD170" s="59" t="n">
        <f aca="false">CD166+CD167+CD168+CD169</f>
        <v>1062.13500697477</v>
      </c>
      <c r="CE170" s="59" t="n">
        <f aca="false">CE166+CE167+CE168+CE169</f>
        <v>1130.05157404797</v>
      </c>
      <c r="CF170" s="19" t="s">
        <v>312</v>
      </c>
      <c r="CH170" s="20" t="n">
        <f aca="false">IFERROR((CE170/BV170)^(1/5)-1,"n/m")</f>
        <v>0.0922233492231197</v>
      </c>
      <c r="CI170" s="20" t="n">
        <f aca="false">IFERROR((BV170/AW170)^(1/5)-1,"n/m")</f>
        <v>0.205122074863589</v>
      </c>
      <c r="CJ170" s="20" t="n">
        <f aca="false">IFERROR((BV170/X170)^(1/10)-1,"n/m")</f>
        <v>0.144278115668029</v>
      </c>
      <c r="CK170" s="20" t="n">
        <f aca="false">IFERROR((BV170/C170)^(1/19)-1,"n/m")</f>
        <v>0.0595002985177273</v>
      </c>
    </row>
    <row r="171" customFormat="false" ht="15" hidden="false" customHeight="false" outlineLevel="0" collapsed="false">
      <c r="B171" s="26" t="s">
        <v>313</v>
      </c>
      <c r="C171" s="48" t="n">
        <v>3.478</v>
      </c>
      <c r="D171" s="48" t="n">
        <v>-0.188</v>
      </c>
      <c r="E171" s="48" t="n">
        <v>19.371</v>
      </c>
      <c r="F171" s="48" t="n">
        <v>29.897</v>
      </c>
      <c r="G171" s="48" t="n">
        <v>-0.384</v>
      </c>
      <c r="H171" s="48" t="n">
        <v>0.282</v>
      </c>
      <c r="I171" s="48" t="n">
        <v>9.354</v>
      </c>
      <c r="J171" s="48" t="n">
        <v>1.051</v>
      </c>
      <c r="K171" s="48" t="n">
        <v>0.851</v>
      </c>
      <c r="L171" s="48" t="n">
        <v>6.302</v>
      </c>
      <c r="M171" s="48" t="n">
        <v>0.259</v>
      </c>
      <c r="N171" s="48" t="n">
        <v>8.463</v>
      </c>
      <c r="O171" s="48" t="n">
        <v>-0.017</v>
      </c>
      <c r="P171" s="48" t="n">
        <v>0.836</v>
      </c>
      <c r="Q171" s="48" t="n">
        <v>29.068</v>
      </c>
      <c r="R171" s="48" t="n">
        <v>0.166</v>
      </c>
      <c r="S171" s="48" t="n">
        <v>30.053</v>
      </c>
      <c r="T171" s="48" t="n">
        <v>0</v>
      </c>
      <c r="U171" s="48" t="n">
        <v>1.239</v>
      </c>
      <c r="V171" s="48" t="n">
        <v>18.285</v>
      </c>
      <c r="W171" s="48" t="n">
        <v>0.434</v>
      </c>
      <c r="X171" s="48" t="n">
        <v>19.958</v>
      </c>
      <c r="Y171" s="48" t="n">
        <v>0</v>
      </c>
      <c r="Z171" s="48" t="n">
        <v>0</v>
      </c>
      <c r="AA171" s="48" t="n">
        <v>0</v>
      </c>
      <c r="AB171" s="48" t="n">
        <v>0</v>
      </c>
      <c r="AC171" s="48" t="n">
        <v>0</v>
      </c>
      <c r="AD171" s="48" t="n">
        <v>0</v>
      </c>
      <c r="AE171" s="48" t="n">
        <v>0</v>
      </c>
      <c r="AF171" s="48" t="n">
        <v>0</v>
      </c>
      <c r="AG171" s="48" t="n">
        <v>6.59</v>
      </c>
      <c r="AH171" s="48" t="n">
        <v>6.59</v>
      </c>
      <c r="AI171" s="48" t="n">
        <v>10.175</v>
      </c>
      <c r="AJ171" s="48" t="n">
        <v>11.542</v>
      </c>
      <c r="AK171" s="48" t="n">
        <v>2.636</v>
      </c>
      <c r="AL171" s="48" t="n">
        <v>0.932</v>
      </c>
      <c r="AM171" s="48" t="n">
        <v>25.285</v>
      </c>
      <c r="AN171" s="48" t="n">
        <v>3.535</v>
      </c>
      <c r="AO171" s="48" t="n">
        <v>1.307</v>
      </c>
      <c r="AP171" s="48" t="n">
        <v>1.495</v>
      </c>
      <c r="AQ171" s="48" t="n">
        <v>8.851</v>
      </c>
      <c r="AR171" s="48" t="n">
        <v>15.188</v>
      </c>
      <c r="AS171" s="48" t="n">
        <v>6.521</v>
      </c>
      <c r="AT171" s="48" t="n">
        <v>23.238</v>
      </c>
      <c r="AU171" s="48" t="n">
        <v>6.257</v>
      </c>
      <c r="AV171" s="48" t="n">
        <v>9.452</v>
      </c>
      <c r="AW171" s="48" t="n">
        <v>45.468</v>
      </c>
      <c r="AX171" s="48" t="n">
        <v>4.163</v>
      </c>
      <c r="AY171" s="48" t="n">
        <v>0.63</v>
      </c>
      <c r="AZ171" s="48" t="n">
        <v>3.484</v>
      </c>
      <c r="BA171" s="48" t="n">
        <v>1.55</v>
      </c>
      <c r="BB171" s="48" t="n">
        <v>9.827</v>
      </c>
      <c r="BC171" s="48" t="n">
        <v>1.885</v>
      </c>
      <c r="BD171" s="48" t="n">
        <v>-0.844</v>
      </c>
      <c r="BE171" s="48" t="n">
        <v>8.364</v>
      </c>
      <c r="BF171" s="48" t="n">
        <v>2.383</v>
      </c>
      <c r="BG171" s="48" t="n">
        <v>11.788</v>
      </c>
      <c r="BH171" s="48" t="n">
        <v>0.877</v>
      </c>
      <c r="BI171" s="48" t="n">
        <v>2.667</v>
      </c>
      <c r="BJ171" s="48" t="n">
        <v>7.074</v>
      </c>
      <c r="BK171" s="48" t="n">
        <v>-21.932</v>
      </c>
      <c r="BL171" s="48" t="n">
        <v>-11.314</v>
      </c>
      <c r="BM171" s="48" t="n">
        <v>4.605</v>
      </c>
      <c r="BN171" s="48" t="n">
        <v>26.49</v>
      </c>
      <c r="BO171" s="48" t="n">
        <v>20.227</v>
      </c>
      <c r="BP171" s="48" t="n">
        <v>4.538</v>
      </c>
      <c r="BQ171" s="48" t="n">
        <v>55.86</v>
      </c>
      <c r="BR171" s="48" t="n">
        <v>3.865</v>
      </c>
      <c r="BS171" s="48" t="n">
        <v>2.542</v>
      </c>
      <c r="BT171" s="48" t="n">
        <v>5.831</v>
      </c>
      <c r="BU171" s="48" t="n">
        <v>5.961</v>
      </c>
      <c r="BV171" s="48" t="n">
        <v>18.199</v>
      </c>
      <c r="BW171" s="48" t="n">
        <v>2.163</v>
      </c>
      <c r="BX171" s="48" t="n">
        <v>3.481</v>
      </c>
      <c r="BY171" s="56" t="n">
        <f aca="false">BY138</f>
        <v>3</v>
      </c>
      <c r="BZ171" s="56" t="n">
        <f aca="false">BZ138</f>
        <v>3</v>
      </c>
      <c r="CA171" s="56" t="n">
        <f aca="false">SUM(BW171:BZ171)</f>
        <v>11.644</v>
      </c>
      <c r="CB171" s="56" t="n">
        <f aca="false">CB138</f>
        <v>12</v>
      </c>
      <c r="CC171" s="56" t="n">
        <f aca="false">CC138</f>
        <v>12</v>
      </c>
      <c r="CD171" s="56" t="n">
        <f aca="false">CD138</f>
        <v>12</v>
      </c>
      <c r="CE171" s="56" t="n">
        <f aca="false">CE138</f>
        <v>12</v>
      </c>
      <c r="CF171" s="19" t="s">
        <v>314</v>
      </c>
    </row>
    <row r="172" customFormat="false" ht="15" hidden="false" customHeight="false" outlineLevel="0" collapsed="false">
      <c r="B172" s="26" t="s">
        <v>315</v>
      </c>
      <c r="C172" s="48" t="n">
        <v>0</v>
      </c>
      <c r="D172" s="48" t="n">
        <v>0</v>
      </c>
      <c r="E172" s="48" t="n">
        <v>0</v>
      </c>
      <c r="F172" s="48" t="n">
        <v>0</v>
      </c>
      <c r="G172" s="48" t="n">
        <v>0</v>
      </c>
      <c r="H172" s="48" t="n">
        <v>0</v>
      </c>
      <c r="I172" s="48" t="n">
        <v>0</v>
      </c>
      <c r="J172" s="48" t="n">
        <v>0</v>
      </c>
      <c r="K172" s="48" t="n">
        <v>0</v>
      </c>
      <c r="L172" s="48" t="n">
        <v>0</v>
      </c>
      <c r="M172" s="48" t="n">
        <v>0</v>
      </c>
      <c r="N172" s="48" t="n">
        <v>0</v>
      </c>
      <c r="O172" s="48" t="n">
        <v>0</v>
      </c>
      <c r="P172" s="48" t="n">
        <v>0</v>
      </c>
      <c r="Q172" s="48" t="n">
        <v>0</v>
      </c>
      <c r="R172" s="48" t="n">
        <v>0</v>
      </c>
      <c r="S172" s="48" t="n">
        <v>0</v>
      </c>
      <c r="T172" s="48" t="n">
        <v>0</v>
      </c>
      <c r="U172" s="48" t="n">
        <v>0</v>
      </c>
      <c r="V172" s="48" t="n">
        <v>0</v>
      </c>
      <c r="W172" s="48" t="n">
        <v>0</v>
      </c>
      <c r="X172" s="48" t="n">
        <v>0</v>
      </c>
      <c r="Y172" s="48" t="n">
        <v>0</v>
      </c>
      <c r="Z172" s="48" t="n">
        <v>0</v>
      </c>
      <c r="AA172" s="48" t="n">
        <v>0</v>
      </c>
      <c r="AB172" s="48" t="n">
        <v>0</v>
      </c>
      <c r="AC172" s="48" t="n">
        <v>0</v>
      </c>
      <c r="AD172" s="48" t="n">
        <v>3.615</v>
      </c>
      <c r="AE172" s="48" t="n">
        <v>4.498</v>
      </c>
      <c r="AF172" s="48" t="n">
        <v>5.587</v>
      </c>
      <c r="AG172" s="48" t="n">
        <v>5.88</v>
      </c>
      <c r="AH172" s="48" t="n">
        <v>19.58</v>
      </c>
      <c r="AI172" s="48" t="n">
        <v>1.907</v>
      </c>
      <c r="AJ172" s="48" t="n">
        <v>0.788</v>
      </c>
      <c r="AK172" s="48" t="n">
        <v>0.97</v>
      </c>
      <c r="AL172" s="48" t="n">
        <v>0.833</v>
      </c>
      <c r="AM172" s="48" t="n">
        <v>4.498</v>
      </c>
      <c r="AN172" s="48" t="n">
        <v>0.79</v>
      </c>
      <c r="AO172" s="48" t="n">
        <v>2.413</v>
      </c>
      <c r="AP172" s="48" t="n">
        <v>1.609</v>
      </c>
      <c r="AQ172" s="48" t="n">
        <v>0</v>
      </c>
      <c r="AR172" s="48" t="n">
        <v>4.812</v>
      </c>
      <c r="AS172" s="48" t="n">
        <v>0.806</v>
      </c>
      <c r="AT172" s="48" t="n">
        <v>0</v>
      </c>
      <c r="AU172" s="48" t="n">
        <v>0</v>
      </c>
      <c r="AV172" s="48" t="n">
        <v>0</v>
      </c>
      <c r="AW172" s="48" t="n">
        <v>0.806</v>
      </c>
      <c r="AX172" s="48" t="n">
        <v>1.113</v>
      </c>
      <c r="AY172" s="48" t="n">
        <v>2.651</v>
      </c>
      <c r="AZ172" s="48" t="n">
        <v>3.69</v>
      </c>
      <c r="BA172" s="48" t="n">
        <v>0.273</v>
      </c>
      <c r="BB172" s="48" t="n">
        <v>7.727</v>
      </c>
      <c r="BC172" s="48" t="n">
        <v>0</v>
      </c>
      <c r="BD172" s="48" t="n">
        <v>1.459</v>
      </c>
      <c r="BE172" s="48" t="n">
        <v>2.715</v>
      </c>
      <c r="BF172" s="48" t="n">
        <v>2.935</v>
      </c>
      <c r="BG172" s="48" t="n">
        <v>7.109</v>
      </c>
      <c r="BH172" s="48" t="n">
        <v>3.856</v>
      </c>
      <c r="BI172" s="48" t="n">
        <v>3.545</v>
      </c>
      <c r="BJ172" s="48" t="n">
        <v>4.852</v>
      </c>
      <c r="BK172" s="48" t="n">
        <v>0</v>
      </c>
      <c r="BL172" s="48" t="n">
        <v>12.252</v>
      </c>
      <c r="BM172" s="48" t="n">
        <v>1.762</v>
      </c>
      <c r="BN172" s="48" t="n">
        <v>2.294</v>
      </c>
      <c r="BO172" s="48" t="n">
        <v>3.969</v>
      </c>
      <c r="BP172" s="48" t="n">
        <v>4.043</v>
      </c>
      <c r="BQ172" s="48" t="n">
        <v>12.068</v>
      </c>
      <c r="BR172" s="48" t="n">
        <v>0.662</v>
      </c>
      <c r="BS172" s="48" t="n">
        <v>0.429</v>
      </c>
      <c r="BT172" s="48" t="n">
        <v>2.074</v>
      </c>
      <c r="BU172" s="48" t="n">
        <v>3.538</v>
      </c>
      <c r="BV172" s="48" t="n">
        <v>6.703</v>
      </c>
      <c r="BW172" s="48" t="n">
        <v>0.653</v>
      </c>
      <c r="BX172" s="48" t="n">
        <v>0.015</v>
      </c>
      <c r="BY172" s="55" t="n">
        <v>0</v>
      </c>
      <c r="BZ172" s="55" t="n">
        <v>0</v>
      </c>
      <c r="CA172" s="56" t="n">
        <f aca="false">SUM(BW172:BZ172)</f>
        <v>0.668</v>
      </c>
      <c r="CB172" s="55" t="n">
        <v>0</v>
      </c>
      <c r="CC172" s="55" t="n">
        <v>0</v>
      </c>
      <c r="CD172" s="55" t="n">
        <v>0</v>
      </c>
      <c r="CE172" s="55" t="n">
        <v>0</v>
      </c>
    </row>
    <row r="173" customFormat="false" ht="15" hidden="false" customHeight="false" outlineLevel="0" collapsed="false">
      <c r="B173" s="26" t="s">
        <v>316</v>
      </c>
      <c r="C173" s="48" t="n">
        <v>-9</v>
      </c>
      <c r="D173" s="48" t="n">
        <v>0</v>
      </c>
      <c r="E173" s="48" t="n">
        <v>0</v>
      </c>
      <c r="F173" s="48" t="n">
        <v>0</v>
      </c>
      <c r="G173" s="48" t="n">
        <v>0</v>
      </c>
      <c r="H173" s="48" t="n">
        <v>0</v>
      </c>
      <c r="I173" s="48" t="n">
        <v>0</v>
      </c>
      <c r="J173" s="48" t="n">
        <v>0</v>
      </c>
      <c r="K173" s="48" t="n">
        <v>0</v>
      </c>
      <c r="L173" s="48" t="n">
        <v>0</v>
      </c>
      <c r="M173" s="48" t="n">
        <v>0.705</v>
      </c>
      <c r="N173" s="48" t="n">
        <v>0.705</v>
      </c>
      <c r="O173" s="48" t="n">
        <v>0</v>
      </c>
      <c r="P173" s="48" t="n">
        <v>0</v>
      </c>
      <c r="Q173" s="48" t="n">
        <v>0</v>
      </c>
      <c r="R173" s="48" t="n">
        <v>0</v>
      </c>
      <c r="S173" s="48" t="n">
        <v>0</v>
      </c>
      <c r="T173" s="48" t="n">
        <v>0</v>
      </c>
      <c r="U173" s="48" t="n">
        <v>0</v>
      </c>
      <c r="V173" s="48" t="n">
        <v>0</v>
      </c>
      <c r="W173" s="48" t="n">
        <v>0</v>
      </c>
      <c r="X173" s="48" t="n">
        <v>0</v>
      </c>
      <c r="Y173" s="48" t="n">
        <v>0</v>
      </c>
      <c r="Z173" s="48" t="n">
        <v>0</v>
      </c>
      <c r="AA173" s="48" t="n">
        <v>0</v>
      </c>
      <c r="AB173" s="48" t="n">
        <v>0</v>
      </c>
      <c r="AC173" s="48" t="n">
        <v>0</v>
      </c>
      <c r="AD173" s="48" t="n">
        <v>0</v>
      </c>
      <c r="AE173" s="48" t="n">
        <v>0</v>
      </c>
      <c r="AF173" s="48" t="n">
        <v>-51.585</v>
      </c>
      <c r="AG173" s="48" t="n">
        <v>1.935</v>
      </c>
      <c r="AH173" s="48" t="n">
        <v>-49.65</v>
      </c>
      <c r="AI173" s="48" t="n">
        <v>0</v>
      </c>
      <c r="AJ173" s="48" t="n">
        <v>0</v>
      </c>
      <c r="AK173" s="48" t="n">
        <v>0</v>
      </c>
      <c r="AL173" s="48" t="n">
        <v>0</v>
      </c>
      <c r="AM173" s="48" t="n">
        <v>0</v>
      </c>
      <c r="AN173" s="48" t="n">
        <v>0</v>
      </c>
      <c r="AO173" s="48" t="n">
        <v>-3.554</v>
      </c>
      <c r="AP173" s="48" t="n">
        <v>-7.601</v>
      </c>
      <c r="AQ173" s="48" t="n">
        <v>0</v>
      </c>
      <c r="AR173" s="48" t="n">
        <v>-11.155</v>
      </c>
      <c r="AS173" s="48" t="n">
        <v>0</v>
      </c>
      <c r="AT173" s="48" t="n">
        <v>0</v>
      </c>
      <c r="AU173" s="48" t="n">
        <v>0</v>
      </c>
      <c r="AV173" s="48" t="n">
        <v>0</v>
      </c>
      <c r="AW173" s="48" t="n">
        <v>0</v>
      </c>
      <c r="AX173" s="48" t="n">
        <v>0</v>
      </c>
      <c r="AY173" s="48" t="n">
        <v>0</v>
      </c>
      <c r="AZ173" s="48" t="n">
        <v>0</v>
      </c>
      <c r="BA173" s="48" t="n">
        <v>0</v>
      </c>
      <c r="BB173" s="48" t="n">
        <v>0</v>
      </c>
      <c r="BC173" s="48" t="n">
        <v>0</v>
      </c>
      <c r="BD173" s="48" t="n">
        <v>0</v>
      </c>
      <c r="BE173" s="48" t="n">
        <v>0</v>
      </c>
      <c r="BF173" s="48" t="n">
        <v>0</v>
      </c>
      <c r="BG173" s="48" t="n">
        <v>0</v>
      </c>
      <c r="BH173" s="48" t="n">
        <v>-1.646</v>
      </c>
      <c r="BI173" s="48" t="n">
        <v>0</v>
      </c>
      <c r="BJ173" s="48" t="n">
        <v>0</v>
      </c>
      <c r="BK173" s="48" t="n">
        <v>0</v>
      </c>
      <c r="BL173" s="48" t="n">
        <v>-1.646</v>
      </c>
      <c r="BM173" s="48" t="n">
        <v>0</v>
      </c>
      <c r="BN173" s="48" t="n">
        <v>4.95</v>
      </c>
      <c r="BO173" s="48" t="n">
        <v>0</v>
      </c>
      <c r="BP173" s="48" t="n">
        <v>0</v>
      </c>
      <c r="BQ173" s="48" t="n">
        <v>4.95</v>
      </c>
      <c r="BR173" s="48" t="n">
        <v>0</v>
      </c>
      <c r="BS173" s="48" t="n">
        <v>0</v>
      </c>
      <c r="BT173" s="48" t="n">
        <v>0</v>
      </c>
      <c r="BU173" s="48" t="n">
        <v>0</v>
      </c>
      <c r="BV173" s="48" t="n">
        <v>0</v>
      </c>
      <c r="BW173" s="48" t="n">
        <v>0</v>
      </c>
      <c r="BX173" s="48" t="n">
        <v>0</v>
      </c>
      <c r="BY173" s="55" t="n">
        <v>0</v>
      </c>
      <c r="BZ173" s="55" t="n">
        <v>0</v>
      </c>
      <c r="CA173" s="56" t="n">
        <f aca="false">SUM(BW173:BZ173)</f>
        <v>0</v>
      </c>
      <c r="CB173" s="55" t="n">
        <v>0</v>
      </c>
      <c r="CC173" s="55" t="n">
        <v>0</v>
      </c>
      <c r="CD173" s="55" t="n">
        <v>0</v>
      </c>
      <c r="CE173" s="55" t="n">
        <v>0</v>
      </c>
    </row>
    <row r="174" customFormat="false" ht="15" hidden="false" customHeight="false" outlineLevel="0" collapsed="false">
      <c r="B174" s="26" t="s">
        <v>317</v>
      </c>
      <c r="C174" s="48" t="n">
        <v>0</v>
      </c>
      <c r="D174" s="48" t="n">
        <v>0</v>
      </c>
      <c r="E174" s="48" t="n">
        <v>0</v>
      </c>
      <c r="F174" s="48" t="n">
        <v>0</v>
      </c>
      <c r="G174" s="48" t="n">
        <v>3.123</v>
      </c>
      <c r="H174" s="48" t="n">
        <v>0</v>
      </c>
      <c r="I174" s="48" t="n">
        <v>1.381</v>
      </c>
      <c r="J174" s="48" t="n">
        <v>9.66</v>
      </c>
      <c r="K174" s="48" t="n">
        <v>2.538</v>
      </c>
      <c r="L174" s="48" t="n">
        <v>0</v>
      </c>
      <c r="M174" s="48" t="n">
        <v>0</v>
      </c>
      <c r="N174" s="48" t="n">
        <v>12.198</v>
      </c>
      <c r="O174" s="48" t="n">
        <v>17.665</v>
      </c>
      <c r="P174" s="48" t="n">
        <v>3.468</v>
      </c>
      <c r="Q174" s="48" t="n">
        <v>0</v>
      </c>
      <c r="R174" s="48" t="n">
        <v>0</v>
      </c>
      <c r="S174" s="48" t="n">
        <v>21.133</v>
      </c>
      <c r="T174" s="48" t="n">
        <v>0</v>
      </c>
      <c r="U174" s="48" t="n">
        <v>0</v>
      </c>
      <c r="V174" s="48" t="n">
        <v>26.506</v>
      </c>
      <c r="W174" s="48" t="n">
        <v>0.708</v>
      </c>
      <c r="X174" s="48" t="n">
        <v>27.214</v>
      </c>
      <c r="Y174" s="48" t="n">
        <v>0</v>
      </c>
      <c r="Z174" s="48" t="n">
        <v>34.348</v>
      </c>
      <c r="AA174" s="48" t="n">
        <v>0</v>
      </c>
      <c r="AB174" s="48" t="n">
        <v>0</v>
      </c>
      <c r="AC174" s="48" t="n">
        <v>34.348</v>
      </c>
      <c r="AD174" s="48" t="n">
        <v>0</v>
      </c>
      <c r="AE174" s="48" t="n">
        <v>0</v>
      </c>
      <c r="AF174" s="48" t="n">
        <v>0</v>
      </c>
      <c r="AG174" s="48" t="n">
        <v>0</v>
      </c>
      <c r="AH174" s="48" t="n">
        <v>0</v>
      </c>
      <c r="AI174" s="48" t="n">
        <v>0</v>
      </c>
      <c r="AJ174" s="48" t="n">
        <v>0</v>
      </c>
      <c r="AK174" s="48" t="n">
        <v>0</v>
      </c>
      <c r="AL174" s="48" t="n">
        <v>0</v>
      </c>
      <c r="AM174" s="48" t="n">
        <v>0</v>
      </c>
      <c r="AN174" s="48" t="n">
        <v>0</v>
      </c>
      <c r="AO174" s="48" t="n">
        <v>0</v>
      </c>
      <c r="AP174" s="48" t="n">
        <v>0</v>
      </c>
      <c r="AQ174" s="48" t="n">
        <v>0</v>
      </c>
      <c r="AR174" s="48" t="n">
        <v>0</v>
      </c>
      <c r="AS174" s="48" t="n">
        <v>0</v>
      </c>
      <c r="AT174" s="48" t="n">
        <v>0</v>
      </c>
      <c r="AU174" s="48" t="n">
        <v>0</v>
      </c>
      <c r="AV174" s="48" t="n">
        <v>0</v>
      </c>
      <c r="AW174" s="48" t="n">
        <v>0</v>
      </c>
      <c r="AX174" s="48" t="n">
        <v>0</v>
      </c>
      <c r="AY174" s="48" t="n">
        <v>0</v>
      </c>
      <c r="AZ174" s="48" t="n">
        <v>0</v>
      </c>
      <c r="BA174" s="48" t="n">
        <v>0</v>
      </c>
      <c r="BB174" s="48" t="n">
        <v>0</v>
      </c>
      <c r="BC174" s="48" t="n">
        <v>0</v>
      </c>
      <c r="BD174" s="48" t="n">
        <v>0</v>
      </c>
      <c r="BE174" s="48" t="n">
        <v>0</v>
      </c>
      <c r="BF174" s="48" t="n">
        <v>0</v>
      </c>
      <c r="BG174" s="48" t="n">
        <v>0</v>
      </c>
      <c r="BH174" s="48" t="n">
        <v>0</v>
      </c>
      <c r="BI174" s="48" t="n">
        <v>0</v>
      </c>
      <c r="BJ174" s="48" t="n">
        <v>0</v>
      </c>
      <c r="BK174" s="48" t="n">
        <v>0</v>
      </c>
      <c r="BL174" s="48" t="n">
        <v>0</v>
      </c>
      <c r="BM174" s="48" t="n">
        <v>0</v>
      </c>
      <c r="BN174" s="48" t="n">
        <v>0</v>
      </c>
      <c r="BO174" s="48" t="n">
        <v>0</v>
      </c>
      <c r="BP174" s="48" t="n">
        <v>0</v>
      </c>
      <c r="BQ174" s="48" t="n">
        <v>0</v>
      </c>
      <c r="BR174" s="48" t="n">
        <v>0</v>
      </c>
      <c r="BS174" s="48" t="n">
        <v>0</v>
      </c>
      <c r="BT174" s="48" t="n">
        <v>0</v>
      </c>
      <c r="BU174" s="48" t="n">
        <v>0</v>
      </c>
      <c r="BV174" s="48" t="n">
        <v>0</v>
      </c>
      <c r="BW174" s="48" t="n">
        <v>0</v>
      </c>
      <c r="BX174" s="48" t="n">
        <v>0</v>
      </c>
      <c r="BY174" s="55" t="n">
        <v>0</v>
      </c>
      <c r="BZ174" s="55" t="n">
        <v>0</v>
      </c>
      <c r="CA174" s="56" t="n">
        <f aca="false">SUM(BW174:BZ174)</f>
        <v>0</v>
      </c>
      <c r="CB174" s="55" t="n">
        <v>0</v>
      </c>
      <c r="CC174" s="55" t="n">
        <v>0</v>
      </c>
      <c r="CD174" s="55" t="n">
        <v>0</v>
      </c>
      <c r="CE174" s="55" t="n">
        <v>0</v>
      </c>
    </row>
    <row r="175" customFormat="false" ht="15" hidden="false" customHeight="false" outlineLevel="0" collapsed="false">
      <c r="B175" s="26" t="s">
        <v>318</v>
      </c>
      <c r="C175" s="48" t="n">
        <v>0</v>
      </c>
      <c r="D175" s="48" t="n">
        <v>0</v>
      </c>
      <c r="E175" s="48" t="n">
        <v>0</v>
      </c>
      <c r="F175" s="48" t="n">
        <v>-1.543</v>
      </c>
      <c r="G175" s="48" t="n">
        <v>0</v>
      </c>
      <c r="H175" s="48" t="n">
        <v>0</v>
      </c>
      <c r="I175" s="48" t="n">
        <v>0</v>
      </c>
      <c r="J175" s="48" t="n">
        <v>0</v>
      </c>
      <c r="K175" s="48" t="n">
        <v>0</v>
      </c>
      <c r="L175" s="48" t="n">
        <v>0</v>
      </c>
      <c r="M175" s="48" t="n">
        <v>0</v>
      </c>
      <c r="N175" s="48" t="n">
        <v>0</v>
      </c>
      <c r="O175" s="48" t="n">
        <v>0</v>
      </c>
      <c r="P175" s="48" t="n">
        <v>0</v>
      </c>
      <c r="Q175" s="48" t="n">
        <v>0</v>
      </c>
      <c r="R175" s="48" t="n">
        <v>0</v>
      </c>
      <c r="S175" s="48" t="n">
        <v>0</v>
      </c>
      <c r="T175" s="48" t="n">
        <v>0</v>
      </c>
      <c r="U175" s="48" t="n">
        <v>0</v>
      </c>
      <c r="V175" s="48" t="n">
        <v>136.331</v>
      </c>
      <c r="W175" s="48" t="n">
        <v>6.407</v>
      </c>
      <c r="X175" s="48" t="n">
        <v>142.738</v>
      </c>
      <c r="Y175" s="48" t="n">
        <v>0</v>
      </c>
      <c r="Z175" s="48" t="n">
        <v>0</v>
      </c>
      <c r="AA175" s="48" t="n">
        <v>0</v>
      </c>
      <c r="AB175" s="48" t="n">
        <v>0</v>
      </c>
      <c r="AC175" s="48" t="n">
        <v>0</v>
      </c>
      <c r="AD175" s="48" t="n">
        <v>0</v>
      </c>
      <c r="AE175" s="48" t="n">
        <v>0</v>
      </c>
      <c r="AF175" s="48" t="n">
        <v>5.283</v>
      </c>
      <c r="AG175" s="48" t="n">
        <v>2.867</v>
      </c>
      <c r="AH175" s="48" t="n">
        <v>8.15</v>
      </c>
      <c r="AI175" s="48" t="n">
        <v>0.758</v>
      </c>
      <c r="AJ175" s="48" t="n">
        <v>0</v>
      </c>
      <c r="AK175" s="48" t="n">
        <v>4.232</v>
      </c>
      <c r="AL175" s="48" t="n">
        <v>1.696</v>
      </c>
      <c r="AM175" s="48" t="n">
        <v>6.686</v>
      </c>
      <c r="AN175" s="48" t="n">
        <v>0</v>
      </c>
      <c r="AO175" s="48" t="n">
        <v>0</v>
      </c>
      <c r="AP175" s="48" t="n">
        <v>0</v>
      </c>
      <c r="AQ175" s="48" t="n">
        <v>0</v>
      </c>
      <c r="AR175" s="48" t="n">
        <v>0</v>
      </c>
      <c r="AS175" s="48" t="n">
        <v>0</v>
      </c>
      <c r="AT175" s="48" t="n">
        <v>3.334</v>
      </c>
      <c r="AU175" s="48" t="n">
        <v>3.188</v>
      </c>
      <c r="AV175" s="48" t="n">
        <v>1.597</v>
      </c>
      <c r="AW175" s="48" t="n">
        <v>8.119</v>
      </c>
      <c r="AX175" s="48" t="n">
        <v>4.886</v>
      </c>
      <c r="AY175" s="48" t="n">
        <v>1.65</v>
      </c>
      <c r="AZ175" s="48" t="n">
        <v>73.562</v>
      </c>
      <c r="BA175" s="48" t="n">
        <v>46.404</v>
      </c>
      <c r="BB175" s="48" t="n">
        <v>126.502</v>
      </c>
      <c r="BC175" s="48" t="n">
        <v>-4.273</v>
      </c>
      <c r="BD175" s="48" t="n">
        <v>0</v>
      </c>
      <c r="BE175" s="48" t="n">
        <v>0</v>
      </c>
      <c r="BF175" s="48" t="n">
        <v>0</v>
      </c>
      <c r="BG175" s="48" t="n">
        <v>-4.273</v>
      </c>
      <c r="BH175" s="48" t="n">
        <v>0</v>
      </c>
      <c r="BI175" s="48" t="n">
        <v>0</v>
      </c>
      <c r="BJ175" s="48" t="n">
        <v>0</v>
      </c>
      <c r="BK175" s="48" t="n">
        <v>0.845</v>
      </c>
      <c r="BL175" s="48" t="n">
        <v>0.845</v>
      </c>
      <c r="BM175" s="48" t="n">
        <v>0</v>
      </c>
      <c r="BN175" s="48" t="n">
        <v>0</v>
      </c>
      <c r="BO175" s="48" t="n">
        <v>3.966</v>
      </c>
      <c r="BP175" s="48" t="n">
        <v>-0.174</v>
      </c>
      <c r="BQ175" s="48" t="n">
        <v>3.792</v>
      </c>
      <c r="BR175" s="48" t="n">
        <v>0</v>
      </c>
      <c r="BS175" s="48" t="n">
        <v>0</v>
      </c>
      <c r="BT175" s="48" t="n">
        <v>0</v>
      </c>
      <c r="BU175" s="48" t="n">
        <v>0.719</v>
      </c>
      <c r="BV175" s="48" t="n">
        <v>0.719</v>
      </c>
      <c r="BW175" s="48" t="n">
        <v>0</v>
      </c>
      <c r="BX175" s="48" t="n">
        <v>0</v>
      </c>
      <c r="BY175" s="55" t="n">
        <v>0</v>
      </c>
      <c r="BZ175" s="55" t="n">
        <v>0</v>
      </c>
      <c r="CA175" s="56" t="n">
        <f aca="false">SUM(BW175:BZ175)</f>
        <v>0</v>
      </c>
      <c r="CB175" s="55" t="n">
        <v>0</v>
      </c>
      <c r="CC175" s="55" t="n">
        <v>0</v>
      </c>
      <c r="CD175" s="55" t="n">
        <v>0</v>
      </c>
      <c r="CE175" s="55" t="n">
        <v>0</v>
      </c>
    </row>
    <row r="176" customFormat="false" ht="15" hidden="false" customHeight="false" outlineLevel="0" collapsed="false">
      <c r="B176" s="26" t="s">
        <v>319</v>
      </c>
      <c r="C176" s="48" t="n">
        <v>0</v>
      </c>
      <c r="D176" s="48" t="n">
        <v>0</v>
      </c>
      <c r="E176" s="48" t="n">
        <v>0</v>
      </c>
      <c r="F176" s="48" t="n">
        <v>2.276</v>
      </c>
      <c r="G176" s="48" t="n">
        <v>0</v>
      </c>
      <c r="H176" s="48" t="n">
        <v>0</v>
      </c>
      <c r="I176" s="48" t="n">
        <v>0</v>
      </c>
      <c r="J176" s="48" t="n">
        <v>0</v>
      </c>
      <c r="K176" s="48" t="n">
        <v>0</v>
      </c>
      <c r="L176" s="48" t="n">
        <v>0</v>
      </c>
      <c r="M176" s="48" t="n">
        <v>0</v>
      </c>
      <c r="N176" s="48" t="n">
        <v>0</v>
      </c>
      <c r="O176" s="48" t="n">
        <v>0</v>
      </c>
      <c r="P176" s="48" t="n">
        <v>0</v>
      </c>
      <c r="Q176" s="48" t="n">
        <v>0</v>
      </c>
      <c r="R176" s="48" t="n">
        <v>0</v>
      </c>
      <c r="S176" s="48" t="n">
        <v>0</v>
      </c>
      <c r="T176" s="48" t="n">
        <v>0</v>
      </c>
      <c r="U176" s="48" t="n">
        <v>0</v>
      </c>
      <c r="V176" s="48" t="n">
        <v>0</v>
      </c>
      <c r="W176" s="48" t="n">
        <v>0</v>
      </c>
      <c r="X176" s="48" t="n">
        <v>0</v>
      </c>
      <c r="Y176" s="48" t="n">
        <v>0</v>
      </c>
      <c r="Z176" s="48" t="n">
        <v>0</v>
      </c>
      <c r="AA176" s="48" t="n">
        <v>0</v>
      </c>
      <c r="AB176" s="48" t="n">
        <v>0</v>
      </c>
      <c r="AC176" s="48" t="n">
        <v>0</v>
      </c>
      <c r="AD176" s="48" t="n">
        <v>0</v>
      </c>
      <c r="AE176" s="48" t="n">
        <v>0</v>
      </c>
      <c r="AF176" s="48" t="n">
        <v>0</v>
      </c>
      <c r="AG176" s="48" t="n">
        <v>0</v>
      </c>
      <c r="AH176" s="48" t="n">
        <v>0</v>
      </c>
      <c r="AI176" s="48" t="n">
        <v>0</v>
      </c>
      <c r="AJ176" s="48" t="n">
        <v>0</v>
      </c>
      <c r="AK176" s="48" t="n">
        <v>0</v>
      </c>
      <c r="AL176" s="48" t="n">
        <v>0</v>
      </c>
      <c r="AM176" s="48" t="n">
        <v>0</v>
      </c>
      <c r="AN176" s="48" t="n">
        <v>0</v>
      </c>
      <c r="AO176" s="48" t="n">
        <v>0</v>
      </c>
      <c r="AP176" s="48" t="n">
        <v>0</v>
      </c>
      <c r="AQ176" s="48" t="n">
        <v>0</v>
      </c>
      <c r="AR176" s="48" t="n">
        <v>0</v>
      </c>
      <c r="AS176" s="48" t="n">
        <v>0</v>
      </c>
      <c r="AT176" s="48" t="n">
        <v>0</v>
      </c>
      <c r="AU176" s="48" t="n">
        <v>0</v>
      </c>
      <c r="AV176" s="48" t="n">
        <v>0</v>
      </c>
      <c r="AW176" s="48" t="n">
        <v>0</v>
      </c>
      <c r="AX176" s="48" t="n">
        <v>0</v>
      </c>
      <c r="AY176" s="48" t="n">
        <v>0</v>
      </c>
      <c r="AZ176" s="48" t="n">
        <v>0</v>
      </c>
      <c r="BA176" s="48" t="n">
        <v>0</v>
      </c>
      <c r="BB176" s="48" t="n">
        <v>0</v>
      </c>
      <c r="BC176" s="48" t="n">
        <v>0</v>
      </c>
      <c r="BD176" s="48" t="n">
        <v>0</v>
      </c>
      <c r="BE176" s="48" t="n">
        <v>0</v>
      </c>
      <c r="BF176" s="48" t="n">
        <v>0</v>
      </c>
      <c r="BG176" s="48" t="n">
        <v>0</v>
      </c>
      <c r="BH176" s="48" t="n">
        <v>0</v>
      </c>
      <c r="BI176" s="48" t="n">
        <v>0</v>
      </c>
      <c r="BJ176" s="48" t="n">
        <v>0</v>
      </c>
      <c r="BK176" s="48" t="n">
        <v>0</v>
      </c>
      <c r="BL176" s="48" t="n">
        <v>0</v>
      </c>
      <c r="BM176" s="48" t="n">
        <v>0</v>
      </c>
      <c r="BN176" s="48" t="n">
        <v>0</v>
      </c>
      <c r="BO176" s="48" t="n">
        <v>0</v>
      </c>
      <c r="BP176" s="48" t="n">
        <v>0</v>
      </c>
      <c r="BQ176" s="48" t="n">
        <v>0</v>
      </c>
      <c r="BR176" s="48" t="n">
        <v>0</v>
      </c>
      <c r="BS176" s="48" t="n">
        <v>0</v>
      </c>
      <c r="BT176" s="48" t="n">
        <v>0</v>
      </c>
      <c r="BU176" s="48" t="n">
        <v>0</v>
      </c>
      <c r="BV176" s="48" t="n">
        <v>0</v>
      </c>
      <c r="BW176" s="48" t="n">
        <v>0</v>
      </c>
      <c r="BX176" s="48" t="n">
        <v>0</v>
      </c>
      <c r="BY176" s="55" t="n">
        <v>0</v>
      </c>
      <c r="BZ176" s="55" t="n">
        <v>0</v>
      </c>
      <c r="CA176" s="56" t="n">
        <f aca="false">SUM(BW176:BZ176)</f>
        <v>0</v>
      </c>
      <c r="CB176" s="55" t="n">
        <v>0</v>
      </c>
      <c r="CC176" s="55" t="n">
        <v>0</v>
      </c>
      <c r="CD176" s="55" t="n">
        <v>0</v>
      </c>
      <c r="CE176" s="55" t="n">
        <v>0</v>
      </c>
    </row>
    <row r="177" customFormat="false" ht="15" hidden="false" customHeight="false" outlineLevel="0" collapsed="false">
      <c r="B177" s="15" t="s">
        <v>320</v>
      </c>
      <c r="C177" s="70" t="n">
        <f aca="false">IF(ISNUMBER(C171),N(C171)+N(C172)+N(C173)+N(C174)+N(C175)+N(C176),"")</f>
        <v>-5.522</v>
      </c>
      <c r="D177" s="70" t="n">
        <f aca="false">IF(ISNUMBER(D171),N(D171)+N(D172)+N(D173)+N(D174)+N(D175)+N(D176),"")</f>
        <v>-0.188</v>
      </c>
      <c r="E177" s="70" t="n">
        <f aca="false">IF(ISNUMBER(E171),N(E171)+N(E172)+N(E173)+N(E174)+N(E175)+N(E176),"")</f>
        <v>19.371</v>
      </c>
      <c r="F177" s="70" t="n">
        <f aca="false">IF(ISNUMBER(F171),N(F171)+N(F172)+N(F173)+N(F174)+N(F175)+N(F176),"")</f>
        <v>30.63</v>
      </c>
      <c r="G177" s="70" t="n">
        <f aca="false">IF(ISNUMBER(G171),N(G171)+N(G172)+N(G173)+N(G174)+N(G175)+N(G176),"")</f>
        <v>2.739</v>
      </c>
      <c r="H177" s="70" t="n">
        <f aca="false">IF(ISNUMBER(H171),N(H171)+N(H172)+N(H173)+N(H174)+N(H175)+N(H176),"")</f>
        <v>0.282</v>
      </c>
      <c r="I177" s="70" t="n">
        <f aca="false">IF(ISNUMBER(I171),N(I171)+N(I172)+N(I173)+N(I174)+N(I175)+N(I176),"")</f>
        <v>10.735</v>
      </c>
      <c r="J177" s="70" t="n">
        <f aca="false">IF(ISNUMBER(J171),N(J171)+N(J172)+N(J173)+N(J174)+N(J175)+N(J176),"")</f>
        <v>10.711</v>
      </c>
      <c r="K177" s="70" t="n">
        <f aca="false">IF(ISNUMBER(K171),N(K171)+N(K172)+N(K173)+N(K174)+N(K175)+N(K176),"")</f>
        <v>3.389</v>
      </c>
      <c r="L177" s="70" t="n">
        <f aca="false">IF(ISNUMBER(L171),N(L171)+N(L172)+N(L173)+N(L174)+N(L175)+N(L176),"")</f>
        <v>6.302</v>
      </c>
      <c r="M177" s="70" t="n">
        <f aca="false">IF(ISNUMBER(M171),N(M171)+N(M172)+N(M173)+N(M174)+N(M175)+N(M176),"")</f>
        <v>0.964</v>
      </c>
      <c r="N177" s="70" t="n">
        <f aca="false">IF(ISNUMBER(N171),N(N171)+N(N172)+N(N173)+N(N174)+N(N175)+N(N176),"")</f>
        <v>21.366</v>
      </c>
      <c r="O177" s="70" t="n">
        <f aca="false">IF(ISNUMBER(O171),N(O171)+N(O172)+N(O173)+N(O174)+N(O175)+N(O176),"")</f>
        <v>17.648</v>
      </c>
      <c r="P177" s="70" t="n">
        <f aca="false">IF(ISNUMBER(P171),N(P171)+N(P172)+N(P173)+N(P174)+N(P175)+N(P176),"")</f>
        <v>4.304</v>
      </c>
      <c r="Q177" s="70" t="n">
        <f aca="false">IF(ISNUMBER(Q171),N(Q171)+N(Q172)+N(Q173)+N(Q174)+N(Q175)+N(Q176),"")</f>
        <v>29.068</v>
      </c>
      <c r="R177" s="70" t="n">
        <f aca="false">IF(ISNUMBER(R171),N(R171)+N(R172)+N(R173)+N(R174)+N(R175)+N(R176),"")</f>
        <v>0.166</v>
      </c>
      <c r="S177" s="70" t="n">
        <f aca="false">IF(ISNUMBER(S171),N(S171)+N(S172)+N(S173)+N(S174)+N(S175)+N(S176),"")</f>
        <v>51.186</v>
      </c>
      <c r="T177" s="70" t="n">
        <f aca="false">IF(ISNUMBER(T171),N(T171)+N(T172)+N(T173)+N(T174)+N(T175)+N(T176),"")</f>
        <v>0</v>
      </c>
      <c r="U177" s="70" t="n">
        <f aca="false">IF(ISNUMBER(U171),N(U171)+N(U172)+N(U173)+N(U174)+N(U175)+N(U176),"")</f>
        <v>1.239</v>
      </c>
      <c r="V177" s="70" t="n">
        <f aca="false">IF(ISNUMBER(V171),N(V171)+N(V172)+N(V173)+N(V174)+N(V175)+N(V176),"")</f>
        <v>181.122</v>
      </c>
      <c r="W177" s="70" t="n">
        <f aca="false">IF(ISNUMBER(W171),N(W171)+N(W172)+N(W173)+N(W174)+N(W175)+N(W176),"")</f>
        <v>7.549</v>
      </c>
      <c r="X177" s="70" t="n">
        <f aca="false">IF(ISNUMBER(X171),N(X171)+N(X172)+N(X173)+N(X174)+N(X175)+N(X176),"")</f>
        <v>189.91</v>
      </c>
      <c r="Y177" s="70" t="n">
        <f aca="false">IF(ISNUMBER(Y171),N(Y171)+N(Y172)+N(Y173)+N(Y174)+N(Y175)+N(Y176),"")</f>
        <v>0</v>
      </c>
      <c r="Z177" s="70" t="n">
        <f aca="false">IF(ISNUMBER(Z171),N(Z171)+N(Z172)+N(Z173)+N(Z174)+N(Z175)+N(Z176),"")</f>
        <v>34.348</v>
      </c>
      <c r="AA177" s="70" t="n">
        <f aca="false">IF(ISNUMBER(AA171),N(AA171)+N(AA172)+N(AA173)+N(AA174)+N(AA175)+N(AA176),"")</f>
        <v>0</v>
      </c>
      <c r="AB177" s="70" t="n">
        <f aca="false">IF(ISNUMBER(AB171),N(AB171)+N(AB172)+N(AB173)+N(AB174)+N(AB175)+N(AB176),"")</f>
        <v>0</v>
      </c>
      <c r="AC177" s="70" t="n">
        <f aca="false">IF(ISNUMBER(AC171),N(AC171)+N(AC172)+N(AC173)+N(AC174)+N(AC175)+N(AC176),"")</f>
        <v>34.348</v>
      </c>
      <c r="AD177" s="70" t="n">
        <f aca="false">IF(ISNUMBER(AD171),N(AD171)+N(AD172)+N(AD173)+N(AD174)+N(AD175)+N(AD176),"")</f>
        <v>3.615</v>
      </c>
      <c r="AE177" s="70" t="n">
        <f aca="false">IF(ISNUMBER(AE171),N(AE171)+N(AE172)+N(AE173)+N(AE174)+N(AE175)+N(AE176),"")</f>
        <v>4.498</v>
      </c>
      <c r="AF177" s="70" t="n">
        <f aca="false">IF(ISNUMBER(AF171),N(AF171)+N(AF172)+N(AF173)+N(AF174)+N(AF175)+N(AF176),"")</f>
        <v>-40.715</v>
      </c>
      <c r="AG177" s="70" t="n">
        <f aca="false">IF(ISNUMBER(AG171),N(AG171)+N(AG172)+N(AG173)+N(AG174)+N(AG175)+N(AG176),"")</f>
        <v>17.272</v>
      </c>
      <c r="AH177" s="70" t="n">
        <f aca="false">IF(ISNUMBER(AH171),N(AH171)+N(AH172)+N(AH173)+N(AH174)+N(AH175)+N(AH176),"")</f>
        <v>-15.33</v>
      </c>
      <c r="AI177" s="70" t="n">
        <f aca="false">IF(ISNUMBER(AI171),N(AI171)+N(AI172)+N(AI173)+N(AI174)+N(AI175)+N(AI176),"")</f>
        <v>12.84</v>
      </c>
      <c r="AJ177" s="70" t="n">
        <f aca="false">IF(ISNUMBER(AJ171),N(AJ171)+N(AJ172)+N(AJ173)+N(AJ174)+N(AJ175)+N(AJ176),"")</f>
        <v>12.33</v>
      </c>
      <c r="AK177" s="70" t="n">
        <f aca="false">IF(ISNUMBER(AK171),N(AK171)+N(AK172)+N(AK173)+N(AK174)+N(AK175)+N(AK176),"")</f>
        <v>7.838</v>
      </c>
      <c r="AL177" s="70" t="n">
        <f aca="false">IF(ISNUMBER(AL171),N(AL171)+N(AL172)+N(AL173)+N(AL174)+N(AL175)+N(AL176),"")</f>
        <v>3.461</v>
      </c>
      <c r="AM177" s="70" t="n">
        <f aca="false">IF(ISNUMBER(AM171),N(AM171)+N(AM172)+N(AM173)+N(AM174)+N(AM175)+N(AM176),"")</f>
        <v>36.469</v>
      </c>
      <c r="AN177" s="70" t="n">
        <f aca="false">IF(ISNUMBER(AN171),N(AN171)+N(AN172)+N(AN173)+N(AN174)+N(AN175)+N(AN176),"")</f>
        <v>4.325</v>
      </c>
      <c r="AO177" s="70" t="n">
        <f aca="false">IF(ISNUMBER(AO171),N(AO171)+N(AO172)+N(AO173)+N(AO174)+N(AO175)+N(AO176),"")</f>
        <v>0.166</v>
      </c>
      <c r="AP177" s="70" t="n">
        <f aca="false">IF(ISNUMBER(AP171),N(AP171)+N(AP172)+N(AP173)+N(AP174)+N(AP175)+N(AP176),"")</f>
        <v>-4.497</v>
      </c>
      <c r="AQ177" s="70" t="n">
        <f aca="false">IF(ISNUMBER(AQ171),N(AQ171)+N(AQ172)+N(AQ173)+N(AQ174)+N(AQ175)+N(AQ176),"")</f>
        <v>8.851</v>
      </c>
      <c r="AR177" s="70" t="n">
        <f aca="false">IF(ISNUMBER(AR171),N(AR171)+N(AR172)+N(AR173)+N(AR174)+N(AR175)+N(AR176),"")</f>
        <v>8.845</v>
      </c>
      <c r="AS177" s="70" t="n">
        <f aca="false">IF(ISNUMBER(AS171),N(AS171)+N(AS172)+N(AS173)+N(AS174)+N(AS175)+N(AS176),"")</f>
        <v>7.327</v>
      </c>
      <c r="AT177" s="70" t="n">
        <f aca="false">IF(ISNUMBER(AT171),N(AT171)+N(AT172)+N(AT173)+N(AT174)+N(AT175)+N(AT176),"")</f>
        <v>26.572</v>
      </c>
      <c r="AU177" s="70" t="n">
        <f aca="false">IF(ISNUMBER(AU171),N(AU171)+N(AU172)+N(AU173)+N(AU174)+N(AU175)+N(AU176),"")</f>
        <v>9.445</v>
      </c>
      <c r="AV177" s="70" t="n">
        <f aca="false">IF(ISNUMBER(AV171),N(AV171)+N(AV172)+N(AV173)+N(AV174)+N(AV175)+N(AV176),"")</f>
        <v>11.049</v>
      </c>
      <c r="AW177" s="70" t="n">
        <f aca="false">IF(ISNUMBER(AW171),N(AW171)+N(AW172)+N(AW173)+N(AW174)+N(AW175)+N(AW176),"")</f>
        <v>54.393</v>
      </c>
      <c r="AX177" s="70" t="n">
        <f aca="false">IF(ISNUMBER(AX171),N(AX171)+N(AX172)+N(AX173)+N(AX174)+N(AX175)+N(AX176),"")</f>
        <v>10.162</v>
      </c>
      <c r="AY177" s="70" t="n">
        <f aca="false">IF(ISNUMBER(AY171),N(AY171)+N(AY172)+N(AY173)+N(AY174)+N(AY175)+N(AY176),"")</f>
        <v>4.931</v>
      </c>
      <c r="AZ177" s="70" t="n">
        <f aca="false">IF(ISNUMBER(AZ171),N(AZ171)+N(AZ172)+N(AZ173)+N(AZ174)+N(AZ175)+N(AZ176),"")</f>
        <v>80.736</v>
      </c>
      <c r="BA177" s="70" t="n">
        <f aca="false">IF(ISNUMBER(BA171),N(BA171)+N(BA172)+N(BA173)+N(BA174)+N(BA175)+N(BA176),"")</f>
        <v>48.227</v>
      </c>
      <c r="BB177" s="70" t="n">
        <f aca="false">IF(ISNUMBER(BB171),N(BB171)+N(BB172)+N(BB173)+N(BB174)+N(BB175)+N(BB176),"")</f>
        <v>144.056</v>
      </c>
      <c r="BC177" s="70" t="n">
        <f aca="false">IF(ISNUMBER(BC171),N(BC171)+N(BC172)+N(BC173)+N(BC174)+N(BC175)+N(BC176),"")</f>
        <v>-2.388</v>
      </c>
      <c r="BD177" s="70" t="n">
        <f aca="false">IF(ISNUMBER(BD171),N(BD171)+N(BD172)+N(BD173)+N(BD174)+N(BD175)+N(BD176),"")</f>
        <v>0.615</v>
      </c>
      <c r="BE177" s="70" t="n">
        <f aca="false">IF(ISNUMBER(BE171),N(BE171)+N(BE172)+N(BE173)+N(BE174)+N(BE175)+N(BE176),"")</f>
        <v>11.079</v>
      </c>
      <c r="BF177" s="70" t="n">
        <f aca="false">IF(ISNUMBER(BF171),N(BF171)+N(BF172)+N(BF173)+N(BF174)+N(BF175)+N(BF176),"")</f>
        <v>5.318</v>
      </c>
      <c r="BG177" s="70" t="n">
        <f aca="false">IF(ISNUMBER(BG171),N(BG171)+N(BG172)+N(BG173)+N(BG174)+N(BG175)+N(BG176),"")</f>
        <v>14.624</v>
      </c>
      <c r="BH177" s="70" t="n">
        <f aca="false">IF(ISNUMBER(BH171),N(BH171)+N(BH172)+N(BH173)+N(BH174)+N(BH175)+N(BH176),"")</f>
        <v>3.087</v>
      </c>
      <c r="BI177" s="70" t="n">
        <f aca="false">IF(ISNUMBER(BI171),N(BI171)+N(BI172)+N(BI173)+N(BI174)+N(BI175)+N(BI176),"")</f>
        <v>6.212</v>
      </c>
      <c r="BJ177" s="70" t="n">
        <f aca="false">IF(ISNUMBER(BJ171),N(BJ171)+N(BJ172)+N(BJ173)+N(BJ174)+N(BJ175)+N(BJ176),"")</f>
        <v>11.926</v>
      </c>
      <c r="BK177" s="70" t="n">
        <f aca="false">IF(ISNUMBER(BK171),N(BK171)+N(BK172)+N(BK173)+N(BK174)+N(BK175)+N(BK176),"")</f>
        <v>-21.087</v>
      </c>
      <c r="BL177" s="70" t="n">
        <f aca="false">IF(ISNUMBER(BL171),N(BL171)+N(BL172)+N(BL173)+N(BL174)+N(BL175)+N(BL176),"")</f>
        <v>0.137000000000001</v>
      </c>
      <c r="BM177" s="70" t="n">
        <f aca="false">IF(ISNUMBER(BM171),N(BM171)+N(BM172)+N(BM173)+N(BM174)+N(BM175)+N(BM176),"")</f>
        <v>6.367</v>
      </c>
      <c r="BN177" s="70" t="n">
        <f aca="false">IF(ISNUMBER(BN171),N(BN171)+N(BN172)+N(BN173)+N(BN174)+N(BN175)+N(BN176),"")</f>
        <v>33.734</v>
      </c>
      <c r="BO177" s="70" t="n">
        <f aca="false">IF(ISNUMBER(BO171),N(BO171)+N(BO172)+N(BO173)+N(BO174)+N(BO175)+N(BO176),"")</f>
        <v>28.162</v>
      </c>
      <c r="BP177" s="70" t="n">
        <f aca="false">IF(ISNUMBER(BP171),N(BP171)+N(BP172)+N(BP173)+N(BP174)+N(BP175)+N(BP176),"")</f>
        <v>8.407</v>
      </c>
      <c r="BQ177" s="70" t="n">
        <f aca="false">IF(ISNUMBER(BQ171),N(BQ171)+N(BQ172)+N(BQ173)+N(BQ174)+N(BQ175)+N(BQ176),"")</f>
        <v>76.67</v>
      </c>
      <c r="BR177" s="70" t="n">
        <f aca="false">IF(ISNUMBER(BR171),N(BR171)+N(BR172)+N(BR173)+N(BR174)+N(BR175)+N(BR176),"")</f>
        <v>4.527</v>
      </c>
      <c r="BS177" s="70" t="n">
        <f aca="false">IF(ISNUMBER(BS171),N(BS171)+N(BS172)+N(BS173)+N(BS174)+N(BS175)+N(BS176),"")</f>
        <v>2.971</v>
      </c>
      <c r="BT177" s="70" t="n">
        <f aca="false">IF(ISNUMBER(BT171),N(BT171)+N(BT172)+N(BT173)+N(BT174)+N(BT175)+N(BT176),"")</f>
        <v>7.905</v>
      </c>
      <c r="BU177" s="70" t="n">
        <f aca="false">IF(ISNUMBER(BU171),N(BU171)+N(BU172)+N(BU173)+N(BU174)+N(BU175)+N(BU176),"")</f>
        <v>10.218</v>
      </c>
      <c r="BV177" s="70" t="n">
        <f aca="false">IF(ISNUMBER(BV171),N(BV171)+N(BV172)+N(BV173)+N(BV174)+N(BV175)+N(BV176),"")</f>
        <v>25.621</v>
      </c>
      <c r="BW177" s="70" t="n">
        <f aca="false">IF(ISNUMBER(BW171),N(BW171)+N(BW172)+N(BW173)+N(BW174)+N(BW175)+N(BW176),"")</f>
        <v>2.816</v>
      </c>
      <c r="BX177" s="70" t="n">
        <f aca="false">IF(ISNUMBER(BX171),N(BX171)+N(BX172)+N(BX173)+N(BX174)+N(BX175)+N(BX176),"")</f>
        <v>3.496</v>
      </c>
      <c r="BY177" s="47" t="n">
        <f aca="false">BY171+BY172+BY173+BY174+BY175+BY176</f>
        <v>3</v>
      </c>
      <c r="BZ177" s="47" t="n">
        <f aca="false">BZ171+BZ172+BZ173+BZ174+BZ175+BZ176</f>
        <v>3</v>
      </c>
      <c r="CA177" s="47" t="n">
        <f aca="false">CA171+CA172+CA173+CA174+CA175+CA176</f>
        <v>12.312</v>
      </c>
      <c r="CB177" s="47" t="n">
        <f aca="false">CB171+CB172+CB173+CB174+CB175+CB176</f>
        <v>12</v>
      </c>
      <c r="CC177" s="47" t="n">
        <f aca="false">CC171+CC172+CC173+CC174+CC175+CC176</f>
        <v>12</v>
      </c>
      <c r="CD177" s="47" t="n">
        <f aca="false">CD171+CD172+CD173+CD174+CD175+CD176</f>
        <v>12</v>
      </c>
      <c r="CE177" s="47" t="n">
        <f aca="false">CE171+CE172+CE173+CE174+CE175+CE176</f>
        <v>12</v>
      </c>
    </row>
    <row r="178" customFormat="false" ht="15" hidden="false" customHeight="false" outlineLevel="0" collapsed="false">
      <c r="B178" s="58" t="s">
        <v>321</v>
      </c>
      <c r="C178" s="59" t="n">
        <f aca="false">IF(ISNUMBER(C177),C170+C177,"")</f>
        <v>236.927</v>
      </c>
      <c r="D178" s="59" t="n">
        <f aca="false">IF(ISNUMBER(D177),D170+D177,"")</f>
        <v>290.105</v>
      </c>
      <c r="E178" s="59" t="n">
        <f aca="false">IF(ISNUMBER(E177),E170+E177,"")</f>
        <v>322.49</v>
      </c>
      <c r="F178" s="59" t="n">
        <f aca="false">IF(ISNUMBER(F177),F170+F177,"")</f>
        <v>122.17</v>
      </c>
      <c r="G178" s="59" t="n">
        <f aca="false">IF(ISNUMBER(G177),G170+G177,"")</f>
        <v>194.157</v>
      </c>
      <c r="H178" s="59" t="n">
        <f aca="false">IF(ISNUMBER(H177),H170+H177,"")</f>
        <v>305.196</v>
      </c>
      <c r="I178" s="59" t="n">
        <f aca="false">IF(ISNUMBER(I177),I170+I177,"")</f>
        <v>380.508</v>
      </c>
      <c r="J178" s="59" t="n">
        <f aca="false">IF(ISNUMBER(J177),J170+J177,"")</f>
        <v>101.314</v>
      </c>
      <c r="K178" s="59" t="n">
        <f aca="false">IF(ISNUMBER(K177),K170+K177,"")</f>
        <v>109.832</v>
      </c>
      <c r="L178" s="59" t="n">
        <f aca="false">IF(ISNUMBER(L177),L170+L177,"")</f>
        <v>104.164</v>
      </c>
      <c r="M178" s="59" t="n">
        <f aca="false">IF(ISNUMBER(M177),M170+M177,"")</f>
        <v>122.041</v>
      </c>
      <c r="N178" s="59" t="n">
        <f aca="false">IF(ISNUMBER(N177),N170+N177,"")</f>
        <v>437.351</v>
      </c>
      <c r="O178" s="59" t="n">
        <f aca="false">IF(ISNUMBER(O177),O170+O177,"")</f>
        <v>100.73</v>
      </c>
      <c r="P178" s="59" t="n">
        <f aca="false">IF(ISNUMBER(P177),P170+P177,"")</f>
        <v>119.232</v>
      </c>
      <c r="Q178" s="59" t="n">
        <f aca="false">IF(ISNUMBER(Q177),Q170+Q177,"")</f>
        <v>107.4</v>
      </c>
      <c r="R178" s="59" t="n">
        <f aca="false">IF(ISNUMBER(R177),R170+R177,"")</f>
        <v>106.978</v>
      </c>
      <c r="S178" s="59" t="n">
        <f aca="false">IF(ISNUMBER(S177),S170+S177,"")</f>
        <v>434.34</v>
      </c>
      <c r="T178" s="59" t="n">
        <f aca="false">IF(ISNUMBER(T177),T170+T177,"")</f>
        <v>93.958</v>
      </c>
      <c r="U178" s="59" t="n">
        <f aca="false">IF(ISNUMBER(U177),U170+U177,"")</f>
        <v>99.322</v>
      </c>
      <c r="V178" s="59" t="n">
        <f aca="false">IF(ISNUMBER(V177),V170+V177,"")</f>
        <v>97.7070000000001</v>
      </c>
      <c r="W178" s="59" t="n">
        <f aca="false">IF(ISNUMBER(W177),W170+W177,"")</f>
        <v>87.82</v>
      </c>
      <c r="X178" s="59" t="n">
        <f aca="false">IF(ISNUMBER(X177),X170+X177,"")</f>
        <v>378.807</v>
      </c>
      <c r="Y178" s="59" t="n">
        <f aca="false">IF(ISNUMBER(Y177),Y170+Y177,"")</f>
        <v>76.579</v>
      </c>
      <c r="Z178" s="59" t="n">
        <f aca="false">IF(ISNUMBER(Z177),Z170+Z177,"")</f>
        <v>83.857</v>
      </c>
      <c r="AA178" s="59" t="n">
        <f aca="false">IF(ISNUMBER(AA177),AA170+AA177,"")</f>
        <v>83.751</v>
      </c>
      <c r="AB178" s="59" t="n">
        <f aca="false">IF(ISNUMBER(AB177),AB170+AB177,"")</f>
        <v>84.536</v>
      </c>
      <c r="AC178" s="59" t="n">
        <f aca="false">IF(ISNUMBER(AC177),AC170+AC177,"")</f>
        <v>328.723</v>
      </c>
      <c r="AD178" s="59" t="n">
        <f aca="false">IF(ISNUMBER(AD177),AD170+AD177,"")</f>
        <v>86.8520000000001</v>
      </c>
      <c r="AE178" s="59" t="n">
        <f aca="false">IF(ISNUMBER(AE177),AE170+AE177,"")</f>
        <v>93.516</v>
      </c>
      <c r="AF178" s="59" t="n">
        <f aca="false">IF(ISNUMBER(AF177),AF170+AF177,"")</f>
        <v>94.522</v>
      </c>
      <c r="AG178" s="59" t="n">
        <f aca="false">IF(ISNUMBER(AG177),AG170+AG177,"")</f>
        <v>95.4479999999999</v>
      </c>
      <c r="AH178" s="59" t="n">
        <f aca="false">IF(ISNUMBER(AH177),AH170+AH177,"")</f>
        <v>370.338</v>
      </c>
      <c r="AI178" s="59" t="n">
        <f aca="false">IF(ISNUMBER(AI177),AI170+AI177,"")</f>
        <v>101.479</v>
      </c>
      <c r="AJ178" s="59" t="n">
        <f aca="false">IF(ISNUMBER(AJ177),AJ170+AJ177,"")</f>
        <v>111.405</v>
      </c>
      <c r="AK178" s="59" t="n">
        <f aca="false">IF(ISNUMBER(AK177),AK170+AK177,"")</f>
        <v>107.551</v>
      </c>
      <c r="AL178" s="59" t="n">
        <f aca="false">IF(ISNUMBER(AL177),AL170+AL177,"")</f>
        <v>102.259</v>
      </c>
      <c r="AM178" s="59" t="n">
        <f aca="false">IF(ISNUMBER(AM177),AM170+AM177,"")</f>
        <v>422.694</v>
      </c>
      <c r="AN178" s="59" t="n">
        <f aca="false">IF(ISNUMBER(AN177),AN170+AN177,"")</f>
        <v>102.566</v>
      </c>
      <c r="AO178" s="59" t="n">
        <f aca="false">IF(ISNUMBER(AO177),AO170+AO177,"")</f>
        <v>109.548</v>
      </c>
      <c r="AP178" s="59" t="n">
        <f aca="false">IF(ISNUMBER(AP177),AP170+AP177,"")</f>
        <v>93.7</v>
      </c>
      <c r="AQ178" s="59" t="n">
        <f aca="false">IF(ISNUMBER(AQ177),AQ170+AQ177,"")</f>
        <v>94.939</v>
      </c>
      <c r="AR178" s="59" t="n">
        <f aca="false">IF(ISNUMBER(AR177),AR170+AR177,"")</f>
        <v>400.753</v>
      </c>
      <c r="AS178" s="59" t="n">
        <f aca="false">IF(ISNUMBER(AS177),AS170+AS177,"")</f>
        <v>88.71</v>
      </c>
      <c r="AT178" s="59" t="n">
        <f aca="false">IF(ISNUMBER(AT177),AT170+AT177,"")</f>
        <v>66.133</v>
      </c>
      <c r="AU178" s="59" t="n">
        <f aca="false">IF(ISNUMBER(AU177),AU170+AU177,"")</f>
        <v>88.3000000000001</v>
      </c>
      <c r="AV178" s="59" t="n">
        <f aca="false">IF(ISNUMBER(AV177),AV170+AV177,"")</f>
        <v>97.263</v>
      </c>
      <c r="AW178" s="59" t="n">
        <f aca="false">IF(ISNUMBER(AW177),AW170+AW177,"")</f>
        <v>340.406</v>
      </c>
      <c r="AX178" s="59" t="n">
        <f aca="false">IF(ISNUMBER(AX177),AX170+AX177,"")</f>
        <v>112.674</v>
      </c>
      <c r="AY178" s="59" t="n">
        <f aca="false">IF(ISNUMBER(AY177),AY170+AY177,"")</f>
        <v>128.455</v>
      </c>
      <c r="AZ178" s="59" t="n">
        <f aca="false">IF(ISNUMBER(AZ177),AZ170+AZ177,"")</f>
        <v>124.865</v>
      </c>
      <c r="BA178" s="59" t="n">
        <f aca="false">IF(ISNUMBER(BA177),BA170+BA177,"")</f>
        <v>125.274</v>
      </c>
      <c r="BB178" s="59" t="n">
        <f aca="false">IF(ISNUMBER(BB177),BB170+BB177,"")</f>
        <v>491.268</v>
      </c>
      <c r="BC178" s="59" t="n">
        <f aca="false">IF(ISNUMBER(BC177),BC170+BC177,"")</f>
        <v>163.452</v>
      </c>
      <c r="BD178" s="59" t="n">
        <f aca="false">IF(ISNUMBER(BD177),BD170+BD177,"")</f>
        <v>167.014</v>
      </c>
      <c r="BE178" s="59" t="n">
        <f aca="false">IF(ISNUMBER(BE177),BE170+BE177,"")</f>
        <v>156.776</v>
      </c>
      <c r="BF178" s="59" t="n">
        <f aca="false">IF(ISNUMBER(BF177),BF170+BF177,"")</f>
        <v>149.709</v>
      </c>
      <c r="BG178" s="59" t="n">
        <f aca="false">IF(ISNUMBER(BG177),BG170+BG177,"")</f>
        <v>636.951</v>
      </c>
      <c r="BH178" s="59" t="n">
        <f aca="false">IF(ISNUMBER(BH177),BH170+BH177,"")</f>
        <v>171.66</v>
      </c>
      <c r="BI178" s="59" t="n">
        <f aca="false">IF(ISNUMBER(BI177),BI170+BI177,"")</f>
        <v>190.971</v>
      </c>
      <c r="BJ178" s="59" t="n">
        <f aca="false">IF(ISNUMBER(BJ177),BJ170+BJ177,"")</f>
        <v>184.168</v>
      </c>
      <c r="BK178" s="59" t="n">
        <f aca="false">IF(ISNUMBER(BK177),BK170+BK177,"")</f>
        <v>184.606</v>
      </c>
      <c r="BL178" s="59" t="n">
        <f aca="false">IF(ISNUMBER(BL177),BL170+BL177,"")</f>
        <v>731.374000000001</v>
      </c>
      <c r="BM178" s="59" t="n">
        <f aca="false">IF(ISNUMBER(BM177),BM170+BM177,"")</f>
        <v>173.676</v>
      </c>
      <c r="BN178" s="59" t="n">
        <f aca="false">IF(ISNUMBER(BN177),BN170+BN177,"")</f>
        <v>181.019</v>
      </c>
      <c r="BO178" s="59" t="n">
        <f aca="false">IF(ISNUMBER(BO177),BO170+BO177,"")</f>
        <v>172.078</v>
      </c>
      <c r="BP178" s="59" t="n">
        <f aca="false">IF(ISNUMBER(BP177),BP170+BP177,"")</f>
        <v>186.832</v>
      </c>
      <c r="BQ178" s="59" t="n">
        <f aca="false">IF(ISNUMBER(BQ177),BQ170+BQ177,"")</f>
        <v>713.605</v>
      </c>
      <c r="BR178" s="59" t="n">
        <f aca="false">IF(ISNUMBER(BR177),BR170+BR177,"")</f>
        <v>169.889</v>
      </c>
      <c r="BS178" s="59" t="n">
        <f aca="false">IF(ISNUMBER(BS177),BS170+BS177,"")</f>
        <v>199.149</v>
      </c>
      <c r="BT178" s="59" t="n">
        <f aca="false">IF(ISNUMBER(BT177),BT170+BT177,"")</f>
        <v>187.548</v>
      </c>
      <c r="BU178" s="59" t="n">
        <f aca="false">IF(ISNUMBER(BU177),BU170+BU177,"")</f>
        <v>196.046</v>
      </c>
      <c r="BV178" s="59" t="n">
        <f aca="false">IF(ISNUMBER(BV177),BV170+BV177,"")</f>
        <v>752.632</v>
      </c>
      <c r="BW178" s="59" t="n">
        <f aca="false">IF(ISNUMBER(BW177),BW170+BW177,"")</f>
        <v>189.544</v>
      </c>
      <c r="BX178" s="59" t="n">
        <f aca="false">IF(ISNUMBER(BX177),BX170+BX177,"")</f>
        <v>223.899</v>
      </c>
      <c r="BY178" s="59" t="n">
        <f aca="false">IF(ISNUMBER(BY177),BY170+BY177,"")</f>
        <v>215.234165861874</v>
      </c>
      <c r="BZ178" s="59" t="n">
        <f aca="false">IF(ISNUMBER(BZ177),BZ170+BZ177,"")</f>
        <v>223.274483488125</v>
      </c>
      <c r="CA178" s="59" t="n">
        <f aca="false">IF(ISNUMBER(CA177),CA170+CA177,"")</f>
        <v>851.95164935</v>
      </c>
      <c r="CB178" s="59" t="n">
        <f aca="false">IF(ISNUMBER(CB177),CB170+CB177,"")</f>
        <v>918.220283169161</v>
      </c>
      <c r="CC178" s="59" t="n">
        <f aca="false">IF(ISNUMBER(CC177),CC170+CC177,"")</f>
        <v>997.400687002238</v>
      </c>
      <c r="CD178" s="59" t="n">
        <f aca="false">IF(ISNUMBER(CD177),CD170+CD177,"")</f>
        <v>1074.13500697477</v>
      </c>
      <c r="CE178" s="59" t="n">
        <f aca="false">IF(ISNUMBER(CE177),CE170+CE177,"")</f>
        <v>1142.05157404797</v>
      </c>
      <c r="CH178" s="20" t="n">
        <f aca="false">IFERROR((CE178/BV178)^(1/5)-1,"n/m")</f>
        <v>0.0869776326271461</v>
      </c>
      <c r="CI178" s="20" t="n">
        <f aca="false">IFERROR((BV178/AW178)^(1/5)-1,"n/m")</f>
        <v>0.17197161869519</v>
      </c>
      <c r="CJ178" s="20" t="n">
        <f aca="false">IFERROR((BV178/X178)^(1/10)-1,"n/m")</f>
        <v>0.0710665798543619</v>
      </c>
      <c r="CK178" s="20" t="n">
        <f aca="false">IFERROR((BV178/C178)^(1/19)-1,"n/m")</f>
        <v>0.0627212749735102</v>
      </c>
    </row>
    <row r="179" customFormat="false" ht="15" hidden="false" customHeight="false" outlineLevel="0" collapsed="false">
      <c r="B179" s="21" t="s">
        <v>233</v>
      </c>
      <c r="C179" s="22" t="n">
        <f aca="false">IF(AND(ISNUMBER(C178),ISNUMBER(C133)),IFERROR(C178/C133,""),"")</f>
        <v>0.120150716435546</v>
      </c>
      <c r="D179" s="22" t="n">
        <f aca="false">IF(AND(ISNUMBER(D178),ISNUMBER(D133)),IFERROR(D178/D133,""),"")</f>
        <v>0.127195297757262</v>
      </c>
      <c r="E179" s="22" t="n">
        <f aca="false">IF(AND(ISNUMBER(E178),ISNUMBER(E133)),IFERROR(E178/E133,""),"")</f>
        <v>0.130081871429949</v>
      </c>
      <c r="F179" s="22" t="n">
        <f aca="false">IF(AND(ISNUMBER(F178),ISNUMBER(F133)),IFERROR(F178/F133,""),"")</f>
        <v>0.0706476954348185</v>
      </c>
      <c r="G179" s="22" t="n">
        <f aca="false">IF(AND(ISNUMBER(G178),ISNUMBER(G133)),IFERROR(G178/G133,""),"")</f>
        <v>0.0937878591730542</v>
      </c>
      <c r="H179" s="22" t="n">
        <f aca="false">IF(AND(ISNUMBER(H178),ISNUMBER(H133)),IFERROR(H178/H133,""),"")</f>
        <v>0.11326170141939</v>
      </c>
      <c r="I179" s="22" t="n">
        <f aca="false">IF(AND(ISNUMBER(I178),ISNUMBER(I133)),IFERROR(I178/I133,""),"")</f>
        <v>0.133354034023664</v>
      </c>
      <c r="J179" s="22" t="n">
        <f aca="false">IF(AND(ISNUMBER(J178),ISNUMBER(J133)),IFERROR(J178/J133,""),"")</f>
        <v>0.14099332983566</v>
      </c>
      <c r="K179" s="22" t="n">
        <f aca="false">IF(AND(ISNUMBER(K178),ISNUMBER(K133)),IFERROR(K178/K133,""),"")</f>
        <v>0.150985934080436</v>
      </c>
      <c r="L179" s="22" t="n">
        <f aca="false">IF(AND(ISNUMBER(L178),ISNUMBER(L133)),IFERROR(L178/L133,""),"")</f>
        <v>0.150553206865402</v>
      </c>
      <c r="M179" s="22" t="n">
        <f aca="false">IF(AND(ISNUMBER(M178),ISNUMBER(M133)),IFERROR(M178/M133,""),"")</f>
        <v>0.170736620914365</v>
      </c>
      <c r="N179" s="22" t="n">
        <f aca="false">IF(AND(ISNUMBER(N178),ISNUMBER(N133)),IFERROR(N178/N133,""),"")</f>
        <v>0.153312807540722</v>
      </c>
      <c r="O179" s="22" t="n">
        <f aca="false">IF(AND(ISNUMBER(O178),ISNUMBER(O133)),IFERROR(O178/O133,""),"")</f>
        <v>0.147037786360943</v>
      </c>
      <c r="P179" s="22" t="n">
        <f aca="false">IF(AND(ISNUMBER(P178),ISNUMBER(P133)),IFERROR(P178/P133,""),"")</f>
        <v>0.163660846278333</v>
      </c>
      <c r="Q179" s="22" t="n">
        <f aca="false">IF(AND(ISNUMBER(Q178),ISNUMBER(Q133)),IFERROR(Q178/Q133,""),"")</f>
        <v>0.150046732432028</v>
      </c>
      <c r="R179" s="22" t="n">
        <f aca="false">IF(AND(ISNUMBER(R178),ISNUMBER(R133)),IFERROR(R178/R133,""),"")</f>
        <v>0.156411103670715</v>
      </c>
      <c r="S179" s="22" t="n">
        <f aca="false">IF(AND(ISNUMBER(S178),ISNUMBER(S133)),IFERROR(S178/S133,""),"")</f>
        <v>0.154386768107762</v>
      </c>
      <c r="T179" s="22" t="n">
        <f aca="false">IF(AND(ISNUMBER(T178),ISNUMBER(T133)),IFERROR(T178/T133,""),"")</f>
        <v>0.14281501747986</v>
      </c>
      <c r="U179" s="22" t="n">
        <f aca="false">IF(AND(ISNUMBER(U178),ISNUMBER(U133)),IFERROR(U178/U133,""),"")</f>
        <v>0.149414808797425</v>
      </c>
      <c r="V179" s="22" t="n">
        <f aca="false">IF(AND(ISNUMBER(V178),ISNUMBER(V133)),IFERROR(V178/V133,""),"")</f>
        <v>0.151444744453366</v>
      </c>
      <c r="W179" s="22" t="n">
        <f aca="false">IF(AND(ISNUMBER(W178),ISNUMBER(W133)),IFERROR(W178/W133,""),"")</f>
        <v>0.154616759245403</v>
      </c>
      <c r="X179" s="22" t="n">
        <f aca="false">IF(AND(ISNUMBER(X178),ISNUMBER(X133)),IFERROR(X178/X133,""),"")</f>
        <v>0.149384156659599</v>
      </c>
      <c r="Y179" s="22" t="n">
        <f aca="false">IF(AND(ISNUMBER(Y178),ISNUMBER(Y133)),IFERROR(Y178/Y133,""),"")</f>
        <v>0.139052008091197</v>
      </c>
      <c r="Z179" s="22" t="n">
        <f aca="false">IF(AND(ISNUMBER(Z178),ISNUMBER(Z133)),IFERROR(Z178/Z133,""),"")</f>
        <v>0.141550391784179</v>
      </c>
      <c r="AA179" s="22" t="n">
        <f aca="false">IF(AND(ISNUMBER(AA178),ISNUMBER(AA133)),IFERROR(AA178/AA133,""),"")</f>
        <v>0.147540896967476</v>
      </c>
      <c r="AB179" s="22" t="n">
        <f aca="false">IF(AND(ISNUMBER(AB178),ISNUMBER(AB133)),IFERROR(AB178/AB133,""),"")</f>
        <v>0.149932248841845</v>
      </c>
      <c r="AC179" s="22" t="n">
        <f aca="false">IF(AND(ISNUMBER(AC178),ISNUMBER(AC133)),IFERROR(AC178/AC133,""),"")</f>
        <v>0.14451814681524</v>
      </c>
      <c r="AD179" s="22" t="n">
        <f aca="false">IF(AND(ISNUMBER(AD178),ISNUMBER(AD133)),IFERROR(AD178/AD133,""),"")</f>
        <v>0.149513597074869</v>
      </c>
      <c r="AE179" s="22" t="n">
        <f aca="false">IF(AND(ISNUMBER(AE178),ISNUMBER(AE133)),IFERROR(AE178/AE133,""),"")</f>
        <v>0.149182111419173</v>
      </c>
      <c r="AF179" s="22" t="n">
        <f aca="false">IF(AND(ISNUMBER(AF178),ISNUMBER(AF133)),IFERROR(AF178/AF133,""),"")</f>
        <v>0.141184870296987</v>
      </c>
      <c r="AG179" s="22" t="n">
        <f aca="false">IF(AND(ISNUMBER(AG178),ISNUMBER(AG133)),IFERROR(AG178/AG133,""),"")</f>
        <v>0.127743463800799</v>
      </c>
      <c r="AH179" s="22" t="n">
        <f aca="false">IF(AND(ISNUMBER(AH178),ISNUMBER(AH133)),IFERROR(AH178/AH133,""),"")</f>
        <v>0.141111730504631</v>
      </c>
      <c r="AI179" s="22" t="n">
        <f aca="false">IF(AND(ISNUMBER(AI178),ISNUMBER(AI133)),IFERROR(AI178/AI133,""),"")</f>
        <v>0.133931022468114</v>
      </c>
      <c r="AJ179" s="22" t="n">
        <f aca="false">IF(AND(ISNUMBER(AJ178),ISNUMBER(AJ133)),IFERROR(AJ178/AJ133,""),"")</f>
        <v>0.141009705690258</v>
      </c>
      <c r="AK179" s="22" t="n">
        <f aca="false">IF(AND(ISNUMBER(AK178),ISNUMBER(AK133)),IFERROR(AK178/AK133,""),"")</f>
        <v>0.145911200530729</v>
      </c>
      <c r="AL179" s="22" t="n">
        <f aca="false">IF(AND(ISNUMBER(AL178),ISNUMBER(AL133)),IFERROR(AL178/AL133,""),"")</f>
        <v>0.137476859538575</v>
      </c>
      <c r="AM179" s="22" t="n">
        <f aca="false">IF(AND(ISNUMBER(AM178),ISNUMBER(AM133)),IFERROR(AM178/AM133,""),"")</f>
        <v>0.1395640468403</v>
      </c>
      <c r="AN179" s="22" t="n">
        <f aca="false">IF(AND(ISNUMBER(AN178),ISNUMBER(AN133)),IFERROR(AN178/AN133,""),"")</f>
        <v>0.1351020978063</v>
      </c>
      <c r="AO179" s="22" t="n">
        <f aca="false">IF(AND(ISNUMBER(AO178),ISNUMBER(AO133)),IFERROR(AO178/AO133,""),"")</f>
        <v>0.14098696538517</v>
      </c>
      <c r="AP179" s="22" t="n">
        <f aca="false">IF(AND(ISNUMBER(AP178),ISNUMBER(AP133)),IFERROR(AP178/AP133,""),"")</f>
        <v>0.128218636722529</v>
      </c>
      <c r="AQ179" s="22" t="n">
        <f aca="false">IF(AND(ISNUMBER(AQ178),ISNUMBER(AQ133)),IFERROR(AQ178/AQ133,""),"")</f>
        <v>0.128939423365526</v>
      </c>
      <c r="AR179" s="22" t="n">
        <f aca="false">IF(AND(ISNUMBER(AR178),ISNUMBER(AR133)),IFERROR(AR178/AR133,""),"")</f>
        <v>0.133438796086402</v>
      </c>
      <c r="AS179" s="22" t="n">
        <f aca="false">IF(AND(ISNUMBER(AS178),ISNUMBER(AS133)),IFERROR(AS178/AS133,""),"")</f>
        <v>0.12636914148472</v>
      </c>
      <c r="AT179" s="22" t="n">
        <f aca="false">IF(AND(ISNUMBER(AT178),ISNUMBER(AT133)),IFERROR(AT178/AT133,""),"")</f>
        <v>0.111951883018721</v>
      </c>
      <c r="AU179" s="22" t="n">
        <f aca="false">IF(AND(ISNUMBER(AU178),ISNUMBER(AU133)),IFERROR(AU178/AU133,""),"")</f>
        <v>0.132010142206169</v>
      </c>
      <c r="AV179" s="22" t="n">
        <f aca="false">IF(AND(ISNUMBER(AV178),ISNUMBER(AV133)),IFERROR(AV178/AV133,""),"")</f>
        <v>0.140190027587439</v>
      </c>
      <c r="AW179" s="22" t="n">
        <f aca="false">IF(AND(ISNUMBER(AW178),ISNUMBER(AW133)),IFERROR(AW178/AW133,""),"")</f>
        <v>0.128193869096935</v>
      </c>
      <c r="AX179" s="22" t="n">
        <f aca="false">IF(AND(ISNUMBER(AX178),ISNUMBER(AX133)),IFERROR(AX178/AX133,""),"")</f>
        <v>0.148838671582426</v>
      </c>
      <c r="AY179" s="22" t="n">
        <f aca="false">IF(AND(ISNUMBER(AY178),ISNUMBER(AY133)),IFERROR(AY178/AY133,""),"")</f>
        <v>0.155429098292222</v>
      </c>
      <c r="AZ179" s="22" t="n">
        <f aca="false">IF(AND(ISNUMBER(AZ178),ISNUMBER(AZ133)),IFERROR(AZ178/AZ133,""),"")</f>
        <v>0.15483214169686</v>
      </c>
      <c r="BA179" s="22" t="n">
        <f aca="false">IF(AND(ISNUMBER(BA178),ISNUMBER(BA133)),IFERROR(BA178/BA133,""),"")</f>
        <v>0.148384781303191</v>
      </c>
      <c r="BB179" s="22" t="n">
        <f aca="false">IF(AND(ISNUMBER(BB178),ISNUMBER(BB133)),IFERROR(BB178/BB133,""),"")</f>
        <v>0.151898781143907</v>
      </c>
      <c r="BC179" s="22" t="n">
        <f aca="false">IF(AND(ISNUMBER(BC178),ISNUMBER(BC133)),IFERROR(BC178/BC133,""),"")</f>
        <v>0.176619323830188</v>
      </c>
      <c r="BD179" s="22" t="n">
        <f aca="false">IF(AND(ISNUMBER(BD178),ISNUMBER(BD133)),IFERROR(BD178/BD133,""),"")</f>
        <v>0.172252366724458</v>
      </c>
      <c r="BE179" s="22" t="n">
        <f aca="false">IF(AND(ISNUMBER(BE178),ISNUMBER(BE133)),IFERROR(BE178/BE133,""),"")</f>
        <v>0.167631837817031</v>
      </c>
      <c r="BF179" s="22" t="n">
        <f aca="false">IF(AND(ISNUMBER(BF178),ISNUMBER(BF133)),IFERROR(BF178/BF133,""),"")</f>
        <v>0.160815911761736</v>
      </c>
      <c r="BG179" s="22" t="n">
        <f aca="false">IF(AND(ISNUMBER(BG178),ISNUMBER(BG133)),IFERROR(BG178/BG133,""),"")</f>
        <v>0.169347319254357</v>
      </c>
      <c r="BH179" s="22" t="n">
        <f aca="false">IF(AND(ISNUMBER(BH178),ISNUMBER(BH133)),IFERROR(BH178/BH133,""),"")</f>
        <v>0.165162030244106</v>
      </c>
      <c r="BI179" s="22" t="n">
        <f aca="false">IF(AND(ISNUMBER(BI178),ISNUMBER(BI133)),IFERROR(BI178/BI133,""),"")</f>
        <v>0.180065342529689</v>
      </c>
      <c r="BJ179" s="22" t="n">
        <f aca="false">IF(AND(ISNUMBER(BJ178),ISNUMBER(BJ133)),IFERROR(BJ178/BJ133,""),"")</f>
        <v>0.178247681506445</v>
      </c>
      <c r="BK179" s="22" t="n">
        <f aca="false">IF(AND(ISNUMBER(BK178),ISNUMBER(BK133)),IFERROR(BK178/BK133,""),"")</f>
        <v>0.174401094364364</v>
      </c>
      <c r="BL179" s="22" t="n">
        <f aca="false">IF(AND(ISNUMBER(BL178),ISNUMBER(BL133)),IFERROR(BL178/BL133,""),"")</f>
        <v>0.174484139367064</v>
      </c>
      <c r="BM179" s="22" t="n">
        <f aca="false">IF(AND(ISNUMBER(BM178),ISNUMBER(BM133)),IFERROR(BM178/BM133,""),"")</f>
        <v>0.177004210163708</v>
      </c>
      <c r="BN179" s="22" t="n">
        <f aca="false">IF(AND(ISNUMBER(BN178),ISNUMBER(BN133)),IFERROR(BN178/BN133,""),"")</f>
        <v>0.177177265355301</v>
      </c>
      <c r="BO179" s="22" t="n">
        <f aca="false">IF(AND(ISNUMBER(BO178),ISNUMBER(BO133)),IFERROR(BO178/BO133,""),"")</f>
        <v>0.174918857159121</v>
      </c>
      <c r="BP179" s="22" t="n">
        <f aca="false">IF(AND(ISNUMBER(BP178),ISNUMBER(BP133)),IFERROR(BP178/BP133,""),"")</f>
        <v>0.182804631170679</v>
      </c>
      <c r="BQ179" s="22" t="n">
        <f aca="false">IF(AND(ISNUMBER(BQ178),ISNUMBER(BQ133)),IFERROR(BQ178/BQ133,""),"")</f>
        <v>0.178015401616995</v>
      </c>
      <c r="BR179" s="22" t="n">
        <f aca="false">IF(AND(ISNUMBER(BR178),ISNUMBER(BR133)),IFERROR(BR178/BR133,""),"")</f>
        <v>0.169146783912193</v>
      </c>
      <c r="BS179" s="22" t="n">
        <f aca="false">IF(AND(ISNUMBER(BS178),ISNUMBER(BS133)),IFERROR(BS178/BS133,""),"")</f>
        <v>0.182928207092488</v>
      </c>
      <c r="BT179" s="22" t="n">
        <f aca="false">IF(AND(ISNUMBER(BT178),ISNUMBER(BT133)),IFERROR(BT178/BT133,""),"")</f>
        <v>0.176727505048402</v>
      </c>
      <c r="BU179" s="22" t="n">
        <f aca="false">IF(AND(ISNUMBER(BU178),ISNUMBER(BU133)),IFERROR(BU178/BU133,""),"")</f>
        <v>0.181740311389014</v>
      </c>
      <c r="BV179" s="22" t="n">
        <f aca="false">IF(AND(ISNUMBER(BV178),ISNUMBER(BV133)),IFERROR(BV178/BV133,""),"")</f>
        <v>0.177800960689137</v>
      </c>
      <c r="BW179" s="22" t="n">
        <f aca="false">IF(AND(ISNUMBER(BW178),ISNUMBER(BW133)),IFERROR(BW178/BW133,""),"")</f>
        <v>0.169019309205892</v>
      </c>
      <c r="BX179" s="22" t="n">
        <f aca="false">IF(AND(ISNUMBER(BX178),ISNUMBER(BX133)),IFERROR(BX178/BX133,""),"")</f>
        <v>0.183574479179905</v>
      </c>
      <c r="BY179" s="23" t="n">
        <f aca="false">IF(AND(ISNUMBER(BY178),ISNUMBER(BY133)),IFERROR(BY178/BY133,""),"")</f>
        <v>0.181310535246072</v>
      </c>
      <c r="BZ179" s="23" t="n">
        <f aca="false">IF(AND(ISNUMBER(BZ178),ISNUMBER(BZ133)),IFERROR(BZ178/BZ133,""),"")</f>
        <v>0.187373846344212</v>
      </c>
      <c r="CA179" s="23" t="n">
        <f aca="false">IF(AND(ISNUMBER(CA178),ISNUMBER(CA133)),IFERROR(CA178/CA133,""),"")</f>
        <v>0.180505942643191</v>
      </c>
      <c r="CB179" s="23" t="n">
        <f aca="false">IF(AND(ISNUMBER(CB178),ISNUMBER(CB133)),IFERROR(CB178/CB133,""),"")</f>
        <v>0.182945276643346</v>
      </c>
      <c r="CC179" s="23" t="n">
        <f aca="false">IF(AND(ISNUMBER(CC178),ISNUMBER(CC133)),IFERROR(CC178/CC133,""),"")</f>
        <v>0.184765663234606</v>
      </c>
      <c r="CD179" s="23" t="n">
        <f aca="false">IF(AND(ISNUMBER(CD178),ISNUMBER(CD133)),IFERROR(CD178/CD133,""),"")</f>
        <v>0.185886514987073</v>
      </c>
      <c r="CE179" s="23" t="n">
        <f aca="false">IF(AND(ISNUMBER(CE178),ISNUMBER(CE133)),IFERROR(CE178/CE133,""),"")</f>
        <v>0.184922927940235</v>
      </c>
      <c r="CH179" s="41" t="n">
        <f aca="false">IFERROR(AVERAGE(CA179,CB179,CC179,CD179,CE179),"n/m")</f>
        <v>0.18380526508969</v>
      </c>
      <c r="CI179" s="41" t="n">
        <f aca="false">IFERROR(AVERAGE(BB179,BG179,BL179,BQ179,BV179),"n/m")</f>
        <v>0.170309320414292</v>
      </c>
      <c r="CJ179" s="41" t="n">
        <f aca="false">IFERROR(AVERAGE(AC179,AH179,AM179,AR179,AW179,BB179,BG179,BL179,BQ179,BV179),"n/m")</f>
        <v>0.153837319141497</v>
      </c>
      <c r="CK179" s="41" t="n">
        <f aca="false">IFERROR(AVERAGE(C179,D179,E179,F179,G179,H179,I179,N179,S179,X179,AC179,AH179,AM179,AR179,AW179,BB179,BG179,BL179,BQ179,BV179),"n/m")</f>
        <v>0.139196804969837</v>
      </c>
    </row>
    <row r="180" customFormat="false" ht="15" hidden="false" customHeight="false" outlineLevel="0" collapsed="false">
      <c r="B180" s="37" t="s">
        <v>322</v>
      </c>
      <c r="F180" s="48" t="n">
        <v>121.826</v>
      </c>
      <c r="G180" s="48" t="n">
        <v>194.157</v>
      </c>
      <c r="H180" s="48" t="n">
        <v>305.196</v>
      </c>
      <c r="I180" s="48" t="n">
        <v>380.508</v>
      </c>
      <c r="J180" s="48" t="n">
        <v>101.314</v>
      </c>
      <c r="K180" s="48" t="n">
        <v>109.832</v>
      </c>
      <c r="L180" s="48" t="n">
        <v>104.164</v>
      </c>
      <c r="M180" s="48" t="n">
        <v>122.041</v>
      </c>
      <c r="N180" s="48" t="n">
        <v>437.351</v>
      </c>
      <c r="O180" s="48" t="n">
        <v>100.73</v>
      </c>
      <c r="P180" s="48" t="n">
        <v>119.232</v>
      </c>
      <c r="Q180" s="48" t="n">
        <v>107.4</v>
      </c>
      <c r="R180" s="48" t="n">
        <v>106.978</v>
      </c>
      <c r="S180" s="48" t="n">
        <v>434.34</v>
      </c>
      <c r="T180" s="48" t="n">
        <v>93.958</v>
      </c>
      <c r="U180" s="48" t="n">
        <v>99.322</v>
      </c>
      <c r="V180" s="48" t="n">
        <v>97.707</v>
      </c>
      <c r="W180" s="48" t="n">
        <v>87.82</v>
      </c>
      <c r="X180" s="48" t="n">
        <v>378.807</v>
      </c>
      <c r="Y180" s="48" t="n">
        <v>76.579</v>
      </c>
      <c r="Z180" s="48" t="n">
        <v>83.857</v>
      </c>
      <c r="AA180" s="48" t="n">
        <v>83.751</v>
      </c>
      <c r="AB180" s="48" t="n">
        <v>84.536</v>
      </c>
      <c r="AC180" s="48" t="n">
        <v>328.723</v>
      </c>
      <c r="AD180" s="48" t="n">
        <v>86.852</v>
      </c>
      <c r="AE180" s="48" t="n">
        <v>93.516</v>
      </c>
      <c r="AF180" s="48" t="n">
        <v>94.522</v>
      </c>
      <c r="AG180" s="48" t="n">
        <v>95.448</v>
      </c>
      <c r="AH180" s="48" t="n">
        <v>370.338</v>
      </c>
      <c r="AI180" s="48" t="n">
        <v>101.479</v>
      </c>
      <c r="AJ180" s="48" t="n">
        <v>111.405</v>
      </c>
      <c r="AK180" s="48" t="n">
        <v>107.551</v>
      </c>
      <c r="AL180" s="48" t="n">
        <v>102.259</v>
      </c>
      <c r="AM180" s="48" t="n">
        <v>422.694</v>
      </c>
      <c r="AN180" s="48" t="n">
        <v>102.566</v>
      </c>
      <c r="AO180" s="48" t="n">
        <v>109.548</v>
      </c>
      <c r="AP180" s="48" t="n">
        <v>93.7</v>
      </c>
      <c r="AQ180" s="48" t="n">
        <v>94.939</v>
      </c>
      <c r="AR180" s="48" t="n">
        <v>400.753</v>
      </c>
      <c r="AS180" s="48" t="n">
        <v>88.71</v>
      </c>
      <c r="AT180" s="48" t="n">
        <v>66.133</v>
      </c>
      <c r="AU180" s="48" t="n">
        <v>88.3</v>
      </c>
      <c r="AV180" s="48" t="n">
        <v>97.263</v>
      </c>
      <c r="AW180" s="48" t="n">
        <v>340.406</v>
      </c>
      <c r="AX180" s="48" t="n">
        <v>112.674</v>
      </c>
      <c r="AY180" s="48" t="n">
        <v>128.455</v>
      </c>
      <c r="AZ180" s="48" t="n">
        <v>124.865</v>
      </c>
      <c r="BA180" s="48" t="n">
        <v>125.274</v>
      </c>
      <c r="BB180" s="48" t="n">
        <v>491.268</v>
      </c>
      <c r="BC180" s="48" t="n">
        <v>163.452</v>
      </c>
      <c r="BD180" s="48" t="n">
        <v>167.014</v>
      </c>
      <c r="BE180" s="48" t="n">
        <v>156.776</v>
      </c>
      <c r="BF180" s="48" t="n">
        <v>149.709</v>
      </c>
      <c r="BG180" s="48" t="n">
        <v>636.951</v>
      </c>
      <c r="BH180" s="48" t="n">
        <v>171.66</v>
      </c>
      <c r="BI180" s="48" t="n">
        <v>190.971</v>
      </c>
      <c r="BJ180" s="48" t="n">
        <v>184.168</v>
      </c>
      <c r="BK180" s="48" t="n">
        <v>184.606</v>
      </c>
      <c r="BL180" s="48" t="n">
        <v>731.374</v>
      </c>
      <c r="BM180" s="48" t="n">
        <v>173.676</v>
      </c>
      <c r="BN180" s="48" t="n">
        <v>181.019</v>
      </c>
      <c r="BO180" s="48" t="n">
        <v>172.078</v>
      </c>
      <c r="BP180" s="48" t="n">
        <v>186.832</v>
      </c>
      <c r="BQ180" s="48" t="n">
        <v>713.605</v>
      </c>
      <c r="BR180" s="48" t="n">
        <v>169.889</v>
      </c>
      <c r="BS180" s="48" t="n">
        <v>199.149</v>
      </c>
      <c r="BT180" s="48" t="n">
        <v>187.548</v>
      </c>
      <c r="BU180" s="48" t="n">
        <v>196.046</v>
      </c>
      <c r="BV180" s="48" t="n">
        <v>752.632</v>
      </c>
      <c r="BW180" s="48" t="n">
        <v>189.544</v>
      </c>
      <c r="BX180" s="48" t="n">
        <v>223.899</v>
      </c>
      <c r="CF180" s="19" t="s">
        <v>323</v>
      </c>
    </row>
    <row r="181" customFormat="false" ht="15" hidden="false" customHeight="false" outlineLevel="0" collapsed="false">
      <c r="B181" s="36" t="s">
        <v>324</v>
      </c>
      <c r="C181" s="39" t="str">
        <f aca="false">IF(AND(ISNUMBER(C180),ISNUMBER(C178)),ROUND(C178-C180,1),"")</f>
        <v/>
      </c>
      <c r="D181" s="39" t="str">
        <f aca="false">IF(AND(ISNUMBER(D180),ISNUMBER(D178)),ROUND(D178-D180,1),"")</f>
        <v/>
      </c>
      <c r="E181" s="39" t="str">
        <f aca="false">IF(AND(ISNUMBER(E180),ISNUMBER(E178)),ROUND(E178-E180,1),"")</f>
        <v/>
      </c>
      <c r="F181" s="39" t="n">
        <f aca="false">IF(AND(ISNUMBER(F180),ISNUMBER(F178)),ROUND(F178-F180,1),"")</f>
        <v>0.3</v>
      </c>
      <c r="G181" s="39" t="n">
        <f aca="false">IF(AND(ISNUMBER(G180),ISNUMBER(G178)),ROUND(G178-G180,1),"")</f>
        <v>0</v>
      </c>
      <c r="H181" s="39" t="n">
        <f aca="false">IF(AND(ISNUMBER(H180),ISNUMBER(H178)),ROUND(H178-H180,1),"")</f>
        <v>0</v>
      </c>
      <c r="I181" s="39" t="n">
        <f aca="false">IF(AND(ISNUMBER(I180),ISNUMBER(I178)),ROUND(I178-I180,1),"")</f>
        <v>0</v>
      </c>
      <c r="J181" s="39" t="n">
        <f aca="false">IF(AND(ISNUMBER(J180),ISNUMBER(J178)),ROUND(J178-J180,1),"")</f>
        <v>0</v>
      </c>
      <c r="K181" s="39" t="n">
        <f aca="false">IF(AND(ISNUMBER(K180),ISNUMBER(K178)),ROUND(K178-K180,1),"")</f>
        <v>0</v>
      </c>
      <c r="L181" s="39" t="n">
        <f aca="false">IF(AND(ISNUMBER(L180),ISNUMBER(L178)),ROUND(L178-L180,1),"")</f>
        <v>0</v>
      </c>
      <c r="M181" s="39" t="n">
        <f aca="false">IF(AND(ISNUMBER(M180),ISNUMBER(M178)),ROUND(M178-M180,1),"")</f>
        <v>0</v>
      </c>
      <c r="N181" s="39" t="n">
        <f aca="false">IF(AND(ISNUMBER(N180),ISNUMBER(N178)),ROUND(N178-N180,1),"")</f>
        <v>0</v>
      </c>
      <c r="O181" s="39" t="n">
        <f aca="false">IF(AND(ISNUMBER(O180),ISNUMBER(O178)),ROUND(O178-O180,1),"")</f>
        <v>0</v>
      </c>
      <c r="P181" s="39" t="n">
        <f aca="false">IF(AND(ISNUMBER(P180),ISNUMBER(P178)),ROUND(P178-P180,1),"")</f>
        <v>0</v>
      </c>
      <c r="Q181" s="39" t="n">
        <f aca="false">IF(AND(ISNUMBER(Q180),ISNUMBER(Q178)),ROUND(Q178-Q180,1),"")</f>
        <v>0</v>
      </c>
      <c r="R181" s="39" t="n">
        <f aca="false">IF(AND(ISNUMBER(R180),ISNUMBER(R178)),ROUND(R178-R180,1),"")</f>
        <v>0</v>
      </c>
      <c r="S181" s="39" t="n">
        <f aca="false">IF(AND(ISNUMBER(S180),ISNUMBER(S178)),ROUND(S178-S180,1),"")</f>
        <v>0</v>
      </c>
      <c r="T181" s="39" t="n">
        <f aca="false">IF(AND(ISNUMBER(T180),ISNUMBER(T178)),ROUND(T178-T180,1),"")</f>
        <v>0</v>
      </c>
      <c r="U181" s="39" t="n">
        <f aca="false">IF(AND(ISNUMBER(U180),ISNUMBER(U178)),ROUND(U178-U180,1),"")</f>
        <v>0</v>
      </c>
      <c r="V181" s="39" t="n">
        <f aca="false">IF(AND(ISNUMBER(V180),ISNUMBER(V178)),ROUND(V178-V180,1),"")</f>
        <v>0</v>
      </c>
      <c r="W181" s="39" t="n">
        <f aca="false">IF(AND(ISNUMBER(W180),ISNUMBER(W178)),ROUND(W178-W180,1),"")</f>
        <v>0</v>
      </c>
      <c r="X181" s="39" t="n">
        <f aca="false">IF(AND(ISNUMBER(X180),ISNUMBER(X178)),ROUND(X178-X180,1),"")</f>
        <v>0</v>
      </c>
      <c r="Y181" s="39" t="n">
        <f aca="false">IF(AND(ISNUMBER(Y180),ISNUMBER(Y178)),ROUND(Y178-Y180,1),"")</f>
        <v>0</v>
      </c>
      <c r="Z181" s="39" t="n">
        <f aca="false">IF(AND(ISNUMBER(Z180),ISNUMBER(Z178)),ROUND(Z178-Z180,1),"")</f>
        <v>0</v>
      </c>
      <c r="AA181" s="39" t="n">
        <f aca="false">IF(AND(ISNUMBER(AA180),ISNUMBER(AA178)),ROUND(AA178-AA180,1),"")</f>
        <v>0</v>
      </c>
      <c r="AB181" s="39" t="n">
        <f aca="false">IF(AND(ISNUMBER(AB180),ISNUMBER(AB178)),ROUND(AB178-AB180,1),"")</f>
        <v>0</v>
      </c>
      <c r="AC181" s="39" t="n">
        <f aca="false">IF(AND(ISNUMBER(AC180),ISNUMBER(AC178)),ROUND(AC178-AC180,1),"")</f>
        <v>0</v>
      </c>
      <c r="AD181" s="39" t="n">
        <f aca="false">IF(AND(ISNUMBER(AD180),ISNUMBER(AD178)),ROUND(AD178-AD180,1),"")</f>
        <v>0</v>
      </c>
      <c r="AE181" s="39" t="n">
        <f aca="false">IF(AND(ISNUMBER(AE180),ISNUMBER(AE178)),ROUND(AE178-AE180,1),"")</f>
        <v>0</v>
      </c>
      <c r="AF181" s="39" t="n">
        <f aca="false">IF(AND(ISNUMBER(AF180),ISNUMBER(AF178)),ROUND(AF178-AF180,1),"")</f>
        <v>0</v>
      </c>
      <c r="AG181" s="39" t="n">
        <f aca="false">IF(AND(ISNUMBER(AG180),ISNUMBER(AG178)),ROUND(AG178-AG180,1),"")</f>
        <v>0</v>
      </c>
      <c r="AH181" s="39" t="n">
        <f aca="false">IF(AND(ISNUMBER(AH180),ISNUMBER(AH178)),ROUND(AH178-AH180,1),"")</f>
        <v>0</v>
      </c>
      <c r="AI181" s="39" t="n">
        <f aca="false">IF(AND(ISNUMBER(AI180),ISNUMBER(AI178)),ROUND(AI178-AI180,1),"")</f>
        <v>0</v>
      </c>
      <c r="AJ181" s="39" t="n">
        <f aca="false">IF(AND(ISNUMBER(AJ180),ISNUMBER(AJ178)),ROUND(AJ178-AJ180,1),"")</f>
        <v>0</v>
      </c>
      <c r="AK181" s="39" t="n">
        <f aca="false">IF(AND(ISNUMBER(AK180),ISNUMBER(AK178)),ROUND(AK178-AK180,1),"")</f>
        <v>0</v>
      </c>
      <c r="AL181" s="39" t="n">
        <f aca="false">IF(AND(ISNUMBER(AL180),ISNUMBER(AL178)),ROUND(AL178-AL180,1),"")</f>
        <v>0</v>
      </c>
      <c r="AM181" s="39" t="n">
        <f aca="false">IF(AND(ISNUMBER(AM180),ISNUMBER(AM178)),ROUND(AM178-AM180,1),"")</f>
        <v>0</v>
      </c>
      <c r="AN181" s="39" t="n">
        <f aca="false">IF(AND(ISNUMBER(AN180),ISNUMBER(AN178)),ROUND(AN178-AN180,1),"")</f>
        <v>0</v>
      </c>
      <c r="AO181" s="39" t="n">
        <f aca="false">IF(AND(ISNUMBER(AO180),ISNUMBER(AO178)),ROUND(AO178-AO180,1),"")</f>
        <v>0</v>
      </c>
      <c r="AP181" s="39" t="n">
        <f aca="false">IF(AND(ISNUMBER(AP180),ISNUMBER(AP178)),ROUND(AP178-AP180,1),"")</f>
        <v>0</v>
      </c>
      <c r="AQ181" s="39" t="n">
        <f aca="false">IF(AND(ISNUMBER(AQ180),ISNUMBER(AQ178)),ROUND(AQ178-AQ180,1),"")</f>
        <v>0</v>
      </c>
      <c r="AR181" s="39" t="n">
        <f aca="false">IF(AND(ISNUMBER(AR180),ISNUMBER(AR178)),ROUND(AR178-AR180,1),"")</f>
        <v>0</v>
      </c>
      <c r="AS181" s="39" t="n">
        <f aca="false">IF(AND(ISNUMBER(AS180),ISNUMBER(AS178)),ROUND(AS178-AS180,1),"")</f>
        <v>0</v>
      </c>
      <c r="AT181" s="39" t="n">
        <f aca="false">IF(AND(ISNUMBER(AT180),ISNUMBER(AT178)),ROUND(AT178-AT180,1),"")</f>
        <v>0</v>
      </c>
      <c r="AU181" s="39" t="n">
        <f aca="false">IF(AND(ISNUMBER(AU180),ISNUMBER(AU178)),ROUND(AU178-AU180,1),"")</f>
        <v>0</v>
      </c>
      <c r="AV181" s="39" t="n">
        <f aca="false">IF(AND(ISNUMBER(AV180),ISNUMBER(AV178)),ROUND(AV178-AV180,1),"")</f>
        <v>0</v>
      </c>
      <c r="AW181" s="39" t="n">
        <f aca="false">IF(AND(ISNUMBER(AW180),ISNUMBER(AW178)),ROUND(AW178-AW180,1),"")</f>
        <v>0</v>
      </c>
      <c r="AX181" s="39" t="n">
        <f aca="false">IF(AND(ISNUMBER(AX180),ISNUMBER(AX178)),ROUND(AX178-AX180,1),"")</f>
        <v>0</v>
      </c>
      <c r="AY181" s="39" t="n">
        <f aca="false">IF(AND(ISNUMBER(AY180),ISNUMBER(AY178)),ROUND(AY178-AY180,1),"")</f>
        <v>0</v>
      </c>
      <c r="AZ181" s="39" t="n">
        <f aca="false">IF(AND(ISNUMBER(AZ180),ISNUMBER(AZ178)),ROUND(AZ178-AZ180,1),"")</f>
        <v>0</v>
      </c>
      <c r="BA181" s="39" t="n">
        <f aca="false">IF(AND(ISNUMBER(BA180),ISNUMBER(BA178)),ROUND(BA178-BA180,1),"")</f>
        <v>0</v>
      </c>
      <c r="BB181" s="39" t="n">
        <f aca="false">IF(AND(ISNUMBER(BB180),ISNUMBER(BB178)),ROUND(BB178-BB180,1),"")</f>
        <v>0</v>
      </c>
      <c r="BC181" s="39" t="n">
        <f aca="false">IF(AND(ISNUMBER(BC180),ISNUMBER(BC178)),ROUND(BC178-BC180,1),"")</f>
        <v>0</v>
      </c>
      <c r="BD181" s="39" t="n">
        <f aca="false">IF(AND(ISNUMBER(BD180),ISNUMBER(BD178)),ROUND(BD178-BD180,1),"")</f>
        <v>0</v>
      </c>
      <c r="BE181" s="39" t="n">
        <f aca="false">IF(AND(ISNUMBER(BE180),ISNUMBER(BE178)),ROUND(BE178-BE180,1),"")</f>
        <v>0</v>
      </c>
      <c r="BF181" s="39" t="n">
        <f aca="false">IF(AND(ISNUMBER(BF180),ISNUMBER(BF178)),ROUND(BF178-BF180,1),"")</f>
        <v>0</v>
      </c>
      <c r="BG181" s="39" t="n">
        <f aca="false">IF(AND(ISNUMBER(BG180),ISNUMBER(BG178)),ROUND(BG178-BG180,1),"")</f>
        <v>0</v>
      </c>
      <c r="BH181" s="39" t="n">
        <f aca="false">IF(AND(ISNUMBER(BH180),ISNUMBER(BH178)),ROUND(BH178-BH180,1),"")</f>
        <v>0</v>
      </c>
      <c r="BI181" s="39" t="n">
        <f aca="false">IF(AND(ISNUMBER(BI180),ISNUMBER(BI178)),ROUND(BI178-BI180,1),"")</f>
        <v>0</v>
      </c>
      <c r="BJ181" s="39" t="n">
        <f aca="false">IF(AND(ISNUMBER(BJ180),ISNUMBER(BJ178)),ROUND(BJ178-BJ180,1),"")</f>
        <v>0</v>
      </c>
      <c r="BK181" s="39" t="n">
        <f aca="false">IF(AND(ISNUMBER(BK180),ISNUMBER(BK178)),ROUND(BK178-BK180,1),"")</f>
        <v>0</v>
      </c>
      <c r="BL181" s="39" t="n">
        <f aca="false">IF(AND(ISNUMBER(BL180),ISNUMBER(BL178)),ROUND(BL178-BL180,1),"")</f>
        <v>0</v>
      </c>
      <c r="BM181" s="39" t="n">
        <f aca="false">IF(AND(ISNUMBER(BM180),ISNUMBER(BM178)),ROUND(BM178-BM180,1),"")</f>
        <v>0</v>
      </c>
      <c r="BN181" s="39" t="n">
        <f aca="false">IF(AND(ISNUMBER(BN180),ISNUMBER(BN178)),ROUND(BN178-BN180,1),"")</f>
        <v>0</v>
      </c>
      <c r="BO181" s="39" t="n">
        <f aca="false">IF(AND(ISNUMBER(BO180),ISNUMBER(BO178)),ROUND(BO178-BO180,1),"")</f>
        <v>0</v>
      </c>
      <c r="BP181" s="39" t="n">
        <f aca="false">IF(AND(ISNUMBER(BP180),ISNUMBER(BP178)),ROUND(BP178-BP180,1),"")</f>
        <v>0</v>
      </c>
      <c r="BQ181" s="39" t="n">
        <f aca="false">IF(AND(ISNUMBER(BQ180),ISNUMBER(BQ178)),ROUND(BQ178-BQ180,1),"")</f>
        <v>0</v>
      </c>
      <c r="BR181" s="39" t="n">
        <f aca="false">IF(AND(ISNUMBER(BR180),ISNUMBER(BR178)),ROUND(BR178-BR180,1),"")</f>
        <v>0</v>
      </c>
      <c r="BS181" s="39" t="n">
        <f aca="false">IF(AND(ISNUMBER(BS180),ISNUMBER(BS178)),ROUND(BS178-BS180,1),"")</f>
        <v>0</v>
      </c>
      <c r="BT181" s="39" t="n">
        <f aca="false">IF(AND(ISNUMBER(BT180),ISNUMBER(BT178)),ROUND(BT178-BT180,1),"")</f>
        <v>0</v>
      </c>
      <c r="BU181" s="39" t="n">
        <f aca="false">IF(AND(ISNUMBER(BU180),ISNUMBER(BU178)),ROUND(BU178-BU180,1),"")</f>
        <v>0</v>
      </c>
      <c r="BV181" s="39" t="n">
        <f aca="false">IF(AND(ISNUMBER(BV180),ISNUMBER(BV178)),ROUND(BV178-BV180,1),"")</f>
        <v>0</v>
      </c>
      <c r="BW181" s="39" t="n">
        <f aca="false">IF(AND(ISNUMBER(BW180),ISNUMBER(BW178)),ROUND(BW178-BW180,1),"")</f>
        <v>0</v>
      </c>
      <c r="BX181" s="39" t="n">
        <f aca="false">IF(AND(ISNUMBER(BX180),ISNUMBER(BX178)),ROUND(BX178-BX180,1),"")</f>
        <v>0</v>
      </c>
    </row>
    <row r="182" customFormat="false" ht="15" hidden="false" customHeight="false" outlineLevel="0" collapsed="false">
      <c r="B182" s="71" t="s">
        <v>325</v>
      </c>
      <c r="CF182" s="19" t="s">
        <v>326</v>
      </c>
    </row>
    <row r="183" customFormat="false" ht="15" hidden="false" customHeight="false" outlineLevel="0" collapsed="false">
      <c r="B183" s="26" t="s">
        <v>327</v>
      </c>
      <c r="C183" s="39" t="n">
        <f aca="false">C152</f>
        <v>47.825</v>
      </c>
      <c r="D183" s="39" t="n">
        <f aca="false">D152</f>
        <v>52.61</v>
      </c>
      <c r="E183" s="39" t="n">
        <f aca="false">E152</f>
        <v>56.925</v>
      </c>
      <c r="F183" s="39" t="n">
        <f aca="false">F152</f>
        <v>56.598</v>
      </c>
      <c r="G183" s="39" t="n">
        <f aca="false">G152</f>
        <v>57.357</v>
      </c>
      <c r="H183" s="39" t="n">
        <f aca="false">H152</f>
        <v>62.051</v>
      </c>
      <c r="I183" s="39" t="n">
        <f aca="false">I152</f>
        <v>65.334</v>
      </c>
      <c r="J183" s="39" t="n">
        <f aca="false">J152</f>
        <v>17.397</v>
      </c>
      <c r="K183" s="39" t="n">
        <f aca="false">K152</f>
        <v>17.158</v>
      </c>
      <c r="L183" s="39" t="n">
        <f aca="false">L152</f>
        <v>17.326</v>
      </c>
      <c r="M183" s="39" t="n">
        <f aca="false">M152</f>
        <v>17.002</v>
      </c>
      <c r="N183" s="39" t="n">
        <f aca="false">N152</f>
        <v>68.883</v>
      </c>
      <c r="O183" s="39" t="n">
        <f aca="false">O152</f>
        <v>17.931</v>
      </c>
      <c r="P183" s="39" t="n">
        <f aca="false">P152</f>
        <v>17.969</v>
      </c>
      <c r="Q183" s="39" t="n">
        <f aca="false">Q152</f>
        <v>17.117</v>
      </c>
      <c r="R183" s="39" t="n">
        <f aca="false">R152</f>
        <v>16.59</v>
      </c>
      <c r="S183" s="39" t="n">
        <f aca="false">S152</f>
        <v>69.607</v>
      </c>
      <c r="T183" s="39" t="n">
        <f aca="false">T152</f>
        <v>16.032</v>
      </c>
      <c r="U183" s="39" t="n">
        <f aca="false">U152</f>
        <v>15.686</v>
      </c>
      <c r="V183" s="39" t="n">
        <f aca="false">V152</f>
        <v>16.179</v>
      </c>
      <c r="W183" s="39" t="n">
        <f aca="false">W152</f>
        <v>16.11</v>
      </c>
      <c r="X183" s="39" t="n">
        <f aca="false">X152</f>
        <v>64.007</v>
      </c>
      <c r="Y183" s="39" t="n">
        <f aca="false">Y152</f>
        <v>15.625</v>
      </c>
      <c r="Z183" s="39" t="n">
        <f aca="false">Z152</f>
        <v>16.607</v>
      </c>
      <c r="AA183" s="39" t="n">
        <f aca="false">AA152</f>
        <v>16.263</v>
      </c>
      <c r="AB183" s="39" t="n">
        <f aca="false">AB152</f>
        <v>16.578</v>
      </c>
      <c r="AC183" s="39" t="n">
        <f aca="false">AC152</f>
        <v>65.073</v>
      </c>
      <c r="AD183" s="39" t="n">
        <f aca="false">AD152</f>
        <v>16.166</v>
      </c>
      <c r="AE183" s="39" t="n">
        <f aca="false">AE152</f>
        <v>15.84</v>
      </c>
      <c r="AF183" s="39" t="n">
        <f aca="false">AF152</f>
        <v>18.451</v>
      </c>
      <c r="AG183" s="39" t="n">
        <f aca="false">AG152</f>
        <v>17.658</v>
      </c>
      <c r="AH183" s="39" t="n">
        <f aca="false">AH152</f>
        <v>68.115</v>
      </c>
      <c r="AI183" s="39" t="n">
        <f aca="false">AI152</f>
        <v>18.134</v>
      </c>
      <c r="AJ183" s="39" t="n">
        <f aca="false">AJ152</f>
        <v>18.189</v>
      </c>
      <c r="AK183" s="39" t="n">
        <f aca="false">AK152</f>
        <v>17.623</v>
      </c>
      <c r="AL183" s="39" t="n">
        <f aca="false">AL152</f>
        <v>18.4</v>
      </c>
      <c r="AM183" s="39" t="n">
        <f aca="false">AM152</f>
        <v>72.346</v>
      </c>
      <c r="AN183" s="39" t="n">
        <f aca="false">AN152</f>
        <v>18.901</v>
      </c>
      <c r="AO183" s="39" t="n">
        <f aca="false">AO152</f>
        <v>20.351</v>
      </c>
      <c r="AP183" s="39" t="n">
        <f aca="false">AP152</f>
        <v>21.148</v>
      </c>
      <c r="AQ183" s="39" t="n">
        <f aca="false">AQ152</f>
        <v>21.087</v>
      </c>
      <c r="AR183" s="39" t="n">
        <f aca="false">AR152</f>
        <v>81.487</v>
      </c>
      <c r="AS183" s="39" t="n">
        <f aca="false">AS152</f>
        <v>21.028</v>
      </c>
      <c r="AT183" s="39" t="n">
        <f aca="false">AT152</f>
        <v>20.05</v>
      </c>
      <c r="AU183" s="39" t="n">
        <f aca="false">AU152</f>
        <v>19.488</v>
      </c>
      <c r="AV183" s="39" t="n">
        <f aca="false">AV152</f>
        <v>19.926</v>
      </c>
      <c r="AW183" s="39" t="n">
        <f aca="false">AW152</f>
        <v>80.492</v>
      </c>
      <c r="AX183" s="39" t="n">
        <f aca="false">AX152</f>
        <v>19.118</v>
      </c>
      <c r="AY183" s="39" t="n">
        <f aca="false">AY152</f>
        <v>19.39</v>
      </c>
      <c r="AZ183" s="39" t="n">
        <f aca="false">AZ152</f>
        <v>22.05</v>
      </c>
      <c r="BA183" s="39" t="n">
        <f aca="false">BA152</f>
        <v>20.588</v>
      </c>
      <c r="BB183" s="39" t="n">
        <f aca="false">BB152</f>
        <v>81.146</v>
      </c>
      <c r="BC183" s="39" t="n">
        <f aca="false">BC152</f>
        <v>19.891</v>
      </c>
      <c r="BD183" s="39" t="n">
        <f aca="false">BD152</f>
        <v>19.868</v>
      </c>
      <c r="BE183" s="39" t="n">
        <f aca="false">BE152</f>
        <v>19.25</v>
      </c>
      <c r="BF183" s="39" t="n">
        <f aca="false">BF152</f>
        <v>19.05</v>
      </c>
      <c r="BG183" s="39" t="n">
        <f aca="false">BG152</f>
        <v>78.059</v>
      </c>
      <c r="BH183" s="39" t="n">
        <f aca="false">BH152</f>
        <v>21.295</v>
      </c>
      <c r="BI183" s="39" t="n">
        <f aca="false">BI152</f>
        <v>21.917</v>
      </c>
      <c r="BJ183" s="39" t="n">
        <f aca="false">BJ152</f>
        <v>21.489</v>
      </c>
      <c r="BK183" s="39" t="n">
        <f aca="false">BK152</f>
        <v>21.969</v>
      </c>
      <c r="BL183" s="39" t="n">
        <f aca="false">BL152</f>
        <v>86.67</v>
      </c>
      <c r="BM183" s="39" t="n">
        <f aca="false">BM152</f>
        <v>21.586</v>
      </c>
      <c r="BN183" s="39" t="n">
        <f aca="false">BN152</f>
        <v>20.865</v>
      </c>
      <c r="BO183" s="39" t="n">
        <f aca="false">BO152</f>
        <v>22.644</v>
      </c>
      <c r="BP183" s="39" t="n">
        <f aca="false">BP152</f>
        <v>23.143</v>
      </c>
      <c r="BQ183" s="39" t="n">
        <f aca="false">BQ152</f>
        <v>88.238</v>
      </c>
      <c r="BR183" s="39" t="n">
        <f aca="false">BR152</f>
        <v>23.784</v>
      </c>
      <c r="BS183" s="39" t="n">
        <f aca="false">BS152</f>
        <v>24.462</v>
      </c>
      <c r="BT183" s="39" t="n">
        <f aca="false">BT152</f>
        <v>24.744</v>
      </c>
      <c r="BU183" s="39" t="n">
        <f aca="false">BU152</f>
        <v>25.556</v>
      </c>
      <c r="BV183" s="39" t="n">
        <f aca="false">BV152</f>
        <v>98.546</v>
      </c>
      <c r="BW183" s="39" t="n">
        <f aca="false">BW152</f>
        <v>26.009</v>
      </c>
      <c r="BX183" s="39" t="n">
        <f aca="false">BX152</f>
        <v>25.969</v>
      </c>
      <c r="BY183" s="56" t="n">
        <f aca="false">BY152</f>
        <v>25.2757207629592</v>
      </c>
      <c r="BZ183" s="56" t="n">
        <f aca="false">BZ152</f>
        <v>25.3714622935941</v>
      </c>
      <c r="CA183" s="56" t="n">
        <f aca="false">CA152</f>
        <v>102.625183056553</v>
      </c>
      <c r="CB183" s="56" t="n">
        <f aca="false">CB152</f>
        <v>118.564255390357</v>
      </c>
      <c r="CC183" s="56" t="n">
        <f aca="false">CC152</f>
        <v>133.783436147972</v>
      </c>
      <c r="CD183" s="56" t="n">
        <f aca="false">CD152</f>
        <v>149.289235480114</v>
      </c>
      <c r="CE183" s="56" t="n">
        <f aca="false">CE152</f>
        <v>165.45936661723</v>
      </c>
    </row>
    <row r="184" customFormat="false" ht="15" hidden="false" customHeight="false" outlineLevel="0" collapsed="false">
      <c r="B184" s="58" t="s">
        <v>328</v>
      </c>
      <c r="C184" s="59" t="n">
        <f aca="false">IF(AND(ISNUMBER(C178),ISNUMBER(C152)),C178+C152,"")</f>
        <v>284.752</v>
      </c>
      <c r="D184" s="59" t="n">
        <f aca="false">IF(AND(ISNUMBER(D178),ISNUMBER(D152)),D178+D152,"")</f>
        <v>342.715</v>
      </c>
      <c r="E184" s="59" t="n">
        <f aca="false">IF(AND(ISNUMBER(E178),ISNUMBER(E152)),E178+E152,"")</f>
        <v>379.415</v>
      </c>
      <c r="F184" s="59" t="n">
        <f aca="false">IF(AND(ISNUMBER(F178),ISNUMBER(F152)),F178+F152,"")</f>
        <v>178.768</v>
      </c>
      <c r="G184" s="59" t="n">
        <f aca="false">IF(AND(ISNUMBER(G178),ISNUMBER(G152)),G178+G152,"")</f>
        <v>251.514</v>
      </c>
      <c r="H184" s="59" t="n">
        <f aca="false">IF(AND(ISNUMBER(H178),ISNUMBER(H152)),H178+H152,"")</f>
        <v>367.247</v>
      </c>
      <c r="I184" s="59" t="n">
        <f aca="false">IF(AND(ISNUMBER(I178),ISNUMBER(I152)),I178+I152,"")</f>
        <v>445.842</v>
      </c>
      <c r="J184" s="59" t="n">
        <f aca="false">IF(AND(ISNUMBER(J178),ISNUMBER(J152)),J178+J152,"")</f>
        <v>118.711</v>
      </c>
      <c r="K184" s="59" t="n">
        <f aca="false">IF(AND(ISNUMBER(K178),ISNUMBER(K152)),K178+K152,"")</f>
        <v>126.99</v>
      </c>
      <c r="L184" s="59" t="n">
        <f aca="false">IF(AND(ISNUMBER(L178),ISNUMBER(L152)),L178+L152,"")</f>
        <v>121.49</v>
      </c>
      <c r="M184" s="59" t="n">
        <f aca="false">IF(AND(ISNUMBER(M178),ISNUMBER(M152)),M178+M152,"")</f>
        <v>139.043</v>
      </c>
      <c r="N184" s="59" t="n">
        <f aca="false">IF(AND(ISNUMBER(N178),ISNUMBER(N152)),N178+N152,"")</f>
        <v>506.234</v>
      </c>
      <c r="O184" s="59" t="n">
        <f aca="false">IF(AND(ISNUMBER(O178),ISNUMBER(O152)),O178+O152,"")</f>
        <v>118.661</v>
      </c>
      <c r="P184" s="59" t="n">
        <f aca="false">IF(AND(ISNUMBER(P178),ISNUMBER(P152)),P178+P152,"")</f>
        <v>137.201</v>
      </c>
      <c r="Q184" s="59" t="n">
        <f aca="false">IF(AND(ISNUMBER(Q178),ISNUMBER(Q152)),Q178+Q152,"")</f>
        <v>124.517</v>
      </c>
      <c r="R184" s="59" t="n">
        <f aca="false">IF(AND(ISNUMBER(R178),ISNUMBER(R152)),R178+R152,"")</f>
        <v>123.568</v>
      </c>
      <c r="S184" s="59" t="n">
        <f aca="false">IF(AND(ISNUMBER(S178),ISNUMBER(S152)),S178+S152,"")</f>
        <v>503.947</v>
      </c>
      <c r="T184" s="59" t="n">
        <f aca="false">IF(AND(ISNUMBER(T178),ISNUMBER(T152)),T178+T152,"")</f>
        <v>109.99</v>
      </c>
      <c r="U184" s="59" t="n">
        <f aca="false">IF(AND(ISNUMBER(U178),ISNUMBER(U152)),U178+U152,"")</f>
        <v>115.008</v>
      </c>
      <c r="V184" s="59" t="n">
        <f aca="false">IF(AND(ISNUMBER(V178),ISNUMBER(V152)),V178+V152,"")</f>
        <v>113.886</v>
      </c>
      <c r="W184" s="59" t="n">
        <f aca="false">IF(AND(ISNUMBER(W178),ISNUMBER(W152)),W178+W152,"")</f>
        <v>103.93</v>
      </c>
      <c r="X184" s="59" t="n">
        <f aca="false">IF(AND(ISNUMBER(X178),ISNUMBER(X152)),X178+X152,"")</f>
        <v>442.814</v>
      </c>
      <c r="Y184" s="59" t="n">
        <f aca="false">IF(AND(ISNUMBER(Y178),ISNUMBER(Y152)),Y178+Y152,"")</f>
        <v>92.204</v>
      </c>
      <c r="Z184" s="59" t="n">
        <f aca="false">IF(AND(ISNUMBER(Z178),ISNUMBER(Z152)),Z178+Z152,"")</f>
        <v>100.464</v>
      </c>
      <c r="AA184" s="59" t="n">
        <f aca="false">IF(AND(ISNUMBER(AA178),ISNUMBER(AA152)),AA178+AA152,"")</f>
        <v>100.014</v>
      </c>
      <c r="AB184" s="59" t="n">
        <f aca="false">IF(AND(ISNUMBER(AB178),ISNUMBER(AB152)),AB178+AB152,"")</f>
        <v>101.114</v>
      </c>
      <c r="AC184" s="59" t="n">
        <f aca="false">IF(AND(ISNUMBER(AC178),ISNUMBER(AC152)),AC178+AC152,"")</f>
        <v>393.796</v>
      </c>
      <c r="AD184" s="59" t="n">
        <f aca="false">IF(AND(ISNUMBER(AD178),ISNUMBER(AD152)),AD178+AD152,"")</f>
        <v>103.018</v>
      </c>
      <c r="AE184" s="59" t="n">
        <f aca="false">IF(AND(ISNUMBER(AE178),ISNUMBER(AE152)),AE178+AE152,"")</f>
        <v>109.356</v>
      </c>
      <c r="AF184" s="59" t="n">
        <f aca="false">IF(AND(ISNUMBER(AF178),ISNUMBER(AF152)),AF178+AF152,"")</f>
        <v>112.973</v>
      </c>
      <c r="AG184" s="59" t="n">
        <f aca="false">IF(AND(ISNUMBER(AG178),ISNUMBER(AG152)),AG178+AG152,"")</f>
        <v>113.106</v>
      </c>
      <c r="AH184" s="59" t="n">
        <f aca="false">IF(AND(ISNUMBER(AH178),ISNUMBER(AH152)),AH178+AH152,"")</f>
        <v>438.453</v>
      </c>
      <c r="AI184" s="59" t="n">
        <f aca="false">IF(AND(ISNUMBER(AI178),ISNUMBER(AI152)),AI178+AI152,"")</f>
        <v>119.613</v>
      </c>
      <c r="AJ184" s="59" t="n">
        <f aca="false">IF(AND(ISNUMBER(AJ178),ISNUMBER(AJ152)),AJ178+AJ152,"")</f>
        <v>129.594</v>
      </c>
      <c r="AK184" s="59" t="n">
        <f aca="false">IF(AND(ISNUMBER(AK178),ISNUMBER(AK152)),AK178+AK152,"")</f>
        <v>125.174</v>
      </c>
      <c r="AL184" s="59" t="n">
        <f aca="false">IF(AND(ISNUMBER(AL178),ISNUMBER(AL152)),AL178+AL152,"")</f>
        <v>120.659</v>
      </c>
      <c r="AM184" s="59" t="n">
        <f aca="false">IF(AND(ISNUMBER(AM178),ISNUMBER(AM152)),AM178+AM152,"")</f>
        <v>495.04</v>
      </c>
      <c r="AN184" s="59" t="n">
        <f aca="false">IF(AND(ISNUMBER(AN178),ISNUMBER(AN152)),AN178+AN152,"")</f>
        <v>121.467</v>
      </c>
      <c r="AO184" s="59" t="n">
        <f aca="false">IF(AND(ISNUMBER(AO178),ISNUMBER(AO152)),AO178+AO152,"")</f>
        <v>129.899</v>
      </c>
      <c r="AP184" s="59" t="n">
        <f aca="false">IF(AND(ISNUMBER(AP178),ISNUMBER(AP152)),AP178+AP152,"")</f>
        <v>114.848</v>
      </c>
      <c r="AQ184" s="59" t="n">
        <f aca="false">IF(AND(ISNUMBER(AQ178),ISNUMBER(AQ152)),AQ178+AQ152,"")</f>
        <v>116.026</v>
      </c>
      <c r="AR184" s="59" t="n">
        <f aca="false">IF(AND(ISNUMBER(AR178),ISNUMBER(AR152)),AR178+AR152,"")</f>
        <v>482.24</v>
      </c>
      <c r="AS184" s="59" t="n">
        <f aca="false">IF(AND(ISNUMBER(AS178),ISNUMBER(AS152)),AS178+AS152,"")</f>
        <v>109.738</v>
      </c>
      <c r="AT184" s="59" t="n">
        <f aca="false">IF(AND(ISNUMBER(AT178),ISNUMBER(AT152)),AT178+AT152,"")</f>
        <v>86.183</v>
      </c>
      <c r="AU184" s="59" t="n">
        <f aca="false">IF(AND(ISNUMBER(AU178),ISNUMBER(AU152)),AU178+AU152,"")</f>
        <v>107.788</v>
      </c>
      <c r="AV184" s="59" t="n">
        <f aca="false">IF(AND(ISNUMBER(AV178),ISNUMBER(AV152)),AV178+AV152,"")</f>
        <v>117.189</v>
      </c>
      <c r="AW184" s="59" t="n">
        <f aca="false">IF(AND(ISNUMBER(AW178),ISNUMBER(AW152)),AW178+AW152,"")</f>
        <v>420.898</v>
      </c>
      <c r="AX184" s="59" t="n">
        <f aca="false">IF(AND(ISNUMBER(AX178),ISNUMBER(AX152)),AX178+AX152,"")</f>
        <v>131.792</v>
      </c>
      <c r="AY184" s="59" t="n">
        <f aca="false">IF(AND(ISNUMBER(AY178),ISNUMBER(AY152)),AY178+AY152,"")</f>
        <v>147.845</v>
      </c>
      <c r="AZ184" s="59" t="n">
        <f aca="false">IF(AND(ISNUMBER(AZ178),ISNUMBER(AZ152)),AZ178+AZ152,"")</f>
        <v>146.915</v>
      </c>
      <c r="BA184" s="59" t="n">
        <f aca="false">IF(AND(ISNUMBER(BA178),ISNUMBER(BA152)),BA178+BA152,"")</f>
        <v>145.862</v>
      </c>
      <c r="BB184" s="59" t="n">
        <f aca="false">IF(AND(ISNUMBER(BB178),ISNUMBER(BB152)),BB178+BB152,"")</f>
        <v>572.414</v>
      </c>
      <c r="BC184" s="59" t="n">
        <f aca="false">IF(AND(ISNUMBER(BC178),ISNUMBER(BC152)),BC178+BC152,"")</f>
        <v>183.343</v>
      </c>
      <c r="BD184" s="59" t="n">
        <f aca="false">IF(AND(ISNUMBER(BD178),ISNUMBER(BD152)),BD178+BD152,"")</f>
        <v>186.882</v>
      </c>
      <c r="BE184" s="59" t="n">
        <f aca="false">IF(AND(ISNUMBER(BE178),ISNUMBER(BE152)),BE178+BE152,"")</f>
        <v>176.026</v>
      </c>
      <c r="BF184" s="59" t="n">
        <f aca="false">IF(AND(ISNUMBER(BF178),ISNUMBER(BF152)),BF178+BF152,"")</f>
        <v>168.759</v>
      </c>
      <c r="BG184" s="59" t="n">
        <f aca="false">IF(AND(ISNUMBER(BG178),ISNUMBER(BG152)),BG178+BG152,"")</f>
        <v>715.01</v>
      </c>
      <c r="BH184" s="59" t="n">
        <f aca="false">IF(AND(ISNUMBER(BH178),ISNUMBER(BH152)),BH178+BH152,"")</f>
        <v>192.955</v>
      </c>
      <c r="BI184" s="59" t="n">
        <f aca="false">IF(AND(ISNUMBER(BI178),ISNUMBER(BI152)),BI178+BI152,"")</f>
        <v>212.888</v>
      </c>
      <c r="BJ184" s="59" t="n">
        <f aca="false">IF(AND(ISNUMBER(BJ178),ISNUMBER(BJ152)),BJ178+BJ152,"")</f>
        <v>205.657</v>
      </c>
      <c r="BK184" s="59" t="n">
        <f aca="false">IF(AND(ISNUMBER(BK178),ISNUMBER(BK152)),BK178+BK152,"")</f>
        <v>206.575</v>
      </c>
      <c r="BL184" s="59" t="n">
        <f aca="false">IF(AND(ISNUMBER(BL178),ISNUMBER(BL152)),BL178+BL152,"")</f>
        <v>818.044000000001</v>
      </c>
      <c r="BM184" s="59" t="n">
        <f aca="false">IF(AND(ISNUMBER(BM178),ISNUMBER(BM152)),BM178+BM152,"")</f>
        <v>195.262</v>
      </c>
      <c r="BN184" s="59" t="n">
        <f aca="false">IF(AND(ISNUMBER(BN178),ISNUMBER(BN152)),BN178+BN152,"")</f>
        <v>201.884</v>
      </c>
      <c r="BO184" s="59" t="n">
        <f aca="false">IF(AND(ISNUMBER(BO178),ISNUMBER(BO152)),BO178+BO152,"")</f>
        <v>194.722</v>
      </c>
      <c r="BP184" s="59" t="n">
        <f aca="false">IF(AND(ISNUMBER(BP178),ISNUMBER(BP152)),BP178+BP152,"")</f>
        <v>209.975</v>
      </c>
      <c r="BQ184" s="59" t="n">
        <f aca="false">IF(AND(ISNUMBER(BQ178),ISNUMBER(BQ152)),BQ178+BQ152,"")</f>
        <v>801.843</v>
      </c>
      <c r="BR184" s="59" t="n">
        <f aca="false">IF(AND(ISNUMBER(BR178),ISNUMBER(BR152)),BR178+BR152,"")</f>
        <v>193.673</v>
      </c>
      <c r="BS184" s="59" t="n">
        <f aca="false">IF(AND(ISNUMBER(BS178),ISNUMBER(BS152)),BS178+BS152,"")</f>
        <v>223.611</v>
      </c>
      <c r="BT184" s="59" t="n">
        <f aca="false">IF(AND(ISNUMBER(BT178),ISNUMBER(BT152)),BT178+BT152,"")</f>
        <v>212.292</v>
      </c>
      <c r="BU184" s="59" t="n">
        <f aca="false">IF(AND(ISNUMBER(BU178),ISNUMBER(BU152)),BU178+BU152,"")</f>
        <v>221.602</v>
      </c>
      <c r="BV184" s="59" t="n">
        <f aca="false">IF(AND(ISNUMBER(BV178),ISNUMBER(BV152)),BV178+BV152,"")</f>
        <v>851.178</v>
      </c>
      <c r="BW184" s="59" t="n">
        <f aca="false">IF(AND(ISNUMBER(BW178),ISNUMBER(BW152)),BW178+BW152,"")</f>
        <v>215.553</v>
      </c>
      <c r="BX184" s="59" t="n">
        <f aca="false">IF(AND(ISNUMBER(BX178),ISNUMBER(BX152)),BX178+BX152,"")</f>
        <v>249.868</v>
      </c>
      <c r="BY184" s="59" t="n">
        <f aca="false">IF(AND(ISNUMBER(BY178),ISNUMBER(BY152)),BY178+BY152,"")</f>
        <v>240.509886624834</v>
      </c>
      <c r="BZ184" s="59" t="n">
        <f aca="false">IF(AND(ISNUMBER(BZ178),ISNUMBER(BZ152)),BZ178+BZ152,"")</f>
        <v>248.64594578172</v>
      </c>
      <c r="CA184" s="59" t="n">
        <f aca="false">IF(AND(ISNUMBER(CA178),ISNUMBER(CA152)),CA178+CA152,"")</f>
        <v>954.576832406553</v>
      </c>
      <c r="CB184" s="59" t="n">
        <f aca="false">IF(AND(ISNUMBER(CB178),ISNUMBER(CB152)),CB178+CB152,"")</f>
        <v>1036.78453855952</v>
      </c>
      <c r="CC184" s="59" t="n">
        <f aca="false">IF(AND(ISNUMBER(CC178),ISNUMBER(CC152)),CC178+CC152,"")</f>
        <v>1131.18412315021</v>
      </c>
      <c r="CD184" s="59" t="n">
        <f aca="false">IF(AND(ISNUMBER(CD178),ISNUMBER(CD152)),CD178+CD152,"")</f>
        <v>1223.42424245488</v>
      </c>
      <c r="CE184" s="59" t="n">
        <f aca="false">IF(AND(ISNUMBER(CE178),ISNUMBER(CE152)),CE178+CE152,"")</f>
        <v>1307.5109406652</v>
      </c>
      <c r="CH184" s="20" t="n">
        <f aca="false">IFERROR((CE184/BV184)^(1/5)-1,"n/m")</f>
        <v>0.0896448944216928</v>
      </c>
      <c r="CI184" s="20" t="n">
        <f aca="false">IFERROR((BV184/AW184)^(1/5)-1,"n/m")</f>
        <v>0.151247514548122</v>
      </c>
      <c r="CJ184" s="20" t="n">
        <f aca="false">IFERROR((BV184/X184)^(1/10)-1,"n/m")</f>
        <v>0.0675295481539997</v>
      </c>
      <c r="CK184" s="20" t="n">
        <f aca="false">IFERROR((BV184/C184)^(1/19)-1,"n/m")</f>
        <v>0.0593247938531152</v>
      </c>
    </row>
    <row r="185" customFormat="false" ht="15" hidden="false" customHeight="false" outlineLevel="0" collapsed="false">
      <c r="B185" s="21" t="s">
        <v>329</v>
      </c>
      <c r="C185" s="22" t="n">
        <f aca="false">IF(AND(ISNUMBER(C184),ISNUMBER(C133)),IFERROR(C184/C133,""),"")</f>
        <v>0.144403790224224</v>
      </c>
      <c r="D185" s="22" t="n">
        <f aca="false">IF(AND(ISNUMBER(D184),ISNUMBER(D133)),IFERROR(D184/D133,""),"")</f>
        <v>0.150261927477569</v>
      </c>
      <c r="E185" s="22" t="n">
        <f aca="false">IF(AND(ISNUMBER(E184),ISNUMBER(E133)),IFERROR(E184/E133,""),"")</f>
        <v>0.153043546307154</v>
      </c>
      <c r="F185" s="22" t="n">
        <f aca="false">IF(AND(ISNUMBER(F184),ISNUMBER(F133)),IFERROR(F184/F133,""),"")</f>
        <v>0.103376829151933</v>
      </c>
      <c r="G185" s="22" t="n">
        <f aca="false">IF(AND(ISNUMBER(G184),ISNUMBER(G133)),IFERROR(G184/G133,""),"")</f>
        <v>0.12149425265147</v>
      </c>
      <c r="H185" s="22" t="n">
        <f aca="false">IF(AND(ISNUMBER(H184),ISNUMBER(H133)),IFERROR(H184/H133,""),"")</f>
        <v>0.136289532173313</v>
      </c>
      <c r="I185" s="22" t="n">
        <f aca="false">IF(AND(ISNUMBER(I184),ISNUMBER(I133)),IFERROR(I184/I133,""),"")</f>
        <v>0.15625119376512</v>
      </c>
      <c r="J185" s="22" t="n">
        <f aca="false">IF(AND(ISNUMBER(J184),ISNUMBER(J133)),IFERROR(J184/J133,""),"")</f>
        <v>0.165203813669592</v>
      </c>
      <c r="K185" s="22" t="n">
        <f aca="false">IF(AND(ISNUMBER(K184),ISNUMBER(K133)),IFERROR(K184/K133,""),"")</f>
        <v>0.174573018508947</v>
      </c>
      <c r="L185" s="22" t="n">
        <f aca="false">IF(AND(ISNUMBER(L184),ISNUMBER(L133)),IFERROR(L184/L133,""),"")</f>
        <v>0.175595302619693</v>
      </c>
      <c r="M185" s="22" t="n">
        <f aca="false">IF(AND(ISNUMBER(M184),ISNUMBER(M133)),IFERROR(M184/M133,""),"")</f>
        <v>0.194522594716498</v>
      </c>
      <c r="N185" s="22" t="n">
        <f aca="false">IF(AND(ISNUMBER(N184),ISNUMBER(N133)),IFERROR(N184/N133,""),"")</f>
        <v>0.17745965097272</v>
      </c>
      <c r="O185" s="22" t="n">
        <f aca="false">IF(AND(ISNUMBER(O184),ISNUMBER(O133)),IFERROR(O184/O133,""),"")</f>
        <v>0.173212059638398</v>
      </c>
      <c r="P185" s="22" t="n">
        <f aca="false">IF(AND(ISNUMBER(P184),ISNUMBER(P133)),IFERROR(P184/P133,""),"")</f>
        <v>0.188325548260815</v>
      </c>
      <c r="Q185" s="22" t="n">
        <f aca="false">IF(AND(ISNUMBER(Q184),ISNUMBER(Q133)),IFERROR(Q184/Q133,""),"")</f>
        <v>0.173960605048779</v>
      </c>
      <c r="R185" s="22" t="n">
        <f aca="false">IF(AND(ISNUMBER(R184),ISNUMBER(R133)),IFERROR(R184/R133,""),"")</f>
        <v>0.180667120888247</v>
      </c>
      <c r="S185" s="22" t="n">
        <f aca="false">IF(AND(ISNUMBER(S184),ISNUMBER(S133)),IFERROR(S184/S133,""),"")</f>
        <v>0.179128674834466</v>
      </c>
      <c r="T185" s="22" t="n">
        <f aca="false">IF(AND(ISNUMBER(T184),ISNUMBER(T133)),IFERROR(T184/T133,""),"")</f>
        <v>0.1671834625323</v>
      </c>
      <c r="U185" s="22" t="n">
        <f aca="false">IF(AND(ISNUMBER(U184),ISNUMBER(U133)),IFERROR(U184/U133,""),"")</f>
        <v>0.173012004693564</v>
      </c>
      <c r="V185" s="22" t="n">
        <f aca="false">IF(AND(ISNUMBER(V184),ISNUMBER(V133)),IFERROR(V184/V133,""),"")</f>
        <v>0.176522011389317</v>
      </c>
      <c r="W185" s="22" t="n">
        <f aca="false">IF(AND(ISNUMBER(W184),ISNUMBER(W133)),IFERROR(W184/W133,""),"")</f>
        <v>0.182980184335854</v>
      </c>
      <c r="X185" s="22" t="n">
        <f aca="false">IF(AND(ISNUMBER(X184),ISNUMBER(X133)),IFERROR(X184/X133,""),"")</f>
        <v>0.174625590200454</v>
      </c>
      <c r="Y185" s="22" t="n">
        <f aca="false">IF(AND(ISNUMBER(Y184),ISNUMBER(Y133)),IFERROR(Y184/Y133,""),"")</f>
        <v>0.167423854503724</v>
      </c>
      <c r="Z185" s="22" t="n">
        <f aca="false">IF(AND(ISNUMBER(Z184),ISNUMBER(Z133)),IFERROR(Z184/Z133,""),"")</f>
        <v>0.169582963380586</v>
      </c>
      <c r="AA185" s="22" t="n">
        <f aca="false">IF(AND(ISNUMBER(AA184),ISNUMBER(AA133)),IFERROR(AA184/AA133,""),"")</f>
        <v>0.176190794967286</v>
      </c>
      <c r="AB185" s="22" t="n">
        <f aca="false">IF(AND(ISNUMBER(AB184),ISNUMBER(AB133)),IFERROR(AB184/AB133,""),"")</f>
        <v>0.179334832608526</v>
      </c>
      <c r="AC185" s="22" t="n">
        <f aca="false">IF(AND(ISNUMBER(AC184),ISNUMBER(AC133)),IFERROR(AC184/AC133,""),"")</f>
        <v>0.173126517290406</v>
      </c>
      <c r="AD185" s="22" t="n">
        <f aca="false">IF(AND(ISNUMBER(AD184),ISNUMBER(AD133)),IFERROR(AD184/AD133,""),"")</f>
        <v>0.177342971301281</v>
      </c>
      <c r="AE185" s="22" t="n">
        <f aca="false">IF(AND(ISNUMBER(AE184),ISNUMBER(AE133)),IFERROR(AE184/AE133,""),"")</f>
        <v>0.174450992090713</v>
      </c>
      <c r="AF185" s="22" t="n">
        <f aca="false">IF(AND(ISNUMBER(AF184),ISNUMBER(AF133)),IFERROR(AF184/AF133,""),"")</f>
        <v>0.16874461344514</v>
      </c>
      <c r="AG185" s="22" t="n">
        <f aca="false">IF(AND(ISNUMBER(AG184),ISNUMBER(AG133)),IFERROR(AG184/AG133,""),"")</f>
        <v>0.151376165206743</v>
      </c>
      <c r="AH185" s="22" t="n">
        <f aca="false">IF(AND(ISNUMBER(AH184),ISNUMBER(AH133)),IFERROR(AH184/AH133,""),"")</f>
        <v>0.167065927814448</v>
      </c>
      <c r="AI185" s="22" t="n">
        <f aca="false">IF(AND(ISNUMBER(AI184),ISNUMBER(AI133)),IFERROR(AI184/AI133,""),"")</f>
        <v>0.157864103809443</v>
      </c>
      <c r="AJ185" s="22" t="n">
        <f aca="false">IF(AND(ISNUMBER(AJ184),ISNUMBER(AJ133)),IFERROR(AJ184/AJ133,""),"")</f>
        <v>0.164032240915788</v>
      </c>
      <c r="AK185" s="22" t="n">
        <f aca="false">IF(AND(ISNUMBER(AK184),ISNUMBER(AK133)),IFERROR(AK184/AK133,""),"")</f>
        <v>0.16981979354198</v>
      </c>
      <c r="AL185" s="22" t="n">
        <f aca="false">IF(AND(ISNUMBER(AL184),ISNUMBER(AL133)),IFERROR(AL184/AL133,""),"")</f>
        <v>0.162213794336586</v>
      </c>
      <c r="AM185" s="22" t="n">
        <f aca="false">IF(AND(ISNUMBER(AM184),ISNUMBER(AM133)),IFERROR(AM184/AM133,""),"")</f>
        <v>0.163451068025149</v>
      </c>
      <c r="AN185" s="22" t="n">
        <f aca="false">IF(AND(ISNUMBER(AN184),ISNUMBER(AN133)),IFERROR(AN184/AN133,""),"")</f>
        <v>0.159998893534289</v>
      </c>
      <c r="AO185" s="22" t="n">
        <f aca="false">IF(AND(ISNUMBER(AO184),ISNUMBER(AO133)),IFERROR(AO184/AO133,""),"")</f>
        <v>0.167178458909046</v>
      </c>
      <c r="AP185" s="22" t="n">
        <f aca="false">IF(AND(ISNUMBER(AP184),ISNUMBER(AP133)),IFERROR(AP184/AP133,""),"")</f>
        <v>0.15715745987523</v>
      </c>
      <c r="AQ185" s="22" t="n">
        <f aca="false">IF(AND(ISNUMBER(AQ184),ISNUMBER(AQ133)),IFERROR(AQ184/AQ133,""),"")</f>
        <v>0.157578292750171</v>
      </c>
      <c r="AR185" s="22" t="n">
        <f aca="false">IF(AND(ISNUMBER(AR184),ISNUMBER(AR133)),IFERROR(AR184/AR133,""),"")</f>
        <v>0.160571536644034</v>
      </c>
      <c r="AS185" s="22" t="n">
        <f aca="false">IF(AND(ISNUMBER(AS184),ISNUMBER(AS133)),IFERROR(AS184/AS133,""),"")</f>
        <v>0.156323941475033</v>
      </c>
      <c r="AT185" s="22" t="n">
        <f aca="false">IF(AND(ISNUMBER(AT184),ISNUMBER(AT133)),IFERROR(AT184/AT133,""),"")</f>
        <v>0.14589311136955</v>
      </c>
      <c r="AU185" s="22" t="n">
        <f aca="false">IF(AND(ISNUMBER(AU184),ISNUMBER(AU133)),IFERROR(AU184/AU133,""),"")</f>
        <v>0.161145064644604</v>
      </c>
      <c r="AV185" s="22" t="n">
        <f aca="false">IF(AND(ISNUMBER(AV184),ISNUMBER(AV133)),IFERROR(AV184/AV133,""),"")</f>
        <v>0.168910368207278</v>
      </c>
      <c r="AW185" s="22" t="n">
        <f aca="false">IF(AND(ISNUMBER(AW184),ISNUMBER(AW133)),IFERROR(AW184/AW133,""),"")</f>
        <v>0.158506439707765</v>
      </c>
      <c r="AX185" s="22" t="n">
        <f aca="false">IF(AND(ISNUMBER(AX184),ISNUMBER(AX133)),IFERROR(AX184/AX133,""),"")</f>
        <v>0.174092924766948</v>
      </c>
      <c r="AY185" s="22" t="n">
        <f aca="false">IF(AND(ISNUMBER(AY184),ISNUMBER(AY133)),IFERROR(AY184/AY133,""),"")</f>
        <v>0.178890779160123</v>
      </c>
      <c r="AZ185" s="22" t="n">
        <f aca="false">IF(AND(ISNUMBER(AZ184),ISNUMBER(AZ133)),IFERROR(AZ184/AZ133,""),"")</f>
        <v>0.18217406076478</v>
      </c>
      <c r="BA185" s="22" t="n">
        <f aca="false">IF(AND(ISNUMBER(BA184),ISNUMBER(BA133)),IFERROR(BA184/BA133,""),"")</f>
        <v>0.172770893963999</v>
      </c>
      <c r="BB185" s="22" t="n">
        <f aca="false">IF(AND(ISNUMBER(BB184),ISNUMBER(BB133)),IFERROR(BB184/BB133,""),"")</f>
        <v>0.176988912181759</v>
      </c>
      <c r="BC185" s="22" t="n">
        <f aca="false">IF(AND(ISNUMBER(BC184),ISNUMBER(BC133)),IFERROR(BC184/BC133,""),"")</f>
        <v>0.198112697850122</v>
      </c>
      <c r="BD185" s="22" t="n">
        <f aca="false">IF(AND(ISNUMBER(BD184),ISNUMBER(BD133)),IFERROR(BD184/BD133,""),"")</f>
        <v>0.192743523286671</v>
      </c>
      <c r="BE185" s="22" t="n">
        <f aca="false">IF(AND(ISNUMBER(BE184),ISNUMBER(BE133)),IFERROR(BE184/BE133,""),"")</f>
        <v>0.188214789786579</v>
      </c>
      <c r="BF185" s="22" t="n">
        <f aca="false">IF(AND(ISNUMBER(BF184),ISNUMBER(BF133)),IFERROR(BF184/BF133,""),"")</f>
        <v>0.181279231395566</v>
      </c>
      <c r="BG185" s="22" t="n">
        <f aca="false">IF(AND(ISNUMBER(BG184),ISNUMBER(BG133)),IFERROR(BG184/BG133,""),"")</f>
        <v>0.190101007361725</v>
      </c>
      <c r="BH185" s="22" t="n">
        <f aca="false">IF(AND(ISNUMBER(BH184),ISNUMBER(BH133)),IFERROR(BH184/BH133,""),"")</f>
        <v>0.185650935254291</v>
      </c>
      <c r="BI185" s="22" t="n">
        <f aca="false">IF(AND(ISNUMBER(BI184),ISNUMBER(BI133)),IFERROR(BI184/BI133,""),"")</f>
        <v>0.200730742575891</v>
      </c>
      <c r="BJ185" s="22" t="n">
        <f aca="false">IF(AND(ISNUMBER(BJ184),ISNUMBER(BJ133)),IFERROR(BJ184/BJ133,""),"")</f>
        <v>0.199045889815663</v>
      </c>
      <c r="BK185" s="22" t="n">
        <f aca="false">IF(AND(ISNUMBER(BK184),ISNUMBER(BK133)),IFERROR(BK184/BK133,""),"")</f>
        <v>0.19515566161619</v>
      </c>
      <c r="BL185" s="22" t="n">
        <f aca="false">IF(AND(ISNUMBER(BL184),ISNUMBER(BL133)),IFERROR(BL184/BL133,""),"")</f>
        <v>0.195161030203959</v>
      </c>
      <c r="BM185" s="22" t="n">
        <f aca="false">IF(AND(ISNUMBER(BM184),ISNUMBER(BM133)),IFERROR(BM184/BM133,""),"")</f>
        <v>0.199003869763157</v>
      </c>
      <c r="BN185" s="22" t="n">
        <f aca="false">IF(AND(ISNUMBER(BN184),ISNUMBER(BN133)),IFERROR(BN184/BN133,""),"")</f>
        <v>0.197599451101761</v>
      </c>
      <c r="BO185" s="22" t="n">
        <f aca="false">IF(AND(ISNUMBER(BO184),ISNUMBER(BO133)),IFERROR(BO184/BO133,""),"")</f>
        <v>0.197936689778696</v>
      </c>
      <c r="BP185" s="22" t="n">
        <f aca="false">IF(AND(ISNUMBER(BP184),ISNUMBER(BP133)),IFERROR(BP184/BP133,""),"")</f>
        <v>0.20544875840361</v>
      </c>
      <c r="BQ185" s="22" t="n">
        <f aca="false">IF(AND(ISNUMBER(BQ184),ISNUMBER(BQ133)),IFERROR(BQ184/BQ133,""),"")</f>
        <v>0.20002719106337</v>
      </c>
      <c r="BR185" s="22" t="n">
        <f aca="false">IF(AND(ISNUMBER(BR184),ISNUMBER(BR133)),IFERROR(BR184/BR133,""),"")</f>
        <v>0.192826875669562</v>
      </c>
      <c r="BS185" s="22" t="n">
        <f aca="false">IF(AND(ISNUMBER(BS184),ISNUMBER(BS133)),IFERROR(BS184/BS133,""),"")</f>
        <v>0.205397764066896</v>
      </c>
      <c r="BT185" s="22" t="n">
        <f aca="false">IF(AND(ISNUMBER(BT184),ISNUMBER(BT133)),IFERROR(BT184/BT133,""),"")</f>
        <v>0.200043911434594</v>
      </c>
      <c r="BU185" s="22" t="n">
        <f aca="false">IF(AND(ISNUMBER(BU184),ISNUMBER(BU133)),IFERROR(BU184/BU133,""),"")</f>
        <v>0.205431462434471</v>
      </c>
      <c r="BV185" s="22" t="n">
        <f aca="false">IF(AND(ISNUMBER(BV184),ISNUMBER(BV133)),IFERROR(BV184/BV133,""),"")</f>
        <v>0.201081359970687</v>
      </c>
      <c r="BW185" s="22" t="n">
        <f aca="false">IF(AND(ISNUMBER(BW184),ISNUMBER(BW133)),IFERROR(BW184/BW133,""),"")</f>
        <v>0.192211935789355</v>
      </c>
      <c r="BX185" s="22" t="n">
        <f aca="false">IF(AND(ISNUMBER(BX184),ISNUMBER(BX133)),IFERROR(BX184/BX133,""),"")</f>
        <v>0.204866426217734</v>
      </c>
      <c r="BY185" s="23" t="n">
        <f aca="false">IF(AND(ISNUMBER(BY184),ISNUMBER(BY133)),IFERROR(BY184/BY133,""),"")</f>
        <v>0.202602482283901</v>
      </c>
      <c r="BZ185" s="23" t="n">
        <f aca="false">IF(AND(ISNUMBER(BZ184),ISNUMBER(BZ133)),IFERROR(BZ184/BZ133,""),"")</f>
        <v>0.208665793382041</v>
      </c>
      <c r="CA185" s="23" t="n">
        <f aca="false">IF(AND(ISNUMBER(CA184),ISNUMBER(CA133)),IFERROR(CA184/CA133,""),"")</f>
        <v>0.202249495133156</v>
      </c>
      <c r="CB185" s="23" t="n">
        <f aca="false">IF(AND(ISNUMBER(CB184),ISNUMBER(CB133)),IFERROR(CB184/CB133,""),"")</f>
        <v>0.206567898469492</v>
      </c>
      <c r="CC185" s="23" t="n">
        <f aca="false">IF(AND(ISNUMBER(CC184),ISNUMBER(CC133)),IFERROR(CC184/CC133,""),"")</f>
        <v>0.209548667328957</v>
      </c>
      <c r="CD185" s="23" t="n">
        <f aca="false">IF(AND(ISNUMBER(CD184),ISNUMBER(CD133)),IFERROR(CD184/CD133,""),"")</f>
        <v>0.211722052911343</v>
      </c>
      <c r="CE185" s="23" t="n">
        <f aca="false">IF(AND(ISNUMBER(CE184),ISNUMBER(CE133)),IFERROR(CE184/CE133,""),"")</f>
        <v>0.211714389223848</v>
      </c>
      <c r="CH185" s="41" t="n">
        <f aca="false">IFERROR(AVERAGE(CA185,CB185,CC185,CD185,CE185),"n/m")</f>
        <v>0.208360500613359</v>
      </c>
      <c r="CI185" s="41" t="n">
        <f aca="false">IFERROR(AVERAGE(BB185,BG185,BL185,BQ185,BV185),"n/m")</f>
        <v>0.1926719001563</v>
      </c>
      <c r="CJ185" s="41" t="n">
        <f aca="false">IFERROR(AVERAGE(AC185,AH185,AM185,AR185,AW185,BB185,BG185,BL185,BQ185,BV185),"n/m")</f>
        <v>0.17860809902633</v>
      </c>
      <c r="CK185" s="41" t="n">
        <f aca="false">IFERROR(AVERAGE(C185,D185,E185,F185,G185,H185,I185,N185,S185,X185,AC185,AH185,AM185,AR185,AW185,BB185,BG185,BL185,BQ185,BV185),"n/m")</f>
        <v>0.164120798901086</v>
      </c>
    </row>
    <row r="187" customFormat="false" ht="15" hidden="false" customHeight="false" outlineLevel="0" collapsed="false">
      <c r="B187" s="10" t="s">
        <v>330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</row>
    <row r="188" customFormat="false" ht="15" hidden="false" customHeight="false" outlineLevel="0" collapsed="false">
      <c r="B188" s="26" t="s">
        <v>331</v>
      </c>
      <c r="C188" s="57" t="n">
        <f aca="false">C140</f>
        <v>232.97</v>
      </c>
      <c r="D188" s="57" t="n">
        <f aca="false">D140</f>
        <v>277.632</v>
      </c>
      <c r="E188" s="57" t="n">
        <f aca="false">E140</f>
        <v>295.404</v>
      </c>
      <c r="F188" s="57" t="n">
        <f aca="false">F140</f>
        <v>92.9760000000001</v>
      </c>
      <c r="G188" s="57" t="n">
        <f aca="false">G140</f>
        <v>186.43</v>
      </c>
      <c r="H188" s="57" t="n">
        <f aca="false">H140</f>
        <v>296.68</v>
      </c>
      <c r="I188" s="57" t="n">
        <f aca="false">I140</f>
        <v>362.081</v>
      </c>
      <c r="J188" s="57" t="n">
        <f aca="false">J140</f>
        <v>88.63</v>
      </c>
      <c r="K188" s="57" t="n">
        <f aca="false">K140</f>
        <v>104.272</v>
      </c>
      <c r="L188" s="57" t="n">
        <f aca="false">L140</f>
        <v>95.178</v>
      </c>
      <c r="M188" s="57" t="n">
        <f aca="false">M140</f>
        <v>118.905</v>
      </c>
      <c r="N188" s="57" t="n">
        <f aca="false">N140</f>
        <v>406.985</v>
      </c>
      <c r="O188" s="57" t="n">
        <f aca="false">O140</f>
        <v>80.438</v>
      </c>
      <c r="P188" s="57" t="n">
        <f aca="false">P140</f>
        <v>112.275</v>
      </c>
      <c r="Q188" s="57" t="n">
        <f aca="false">Q140</f>
        <v>76.117</v>
      </c>
      <c r="R188" s="57" t="n">
        <f aca="false">R140</f>
        <v>104.917</v>
      </c>
      <c r="S188" s="57" t="n">
        <f aca="false">S140</f>
        <v>373.747</v>
      </c>
      <c r="T188" s="57" t="n">
        <f aca="false">T140</f>
        <v>90.499</v>
      </c>
      <c r="U188" s="57" t="n">
        <f aca="false">U140</f>
        <v>96.787</v>
      </c>
      <c r="V188" s="57" t="n">
        <f aca="false">V140</f>
        <v>-84.0209999999999</v>
      </c>
      <c r="W188" s="57" t="n">
        <f aca="false">W140</f>
        <v>78.435</v>
      </c>
      <c r="X188" s="57" t="n">
        <f aca="false">X140</f>
        <v>181.7</v>
      </c>
      <c r="Y188" s="57" t="n">
        <f aca="false">Y140</f>
        <v>75.292</v>
      </c>
      <c r="Z188" s="57" t="n">
        <f aca="false">Z140</f>
        <v>48.082</v>
      </c>
      <c r="AA188" s="57" t="n">
        <f aca="false">AA140</f>
        <v>81.829</v>
      </c>
      <c r="AB188" s="57" t="n">
        <f aca="false">AB140</f>
        <v>83.071</v>
      </c>
      <c r="AC188" s="57" t="n">
        <f aca="false">AC140</f>
        <v>288.274</v>
      </c>
      <c r="AD188" s="57" t="n">
        <f aca="false">AD140</f>
        <v>81.4860000000001</v>
      </c>
      <c r="AE188" s="57" t="n">
        <f aca="false">AE140</f>
        <v>87.6419999999999</v>
      </c>
      <c r="AF188" s="57" t="n">
        <f aca="false">AF140</f>
        <v>133.07</v>
      </c>
      <c r="AG188" s="57" t="n">
        <f aca="false">AG140</f>
        <v>75.513</v>
      </c>
      <c r="AH188" s="57" t="n">
        <f aca="false">AH140</f>
        <v>377.711</v>
      </c>
      <c r="AI188" s="57" t="n">
        <f aca="false">AI140</f>
        <v>85.188</v>
      </c>
      <c r="AJ188" s="57" t="n">
        <f aca="false">AJ140</f>
        <v>94.634</v>
      </c>
      <c r="AK188" s="57" t="n">
        <f aca="false">AK140</f>
        <v>100.787</v>
      </c>
      <c r="AL188" s="57" t="n">
        <f aca="false">AL140</f>
        <v>94.93</v>
      </c>
      <c r="AM188" s="57" t="n">
        <f aca="false">AM140</f>
        <v>375.539</v>
      </c>
      <c r="AN188" s="57" t="n">
        <f aca="false">AN140</f>
        <v>94.478</v>
      </c>
      <c r="AO188" s="57" t="n">
        <f aca="false">AO140</f>
        <v>105.186</v>
      </c>
      <c r="AP188" s="57" t="n">
        <f aca="false">AP140</f>
        <v>88.544</v>
      </c>
      <c r="AQ188" s="57" t="n">
        <f aca="false">AQ140</f>
        <v>82.702</v>
      </c>
      <c r="AR188" s="57" t="n">
        <f aca="false">AR140</f>
        <v>370.91</v>
      </c>
      <c r="AS188" s="57" t="n">
        <f aca="false">AS140</f>
        <v>81.074</v>
      </c>
      <c r="AT188" s="57" t="n">
        <f aca="false">AT140</f>
        <v>39.764</v>
      </c>
      <c r="AU188" s="57" t="n">
        <f aca="false">AU140</f>
        <v>77.7930000000001</v>
      </c>
      <c r="AV188" s="57" t="n">
        <f aca="false">AV140</f>
        <v>83.44</v>
      </c>
      <c r="AW188" s="57" t="n">
        <f aca="false">AW140</f>
        <v>282.071</v>
      </c>
      <c r="AX188" s="57" t="n">
        <f aca="false">AX140</f>
        <v>103.928</v>
      </c>
      <c r="AY188" s="57" t="n">
        <f aca="false">AY140</f>
        <v>121.822</v>
      </c>
      <c r="AZ188" s="57" t="n">
        <f aca="false">AZ140</f>
        <v>115.57</v>
      </c>
      <c r="BA188" s="57" t="n">
        <f aca="false">BA140</f>
        <v>120.349</v>
      </c>
      <c r="BB188" s="57" t="n">
        <f aca="false">BB140</f>
        <v>461.669</v>
      </c>
      <c r="BC188" s="57" t="n">
        <f aca="false">BC140</f>
        <v>161.206</v>
      </c>
      <c r="BD188" s="57" t="n">
        <f aca="false">BD140</f>
        <v>167.533</v>
      </c>
      <c r="BE188" s="57" t="n">
        <f aca="false">BE140</f>
        <v>142.109</v>
      </c>
      <c r="BF188" s="57" t="n">
        <f aca="false">BF140</f>
        <v>141.488</v>
      </c>
      <c r="BG188" s="57" t="n">
        <f aca="false">BG140</f>
        <v>612.336</v>
      </c>
      <c r="BH188" s="57" t="n">
        <f aca="false">BH140</f>
        <v>164.364</v>
      </c>
      <c r="BI188" s="57" t="n">
        <f aca="false">BI140</f>
        <v>178.013</v>
      </c>
      <c r="BJ188" s="57" t="n">
        <f aca="false">BJ140</f>
        <v>171.441</v>
      </c>
      <c r="BK188" s="57" t="n">
        <f aca="false">BK140</f>
        <v>204.031</v>
      </c>
      <c r="BL188" s="57" t="n">
        <f aca="false">BL140</f>
        <v>717.849000000001</v>
      </c>
      <c r="BM188" s="57" t="n">
        <f aca="false">BM140</f>
        <v>165.047</v>
      </c>
      <c r="BN188" s="57" t="n">
        <f aca="false">BN140</f>
        <v>148.838</v>
      </c>
      <c r="BO188" s="57" t="n">
        <f aca="false">BO140</f>
        <v>145.56</v>
      </c>
      <c r="BP188" s="57" t="n">
        <f aca="false">BP140</f>
        <v>177.017</v>
      </c>
      <c r="BQ188" s="57" t="n">
        <f aca="false">BQ140</f>
        <v>636.462</v>
      </c>
      <c r="BR188" s="57" t="n">
        <f aca="false">BR140</f>
        <v>164.918</v>
      </c>
      <c r="BS188" s="57" t="n">
        <f aca="false">BS140</f>
        <v>192.144</v>
      </c>
      <c r="BT188" s="57" t="n">
        <f aca="false">BT140</f>
        <v>176.657</v>
      </c>
      <c r="BU188" s="57" t="n">
        <f aca="false">BU140</f>
        <v>184.34</v>
      </c>
      <c r="BV188" s="57" t="n">
        <f aca="false">BV140</f>
        <v>718.059</v>
      </c>
      <c r="BW188" s="57" t="n">
        <f aca="false">BW140</f>
        <v>186.158</v>
      </c>
      <c r="BX188" s="57" t="n">
        <f aca="false">BX140</f>
        <v>220.644</v>
      </c>
      <c r="BY188" s="51" t="n">
        <f aca="false">BY140</f>
        <v>212.069665861874</v>
      </c>
      <c r="BZ188" s="51" t="n">
        <f aca="false">BZ140</f>
        <v>220.109983488125</v>
      </c>
      <c r="CA188" s="51" t="n">
        <f aca="false">CA140</f>
        <v>838.98164935</v>
      </c>
      <c r="CB188" s="51" t="n">
        <f aca="false">CB140</f>
        <v>901.220283169161</v>
      </c>
      <c r="CC188" s="51" t="n">
        <f aca="false">CC140</f>
        <v>980.400687002238</v>
      </c>
      <c r="CD188" s="51" t="n">
        <f aca="false">CD140</f>
        <v>1057.13500697477</v>
      </c>
      <c r="CE188" s="51" t="n">
        <f aca="false">CE140</f>
        <v>1125.05157404797</v>
      </c>
    </row>
    <row r="189" customFormat="false" ht="15" hidden="false" customHeight="false" outlineLevel="0" collapsed="false">
      <c r="B189" s="37" t="s">
        <v>332</v>
      </c>
      <c r="C189" s="48" t="n">
        <v>0</v>
      </c>
      <c r="D189" s="48" t="n">
        <v>0</v>
      </c>
      <c r="E189" s="48" t="n">
        <v>0</v>
      </c>
      <c r="F189" s="48" t="n">
        <v>2.276</v>
      </c>
      <c r="G189" s="48" t="n">
        <v>0</v>
      </c>
      <c r="H189" s="48" t="n">
        <v>0</v>
      </c>
      <c r="I189" s="48" t="n">
        <v>0</v>
      </c>
      <c r="J189" s="48" t="n">
        <v>0</v>
      </c>
      <c r="K189" s="48" t="n">
        <v>0</v>
      </c>
      <c r="L189" s="48" t="n">
        <v>0</v>
      </c>
      <c r="M189" s="48" t="n">
        <v>0</v>
      </c>
      <c r="N189" s="48" t="n">
        <v>0</v>
      </c>
      <c r="O189" s="48" t="n">
        <v>0</v>
      </c>
      <c r="P189" s="48" t="n">
        <v>0</v>
      </c>
      <c r="Q189" s="48" t="n">
        <v>0</v>
      </c>
      <c r="R189" s="48" t="n">
        <v>0</v>
      </c>
      <c r="S189" s="48" t="n">
        <v>0</v>
      </c>
      <c r="T189" s="48" t="n">
        <v>0</v>
      </c>
      <c r="U189" s="48" t="n">
        <v>0</v>
      </c>
      <c r="V189" s="48" t="n">
        <v>0</v>
      </c>
      <c r="W189" s="48" t="n">
        <v>0</v>
      </c>
      <c r="X189" s="48" t="n">
        <v>0</v>
      </c>
      <c r="Y189" s="48" t="n">
        <v>0</v>
      </c>
      <c r="Z189" s="48" t="n">
        <v>0</v>
      </c>
      <c r="AA189" s="48" t="n">
        <v>0</v>
      </c>
      <c r="AB189" s="48" t="n">
        <v>0</v>
      </c>
      <c r="AC189" s="48" t="n">
        <v>0</v>
      </c>
      <c r="AD189" s="48" t="n">
        <v>0</v>
      </c>
      <c r="AE189" s="48" t="n">
        <v>0</v>
      </c>
      <c r="AF189" s="48" t="n">
        <v>0</v>
      </c>
      <c r="AG189" s="48" t="n">
        <v>0</v>
      </c>
      <c r="AH189" s="48" t="n">
        <v>0</v>
      </c>
      <c r="AI189" s="48" t="n">
        <v>0.758</v>
      </c>
      <c r="AJ189" s="48" t="n">
        <v>0</v>
      </c>
      <c r="AK189" s="48" t="n">
        <v>4.232</v>
      </c>
      <c r="AL189" s="48" t="n">
        <v>1.696</v>
      </c>
      <c r="AM189" s="48" t="n">
        <v>6.686</v>
      </c>
      <c r="AN189" s="48" t="n">
        <v>0</v>
      </c>
      <c r="AO189" s="48" t="n">
        <v>-0.509</v>
      </c>
      <c r="AP189" s="48" t="n">
        <v>-7.601</v>
      </c>
      <c r="AQ189" s="48" t="n">
        <v>0</v>
      </c>
      <c r="AR189" s="48" t="n">
        <v>-8.11</v>
      </c>
      <c r="AS189" s="48" t="n">
        <v>0</v>
      </c>
      <c r="AT189" s="48" t="n">
        <v>3.334</v>
      </c>
      <c r="AU189" s="48" t="n">
        <v>3.188</v>
      </c>
      <c r="AV189" s="48" t="n">
        <v>1.597</v>
      </c>
      <c r="AW189" s="48" t="n">
        <v>8.119</v>
      </c>
      <c r="AX189" s="48" t="n">
        <v>4.886</v>
      </c>
      <c r="AY189" s="48" t="n">
        <v>1.65</v>
      </c>
      <c r="AZ189" s="48" t="n">
        <v>73.562</v>
      </c>
      <c r="BA189" s="48" t="n">
        <v>46.404</v>
      </c>
      <c r="BB189" s="48" t="n">
        <v>126.502</v>
      </c>
      <c r="BC189" s="48" t="n">
        <v>-4.273</v>
      </c>
      <c r="BD189" s="48" t="n">
        <v>0</v>
      </c>
      <c r="BE189" s="48" t="n">
        <v>0</v>
      </c>
      <c r="BF189" s="48" t="n">
        <v>0</v>
      </c>
      <c r="BG189" s="48" t="n">
        <v>-4.273</v>
      </c>
      <c r="BH189" s="48" t="n">
        <v>-1.646</v>
      </c>
      <c r="BI189" s="48" t="n">
        <v>0</v>
      </c>
      <c r="BJ189" s="48" t="n">
        <v>0</v>
      </c>
      <c r="BK189" s="48" t="n">
        <v>0.845</v>
      </c>
      <c r="BL189" s="48" t="n">
        <v>-0.801</v>
      </c>
      <c r="BM189" s="48" t="n">
        <v>0</v>
      </c>
      <c r="BN189" s="48" t="n">
        <v>4.95</v>
      </c>
      <c r="BO189" s="48" t="n">
        <v>3.966</v>
      </c>
      <c r="BP189" s="48" t="n">
        <v>-0.174</v>
      </c>
      <c r="BQ189" s="48" t="n">
        <v>8.742</v>
      </c>
      <c r="BR189" s="48" t="n">
        <v>0</v>
      </c>
      <c r="BS189" s="48" t="n">
        <v>0</v>
      </c>
      <c r="BT189" s="48" t="n">
        <v>0</v>
      </c>
      <c r="BU189" s="48" t="n">
        <v>0.719</v>
      </c>
      <c r="BV189" s="48" t="n">
        <v>0.719</v>
      </c>
      <c r="BW189" s="48" t="n">
        <v>0</v>
      </c>
      <c r="BX189" s="48" t="n">
        <v>0</v>
      </c>
      <c r="BY189" s="55" t="n">
        <v>0</v>
      </c>
      <c r="BZ189" s="55" t="n">
        <v>0</v>
      </c>
      <c r="CA189" s="56" t="n">
        <f aca="false">SUM(BW189:BZ189)</f>
        <v>0</v>
      </c>
      <c r="CB189" s="55" t="n">
        <v>0</v>
      </c>
      <c r="CC189" s="55" t="n">
        <v>0</v>
      </c>
      <c r="CD189" s="55" t="n">
        <v>0</v>
      </c>
      <c r="CE189" s="55" t="n">
        <v>0</v>
      </c>
    </row>
    <row r="190" customFormat="false" ht="15" hidden="false" customHeight="false" outlineLevel="0" collapsed="false">
      <c r="B190" s="26" t="s">
        <v>333</v>
      </c>
      <c r="C190" s="39" t="n">
        <f aca="false">IF(ISNUMBER(C177),C177-N(C189),"")</f>
        <v>-5.522</v>
      </c>
      <c r="D190" s="39" t="n">
        <f aca="false">IF(ISNUMBER(D177),D177-N(D189),"")</f>
        <v>-0.188</v>
      </c>
      <c r="E190" s="39" t="n">
        <f aca="false">IF(ISNUMBER(E177),E177-N(E189),"")</f>
        <v>19.371</v>
      </c>
      <c r="F190" s="39" t="n">
        <f aca="false">IF(ISNUMBER(F177),F177-N(F189),"")</f>
        <v>28.354</v>
      </c>
      <c r="G190" s="39" t="n">
        <f aca="false">IF(ISNUMBER(G177),G177-N(G189),"")</f>
        <v>2.739</v>
      </c>
      <c r="H190" s="39" t="n">
        <f aca="false">IF(ISNUMBER(H177),H177-N(H189),"")</f>
        <v>0.282</v>
      </c>
      <c r="I190" s="39" t="n">
        <f aca="false">IF(ISNUMBER(I177),I177-N(I189),"")</f>
        <v>10.735</v>
      </c>
      <c r="J190" s="39" t="n">
        <f aca="false">IF(ISNUMBER(J177),J177-N(J189),"")</f>
        <v>10.711</v>
      </c>
      <c r="K190" s="39" t="n">
        <f aca="false">IF(ISNUMBER(K177),K177-N(K189),"")</f>
        <v>3.389</v>
      </c>
      <c r="L190" s="39" t="n">
        <f aca="false">IF(ISNUMBER(L177),L177-N(L189),"")</f>
        <v>6.302</v>
      </c>
      <c r="M190" s="39" t="n">
        <f aca="false">IF(ISNUMBER(M177),M177-N(M189),"")</f>
        <v>0.964</v>
      </c>
      <c r="N190" s="39" t="n">
        <f aca="false">IF(ISNUMBER(N177),N177-N(N189),"")</f>
        <v>21.366</v>
      </c>
      <c r="O190" s="39" t="n">
        <f aca="false">IF(ISNUMBER(O177),O177-N(O189),"")</f>
        <v>17.648</v>
      </c>
      <c r="P190" s="39" t="n">
        <f aca="false">IF(ISNUMBER(P177),P177-N(P189),"")</f>
        <v>4.304</v>
      </c>
      <c r="Q190" s="39" t="n">
        <f aca="false">IF(ISNUMBER(Q177),Q177-N(Q189),"")</f>
        <v>29.068</v>
      </c>
      <c r="R190" s="39" t="n">
        <f aca="false">IF(ISNUMBER(R177),R177-N(R189),"")</f>
        <v>0.166</v>
      </c>
      <c r="S190" s="39" t="n">
        <f aca="false">IF(ISNUMBER(S177),S177-N(S189),"")</f>
        <v>51.186</v>
      </c>
      <c r="T190" s="39" t="n">
        <f aca="false">IF(ISNUMBER(T177),T177-N(T189),"")</f>
        <v>0</v>
      </c>
      <c r="U190" s="39" t="n">
        <f aca="false">IF(ISNUMBER(U177),U177-N(U189),"")</f>
        <v>1.239</v>
      </c>
      <c r="V190" s="39" t="n">
        <f aca="false">IF(ISNUMBER(V177),V177-N(V189),"")</f>
        <v>181.122</v>
      </c>
      <c r="W190" s="39" t="n">
        <f aca="false">IF(ISNUMBER(W177),W177-N(W189),"")</f>
        <v>7.549</v>
      </c>
      <c r="X190" s="39" t="n">
        <f aca="false">IF(ISNUMBER(X177),X177-N(X189),"")</f>
        <v>189.91</v>
      </c>
      <c r="Y190" s="39" t="n">
        <f aca="false">IF(ISNUMBER(Y177),Y177-N(Y189),"")</f>
        <v>0</v>
      </c>
      <c r="Z190" s="39" t="n">
        <f aca="false">IF(ISNUMBER(Z177),Z177-N(Z189),"")</f>
        <v>34.348</v>
      </c>
      <c r="AA190" s="39" t="n">
        <f aca="false">IF(ISNUMBER(AA177),AA177-N(AA189),"")</f>
        <v>0</v>
      </c>
      <c r="AB190" s="39" t="n">
        <f aca="false">IF(ISNUMBER(AB177),AB177-N(AB189),"")</f>
        <v>0</v>
      </c>
      <c r="AC190" s="39" t="n">
        <f aca="false">IF(ISNUMBER(AC177),AC177-N(AC189),"")</f>
        <v>34.348</v>
      </c>
      <c r="AD190" s="39" t="n">
        <f aca="false">IF(ISNUMBER(AD177),AD177-N(AD189),"")</f>
        <v>3.615</v>
      </c>
      <c r="AE190" s="39" t="n">
        <f aca="false">IF(ISNUMBER(AE177),AE177-N(AE189),"")</f>
        <v>4.498</v>
      </c>
      <c r="AF190" s="39" t="n">
        <f aca="false">IF(ISNUMBER(AF177),AF177-N(AF189),"")</f>
        <v>-40.715</v>
      </c>
      <c r="AG190" s="39" t="n">
        <f aca="false">IF(ISNUMBER(AG177),AG177-N(AG189),"")</f>
        <v>17.272</v>
      </c>
      <c r="AH190" s="39" t="n">
        <f aca="false">IF(ISNUMBER(AH177),AH177-N(AH189),"")</f>
        <v>-15.33</v>
      </c>
      <c r="AI190" s="39" t="n">
        <f aca="false">IF(ISNUMBER(AI177),AI177-N(AI189),"")</f>
        <v>12.082</v>
      </c>
      <c r="AJ190" s="39" t="n">
        <f aca="false">IF(ISNUMBER(AJ177),AJ177-N(AJ189),"")</f>
        <v>12.33</v>
      </c>
      <c r="AK190" s="39" t="n">
        <f aca="false">IF(ISNUMBER(AK177),AK177-N(AK189),"")</f>
        <v>3.606</v>
      </c>
      <c r="AL190" s="39" t="n">
        <f aca="false">IF(ISNUMBER(AL177),AL177-N(AL189),"")</f>
        <v>1.765</v>
      </c>
      <c r="AM190" s="39" t="n">
        <f aca="false">IF(ISNUMBER(AM177),AM177-N(AM189),"")</f>
        <v>29.783</v>
      </c>
      <c r="AN190" s="39" t="n">
        <f aca="false">IF(ISNUMBER(AN177),AN177-N(AN189),"")</f>
        <v>4.325</v>
      </c>
      <c r="AO190" s="39" t="n">
        <f aca="false">IF(ISNUMBER(AO177),AO177-N(AO189),"")</f>
        <v>0.675</v>
      </c>
      <c r="AP190" s="39" t="n">
        <f aca="false">IF(ISNUMBER(AP177),AP177-N(AP189),"")</f>
        <v>3.104</v>
      </c>
      <c r="AQ190" s="39" t="n">
        <f aca="false">IF(ISNUMBER(AQ177),AQ177-N(AQ189),"")</f>
        <v>8.851</v>
      </c>
      <c r="AR190" s="39" t="n">
        <f aca="false">IF(ISNUMBER(AR177),AR177-N(AR189),"")</f>
        <v>16.955</v>
      </c>
      <c r="AS190" s="39" t="n">
        <f aca="false">IF(ISNUMBER(AS177),AS177-N(AS189),"")</f>
        <v>7.327</v>
      </c>
      <c r="AT190" s="39" t="n">
        <f aca="false">IF(ISNUMBER(AT177),AT177-N(AT189),"")</f>
        <v>23.238</v>
      </c>
      <c r="AU190" s="39" t="n">
        <f aca="false">IF(ISNUMBER(AU177),AU177-N(AU189),"")</f>
        <v>6.257</v>
      </c>
      <c r="AV190" s="39" t="n">
        <f aca="false">IF(ISNUMBER(AV177),AV177-N(AV189),"")</f>
        <v>9.452</v>
      </c>
      <c r="AW190" s="39" t="n">
        <f aca="false">IF(ISNUMBER(AW177),AW177-N(AW189),"")</f>
        <v>46.274</v>
      </c>
      <c r="AX190" s="39" t="n">
        <f aca="false">IF(ISNUMBER(AX177),AX177-N(AX189),"")</f>
        <v>5.276</v>
      </c>
      <c r="AY190" s="39" t="n">
        <f aca="false">IF(ISNUMBER(AY177),AY177-N(AY189),"")</f>
        <v>3.281</v>
      </c>
      <c r="AZ190" s="39" t="n">
        <f aca="false">IF(ISNUMBER(AZ177),AZ177-N(AZ189),"")</f>
        <v>7.17399999999999</v>
      </c>
      <c r="BA190" s="39" t="n">
        <f aca="false">IF(ISNUMBER(BA177),BA177-N(BA189),"")</f>
        <v>1.823</v>
      </c>
      <c r="BB190" s="39" t="n">
        <f aca="false">IF(ISNUMBER(BB177),BB177-N(BB189),"")</f>
        <v>17.554</v>
      </c>
      <c r="BC190" s="39" t="n">
        <f aca="false">IF(ISNUMBER(BC177),BC177-N(BC189),"")</f>
        <v>1.885</v>
      </c>
      <c r="BD190" s="39" t="n">
        <f aca="false">IF(ISNUMBER(BD177),BD177-N(BD189),"")</f>
        <v>0.615</v>
      </c>
      <c r="BE190" s="39" t="n">
        <f aca="false">IF(ISNUMBER(BE177),BE177-N(BE189),"")</f>
        <v>11.079</v>
      </c>
      <c r="BF190" s="39" t="n">
        <f aca="false">IF(ISNUMBER(BF177),BF177-N(BF189),"")</f>
        <v>5.318</v>
      </c>
      <c r="BG190" s="39" t="n">
        <f aca="false">IF(ISNUMBER(BG177),BG177-N(BG189),"")</f>
        <v>18.897</v>
      </c>
      <c r="BH190" s="39" t="n">
        <f aca="false">IF(ISNUMBER(BH177),BH177-N(BH189),"")</f>
        <v>4.733</v>
      </c>
      <c r="BI190" s="39" t="n">
        <f aca="false">IF(ISNUMBER(BI177),BI177-N(BI189),"")</f>
        <v>6.212</v>
      </c>
      <c r="BJ190" s="39" t="n">
        <f aca="false">IF(ISNUMBER(BJ177),BJ177-N(BJ189),"")</f>
        <v>11.926</v>
      </c>
      <c r="BK190" s="39" t="n">
        <f aca="false">IF(ISNUMBER(BK177),BK177-N(BK189),"")</f>
        <v>-21.932</v>
      </c>
      <c r="BL190" s="39" t="n">
        <f aca="false">IF(ISNUMBER(BL177),BL177-N(BL189),"")</f>
        <v>0.938000000000001</v>
      </c>
      <c r="BM190" s="39" t="n">
        <f aca="false">IF(ISNUMBER(BM177),BM177-N(BM189),"")</f>
        <v>6.367</v>
      </c>
      <c r="BN190" s="39" t="n">
        <f aca="false">IF(ISNUMBER(BN177),BN177-N(BN189),"")</f>
        <v>28.784</v>
      </c>
      <c r="BO190" s="39" t="n">
        <f aca="false">IF(ISNUMBER(BO177),BO177-N(BO189),"")</f>
        <v>24.196</v>
      </c>
      <c r="BP190" s="39" t="n">
        <f aca="false">IF(ISNUMBER(BP177),BP177-N(BP189),"")</f>
        <v>8.581</v>
      </c>
      <c r="BQ190" s="39" t="n">
        <f aca="false">IF(ISNUMBER(BQ177),BQ177-N(BQ189),"")</f>
        <v>67.928</v>
      </c>
      <c r="BR190" s="39" t="n">
        <f aca="false">IF(ISNUMBER(BR177),BR177-N(BR189),"")</f>
        <v>4.527</v>
      </c>
      <c r="BS190" s="39" t="n">
        <f aca="false">IF(ISNUMBER(BS177),BS177-N(BS189),"")</f>
        <v>2.971</v>
      </c>
      <c r="BT190" s="39" t="n">
        <f aca="false">IF(ISNUMBER(BT177),BT177-N(BT189),"")</f>
        <v>7.905</v>
      </c>
      <c r="BU190" s="39" t="n">
        <f aca="false">IF(ISNUMBER(BU177),BU177-N(BU189),"")</f>
        <v>9.499</v>
      </c>
      <c r="BV190" s="39" t="n">
        <f aca="false">IF(ISNUMBER(BV177),BV177-N(BV189),"")</f>
        <v>24.902</v>
      </c>
      <c r="BW190" s="39" t="n">
        <f aca="false">IF(ISNUMBER(BW177),BW177-N(BW189),"")</f>
        <v>2.816</v>
      </c>
      <c r="BX190" s="39" t="n">
        <f aca="false">IF(ISNUMBER(BX177),BX177-N(BX189),"")</f>
        <v>3.496</v>
      </c>
      <c r="BY190" s="56" t="n">
        <f aca="false">IF(ISNUMBER(BY177),BY177-N(BY189),"")</f>
        <v>3</v>
      </c>
      <c r="BZ190" s="56" t="n">
        <f aca="false">IF(ISNUMBER(BZ177),BZ177-N(BZ189),"")</f>
        <v>3</v>
      </c>
      <c r="CA190" s="56" t="n">
        <f aca="false">IF(ISNUMBER(CA177),CA177-N(CA189),"")</f>
        <v>12.312</v>
      </c>
      <c r="CB190" s="56" t="n">
        <f aca="false">IF(ISNUMBER(CB177),CB177-N(CB189),"")</f>
        <v>12</v>
      </c>
      <c r="CC190" s="56" t="n">
        <f aca="false">IF(ISNUMBER(CC177),CC177-N(CC189),"")</f>
        <v>12</v>
      </c>
      <c r="CD190" s="56" t="n">
        <f aca="false">IF(ISNUMBER(CD177),CD177-N(CD189),"")</f>
        <v>12</v>
      </c>
      <c r="CE190" s="56" t="n">
        <f aca="false">IF(ISNUMBER(CE177),CE177-N(CE189),"")</f>
        <v>12</v>
      </c>
    </row>
    <row r="191" customFormat="false" ht="15" hidden="false" customHeight="false" outlineLevel="0" collapsed="false">
      <c r="B191" s="58" t="s">
        <v>334</v>
      </c>
      <c r="C191" s="59" t="n">
        <f aca="false">IF(ISNUMBER(C190),C188+C190,"")</f>
        <v>227.448</v>
      </c>
      <c r="D191" s="59" t="n">
        <f aca="false">IF(ISNUMBER(D190),D188+D190,"")</f>
        <v>277.444</v>
      </c>
      <c r="E191" s="59" t="n">
        <f aca="false">IF(ISNUMBER(E190),E188+E190,"")</f>
        <v>314.775</v>
      </c>
      <c r="F191" s="59" t="n">
        <f aca="false">IF(ISNUMBER(F190),F188+F190,"")</f>
        <v>121.33</v>
      </c>
      <c r="G191" s="59" t="n">
        <f aca="false">IF(ISNUMBER(G190),G188+G190,"")</f>
        <v>189.169</v>
      </c>
      <c r="H191" s="59" t="n">
        <f aca="false">IF(ISNUMBER(H190),H188+H190,"")</f>
        <v>296.962</v>
      </c>
      <c r="I191" s="59" t="n">
        <f aca="false">IF(ISNUMBER(I190),I188+I190,"")</f>
        <v>372.816</v>
      </c>
      <c r="J191" s="59" t="n">
        <f aca="false">IF(ISNUMBER(J190),J188+J190,"")</f>
        <v>99.341</v>
      </c>
      <c r="K191" s="59" t="n">
        <f aca="false">IF(ISNUMBER(K190),K188+K190,"")</f>
        <v>107.661</v>
      </c>
      <c r="L191" s="59" t="n">
        <f aca="false">IF(ISNUMBER(L190),L188+L190,"")</f>
        <v>101.48</v>
      </c>
      <c r="M191" s="59" t="n">
        <f aca="false">IF(ISNUMBER(M190),M188+M190,"")</f>
        <v>119.869</v>
      </c>
      <c r="N191" s="59" t="n">
        <f aca="false">IF(ISNUMBER(N190),N188+N190,"")</f>
        <v>428.351</v>
      </c>
      <c r="O191" s="59" t="n">
        <f aca="false">IF(ISNUMBER(O190),O188+O190,"")</f>
        <v>98.086</v>
      </c>
      <c r="P191" s="59" t="n">
        <f aca="false">IF(ISNUMBER(P190),P188+P190,"")</f>
        <v>116.579</v>
      </c>
      <c r="Q191" s="59" t="n">
        <f aca="false">IF(ISNUMBER(Q190),Q188+Q190,"")</f>
        <v>105.185</v>
      </c>
      <c r="R191" s="59" t="n">
        <f aca="false">IF(ISNUMBER(R190),R188+R190,"")</f>
        <v>105.083</v>
      </c>
      <c r="S191" s="59" t="n">
        <f aca="false">IF(ISNUMBER(S190),S188+S190,"")</f>
        <v>424.933</v>
      </c>
      <c r="T191" s="59" t="n">
        <f aca="false">IF(ISNUMBER(T190),T188+T190,"")</f>
        <v>90.499</v>
      </c>
      <c r="U191" s="59" t="n">
        <f aca="false">IF(ISNUMBER(U190),U188+U190,"")</f>
        <v>98.026</v>
      </c>
      <c r="V191" s="59" t="n">
        <f aca="false">IF(ISNUMBER(V190),V188+V190,"")</f>
        <v>97.1010000000001</v>
      </c>
      <c r="W191" s="59" t="n">
        <f aca="false">IF(ISNUMBER(W190),W188+W190,"")</f>
        <v>85.984</v>
      </c>
      <c r="X191" s="59" t="n">
        <f aca="false">IF(ISNUMBER(X190),X188+X190,"")</f>
        <v>371.61</v>
      </c>
      <c r="Y191" s="59" t="n">
        <f aca="false">IF(ISNUMBER(Y190),Y188+Y190,"")</f>
        <v>75.292</v>
      </c>
      <c r="Z191" s="59" t="n">
        <f aca="false">IF(ISNUMBER(Z190),Z188+Z190,"")</f>
        <v>82.43</v>
      </c>
      <c r="AA191" s="59" t="n">
        <f aca="false">IF(ISNUMBER(AA190),AA188+AA190,"")</f>
        <v>81.829</v>
      </c>
      <c r="AB191" s="59" t="n">
        <f aca="false">IF(ISNUMBER(AB190),AB188+AB190,"")</f>
        <v>83.071</v>
      </c>
      <c r="AC191" s="59" t="n">
        <f aca="false">IF(ISNUMBER(AC190),AC188+AC190,"")</f>
        <v>322.622</v>
      </c>
      <c r="AD191" s="59" t="n">
        <f aca="false">IF(ISNUMBER(AD190),AD188+AD190,"")</f>
        <v>85.101</v>
      </c>
      <c r="AE191" s="59" t="n">
        <f aca="false">IF(ISNUMBER(AE190),AE188+AE190,"")</f>
        <v>92.1399999999999</v>
      </c>
      <c r="AF191" s="59" t="n">
        <f aca="false">IF(ISNUMBER(AF190),AF188+AF190,"")</f>
        <v>92.355</v>
      </c>
      <c r="AG191" s="59" t="n">
        <f aca="false">IF(ISNUMBER(AG190),AG188+AG190,"")</f>
        <v>92.7849999999999</v>
      </c>
      <c r="AH191" s="59" t="n">
        <f aca="false">IF(ISNUMBER(AH190),AH188+AH190,"")</f>
        <v>362.381</v>
      </c>
      <c r="AI191" s="59" t="n">
        <f aca="false">IF(ISNUMBER(AI190),AI188+AI190,"")</f>
        <v>97.27</v>
      </c>
      <c r="AJ191" s="59" t="n">
        <f aca="false">IF(ISNUMBER(AJ190),AJ188+AJ190,"")</f>
        <v>106.964</v>
      </c>
      <c r="AK191" s="59" t="n">
        <f aca="false">IF(ISNUMBER(AK190),AK188+AK190,"")</f>
        <v>104.393</v>
      </c>
      <c r="AL191" s="59" t="n">
        <f aca="false">IF(ISNUMBER(AL190),AL188+AL190,"")</f>
        <v>96.695</v>
      </c>
      <c r="AM191" s="59" t="n">
        <f aca="false">IF(ISNUMBER(AM190),AM188+AM190,"")</f>
        <v>405.322</v>
      </c>
      <c r="AN191" s="59" t="n">
        <f aca="false">IF(ISNUMBER(AN190),AN188+AN190,"")</f>
        <v>98.803</v>
      </c>
      <c r="AO191" s="59" t="n">
        <f aca="false">IF(ISNUMBER(AO190),AO188+AO190,"")</f>
        <v>105.861</v>
      </c>
      <c r="AP191" s="59" t="n">
        <f aca="false">IF(ISNUMBER(AP190),AP188+AP190,"")</f>
        <v>91.648</v>
      </c>
      <c r="AQ191" s="59" t="n">
        <f aca="false">IF(ISNUMBER(AQ190),AQ188+AQ190,"")</f>
        <v>91.553</v>
      </c>
      <c r="AR191" s="59" t="n">
        <f aca="false">IF(ISNUMBER(AR190),AR188+AR190,"")</f>
        <v>387.865</v>
      </c>
      <c r="AS191" s="59" t="n">
        <f aca="false">IF(ISNUMBER(AS190),AS188+AS190,"")</f>
        <v>88.401</v>
      </c>
      <c r="AT191" s="59" t="n">
        <f aca="false">IF(ISNUMBER(AT190),AT188+AT190,"")</f>
        <v>63.002</v>
      </c>
      <c r="AU191" s="59" t="n">
        <f aca="false">IF(ISNUMBER(AU190),AU188+AU190,"")</f>
        <v>84.0500000000001</v>
      </c>
      <c r="AV191" s="59" t="n">
        <f aca="false">IF(ISNUMBER(AV190),AV188+AV190,"")</f>
        <v>92.892</v>
      </c>
      <c r="AW191" s="59" t="n">
        <f aca="false">IF(ISNUMBER(AW190),AW188+AW190,"")</f>
        <v>328.345</v>
      </c>
      <c r="AX191" s="59" t="n">
        <f aca="false">IF(ISNUMBER(AX190),AX188+AX190,"")</f>
        <v>109.204</v>
      </c>
      <c r="AY191" s="59" t="n">
        <f aca="false">IF(ISNUMBER(AY190),AY188+AY190,"")</f>
        <v>125.103</v>
      </c>
      <c r="AZ191" s="59" t="n">
        <f aca="false">IF(ISNUMBER(AZ190),AZ188+AZ190,"")</f>
        <v>122.744</v>
      </c>
      <c r="BA191" s="59" t="n">
        <f aca="false">IF(ISNUMBER(BA190),BA188+BA190,"")</f>
        <v>122.172</v>
      </c>
      <c r="BB191" s="59" t="n">
        <f aca="false">IF(ISNUMBER(BB190),BB188+BB190,"")</f>
        <v>479.223</v>
      </c>
      <c r="BC191" s="59" t="n">
        <f aca="false">IF(ISNUMBER(BC190),BC188+BC190,"")</f>
        <v>163.091</v>
      </c>
      <c r="BD191" s="59" t="n">
        <f aca="false">IF(ISNUMBER(BD190),BD188+BD190,"")</f>
        <v>168.148</v>
      </c>
      <c r="BE191" s="59" t="n">
        <f aca="false">IF(ISNUMBER(BE190),BE188+BE190,"")</f>
        <v>153.188</v>
      </c>
      <c r="BF191" s="59" t="n">
        <f aca="false">IF(ISNUMBER(BF190),BF188+BF190,"")</f>
        <v>146.806</v>
      </c>
      <c r="BG191" s="59" t="n">
        <f aca="false">IF(ISNUMBER(BG190),BG188+BG190,"")</f>
        <v>631.233</v>
      </c>
      <c r="BH191" s="59" t="n">
        <f aca="false">IF(ISNUMBER(BH190),BH188+BH190,"")</f>
        <v>169.097</v>
      </c>
      <c r="BI191" s="59" t="n">
        <f aca="false">IF(ISNUMBER(BI190),BI188+BI190,"")</f>
        <v>184.225</v>
      </c>
      <c r="BJ191" s="59" t="n">
        <f aca="false">IF(ISNUMBER(BJ190),BJ188+BJ190,"")</f>
        <v>183.367</v>
      </c>
      <c r="BK191" s="59" t="n">
        <f aca="false">IF(ISNUMBER(BK190),BK188+BK190,"")</f>
        <v>182.099</v>
      </c>
      <c r="BL191" s="59" t="n">
        <f aca="false">IF(ISNUMBER(BL190),BL188+BL190,"")</f>
        <v>718.787000000001</v>
      </c>
      <c r="BM191" s="59" t="n">
        <f aca="false">IF(ISNUMBER(BM190),BM188+BM190,"")</f>
        <v>171.414</v>
      </c>
      <c r="BN191" s="59" t="n">
        <f aca="false">IF(ISNUMBER(BN190),BN188+BN190,"")</f>
        <v>177.622</v>
      </c>
      <c r="BO191" s="59" t="n">
        <f aca="false">IF(ISNUMBER(BO190),BO188+BO190,"")</f>
        <v>169.756</v>
      </c>
      <c r="BP191" s="59" t="n">
        <f aca="false">IF(ISNUMBER(BP190),BP188+BP190,"")</f>
        <v>185.598</v>
      </c>
      <c r="BQ191" s="59" t="n">
        <f aca="false">IF(ISNUMBER(BQ190),BQ188+BQ190,"")</f>
        <v>704.39</v>
      </c>
      <c r="BR191" s="59" t="n">
        <f aca="false">IF(ISNUMBER(BR190),BR188+BR190,"")</f>
        <v>169.445</v>
      </c>
      <c r="BS191" s="59" t="n">
        <f aca="false">IF(ISNUMBER(BS190),BS188+BS190,"")</f>
        <v>195.115</v>
      </c>
      <c r="BT191" s="59" t="n">
        <f aca="false">IF(ISNUMBER(BT190),BT188+BT190,"")</f>
        <v>184.562</v>
      </c>
      <c r="BU191" s="59" t="n">
        <f aca="false">IF(ISNUMBER(BU190),BU188+BU190,"")</f>
        <v>193.839</v>
      </c>
      <c r="BV191" s="59" t="n">
        <f aca="false">IF(ISNUMBER(BV190),BV188+BV190,"")</f>
        <v>742.961</v>
      </c>
      <c r="BW191" s="59" t="n">
        <f aca="false">IF(ISNUMBER(BW190),BW188+BW190,"")</f>
        <v>188.974</v>
      </c>
      <c r="BX191" s="59" t="n">
        <f aca="false">IF(ISNUMBER(BX190),BX188+BX190,"")</f>
        <v>224.14</v>
      </c>
      <c r="BY191" s="59" t="n">
        <f aca="false">IF(ISNUMBER(BY190),BY188+BY190,"")</f>
        <v>215.069665861874</v>
      </c>
      <c r="BZ191" s="59" t="n">
        <f aca="false">IF(ISNUMBER(BZ190),BZ188+BZ190,"")</f>
        <v>223.109983488125</v>
      </c>
      <c r="CA191" s="59" t="n">
        <f aca="false">IF(ISNUMBER(CA190),CA188+CA190,"")</f>
        <v>851.29364935</v>
      </c>
      <c r="CB191" s="59" t="n">
        <f aca="false">IF(ISNUMBER(CB190),CB188+CB190,"")</f>
        <v>913.220283169161</v>
      </c>
      <c r="CC191" s="59" t="n">
        <f aca="false">IF(ISNUMBER(CC190),CC188+CC190,"")</f>
        <v>992.400687002238</v>
      </c>
      <c r="CD191" s="59" t="n">
        <f aca="false">IF(ISNUMBER(CD190),CD188+CD190,"")</f>
        <v>1069.13500697477</v>
      </c>
      <c r="CE191" s="59" t="n">
        <f aca="false">IF(ISNUMBER(CE190),CE188+CE190,"")</f>
        <v>1137.05157404797</v>
      </c>
      <c r="CH191" s="20" t="n">
        <f aca="false">IFERROR((CE191/BV191)^(1/5)-1,"n/m")</f>
        <v>0.0888368972856624</v>
      </c>
      <c r="CI191" s="20" t="n">
        <f aca="false">IFERROR((BV191/AW191)^(1/5)-1,"n/m")</f>
        <v>0.177408378527502</v>
      </c>
      <c r="CJ191" s="20" t="n">
        <f aca="false">IFERROR((BV191/X191)^(1/10)-1,"n/m")</f>
        <v>0.0717361071277589</v>
      </c>
      <c r="CK191" s="20" t="n">
        <f aca="false">IFERROR((BV191/C191)^(1/19)-1,"n/m")</f>
        <v>0.0642828087455059</v>
      </c>
    </row>
    <row r="192" customFormat="false" ht="15" hidden="false" customHeight="false" outlineLevel="0" collapsed="false">
      <c r="B192" s="21" t="s">
        <v>335</v>
      </c>
      <c r="C192" s="22" t="n">
        <f aca="false">IF(AND(ISNUMBER(C191),ISNUMBER(C133)),IFERROR(C191/C133,""),"")</f>
        <v>0.115343714105324</v>
      </c>
      <c r="D192" s="22" t="n">
        <f aca="false">IF(AND(ISNUMBER(D191),ISNUMBER(D133)),IFERROR(D191/D133,""),"")</f>
        <v>0.12164413640222</v>
      </c>
      <c r="E192" s="22" t="n">
        <f aca="false">IF(AND(ISNUMBER(E191),ISNUMBER(E133)),IFERROR(E191/E133,""),"")</f>
        <v>0.126969893886204</v>
      </c>
      <c r="F192" s="22" t="n">
        <f aca="false">IF(AND(ISNUMBER(F191),ISNUMBER(F133)),IFERROR(F191/F133,""),"")</f>
        <v>0.0701619455439676</v>
      </c>
      <c r="G192" s="22" t="n">
        <f aca="false">IF(AND(ISNUMBER(G191),ISNUMBER(G133)),IFERROR(G191/G133,""),"")</f>
        <v>0.0913783975437789</v>
      </c>
      <c r="H192" s="22" t="n">
        <f aca="false">IF(AND(ISNUMBER(H191),ISNUMBER(H133)),IFERROR(H191/H133,""),"")</f>
        <v>0.110205970513718</v>
      </c>
      <c r="I192" s="22" t="n">
        <f aca="false">IF(AND(ISNUMBER(I191),ISNUMBER(I133)),IFERROR(I191/I133,""),"")</f>
        <v>0.13065827143862</v>
      </c>
      <c r="J192" s="22" t="n">
        <f aca="false">IF(AND(ISNUMBER(J191),ISNUMBER(J133)),IFERROR(J191/J133,""),"")</f>
        <v>0.138247610194093</v>
      </c>
      <c r="K192" s="22" t="n">
        <f aca="false">IF(AND(ISNUMBER(K191),ISNUMBER(K133)),IFERROR(K191/K133,""),"")</f>
        <v>0.148001462679673</v>
      </c>
      <c r="L192" s="22" t="n">
        <f aca="false">IF(AND(ISNUMBER(L191),ISNUMBER(L133)),IFERROR(L191/L133,""),"")</f>
        <v>0.146673893405601</v>
      </c>
      <c r="M192" s="22" t="n">
        <f aca="false">IF(AND(ISNUMBER(M191),ISNUMBER(M133)),IFERROR(M191/M133,""),"")</f>
        <v>0.1676979704557</v>
      </c>
      <c r="N192" s="22" t="n">
        <f aca="false">IF(AND(ISNUMBER(N191),ISNUMBER(N133)),IFERROR(N191/N133,""),"")</f>
        <v>0.150157869589588</v>
      </c>
      <c r="O192" s="22" t="n">
        <f aca="false">IF(AND(ISNUMBER(O191),ISNUMBER(O133)),IFERROR(O191/O133,""),"")</f>
        <v>0.143178281673776</v>
      </c>
      <c r="P192" s="22" t="n">
        <f aca="false">IF(AND(ISNUMBER(P191),ISNUMBER(P133)),IFERROR(P191/P133,""),"")</f>
        <v>0.160019271657623</v>
      </c>
      <c r="Q192" s="22" t="n">
        <f aca="false">IF(AND(ISNUMBER(Q191),ISNUMBER(Q133)),IFERROR(Q191/Q133,""),"")</f>
        <v>0.146952193211014</v>
      </c>
      <c r="R192" s="22" t="n">
        <f aca="false">IF(AND(ISNUMBER(R191),ISNUMBER(R133)),IFERROR(R191/R133,""),"")</f>
        <v>0.153640449503914</v>
      </c>
      <c r="S192" s="22" t="n">
        <f aca="false">IF(AND(ISNUMBER(S191),ISNUMBER(S133)),IFERROR(S191/S133,""),"")</f>
        <v>0.151043036635667</v>
      </c>
      <c r="T192" s="22" t="n">
        <f aca="false">IF(AND(ISNUMBER(T191),ISNUMBER(T133)),IFERROR(T191/T133,""),"")</f>
        <v>0.137557379540964</v>
      </c>
      <c r="U192" s="22" t="n">
        <f aca="false">IF(AND(ISNUMBER(U191),ISNUMBER(U133)),IFERROR(U191/U133,""),"")</f>
        <v>0.147465174353883</v>
      </c>
      <c r="V192" s="22" t="n">
        <f aca="false">IF(AND(ISNUMBER(V191),ISNUMBER(V133)),IFERROR(V191/V133,""),"")</f>
        <v>0.150505451310206</v>
      </c>
      <c r="W192" s="22" t="n">
        <f aca="false">IF(AND(ISNUMBER(W191),ISNUMBER(W133)),IFERROR(W191/W133,""),"")</f>
        <v>0.151384279514424</v>
      </c>
      <c r="X192" s="22" t="n">
        <f aca="false">IF(AND(ISNUMBER(X191),ISNUMBER(X133)),IFERROR(X191/X133,""),"")</f>
        <v>0.146545989003037</v>
      </c>
      <c r="Y192" s="22" t="n">
        <f aca="false">IF(AND(ISNUMBER(Y191),ISNUMBER(Y133)),IFERROR(Y191/Y133,""),"")</f>
        <v>0.13671507584589</v>
      </c>
      <c r="Z192" s="22" t="n">
        <f aca="false">IF(AND(ISNUMBER(Z191),ISNUMBER(Z133)),IFERROR(Z191/Z133,""),"")</f>
        <v>0.139141619599675</v>
      </c>
      <c r="AA192" s="22" t="n">
        <f aca="false">IF(AND(ISNUMBER(AA191),ISNUMBER(AA133)),IFERROR(AA191/AA133,""),"")</f>
        <v>0.144154983916032</v>
      </c>
      <c r="AB192" s="22" t="n">
        <f aca="false">IF(AND(ISNUMBER(AB191),ISNUMBER(AB133)),IFERROR(AB191/AB133,""),"")</f>
        <v>0.1473339387189</v>
      </c>
      <c r="AC192" s="22" t="n">
        <f aca="false">IF(AND(ISNUMBER(AC191),ISNUMBER(AC133)),IFERROR(AC191/AC133,""),"")</f>
        <v>0.141835933481461</v>
      </c>
      <c r="AD192" s="22" t="n">
        <f aca="false">IF(AND(ISNUMBER(AD191),ISNUMBER(AD133)),IFERROR(AD191/AD133,""),"")</f>
        <v>0.146499293334274</v>
      </c>
      <c r="AE192" s="22" t="n">
        <f aca="false">IF(AND(ISNUMBER(AE191),ISNUMBER(AE133)),IFERROR(AE191/AE133,""),"")</f>
        <v>0.146987036936595</v>
      </c>
      <c r="AF192" s="22" t="n">
        <f aca="false">IF(AND(ISNUMBER(AF191),ISNUMBER(AF133)),IFERROR(AF191/AF133,""),"")</f>
        <v>0.137948082946597</v>
      </c>
      <c r="AG192" s="22" t="n">
        <f aca="false">IF(AND(ISNUMBER(AG191),ISNUMBER(AG133)),IFERROR(AG191/AG133,""),"")</f>
        <v>0.124179420090071</v>
      </c>
      <c r="AH192" s="22" t="n">
        <f aca="false">IF(AND(ISNUMBER(AH191),ISNUMBER(AH133)),IFERROR(AH191/AH133,""),"")</f>
        <v>0.138079835209994</v>
      </c>
      <c r="AI192" s="22" t="n">
        <f aca="false">IF(AND(ISNUMBER(AI191),ISNUMBER(AI133)),IFERROR(AI191/AI133,""),"")</f>
        <v>0.128376024157446</v>
      </c>
      <c r="AJ192" s="22" t="n">
        <f aca="false">IF(AND(ISNUMBER(AJ191),ISNUMBER(AJ133)),IFERROR(AJ191/AJ133,""),"")</f>
        <v>0.135388556702597</v>
      </c>
      <c r="AK192" s="22" t="n">
        <f aca="false">IF(AND(ISNUMBER(AK191),ISNUMBER(AK133)),IFERROR(AK191/AK133,""),"")</f>
        <v>0.141626837100579</v>
      </c>
      <c r="AL192" s="22" t="n">
        <f aca="false">IF(AND(ISNUMBER(AL191),ISNUMBER(AL133)),IFERROR(AL191/AL133,""),"")</f>
        <v>0.129996625559438</v>
      </c>
      <c r="AM192" s="22" t="n">
        <f aca="false">IF(AND(ISNUMBER(AM191),ISNUMBER(AM133)),IFERROR(AM191/AM133,""),"")</f>
        <v>0.133828203365565</v>
      </c>
      <c r="AN192" s="22" t="n">
        <f aca="false">IF(AND(ISNUMBER(AN191),ISNUMBER(AN133)),IFERROR(AN191/AN133,""),"")</f>
        <v>0.130145394863365</v>
      </c>
      <c r="AO192" s="22" t="n">
        <f aca="false">IF(AND(ISNUMBER(AO191),ISNUMBER(AO133)),IFERROR(AO191/AO133,""),"")</f>
        <v>0.136241840495851</v>
      </c>
      <c r="AP192" s="22" t="n">
        <f aca="false">IF(AND(ISNUMBER(AP191),ISNUMBER(AP133)),IFERROR(AP191/AP133,""),"")</f>
        <v>0.125410689630164</v>
      </c>
      <c r="AQ192" s="22" t="n">
        <f aca="false">IF(AND(ISNUMBER(AQ191),ISNUMBER(AQ133)),IFERROR(AQ191/AQ133,""),"")</f>
        <v>0.124340798063851</v>
      </c>
      <c r="AR192" s="22" t="n">
        <f aca="false">IF(AND(ISNUMBER(AR191),ISNUMBER(AR133)),IFERROR(AR191/AR133,""),"")</f>
        <v>0.129147476485646</v>
      </c>
      <c r="AS192" s="22" t="n">
        <f aca="false">IF(AND(ISNUMBER(AS191),ISNUMBER(AS133)),IFERROR(AS191/AS133,""),"")</f>
        <v>0.125928964901259</v>
      </c>
      <c r="AT192" s="22" t="n">
        <f aca="false">IF(AND(ISNUMBER(AT191),ISNUMBER(AT133)),IFERROR(AT191/AT133,""),"")</f>
        <v>0.10665163434209</v>
      </c>
      <c r="AU192" s="22" t="n">
        <f aca="false">IF(AND(ISNUMBER(AU191),ISNUMBER(AU133)),IFERROR(AU191/AU133,""),"")</f>
        <v>0.125656313164536</v>
      </c>
      <c r="AV192" s="22" t="n">
        <f aca="false">IF(AND(ISNUMBER(AV191),ISNUMBER(AV133)),IFERROR(AV191/AV133,""),"")</f>
        <v>0.133889886623407</v>
      </c>
      <c r="AW192" s="22" t="n">
        <f aca="false">IF(AND(ISNUMBER(AW191),ISNUMBER(AW133)),IFERROR(AW191/AW133,""),"")</f>
        <v>0.123651803871357</v>
      </c>
      <c r="AX192" s="22" t="n">
        <f aca="false">IF(AND(ISNUMBER(AX191),ISNUMBER(AX133)),IFERROR(AX191/AX133,""),"")</f>
        <v>0.144254914989148</v>
      </c>
      <c r="AY192" s="22" t="n">
        <f aca="false">IF(AND(ISNUMBER(AY191),ISNUMBER(AY133)),IFERROR(AY191/AY133,""),"")</f>
        <v>0.151373216174161</v>
      </c>
      <c r="AZ192" s="22" t="n">
        <f aca="false">IF(AND(ISNUMBER(AZ191),ISNUMBER(AZ133)),IFERROR(AZ191/AZ133,""),"")</f>
        <v>0.152202109481756</v>
      </c>
      <c r="BA192" s="22" t="n">
        <f aca="false">IF(AND(ISNUMBER(BA191),ISNUMBER(BA133)),IFERROR(BA191/BA133,""),"")</f>
        <v>0.144710518554316</v>
      </c>
      <c r="BB192" s="22" t="n">
        <f aca="false">IF(AND(ISNUMBER(BB191),ISNUMBER(BB133)),IFERROR(BB191/BB133,""),"")</f>
        <v>0.14817449863644</v>
      </c>
      <c r="BC192" s="22" t="n">
        <f aca="false">IF(AND(ISNUMBER(BC191),ISNUMBER(BC133)),IFERROR(BC191/BC133,""),"")</f>
        <v>0.176229242485801</v>
      </c>
      <c r="BD192" s="22" t="n">
        <f aca="false">IF(AND(ISNUMBER(BD191),ISNUMBER(BD133)),IFERROR(BD191/BD133,""),"")</f>
        <v>0.173421934448514</v>
      </c>
      <c r="BE192" s="22" t="n">
        <f aca="false">IF(AND(ISNUMBER(BE191),ISNUMBER(BE133)),IFERROR(BE191/BE133,""),"")</f>
        <v>0.163795389418759</v>
      </c>
      <c r="BF192" s="22" t="n">
        <f aca="false">IF(AND(ISNUMBER(BF191),ISNUMBER(BF133)),IFERROR(BF191/BF133,""),"")</f>
        <v>0.157697538171342</v>
      </c>
      <c r="BG192" s="22" t="n">
        <f aca="false">IF(AND(ISNUMBER(BG191),ISNUMBER(BG133)),IFERROR(BG191/BG133,""),"")</f>
        <v>0.167827064208841</v>
      </c>
      <c r="BH192" s="22" t="n">
        <f aca="false">IF(AND(ISNUMBER(BH191),ISNUMBER(BH133)),IFERROR(BH191/BH133,""),"")</f>
        <v>0.162696049331164</v>
      </c>
      <c r="BI192" s="22" t="n">
        <f aca="false">IF(AND(ISNUMBER(BI191),ISNUMBER(BI133)),IFERROR(BI191/BI133,""),"")</f>
        <v>0.173704581991674</v>
      </c>
      <c r="BJ192" s="22" t="n">
        <f aca="false">IF(AND(ISNUMBER(BJ191),ISNUMBER(BJ133)),IFERROR(BJ191/BJ133,""),"")</f>
        <v>0.177472430687157</v>
      </c>
      <c r="BK192" s="22" t="n">
        <f aca="false">IF(AND(ISNUMBER(BK191),ISNUMBER(BK133)),IFERROR(BK191/BK133,""),"")</f>
        <v>0.17203267977561</v>
      </c>
      <c r="BL192" s="22" t="n">
        <f aca="false">IF(AND(ISNUMBER(BL191),ISNUMBER(BL133)),IFERROR(BL191/BL133,""),"")</f>
        <v>0.171481254574586</v>
      </c>
      <c r="BM192" s="22" t="n">
        <f aca="false">IF(AND(ISNUMBER(BM191),ISNUMBER(BM133)),IFERROR(BM191/BM133,""),"")</f>
        <v>0.174698862715642</v>
      </c>
      <c r="BN192" s="22" t="n">
        <f aca="false">IF(AND(ISNUMBER(BN191),ISNUMBER(BN133)),IFERROR(BN191/BN133,""),"")</f>
        <v>0.17385235929344</v>
      </c>
      <c r="BO192" s="22" t="n">
        <f aca="false">IF(AND(ISNUMBER(BO191),ISNUMBER(BO133)),IFERROR(BO191/BO133,""),"")</f>
        <v>0.172558522971581</v>
      </c>
      <c r="BP192" s="22" t="n">
        <f aca="false">IF(AND(ISNUMBER(BP191),ISNUMBER(BP133)),IFERROR(BP191/BP133,""),"")</f>
        <v>0.181597231395134</v>
      </c>
      <c r="BQ192" s="22" t="n">
        <f aca="false">IF(AND(ISNUMBER(BQ191),ISNUMBER(BQ133)),IFERROR(BQ191/BQ133,""),"")</f>
        <v>0.175716634195382</v>
      </c>
      <c r="BR192" s="22" t="n">
        <f aca="false">IF(AND(ISNUMBER(BR191),ISNUMBER(BR133)),IFERROR(BR191/BR133,""),"")</f>
        <v>0.168704723672525</v>
      </c>
      <c r="BS192" s="22" t="n">
        <f aca="false">IF(AND(ISNUMBER(BS191),ISNUMBER(BS133)),IFERROR(BS191/BS133,""),"")</f>
        <v>0.179222778557014</v>
      </c>
      <c r="BT192" s="22" t="n">
        <f aca="false">IF(AND(ISNUMBER(BT191),ISNUMBER(BT133)),IFERROR(BT191/BT133,""),"")</f>
        <v>0.173913780934711</v>
      </c>
      <c r="BU192" s="22" t="n">
        <f aca="false">IF(AND(ISNUMBER(BU191),ISNUMBER(BU133)),IFERROR(BU191/BU133,""),"")</f>
        <v>0.179694358565515</v>
      </c>
      <c r="BV192" s="22" t="n">
        <f aca="false">IF(AND(ISNUMBER(BV191),ISNUMBER(BV133)),IFERROR(BV191/BV133,""),"")</f>
        <v>0.175516294224219</v>
      </c>
      <c r="BW192" s="22" t="n">
        <f aca="false">IF(AND(ISNUMBER(BW191),ISNUMBER(BW133)),IFERROR(BW191/BW133,""),"")</f>
        <v>0.168511031411568</v>
      </c>
      <c r="BX192" s="22" t="n">
        <f aca="false">IF(AND(ISNUMBER(BX191),ISNUMBER(BX133)),IFERROR(BX191/BX133,""),"")</f>
        <v>0.183772074745237</v>
      </c>
      <c r="BY192" s="23" t="n">
        <f aca="false">IF(AND(ISNUMBER(BY191),ISNUMBER(BY133)),IFERROR(BY191/BY133,""),"")</f>
        <v>0.181171962529568</v>
      </c>
      <c r="BZ192" s="23" t="n">
        <f aca="false">IF(AND(ISNUMBER(BZ191),ISNUMBER(BZ133)),IFERROR(BZ191/BZ133,""),"")</f>
        <v>0.187235796544512</v>
      </c>
      <c r="CA192" s="23" t="n">
        <f aca="false">IF(AND(ISNUMBER(CA191),ISNUMBER(CA133)),IFERROR(CA191/CA133,""),"")</f>
        <v>0.180366529907328</v>
      </c>
      <c r="CB192" s="23" t="n">
        <f aca="false">IF(AND(ISNUMBER(CB191),ISNUMBER(CB133)),IFERROR(CB191/CB133,""),"")</f>
        <v>0.181949081721514</v>
      </c>
      <c r="CC192" s="23" t="n">
        <f aca="false">IF(AND(ISNUMBER(CC191),ISNUMBER(CC133)),IFERROR(CC191/CC133,""),"")</f>
        <v>0.183839427341437</v>
      </c>
      <c r="CD192" s="23" t="n">
        <f aca="false">IF(AND(ISNUMBER(CD191),ISNUMBER(CD133)),IFERROR(CD191/CD133,""),"")</f>
        <v>0.185021230298556</v>
      </c>
      <c r="CE192" s="23" t="n">
        <f aca="false">IF(AND(ISNUMBER(CE191),ISNUMBER(CE133)),IFERROR(CE191/CE133,""),"")</f>
        <v>0.184113319459575</v>
      </c>
      <c r="CH192" s="41" t="n">
        <f aca="false">IFERROR(AVERAGE(CA192,CB192,CC192,CD192,CE192),"n/m")</f>
        <v>0.183057917745682</v>
      </c>
      <c r="CI192" s="41" t="n">
        <f aca="false">IFERROR(AVERAGE(BB192,BG192,BL192,BQ192,BV192),"n/m")</f>
        <v>0.167743149167893</v>
      </c>
      <c r="CJ192" s="41" t="n">
        <f aca="false">IFERROR(AVERAGE(AC192,AH192,AM192,AR192,AW192,BB192,BG192,BL192,BQ192,BV192),"n/m")</f>
        <v>0.150525899825349</v>
      </c>
      <c r="CK192" s="41" t="n">
        <f aca="false">IFERROR(AVERAGE(C192,D192,E192,F192,G192,H192,I192,N192,S192,X192,AC192,AH192,AM192,AR192,AW192,BB192,BG192,BL192,BQ192,BV192),"n/m")</f>
        <v>0.135968411145781</v>
      </c>
    </row>
    <row r="193" customFormat="false" ht="15" hidden="false" customHeight="false" outlineLevel="0" collapsed="false">
      <c r="B193" s="37" t="s">
        <v>336</v>
      </c>
      <c r="C193" s="48" t="n">
        <v>227.448</v>
      </c>
      <c r="D193" s="48" t="n">
        <v>277.444</v>
      </c>
      <c r="E193" s="48" t="n">
        <v>314.775</v>
      </c>
      <c r="F193" s="48" t="n">
        <v>121.33</v>
      </c>
      <c r="G193" s="48" t="n">
        <v>189.169</v>
      </c>
      <c r="H193" s="48" t="n">
        <v>296.962</v>
      </c>
      <c r="I193" s="48" t="n">
        <v>372.816</v>
      </c>
      <c r="J193" s="48" t="n">
        <v>99.341</v>
      </c>
      <c r="K193" s="48" t="n">
        <v>107.661</v>
      </c>
      <c r="L193" s="48" t="n">
        <v>101.48</v>
      </c>
      <c r="M193" s="48" t="n">
        <v>119.869</v>
      </c>
      <c r="N193" s="48" t="n">
        <v>428.351</v>
      </c>
      <c r="O193" s="48" t="n">
        <v>98.086</v>
      </c>
      <c r="P193" s="48" t="n">
        <v>116.579</v>
      </c>
      <c r="Q193" s="48" t="n">
        <v>105.185</v>
      </c>
      <c r="R193" s="48" t="n">
        <v>105.083</v>
      </c>
      <c r="S193" s="48" t="n">
        <v>424.933</v>
      </c>
      <c r="T193" s="48" t="n">
        <v>90.499</v>
      </c>
      <c r="U193" s="48" t="n">
        <v>98.026</v>
      </c>
      <c r="V193" s="48" t="n">
        <v>97.101</v>
      </c>
      <c r="W193" s="48" t="n">
        <v>85.984</v>
      </c>
      <c r="X193" s="48" t="n">
        <v>371.61</v>
      </c>
      <c r="Y193" s="48" t="n">
        <v>75.292</v>
      </c>
      <c r="Z193" s="48" t="n">
        <v>82.43</v>
      </c>
      <c r="AA193" s="48" t="n">
        <v>81.829</v>
      </c>
      <c r="AB193" s="48" t="n">
        <v>83.071</v>
      </c>
      <c r="AC193" s="48" t="n">
        <v>322.622</v>
      </c>
      <c r="AD193" s="48" t="n">
        <v>85.101</v>
      </c>
      <c r="AE193" s="48" t="n">
        <v>92.14</v>
      </c>
      <c r="AF193" s="48" t="n">
        <v>92.355</v>
      </c>
      <c r="AG193" s="48" t="n">
        <v>92.785</v>
      </c>
      <c r="AH193" s="48" t="n">
        <v>362.381</v>
      </c>
      <c r="AI193" s="48" t="n">
        <v>97.27</v>
      </c>
      <c r="AJ193" s="48" t="n">
        <v>106.964</v>
      </c>
      <c r="AK193" s="48" t="n">
        <v>104.393</v>
      </c>
      <c r="AL193" s="48" t="n">
        <v>96.695</v>
      </c>
      <c r="AM193" s="48" t="n">
        <v>405.322</v>
      </c>
      <c r="AN193" s="48" t="n">
        <v>98.803</v>
      </c>
      <c r="AO193" s="48" t="n">
        <v>105.861</v>
      </c>
      <c r="AP193" s="48" t="n">
        <v>91.648</v>
      </c>
      <c r="AQ193" s="48" t="n">
        <v>91.553</v>
      </c>
      <c r="AR193" s="48" t="n">
        <v>387.865</v>
      </c>
      <c r="AS193" s="48" t="n">
        <v>88.401</v>
      </c>
      <c r="AT193" s="48" t="n">
        <v>63.002</v>
      </c>
      <c r="AU193" s="48" t="n">
        <v>84.05</v>
      </c>
      <c r="AV193" s="48" t="n">
        <v>92.892</v>
      </c>
      <c r="AW193" s="48" t="n">
        <v>328.345</v>
      </c>
      <c r="AX193" s="48" t="n">
        <v>109.204</v>
      </c>
      <c r="AY193" s="48" t="n">
        <v>125.103</v>
      </c>
      <c r="AZ193" s="48" t="n">
        <v>122.744</v>
      </c>
      <c r="BA193" s="48" t="n">
        <v>122.172</v>
      </c>
      <c r="BB193" s="48" t="n">
        <v>479.223</v>
      </c>
      <c r="BC193" s="48" t="n">
        <v>163.091</v>
      </c>
      <c r="BD193" s="48" t="n">
        <v>168.148</v>
      </c>
      <c r="BE193" s="48" t="n">
        <v>153.188</v>
      </c>
      <c r="BF193" s="48" t="n">
        <v>146.806</v>
      </c>
      <c r="BG193" s="48" t="n">
        <v>631.233</v>
      </c>
      <c r="BH193" s="48" t="n">
        <v>169.097</v>
      </c>
      <c r="BI193" s="48" t="n">
        <v>184.225</v>
      </c>
      <c r="BJ193" s="48" t="n">
        <v>183.367</v>
      </c>
      <c r="BK193" s="48" t="n">
        <v>182.099</v>
      </c>
      <c r="BL193" s="48" t="n">
        <v>718.787</v>
      </c>
      <c r="BM193" s="48" t="n">
        <v>171.414</v>
      </c>
      <c r="BN193" s="48" t="n">
        <v>177.622</v>
      </c>
      <c r="BO193" s="48" t="n">
        <v>169.756</v>
      </c>
      <c r="BP193" s="48" t="n">
        <v>185.598</v>
      </c>
      <c r="BQ193" s="48" t="n">
        <v>704.39</v>
      </c>
      <c r="BR193" s="48" t="n">
        <v>169.445</v>
      </c>
      <c r="BS193" s="48" t="n">
        <v>195.115</v>
      </c>
      <c r="BT193" s="48" t="n">
        <v>184.562</v>
      </c>
      <c r="BU193" s="48" t="n">
        <v>193.839</v>
      </c>
      <c r="BV193" s="48" t="n">
        <v>742.961</v>
      </c>
      <c r="BW193" s="48" t="n">
        <v>188.974</v>
      </c>
      <c r="BX193" s="48" t="n">
        <v>224.14</v>
      </c>
    </row>
    <row r="194" customFormat="false" ht="15" hidden="false" customHeight="false" outlineLevel="0" collapsed="false">
      <c r="B194" s="36" t="s">
        <v>337</v>
      </c>
      <c r="C194" s="39" t="n">
        <f aca="false">IF(AND(ISNUMBER(C193),ISNUMBER(C191)),ROUND(C191-C193,1),"")</f>
        <v>0</v>
      </c>
      <c r="D194" s="39" t="n">
        <f aca="false">IF(AND(ISNUMBER(D193),ISNUMBER(D191)),ROUND(D191-D193,1),"")</f>
        <v>0</v>
      </c>
      <c r="E194" s="39" t="n">
        <f aca="false">IF(AND(ISNUMBER(E193),ISNUMBER(E191)),ROUND(E191-E193,1),"")</f>
        <v>0</v>
      </c>
      <c r="F194" s="39" t="n">
        <f aca="false">IF(AND(ISNUMBER(F193),ISNUMBER(F191)),ROUND(F191-F193,1),"")</f>
        <v>0</v>
      </c>
      <c r="G194" s="39" t="n">
        <f aca="false">IF(AND(ISNUMBER(G193),ISNUMBER(G191)),ROUND(G191-G193,1),"")</f>
        <v>0</v>
      </c>
      <c r="H194" s="39" t="n">
        <f aca="false">IF(AND(ISNUMBER(H193),ISNUMBER(H191)),ROUND(H191-H193,1),"")</f>
        <v>0</v>
      </c>
      <c r="I194" s="39" t="n">
        <f aca="false">IF(AND(ISNUMBER(I193),ISNUMBER(I191)),ROUND(I191-I193,1),"")</f>
        <v>0</v>
      </c>
      <c r="J194" s="39" t="n">
        <f aca="false">IF(AND(ISNUMBER(J193),ISNUMBER(J191)),ROUND(J191-J193,1),"")</f>
        <v>0</v>
      </c>
      <c r="K194" s="39" t="n">
        <f aca="false">IF(AND(ISNUMBER(K193),ISNUMBER(K191)),ROUND(K191-K193,1),"")</f>
        <v>0</v>
      </c>
      <c r="L194" s="39" t="n">
        <f aca="false">IF(AND(ISNUMBER(L193),ISNUMBER(L191)),ROUND(L191-L193,1),"")</f>
        <v>0</v>
      </c>
      <c r="M194" s="39" t="n">
        <f aca="false">IF(AND(ISNUMBER(M193),ISNUMBER(M191)),ROUND(M191-M193,1),"")</f>
        <v>0</v>
      </c>
      <c r="N194" s="39" t="n">
        <f aca="false">IF(AND(ISNUMBER(N193),ISNUMBER(N191)),ROUND(N191-N193,1),"")</f>
        <v>0</v>
      </c>
      <c r="O194" s="39" t="n">
        <f aca="false">IF(AND(ISNUMBER(O193),ISNUMBER(O191)),ROUND(O191-O193,1),"")</f>
        <v>0</v>
      </c>
      <c r="P194" s="39" t="n">
        <f aca="false">IF(AND(ISNUMBER(P193),ISNUMBER(P191)),ROUND(P191-P193,1),"")</f>
        <v>0</v>
      </c>
      <c r="Q194" s="39" t="n">
        <f aca="false">IF(AND(ISNUMBER(Q193),ISNUMBER(Q191)),ROUND(Q191-Q193,1),"")</f>
        <v>0</v>
      </c>
      <c r="R194" s="39" t="n">
        <f aca="false">IF(AND(ISNUMBER(R193),ISNUMBER(R191)),ROUND(R191-R193,1),"")</f>
        <v>0</v>
      </c>
      <c r="S194" s="39" t="n">
        <f aca="false">IF(AND(ISNUMBER(S193),ISNUMBER(S191)),ROUND(S191-S193,1),"")</f>
        <v>0</v>
      </c>
      <c r="T194" s="39" t="n">
        <f aca="false">IF(AND(ISNUMBER(T193),ISNUMBER(T191)),ROUND(T191-T193,1),"")</f>
        <v>0</v>
      </c>
      <c r="U194" s="39" t="n">
        <f aca="false">IF(AND(ISNUMBER(U193),ISNUMBER(U191)),ROUND(U191-U193,1),"")</f>
        <v>0</v>
      </c>
      <c r="V194" s="39" t="n">
        <f aca="false">IF(AND(ISNUMBER(V193),ISNUMBER(V191)),ROUND(V191-V193,1),"")</f>
        <v>0</v>
      </c>
      <c r="W194" s="39" t="n">
        <f aca="false">IF(AND(ISNUMBER(W193),ISNUMBER(W191)),ROUND(W191-W193,1),"")</f>
        <v>0</v>
      </c>
      <c r="X194" s="39" t="n">
        <f aca="false">IF(AND(ISNUMBER(X193),ISNUMBER(X191)),ROUND(X191-X193,1),"")</f>
        <v>0</v>
      </c>
      <c r="Y194" s="39" t="n">
        <f aca="false">IF(AND(ISNUMBER(Y193),ISNUMBER(Y191)),ROUND(Y191-Y193,1),"")</f>
        <v>0</v>
      </c>
      <c r="Z194" s="39" t="n">
        <f aca="false">IF(AND(ISNUMBER(Z193),ISNUMBER(Z191)),ROUND(Z191-Z193,1),"")</f>
        <v>0</v>
      </c>
      <c r="AA194" s="39" t="n">
        <f aca="false">IF(AND(ISNUMBER(AA193),ISNUMBER(AA191)),ROUND(AA191-AA193,1),"")</f>
        <v>0</v>
      </c>
      <c r="AB194" s="39" t="n">
        <f aca="false">IF(AND(ISNUMBER(AB193),ISNUMBER(AB191)),ROUND(AB191-AB193,1),"")</f>
        <v>0</v>
      </c>
      <c r="AC194" s="39" t="n">
        <f aca="false">IF(AND(ISNUMBER(AC193),ISNUMBER(AC191)),ROUND(AC191-AC193,1),"")</f>
        <v>0</v>
      </c>
      <c r="AD194" s="39" t="n">
        <f aca="false">IF(AND(ISNUMBER(AD193),ISNUMBER(AD191)),ROUND(AD191-AD193,1),"")</f>
        <v>0</v>
      </c>
      <c r="AE194" s="39" t="n">
        <f aca="false">IF(AND(ISNUMBER(AE193),ISNUMBER(AE191)),ROUND(AE191-AE193,1),"")</f>
        <v>0</v>
      </c>
      <c r="AF194" s="39" t="n">
        <f aca="false">IF(AND(ISNUMBER(AF193),ISNUMBER(AF191)),ROUND(AF191-AF193,1),"")</f>
        <v>0</v>
      </c>
      <c r="AG194" s="39" t="n">
        <f aca="false">IF(AND(ISNUMBER(AG193),ISNUMBER(AG191)),ROUND(AG191-AG193,1),"")</f>
        <v>0</v>
      </c>
      <c r="AH194" s="39" t="n">
        <f aca="false">IF(AND(ISNUMBER(AH193),ISNUMBER(AH191)),ROUND(AH191-AH193,1),"")</f>
        <v>0</v>
      </c>
      <c r="AI194" s="39" t="n">
        <f aca="false">IF(AND(ISNUMBER(AI193),ISNUMBER(AI191)),ROUND(AI191-AI193,1),"")</f>
        <v>0</v>
      </c>
      <c r="AJ194" s="39" t="n">
        <f aca="false">IF(AND(ISNUMBER(AJ193),ISNUMBER(AJ191)),ROUND(AJ191-AJ193,1),"")</f>
        <v>0</v>
      </c>
      <c r="AK194" s="39" t="n">
        <f aca="false">IF(AND(ISNUMBER(AK193),ISNUMBER(AK191)),ROUND(AK191-AK193,1),"")</f>
        <v>0</v>
      </c>
      <c r="AL194" s="39" t="n">
        <f aca="false">IF(AND(ISNUMBER(AL193),ISNUMBER(AL191)),ROUND(AL191-AL193,1),"")</f>
        <v>0</v>
      </c>
      <c r="AM194" s="39" t="n">
        <f aca="false">IF(AND(ISNUMBER(AM193),ISNUMBER(AM191)),ROUND(AM191-AM193,1),"")</f>
        <v>0</v>
      </c>
      <c r="AN194" s="39" t="n">
        <f aca="false">IF(AND(ISNUMBER(AN193),ISNUMBER(AN191)),ROUND(AN191-AN193,1),"")</f>
        <v>0</v>
      </c>
      <c r="AO194" s="39" t="n">
        <f aca="false">IF(AND(ISNUMBER(AO193),ISNUMBER(AO191)),ROUND(AO191-AO193,1),"")</f>
        <v>0</v>
      </c>
      <c r="AP194" s="39" t="n">
        <f aca="false">IF(AND(ISNUMBER(AP193),ISNUMBER(AP191)),ROUND(AP191-AP193,1),"")</f>
        <v>0</v>
      </c>
      <c r="AQ194" s="39" t="n">
        <f aca="false">IF(AND(ISNUMBER(AQ193),ISNUMBER(AQ191)),ROUND(AQ191-AQ193,1),"")</f>
        <v>0</v>
      </c>
      <c r="AR194" s="39" t="n">
        <f aca="false">IF(AND(ISNUMBER(AR193),ISNUMBER(AR191)),ROUND(AR191-AR193,1),"")</f>
        <v>0</v>
      </c>
      <c r="AS194" s="39" t="n">
        <f aca="false">IF(AND(ISNUMBER(AS193),ISNUMBER(AS191)),ROUND(AS191-AS193,1),"")</f>
        <v>0</v>
      </c>
      <c r="AT194" s="39" t="n">
        <f aca="false">IF(AND(ISNUMBER(AT193),ISNUMBER(AT191)),ROUND(AT191-AT193,1),"")</f>
        <v>0</v>
      </c>
      <c r="AU194" s="39" t="n">
        <f aca="false">IF(AND(ISNUMBER(AU193),ISNUMBER(AU191)),ROUND(AU191-AU193,1),"")</f>
        <v>0</v>
      </c>
      <c r="AV194" s="39" t="n">
        <f aca="false">IF(AND(ISNUMBER(AV193),ISNUMBER(AV191)),ROUND(AV191-AV193,1),"")</f>
        <v>0</v>
      </c>
      <c r="AW194" s="39" t="n">
        <f aca="false">IF(AND(ISNUMBER(AW193),ISNUMBER(AW191)),ROUND(AW191-AW193,1),"")</f>
        <v>0</v>
      </c>
      <c r="AX194" s="39" t="n">
        <f aca="false">IF(AND(ISNUMBER(AX193),ISNUMBER(AX191)),ROUND(AX191-AX193,1),"")</f>
        <v>0</v>
      </c>
      <c r="AY194" s="39" t="n">
        <f aca="false">IF(AND(ISNUMBER(AY193),ISNUMBER(AY191)),ROUND(AY191-AY193,1),"")</f>
        <v>0</v>
      </c>
      <c r="AZ194" s="39" t="n">
        <f aca="false">IF(AND(ISNUMBER(AZ193),ISNUMBER(AZ191)),ROUND(AZ191-AZ193,1),"")</f>
        <v>0</v>
      </c>
      <c r="BA194" s="39" t="n">
        <f aca="false">IF(AND(ISNUMBER(BA193),ISNUMBER(BA191)),ROUND(BA191-BA193,1),"")</f>
        <v>0</v>
      </c>
      <c r="BB194" s="39" t="n">
        <f aca="false">IF(AND(ISNUMBER(BB193),ISNUMBER(BB191)),ROUND(BB191-BB193,1),"")</f>
        <v>0</v>
      </c>
      <c r="BC194" s="39" t="n">
        <f aca="false">IF(AND(ISNUMBER(BC193),ISNUMBER(BC191)),ROUND(BC191-BC193,1),"")</f>
        <v>0</v>
      </c>
      <c r="BD194" s="39" t="n">
        <f aca="false">IF(AND(ISNUMBER(BD193),ISNUMBER(BD191)),ROUND(BD191-BD193,1),"")</f>
        <v>0</v>
      </c>
      <c r="BE194" s="39" t="n">
        <f aca="false">IF(AND(ISNUMBER(BE193),ISNUMBER(BE191)),ROUND(BE191-BE193,1),"")</f>
        <v>0</v>
      </c>
      <c r="BF194" s="39" t="n">
        <f aca="false">IF(AND(ISNUMBER(BF193),ISNUMBER(BF191)),ROUND(BF191-BF193,1),"")</f>
        <v>0</v>
      </c>
      <c r="BG194" s="39" t="n">
        <f aca="false">IF(AND(ISNUMBER(BG193),ISNUMBER(BG191)),ROUND(BG191-BG193,1),"")</f>
        <v>0</v>
      </c>
      <c r="BH194" s="39" t="n">
        <f aca="false">IF(AND(ISNUMBER(BH193),ISNUMBER(BH191)),ROUND(BH191-BH193,1),"")</f>
        <v>0</v>
      </c>
      <c r="BI194" s="39" t="n">
        <f aca="false">IF(AND(ISNUMBER(BI193),ISNUMBER(BI191)),ROUND(BI191-BI193,1),"")</f>
        <v>0</v>
      </c>
      <c r="BJ194" s="39" t="n">
        <f aca="false">IF(AND(ISNUMBER(BJ193),ISNUMBER(BJ191)),ROUND(BJ191-BJ193,1),"")</f>
        <v>0</v>
      </c>
      <c r="BK194" s="39" t="n">
        <f aca="false">IF(AND(ISNUMBER(BK193),ISNUMBER(BK191)),ROUND(BK191-BK193,1),"")</f>
        <v>0</v>
      </c>
      <c r="BL194" s="39" t="n">
        <f aca="false">IF(AND(ISNUMBER(BL193),ISNUMBER(BL191)),ROUND(BL191-BL193,1),"")</f>
        <v>0</v>
      </c>
      <c r="BM194" s="39" t="n">
        <f aca="false">IF(AND(ISNUMBER(BM193),ISNUMBER(BM191)),ROUND(BM191-BM193,1),"")</f>
        <v>0</v>
      </c>
      <c r="BN194" s="39" t="n">
        <f aca="false">IF(AND(ISNUMBER(BN193),ISNUMBER(BN191)),ROUND(BN191-BN193,1),"")</f>
        <v>0</v>
      </c>
      <c r="BO194" s="39" t="n">
        <f aca="false">IF(AND(ISNUMBER(BO193),ISNUMBER(BO191)),ROUND(BO191-BO193,1),"")</f>
        <v>0</v>
      </c>
      <c r="BP194" s="39" t="n">
        <f aca="false">IF(AND(ISNUMBER(BP193),ISNUMBER(BP191)),ROUND(BP191-BP193,1),"")</f>
        <v>0</v>
      </c>
      <c r="BQ194" s="39" t="n">
        <f aca="false">IF(AND(ISNUMBER(BQ193),ISNUMBER(BQ191)),ROUND(BQ191-BQ193,1),"")</f>
        <v>0</v>
      </c>
      <c r="BR194" s="39" t="n">
        <f aca="false">IF(AND(ISNUMBER(BR193),ISNUMBER(BR191)),ROUND(BR191-BR193,1),"")</f>
        <v>0</v>
      </c>
      <c r="BS194" s="39" t="n">
        <f aca="false">IF(AND(ISNUMBER(BS193),ISNUMBER(BS191)),ROUND(BS191-BS193,1),"")</f>
        <v>0</v>
      </c>
      <c r="BT194" s="39" t="n">
        <f aca="false">IF(AND(ISNUMBER(BT193),ISNUMBER(BT191)),ROUND(BT191-BT193,1),"")</f>
        <v>0</v>
      </c>
      <c r="BU194" s="39" t="n">
        <f aca="false">IF(AND(ISNUMBER(BU193),ISNUMBER(BU191)),ROUND(BU191-BU193,1),"")</f>
        <v>0</v>
      </c>
      <c r="BV194" s="39" t="n">
        <f aca="false">IF(AND(ISNUMBER(BV193),ISNUMBER(BV191)),ROUND(BV191-BV193,1),"")</f>
        <v>0</v>
      </c>
      <c r="BW194" s="39" t="n">
        <f aca="false">IF(AND(ISNUMBER(BW193),ISNUMBER(BW191)),ROUND(BW191-BW193,1),"")</f>
        <v>0</v>
      </c>
      <c r="BX194" s="39" t="n">
        <f aca="false">IF(AND(ISNUMBER(BX193),ISNUMBER(BX191)),ROUND(BX191-BX193,1),"")</f>
        <v>0</v>
      </c>
    </row>
    <row r="196" customFormat="false" ht="15" hidden="false" customHeight="false" outlineLevel="0" collapsed="false">
      <c r="B196" s="10" t="s">
        <v>338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</row>
    <row r="197" customFormat="false" ht="15" hidden="false" customHeight="false" outlineLevel="0" collapsed="false">
      <c r="B197" s="26" t="s">
        <v>290</v>
      </c>
      <c r="C197" s="57" t="n">
        <f aca="false">C149</f>
        <v>175.008</v>
      </c>
      <c r="D197" s="57" t="n">
        <f aca="false">D149</f>
        <v>202.736</v>
      </c>
      <c r="E197" s="57" t="n">
        <f aca="false">E149</f>
        <v>212.286</v>
      </c>
      <c r="F197" s="57" t="n">
        <f aca="false">F149</f>
        <v>48.5760000000001</v>
      </c>
      <c r="G197" s="57" t="n">
        <f aca="false">G149</f>
        <v>130.244</v>
      </c>
      <c r="H197" s="57" t="n">
        <f aca="false">H149</f>
        <v>217.186</v>
      </c>
      <c r="I197" s="57" t="n">
        <f aca="false">I149</f>
        <v>257.411</v>
      </c>
      <c r="J197" s="57" t="n">
        <f aca="false">J149</f>
        <v>66.806</v>
      </c>
      <c r="K197" s="57" t="n">
        <f aca="false">K149</f>
        <v>72.606</v>
      </c>
      <c r="L197" s="57" t="n">
        <f aca="false">L149</f>
        <v>66.044</v>
      </c>
      <c r="M197" s="57" t="n">
        <f aca="false">M149</f>
        <v>88.324</v>
      </c>
      <c r="N197" s="57" t="n">
        <f aca="false">N149</f>
        <v>293.78</v>
      </c>
      <c r="O197" s="57" t="n">
        <f aca="false">O149</f>
        <v>56.453</v>
      </c>
      <c r="P197" s="57" t="n">
        <f aca="false">P149</f>
        <v>77.332</v>
      </c>
      <c r="Q197" s="57" t="n">
        <f aca="false">Q149</f>
        <v>45.689</v>
      </c>
      <c r="R197" s="57" t="n">
        <f aca="false">R149</f>
        <v>75.2119999999999</v>
      </c>
      <c r="S197" s="57" t="n">
        <f aca="false">S149</f>
        <v>254.686</v>
      </c>
      <c r="T197" s="57" t="n">
        <f aca="false">T149</f>
        <v>68.354</v>
      </c>
      <c r="U197" s="57" t="n">
        <f aca="false">U149</f>
        <v>70.898</v>
      </c>
      <c r="V197" s="57" t="n">
        <f aca="false">V149</f>
        <v>-60.4659999999999</v>
      </c>
      <c r="W197" s="57" t="n">
        <f aca="false">W149</f>
        <v>48.692</v>
      </c>
      <c r="X197" s="57" t="n">
        <f aca="false">X149</f>
        <v>127.478</v>
      </c>
      <c r="Y197" s="57" t="n">
        <f aca="false">Y149</f>
        <v>53.638</v>
      </c>
      <c r="Z197" s="57" t="n">
        <f aca="false">Z149</f>
        <v>31.317</v>
      </c>
      <c r="AA197" s="57" t="n">
        <f aca="false">AA149</f>
        <v>60.0489999999999</v>
      </c>
      <c r="AB197" s="57" t="n">
        <f aca="false">AB149</f>
        <v>53.395</v>
      </c>
      <c r="AC197" s="57" t="n">
        <f aca="false">AC149</f>
        <v>198.399</v>
      </c>
      <c r="AD197" s="57" t="n">
        <f aca="false">AD149</f>
        <v>55.8440000000001</v>
      </c>
      <c r="AE197" s="57" t="n">
        <f aca="false">AE149</f>
        <v>61.352</v>
      </c>
      <c r="AF197" s="57" t="n">
        <f aca="false">AF149</f>
        <v>106.126</v>
      </c>
      <c r="AG197" s="57" t="n">
        <f aca="false">AG149</f>
        <v>24.1809999999999</v>
      </c>
      <c r="AH197" s="57" t="n">
        <f aca="false">AH149</f>
        <v>247.503</v>
      </c>
      <c r="AI197" s="57" t="n">
        <f aca="false">AI149</f>
        <v>60.824</v>
      </c>
      <c r="AJ197" s="57" t="n">
        <f aca="false">AJ149</f>
        <v>68.864</v>
      </c>
      <c r="AK197" s="57" t="n">
        <f aca="false">AK149</f>
        <v>70.539</v>
      </c>
      <c r="AL197" s="57" t="n">
        <f aca="false">AL149</f>
        <v>86.839</v>
      </c>
      <c r="AM197" s="57" t="n">
        <f aca="false">AM149</f>
        <v>287.066</v>
      </c>
      <c r="AN197" s="57" t="n">
        <f aca="false">AN149</f>
        <v>71.48</v>
      </c>
      <c r="AO197" s="57" t="n">
        <f aca="false">AO149</f>
        <v>85.452</v>
      </c>
      <c r="AP197" s="57" t="n">
        <f aca="false">AP149</f>
        <v>72.461</v>
      </c>
      <c r="AQ197" s="57" t="n">
        <f aca="false">AQ149</f>
        <v>63.716</v>
      </c>
      <c r="AR197" s="57" t="n">
        <f aca="false">AR149</f>
        <v>293.109</v>
      </c>
      <c r="AS197" s="57" t="n">
        <f aca="false">AS149</f>
        <v>55.562</v>
      </c>
      <c r="AT197" s="57" t="n">
        <f aca="false">AT149</f>
        <v>26.996</v>
      </c>
      <c r="AU197" s="57" t="n">
        <f aca="false">AU149</f>
        <v>58.4790000000001</v>
      </c>
      <c r="AV197" s="57" t="n">
        <f aca="false">AV149</f>
        <v>65.078</v>
      </c>
      <c r="AW197" s="57" t="n">
        <f aca="false">AW149</f>
        <v>206.115</v>
      </c>
      <c r="AX197" s="57" t="n">
        <f aca="false">AX149</f>
        <v>74.177</v>
      </c>
      <c r="AY197" s="57" t="n">
        <f aca="false">AY149</f>
        <v>96.1049999999999</v>
      </c>
      <c r="AZ197" s="57" t="n">
        <f aca="false">AZ149</f>
        <v>31.7569999999999</v>
      </c>
      <c r="BA197" s="57" t="n">
        <f aca="false">BA149</f>
        <v>74.4269999999999</v>
      </c>
      <c r="BB197" s="57" t="n">
        <f aca="false">BB149</f>
        <v>276.466</v>
      </c>
      <c r="BC197" s="57" t="n">
        <f aca="false">BC149</f>
        <v>126.03</v>
      </c>
      <c r="BD197" s="57" t="n">
        <f aca="false">BD149</f>
        <v>127.823</v>
      </c>
      <c r="BE197" s="57" t="n">
        <f aca="false">BE149</f>
        <v>109.225</v>
      </c>
      <c r="BF197" s="57" t="n">
        <f aca="false">BF149</f>
        <v>109.146</v>
      </c>
      <c r="BG197" s="57" t="n">
        <f aca="false">BG149</f>
        <v>472.224</v>
      </c>
      <c r="BH197" s="57" t="n">
        <f aca="false">BH149</f>
        <v>121.931</v>
      </c>
      <c r="BI197" s="57" t="n">
        <f aca="false">BI149</f>
        <v>137.331</v>
      </c>
      <c r="BJ197" s="57" t="n">
        <f aca="false">BJ149</f>
        <v>129.343</v>
      </c>
      <c r="BK197" s="57" t="n">
        <f aca="false">BK149</f>
        <v>156.644</v>
      </c>
      <c r="BL197" s="57" t="n">
        <f aca="false">BL149</f>
        <v>545.248000000001</v>
      </c>
      <c r="BM197" s="57" t="n">
        <f aca="false">BM149</f>
        <v>123.415</v>
      </c>
      <c r="BN197" s="57" t="n">
        <f aca="false">BN149</f>
        <v>101.708</v>
      </c>
      <c r="BO197" s="57" t="n">
        <f aca="false">BO149</f>
        <v>100.756</v>
      </c>
      <c r="BP197" s="57" t="n">
        <f aca="false">BP149</f>
        <v>140.229</v>
      </c>
      <c r="BQ197" s="57" t="n">
        <f aca="false">BQ149</f>
        <v>466.108</v>
      </c>
      <c r="BR197" s="57" t="n">
        <f aca="false">BR149</f>
        <v>118.487</v>
      </c>
      <c r="BS197" s="57" t="n">
        <f aca="false">BS149</f>
        <v>143.396</v>
      </c>
      <c r="BT197" s="57" t="n">
        <f aca="false">BT149</f>
        <v>122.628</v>
      </c>
      <c r="BU197" s="57" t="n">
        <f aca="false">BU149</f>
        <v>136.022</v>
      </c>
      <c r="BV197" s="57" t="n">
        <f aca="false">BV149</f>
        <v>520.532999999999</v>
      </c>
      <c r="BW197" s="57" t="n">
        <f aca="false">BW149</f>
        <v>136.382</v>
      </c>
      <c r="BX197" s="57" t="n">
        <f aca="false">BX149</f>
        <v>158.519</v>
      </c>
      <c r="BY197" s="51" t="n">
        <f aca="false">BY149</f>
        <v>154.172041042953</v>
      </c>
      <c r="BZ197" s="51" t="n">
        <f aca="false">BZ149</f>
        <v>160.403287203297</v>
      </c>
      <c r="CA197" s="51" t="n">
        <f aca="false">CA149</f>
        <v>609.47632824625</v>
      </c>
      <c r="CB197" s="51" t="n">
        <f aca="false">CB149</f>
        <v>662.076293631698</v>
      </c>
      <c r="CC197" s="51" t="n">
        <f aca="false">CC149</f>
        <v>718.786722614095</v>
      </c>
      <c r="CD197" s="51" t="n">
        <f aca="false">CD149</f>
        <v>774.237764986202</v>
      </c>
      <c r="CE197" s="51" t="n">
        <f aca="false">CE149</f>
        <v>822.982277039333</v>
      </c>
    </row>
    <row r="198" customFormat="false" ht="15" hidden="false" customHeight="false" outlineLevel="0" collapsed="false">
      <c r="B198" s="26" t="s">
        <v>339</v>
      </c>
      <c r="C198" s="39" t="n">
        <f aca="false">C177</f>
        <v>-5.522</v>
      </c>
      <c r="D198" s="39" t="n">
        <f aca="false">D177</f>
        <v>-0.188</v>
      </c>
      <c r="E198" s="39" t="n">
        <f aca="false">E177</f>
        <v>19.371</v>
      </c>
      <c r="F198" s="39" t="n">
        <f aca="false">F177</f>
        <v>30.63</v>
      </c>
      <c r="G198" s="39" t="n">
        <f aca="false">G177</f>
        <v>2.739</v>
      </c>
      <c r="H198" s="39" t="n">
        <f aca="false">H177</f>
        <v>0.282</v>
      </c>
      <c r="I198" s="39" t="n">
        <f aca="false">I177</f>
        <v>10.735</v>
      </c>
      <c r="J198" s="39" t="n">
        <f aca="false">J177</f>
        <v>10.711</v>
      </c>
      <c r="K198" s="39" t="n">
        <f aca="false">K177</f>
        <v>3.389</v>
      </c>
      <c r="L198" s="39" t="n">
        <f aca="false">L177</f>
        <v>6.302</v>
      </c>
      <c r="M198" s="39" t="n">
        <f aca="false">M177</f>
        <v>0.964</v>
      </c>
      <c r="N198" s="39" t="n">
        <f aca="false">N177</f>
        <v>21.366</v>
      </c>
      <c r="O198" s="39" t="n">
        <f aca="false">O177</f>
        <v>17.648</v>
      </c>
      <c r="P198" s="39" t="n">
        <f aca="false">P177</f>
        <v>4.304</v>
      </c>
      <c r="Q198" s="39" t="n">
        <f aca="false">Q177</f>
        <v>29.068</v>
      </c>
      <c r="R198" s="39" t="n">
        <f aca="false">R177</f>
        <v>0.166</v>
      </c>
      <c r="S198" s="39" t="n">
        <f aca="false">S177</f>
        <v>51.186</v>
      </c>
      <c r="T198" s="39" t="n">
        <f aca="false">T177</f>
        <v>0</v>
      </c>
      <c r="U198" s="39" t="n">
        <f aca="false">U177</f>
        <v>1.239</v>
      </c>
      <c r="V198" s="39" t="n">
        <f aca="false">V177</f>
        <v>181.122</v>
      </c>
      <c r="W198" s="39" t="n">
        <f aca="false">W177</f>
        <v>7.549</v>
      </c>
      <c r="X198" s="39" t="n">
        <f aca="false">X177</f>
        <v>189.91</v>
      </c>
      <c r="Y198" s="39" t="n">
        <f aca="false">Y177</f>
        <v>0</v>
      </c>
      <c r="Z198" s="39" t="n">
        <f aca="false">Z177</f>
        <v>34.348</v>
      </c>
      <c r="AA198" s="39" t="n">
        <f aca="false">AA177</f>
        <v>0</v>
      </c>
      <c r="AB198" s="39" t="n">
        <f aca="false">AB177</f>
        <v>0</v>
      </c>
      <c r="AC198" s="39" t="n">
        <f aca="false">AC177</f>
        <v>34.348</v>
      </c>
      <c r="AD198" s="39" t="n">
        <f aca="false">AD177</f>
        <v>3.615</v>
      </c>
      <c r="AE198" s="39" t="n">
        <f aca="false">AE177</f>
        <v>4.498</v>
      </c>
      <c r="AF198" s="39" t="n">
        <f aca="false">AF177</f>
        <v>-40.715</v>
      </c>
      <c r="AG198" s="39" t="n">
        <f aca="false">AG177</f>
        <v>17.272</v>
      </c>
      <c r="AH198" s="39" t="n">
        <f aca="false">AH177</f>
        <v>-15.33</v>
      </c>
      <c r="AI198" s="39" t="n">
        <f aca="false">AI177</f>
        <v>12.84</v>
      </c>
      <c r="AJ198" s="39" t="n">
        <f aca="false">AJ177</f>
        <v>12.33</v>
      </c>
      <c r="AK198" s="39" t="n">
        <f aca="false">AK177</f>
        <v>7.838</v>
      </c>
      <c r="AL198" s="39" t="n">
        <f aca="false">AL177</f>
        <v>3.461</v>
      </c>
      <c r="AM198" s="39" t="n">
        <f aca="false">AM177</f>
        <v>36.469</v>
      </c>
      <c r="AN198" s="39" t="n">
        <f aca="false">AN177</f>
        <v>4.325</v>
      </c>
      <c r="AO198" s="39" t="n">
        <f aca="false">AO177</f>
        <v>0.166</v>
      </c>
      <c r="AP198" s="39" t="n">
        <f aca="false">AP177</f>
        <v>-4.497</v>
      </c>
      <c r="AQ198" s="39" t="n">
        <f aca="false">AQ177</f>
        <v>8.851</v>
      </c>
      <c r="AR198" s="39" t="n">
        <f aca="false">AR177</f>
        <v>8.845</v>
      </c>
      <c r="AS198" s="39" t="n">
        <f aca="false">AS177</f>
        <v>7.327</v>
      </c>
      <c r="AT198" s="39" t="n">
        <f aca="false">AT177</f>
        <v>26.572</v>
      </c>
      <c r="AU198" s="39" t="n">
        <f aca="false">AU177</f>
        <v>9.445</v>
      </c>
      <c r="AV198" s="39" t="n">
        <f aca="false">AV177</f>
        <v>11.049</v>
      </c>
      <c r="AW198" s="39" t="n">
        <f aca="false">AW177</f>
        <v>54.393</v>
      </c>
      <c r="AX198" s="39" t="n">
        <f aca="false">AX177</f>
        <v>10.162</v>
      </c>
      <c r="AY198" s="39" t="n">
        <f aca="false">AY177</f>
        <v>4.931</v>
      </c>
      <c r="AZ198" s="39" t="n">
        <f aca="false">AZ177</f>
        <v>80.736</v>
      </c>
      <c r="BA198" s="39" t="n">
        <f aca="false">BA177</f>
        <v>48.227</v>
      </c>
      <c r="BB198" s="39" t="n">
        <f aca="false">BB177</f>
        <v>144.056</v>
      </c>
      <c r="BC198" s="39" t="n">
        <f aca="false">BC177</f>
        <v>-2.388</v>
      </c>
      <c r="BD198" s="39" t="n">
        <f aca="false">BD177</f>
        <v>0.615</v>
      </c>
      <c r="BE198" s="39" t="n">
        <f aca="false">BE177</f>
        <v>11.079</v>
      </c>
      <c r="BF198" s="39" t="n">
        <f aca="false">BF177</f>
        <v>5.318</v>
      </c>
      <c r="BG198" s="39" t="n">
        <f aca="false">BG177</f>
        <v>14.624</v>
      </c>
      <c r="BH198" s="39" t="n">
        <f aca="false">BH177</f>
        <v>3.087</v>
      </c>
      <c r="BI198" s="39" t="n">
        <f aca="false">BI177</f>
        <v>6.212</v>
      </c>
      <c r="BJ198" s="39" t="n">
        <f aca="false">BJ177</f>
        <v>11.926</v>
      </c>
      <c r="BK198" s="39" t="n">
        <f aca="false">BK177</f>
        <v>-21.087</v>
      </c>
      <c r="BL198" s="39" t="n">
        <f aca="false">BL177</f>
        <v>0.137000000000001</v>
      </c>
      <c r="BM198" s="39" t="n">
        <f aca="false">BM177</f>
        <v>6.367</v>
      </c>
      <c r="BN198" s="39" t="n">
        <f aca="false">BN177</f>
        <v>33.734</v>
      </c>
      <c r="BO198" s="39" t="n">
        <f aca="false">BO177</f>
        <v>28.162</v>
      </c>
      <c r="BP198" s="39" t="n">
        <f aca="false">BP177</f>
        <v>8.407</v>
      </c>
      <c r="BQ198" s="39" t="n">
        <f aca="false">BQ177</f>
        <v>76.67</v>
      </c>
      <c r="BR198" s="39" t="n">
        <f aca="false">BR177</f>
        <v>4.527</v>
      </c>
      <c r="BS198" s="39" t="n">
        <f aca="false">BS177</f>
        <v>2.971</v>
      </c>
      <c r="BT198" s="39" t="n">
        <f aca="false">BT177</f>
        <v>7.905</v>
      </c>
      <c r="BU198" s="39" t="n">
        <f aca="false">BU177</f>
        <v>10.218</v>
      </c>
      <c r="BV198" s="39" t="n">
        <f aca="false">BV177</f>
        <v>25.621</v>
      </c>
      <c r="BW198" s="39" t="n">
        <f aca="false">BW177</f>
        <v>2.816</v>
      </c>
      <c r="BX198" s="39" t="n">
        <f aca="false">BX177</f>
        <v>3.496</v>
      </c>
      <c r="BY198" s="56" t="n">
        <f aca="false">BY177</f>
        <v>3</v>
      </c>
      <c r="BZ198" s="56" t="n">
        <f aca="false">BZ177</f>
        <v>3</v>
      </c>
      <c r="CA198" s="56" t="n">
        <f aca="false">CA177</f>
        <v>12.312</v>
      </c>
      <c r="CB198" s="56" t="n">
        <f aca="false">CB177</f>
        <v>12</v>
      </c>
      <c r="CC198" s="56" t="n">
        <f aca="false">CC177</f>
        <v>12</v>
      </c>
      <c r="CD198" s="56" t="n">
        <f aca="false">CD177</f>
        <v>12</v>
      </c>
      <c r="CE198" s="56" t="n">
        <f aca="false">CE177</f>
        <v>12</v>
      </c>
    </row>
    <row r="199" customFormat="false" ht="15" hidden="false" customHeight="false" outlineLevel="0" collapsed="false">
      <c r="B199" s="26" t="s">
        <v>340</v>
      </c>
      <c r="C199" s="48" t="n">
        <v>1.822</v>
      </c>
      <c r="D199" s="48" t="n">
        <v>0.081</v>
      </c>
      <c r="E199" s="48" t="n">
        <v>-1.058</v>
      </c>
      <c r="F199" s="48" t="n">
        <v>-6.108</v>
      </c>
      <c r="G199" s="48" t="n">
        <v>-3.383</v>
      </c>
      <c r="H199" s="48" t="n">
        <v>-0.045</v>
      </c>
      <c r="I199" s="48" t="n">
        <v>-2.387</v>
      </c>
      <c r="J199" s="48" t="n">
        <v>-0.378</v>
      </c>
      <c r="K199" s="48" t="n">
        <v>-0.272</v>
      </c>
      <c r="L199" s="48" t="n">
        <v>-0.204</v>
      </c>
      <c r="M199" s="48" t="n">
        <v>-0.036</v>
      </c>
      <c r="N199" s="48" t="n">
        <v>-0.89</v>
      </c>
      <c r="O199" s="48" t="n">
        <v>0.01</v>
      </c>
      <c r="P199" s="48" t="n">
        <v>-0.138</v>
      </c>
      <c r="Q199" s="48" t="n">
        <v>0.988</v>
      </c>
      <c r="R199" s="48" t="n">
        <v>0.001</v>
      </c>
      <c r="S199" s="48" t="n">
        <v>0.861</v>
      </c>
      <c r="T199" s="48" t="n">
        <v>0</v>
      </c>
      <c r="U199" s="48" t="n">
        <v>-0.339</v>
      </c>
      <c r="V199" s="48" t="n">
        <v>-54.443</v>
      </c>
      <c r="W199" s="48" t="n">
        <v>-2.422</v>
      </c>
      <c r="X199" s="48" t="n">
        <v>-57.204</v>
      </c>
      <c r="Y199" s="48" t="n">
        <v>0</v>
      </c>
      <c r="Z199" s="48" t="n">
        <v>-1.097</v>
      </c>
      <c r="AA199" s="48" t="n">
        <v>0</v>
      </c>
      <c r="AB199" s="48" t="n">
        <v>0</v>
      </c>
      <c r="AC199" s="48" t="n">
        <v>-1.097</v>
      </c>
      <c r="AD199" s="48" t="n">
        <v>-0.881</v>
      </c>
      <c r="AE199" s="48" t="n">
        <v>-1.004</v>
      </c>
      <c r="AF199" s="48" t="n">
        <v>-3.636</v>
      </c>
      <c r="AG199" s="48" t="n">
        <v>-2.559</v>
      </c>
      <c r="AH199" s="48" t="n">
        <v>-8.08</v>
      </c>
      <c r="AI199" s="48" t="n">
        <v>-2.881</v>
      </c>
      <c r="AJ199" s="48" t="n">
        <v>-0.784</v>
      </c>
      <c r="AK199" s="48" t="n">
        <v>1.033</v>
      </c>
      <c r="AL199" s="48" t="n">
        <v>-6.764</v>
      </c>
      <c r="AM199" s="48" t="n">
        <v>-6.896</v>
      </c>
      <c r="AN199" s="48" t="n">
        <v>-0.813</v>
      </c>
      <c r="AO199" s="48" t="n">
        <v>-4.751</v>
      </c>
      <c r="AP199" s="48" t="n">
        <v>-0.255</v>
      </c>
      <c r="AQ199" s="48" t="n">
        <v>-1.567</v>
      </c>
      <c r="AR199" s="48" t="n">
        <v>-7.386</v>
      </c>
      <c r="AS199" s="48" t="n">
        <v>-1.976</v>
      </c>
      <c r="AT199" s="48" t="n">
        <v>-5.576</v>
      </c>
      <c r="AU199" s="48" t="n">
        <v>-1.911</v>
      </c>
      <c r="AV199" s="48" t="n">
        <v>-1.131</v>
      </c>
      <c r="AW199" s="48" t="n">
        <v>-10.594</v>
      </c>
      <c r="AX199" s="48" t="n">
        <v>-1.561</v>
      </c>
      <c r="AY199" s="48" t="n">
        <v>-0.433</v>
      </c>
      <c r="AZ199" s="48" t="n">
        <v>-18.743</v>
      </c>
      <c r="BA199" s="48" t="n">
        <v>-26.451</v>
      </c>
      <c r="BB199" s="48" t="n">
        <v>-47.188</v>
      </c>
      <c r="BC199" s="48" t="n">
        <v>1.041</v>
      </c>
      <c r="BD199" s="48" t="n">
        <v>-0.252</v>
      </c>
      <c r="BE199" s="48" t="n">
        <v>-0.731</v>
      </c>
      <c r="BF199" s="48" t="n">
        <v>-1.25</v>
      </c>
      <c r="BG199" s="48" t="n">
        <v>-1.192</v>
      </c>
      <c r="BH199" s="48" t="n">
        <v>-0.818</v>
      </c>
      <c r="BI199" s="48" t="n">
        <v>-1.311</v>
      </c>
      <c r="BJ199" s="48" t="n">
        <v>-1.78</v>
      </c>
      <c r="BK199" s="48" t="n">
        <v>6.445</v>
      </c>
      <c r="BL199" s="48" t="n">
        <v>2.537</v>
      </c>
      <c r="BM199" s="48" t="n">
        <v>-1.126</v>
      </c>
      <c r="BN199" s="48" t="n">
        <v>-1.182</v>
      </c>
      <c r="BO199" s="48" t="n">
        <v>-6.55</v>
      </c>
      <c r="BP199" s="48" t="n">
        <v>-2.655</v>
      </c>
      <c r="BQ199" s="48" t="n">
        <v>-11.513</v>
      </c>
      <c r="BR199" s="48" t="n">
        <v>-1.158</v>
      </c>
      <c r="BS199" s="48" t="n">
        <v>-0.755</v>
      </c>
      <c r="BT199" s="48" t="n">
        <v>6.685</v>
      </c>
      <c r="BU199" s="48" t="n">
        <v>0.405</v>
      </c>
      <c r="BV199" s="48" t="n">
        <v>5.177</v>
      </c>
      <c r="BW199" s="48" t="n">
        <v>-0.74</v>
      </c>
      <c r="BX199" s="48" t="n">
        <v>-0.795</v>
      </c>
      <c r="BY199" s="56" t="n">
        <f aca="false">-BY177*BY146</f>
        <v>-0.675</v>
      </c>
      <c r="BZ199" s="56" t="n">
        <f aca="false">-BZ177*BZ146</f>
        <v>-0.675</v>
      </c>
      <c r="CA199" s="56" t="n">
        <f aca="false">SUM(BW199:BZ199)</f>
        <v>-2.885</v>
      </c>
      <c r="CB199" s="56" t="n">
        <f aca="false">-CB177*CB146</f>
        <v>-2.76</v>
      </c>
      <c r="CC199" s="56" t="n">
        <f aca="false">-CC177*CC146</f>
        <v>-2.76</v>
      </c>
      <c r="CD199" s="56" t="n">
        <f aca="false">-CD177*CD146</f>
        <v>-2.76</v>
      </c>
      <c r="CE199" s="56" t="n">
        <f aca="false">-CE177*CE146</f>
        <v>-2.76</v>
      </c>
      <c r="CF199" s="19" t="s">
        <v>341</v>
      </c>
    </row>
    <row r="200" customFormat="false" ht="15" hidden="false" customHeight="false" outlineLevel="0" collapsed="false">
      <c r="B200" s="26" t="s">
        <v>342</v>
      </c>
      <c r="C200" s="48" t="n">
        <v>0</v>
      </c>
      <c r="D200" s="48" t="n">
        <v>0</v>
      </c>
      <c r="E200" s="48" t="n">
        <v>0</v>
      </c>
      <c r="F200" s="48" t="n">
        <v>0</v>
      </c>
      <c r="G200" s="48" t="n">
        <v>0</v>
      </c>
      <c r="H200" s="48" t="n">
        <v>-4.844</v>
      </c>
      <c r="I200" s="48" t="n">
        <v>0</v>
      </c>
      <c r="J200" s="48" t="n">
        <v>0</v>
      </c>
      <c r="K200" s="48" t="n">
        <v>0</v>
      </c>
      <c r="L200" s="48" t="n">
        <v>0</v>
      </c>
      <c r="M200" s="48" t="n">
        <v>0</v>
      </c>
      <c r="N200" s="48" t="n">
        <v>0</v>
      </c>
      <c r="O200" s="48" t="n">
        <v>0</v>
      </c>
      <c r="P200" s="48" t="n">
        <v>0</v>
      </c>
      <c r="Q200" s="48" t="n">
        <v>0</v>
      </c>
      <c r="R200" s="48" t="n">
        <v>0</v>
      </c>
      <c r="S200" s="48" t="n">
        <v>0</v>
      </c>
      <c r="T200" s="48" t="n">
        <v>0</v>
      </c>
      <c r="U200" s="48" t="n">
        <v>0</v>
      </c>
      <c r="V200" s="48" t="n">
        <v>0</v>
      </c>
      <c r="W200" s="48" t="n">
        <v>0</v>
      </c>
      <c r="X200" s="48" t="n">
        <v>0</v>
      </c>
      <c r="Y200" s="48" t="n">
        <v>0</v>
      </c>
      <c r="Z200" s="48" t="n">
        <v>-7.196</v>
      </c>
      <c r="AA200" s="48" t="n">
        <v>0</v>
      </c>
      <c r="AB200" s="48" t="n">
        <v>0</v>
      </c>
      <c r="AC200" s="48" t="n">
        <v>-7.196</v>
      </c>
      <c r="AD200" s="48" t="n">
        <v>0</v>
      </c>
      <c r="AE200" s="48" t="n">
        <v>0</v>
      </c>
      <c r="AF200" s="48" t="n">
        <v>0</v>
      </c>
      <c r="AG200" s="48" t="n">
        <v>28.616</v>
      </c>
      <c r="AH200" s="48" t="n">
        <v>28.616</v>
      </c>
      <c r="AI200" s="48" t="n">
        <v>2.5</v>
      </c>
      <c r="AJ200" s="48" t="n">
        <v>0</v>
      </c>
      <c r="AK200" s="48" t="n">
        <v>0</v>
      </c>
      <c r="AL200" s="48" t="n">
        <v>0</v>
      </c>
      <c r="AM200" s="48" t="n">
        <v>0</v>
      </c>
      <c r="AN200" s="48" t="n">
        <v>0</v>
      </c>
      <c r="AO200" s="48" t="n">
        <v>0</v>
      </c>
      <c r="AP200" s="48" t="n">
        <v>0</v>
      </c>
      <c r="AQ200" s="48" t="n">
        <v>0</v>
      </c>
      <c r="AR200" s="48" t="n">
        <v>0</v>
      </c>
      <c r="AS200" s="48" t="n">
        <v>0</v>
      </c>
      <c r="AT200" s="48" t="n">
        <v>0</v>
      </c>
      <c r="AU200" s="48" t="n">
        <v>0</v>
      </c>
      <c r="AV200" s="48" t="n">
        <v>0</v>
      </c>
      <c r="AW200" s="48" t="n">
        <v>0</v>
      </c>
      <c r="AX200" s="48" t="n">
        <v>0</v>
      </c>
      <c r="AY200" s="48" t="n">
        <v>0</v>
      </c>
      <c r="AZ200" s="48" t="n">
        <v>0</v>
      </c>
      <c r="BA200" s="48" t="n">
        <v>0</v>
      </c>
      <c r="BB200" s="48" t="n">
        <v>0</v>
      </c>
      <c r="BC200" s="48" t="n">
        <v>0</v>
      </c>
      <c r="BD200" s="48" t="n">
        <v>0</v>
      </c>
      <c r="BE200" s="48" t="n">
        <v>0</v>
      </c>
      <c r="BF200" s="48" t="n">
        <v>0</v>
      </c>
      <c r="BG200" s="48" t="n">
        <v>0</v>
      </c>
      <c r="BH200" s="48" t="n">
        <v>0</v>
      </c>
      <c r="BI200" s="48" t="n">
        <v>0</v>
      </c>
      <c r="BJ200" s="48" t="n">
        <v>0</v>
      </c>
      <c r="BK200" s="48" t="n">
        <v>0</v>
      </c>
      <c r="BL200" s="48" t="n">
        <v>0</v>
      </c>
      <c r="BM200" s="48" t="n">
        <v>0</v>
      </c>
      <c r="BN200" s="48" t="n">
        <v>0</v>
      </c>
      <c r="BO200" s="48" t="n">
        <v>0</v>
      </c>
      <c r="BP200" s="48" t="n">
        <v>0</v>
      </c>
      <c r="BQ200" s="48" t="n">
        <v>0</v>
      </c>
      <c r="BR200" s="48" t="n">
        <v>0</v>
      </c>
      <c r="BS200" s="48" t="n">
        <v>0</v>
      </c>
      <c r="BT200" s="48" t="n">
        <v>0</v>
      </c>
      <c r="BU200" s="48" t="n">
        <v>0</v>
      </c>
      <c r="BV200" s="48" t="n">
        <v>0</v>
      </c>
      <c r="BW200" s="48" t="n">
        <v>0</v>
      </c>
      <c r="BX200" s="48" t="n">
        <v>0</v>
      </c>
      <c r="BY200" s="55" t="n">
        <v>0</v>
      </c>
      <c r="BZ200" s="55" t="n">
        <v>0</v>
      </c>
      <c r="CA200" s="56" t="n">
        <f aca="false">SUM(BW200:BZ200)</f>
        <v>0</v>
      </c>
      <c r="CB200" s="55" t="n">
        <v>0</v>
      </c>
      <c r="CC200" s="55" t="n">
        <v>0</v>
      </c>
      <c r="CD200" s="55" t="n">
        <v>0</v>
      </c>
      <c r="CE200" s="55" t="n">
        <v>0</v>
      </c>
    </row>
    <row r="201" customFormat="false" ht="15" hidden="false" customHeight="false" outlineLevel="0" collapsed="false">
      <c r="B201" s="26" t="s">
        <v>343</v>
      </c>
      <c r="C201" s="48" t="n">
        <v>0</v>
      </c>
      <c r="D201" s="48" t="n">
        <v>0</v>
      </c>
      <c r="E201" s="48" t="n">
        <v>0</v>
      </c>
      <c r="F201" s="48" t="n">
        <v>0</v>
      </c>
      <c r="G201" s="48" t="n">
        <v>0</v>
      </c>
      <c r="H201" s="48" t="n">
        <v>0</v>
      </c>
      <c r="I201" s="48" t="n">
        <v>0</v>
      </c>
      <c r="J201" s="48" t="n">
        <v>0</v>
      </c>
      <c r="K201" s="48" t="n">
        <v>0</v>
      </c>
      <c r="L201" s="48" t="n">
        <v>-1.021</v>
      </c>
      <c r="M201" s="48" t="n">
        <v>-0.047</v>
      </c>
      <c r="N201" s="48" t="n">
        <v>-1.068</v>
      </c>
      <c r="O201" s="48" t="n">
        <v>0</v>
      </c>
      <c r="P201" s="48" t="n">
        <v>0</v>
      </c>
      <c r="Q201" s="48" t="n">
        <v>-0.805</v>
      </c>
      <c r="R201" s="48" t="n">
        <v>0</v>
      </c>
      <c r="S201" s="48" t="n">
        <v>-0.805</v>
      </c>
      <c r="T201" s="48" t="n">
        <v>0</v>
      </c>
      <c r="U201" s="48" t="n">
        <v>0</v>
      </c>
      <c r="V201" s="48" t="n">
        <v>0</v>
      </c>
      <c r="W201" s="48" t="n">
        <v>0</v>
      </c>
      <c r="X201" s="48" t="n">
        <v>0</v>
      </c>
      <c r="Y201" s="48" t="n">
        <v>0</v>
      </c>
      <c r="Z201" s="48" t="n">
        <v>0</v>
      </c>
      <c r="AA201" s="48" t="n">
        <v>0</v>
      </c>
      <c r="AB201" s="48" t="n">
        <v>0</v>
      </c>
      <c r="AC201" s="48" t="n">
        <v>0</v>
      </c>
      <c r="AD201" s="48" t="n">
        <v>0</v>
      </c>
      <c r="AE201" s="48" t="n">
        <v>0</v>
      </c>
      <c r="AF201" s="48" t="n">
        <v>0</v>
      </c>
      <c r="AG201" s="48" t="n">
        <v>0</v>
      </c>
      <c r="AH201" s="48" t="n">
        <v>0</v>
      </c>
      <c r="AI201" s="48" t="n">
        <v>0</v>
      </c>
      <c r="AJ201" s="48" t="n">
        <v>0</v>
      </c>
      <c r="AK201" s="48" t="n">
        <v>0</v>
      </c>
      <c r="AL201" s="48" t="n">
        <v>0</v>
      </c>
      <c r="AM201" s="48" t="n">
        <v>0</v>
      </c>
      <c r="AN201" s="48" t="n">
        <v>0</v>
      </c>
      <c r="AO201" s="48" t="n">
        <v>0</v>
      </c>
      <c r="AP201" s="48" t="n">
        <v>0</v>
      </c>
      <c r="AQ201" s="48" t="n">
        <v>0</v>
      </c>
      <c r="AR201" s="48" t="n">
        <v>0</v>
      </c>
      <c r="AS201" s="48" t="n">
        <v>0</v>
      </c>
      <c r="AT201" s="48" t="n">
        <v>0</v>
      </c>
      <c r="AU201" s="48" t="n">
        <v>0</v>
      </c>
      <c r="AV201" s="48" t="n">
        <v>0</v>
      </c>
      <c r="AW201" s="48" t="n">
        <v>0</v>
      </c>
      <c r="AX201" s="48" t="n">
        <v>0</v>
      </c>
      <c r="AY201" s="48" t="n">
        <v>0</v>
      </c>
      <c r="AZ201" s="48" t="n">
        <v>0</v>
      </c>
      <c r="BA201" s="48" t="n">
        <v>0</v>
      </c>
      <c r="BB201" s="48" t="n">
        <v>0</v>
      </c>
      <c r="BC201" s="48" t="n">
        <v>0</v>
      </c>
      <c r="BD201" s="48" t="n">
        <v>0</v>
      </c>
      <c r="BE201" s="48" t="n">
        <v>0</v>
      </c>
      <c r="BF201" s="48" t="n">
        <v>0</v>
      </c>
      <c r="BG201" s="48" t="n">
        <v>0</v>
      </c>
      <c r="BH201" s="48" t="n">
        <v>0</v>
      </c>
      <c r="BI201" s="48" t="n">
        <v>0</v>
      </c>
      <c r="BJ201" s="48" t="n">
        <v>0</v>
      </c>
      <c r="BK201" s="48" t="n">
        <v>0</v>
      </c>
      <c r="BL201" s="48" t="n">
        <v>0</v>
      </c>
      <c r="BM201" s="48" t="n">
        <v>0</v>
      </c>
      <c r="BN201" s="48" t="n">
        <v>0</v>
      </c>
      <c r="BO201" s="48" t="n">
        <v>0</v>
      </c>
      <c r="BP201" s="48" t="n">
        <v>0</v>
      </c>
      <c r="BQ201" s="48" t="n">
        <v>0</v>
      </c>
      <c r="BR201" s="48" t="n">
        <v>0</v>
      </c>
      <c r="BS201" s="48" t="n">
        <v>0</v>
      </c>
      <c r="BT201" s="48" t="n">
        <v>0</v>
      </c>
      <c r="BU201" s="48" t="n">
        <v>0</v>
      </c>
      <c r="BV201" s="48" t="n">
        <v>0</v>
      </c>
      <c r="BW201" s="48" t="n">
        <v>0</v>
      </c>
      <c r="BX201" s="48" t="n">
        <v>0</v>
      </c>
      <c r="BY201" s="55" t="n">
        <v>0</v>
      </c>
      <c r="BZ201" s="55" t="n">
        <v>0</v>
      </c>
      <c r="CA201" s="56" t="n">
        <f aca="false">SUM(BW201:BZ201)</f>
        <v>0</v>
      </c>
      <c r="CB201" s="55" t="n">
        <v>0</v>
      </c>
      <c r="CC201" s="55" t="n">
        <v>0</v>
      </c>
      <c r="CD201" s="55" t="n">
        <v>0</v>
      </c>
      <c r="CE201" s="55" t="n">
        <v>0</v>
      </c>
    </row>
    <row r="202" customFormat="false" ht="15" hidden="false" customHeight="false" outlineLevel="0" collapsed="false">
      <c r="B202" s="58" t="s">
        <v>344</v>
      </c>
      <c r="C202" s="59" t="n">
        <f aca="false">IF(ISNUMBER(C199),C197+C198+C199+N(C200)+N(C201),"")</f>
        <v>171.308</v>
      </c>
      <c r="D202" s="59" t="n">
        <f aca="false">IF(ISNUMBER(D199),D197+D198+D199+N(D200)+N(D201),"")</f>
        <v>202.629</v>
      </c>
      <c r="E202" s="59" t="n">
        <f aca="false">IF(ISNUMBER(E199),E197+E198+E199+N(E200)+N(E201),"")</f>
        <v>230.599</v>
      </c>
      <c r="F202" s="59" t="n">
        <f aca="false">IF(ISNUMBER(F199),F197+F198+F199+N(F200)+N(F201),"")</f>
        <v>73.098</v>
      </c>
      <c r="G202" s="59" t="n">
        <f aca="false">IF(ISNUMBER(G199),G197+G198+G199+N(G200)+N(G201),"")</f>
        <v>129.6</v>
      </c>
      <c r="H202" s="59" t="n">
        <f aca="false">IF(ISNUMBER(H199),H197+H198+H199+N(H200)+N(H201),"")</f>
        <v>212.579</v>
      </c>
      <c r="I202" s="59" t="n">
        <f aca="false">IF(ISNUMBER(I199),I197+I198+I199+N(I200)+N(I201),"")</f>
        <v>265.759</v>
      </c>
      <c r="J202" s="59" t="n">
        <f aca="false">IF(ISNUMBER(J199),J197+J198+J199+N(J200)+N(J201),"")</f>
        <v>77.139</v>
      </c>
      <c r="K202" s="59" t="n">
        <f aca="false">IF(ISNUMBER(K199),K197+K198+K199+N(K200)+N(K201),"")</f>
        <v>75.723</v>
      </c>
      <c r="L202" s="59" t="n">
        <f aca="false">IF(ISNUMBER(L199),L197+L198+L199+N(L200)+N(L201),"")</f>
        <v>71.121</v>
      </c>
      <c r="M202" s="59" t="n">
        <f aca="false">IF(ISNUMBER(M199),M197+M198+M199+N(M200)+N(M201),"")</f>
        <v>89.205</v>
      </c>
      <c r="N202" s="59" t="n">
        <f aca="false">IF(ISNUMBER(N199),N197+N198+N199+N(N200)+N(N201),"")</f>
        <v>313.188</v>
      </c>
      <c r="O202" s="59" t="n">
        <f aca="false">IF(ISNUMBER(O199),O197+O198+O199+N(O200)+N(O201),"")</f>
        <v>74.111</v>
      </c>
      <c r="P202" s="59" t="n">
        <f aca="false">IF(ISNUMBER(P199),P197+P198+P199+N(P200)+N(P201),"")</f>
        <v>81.498</v>
      </c>
      <c r="Q202" s="59" t="n">
        <f aca="false">IF(ISNUMBER(Q199),Q197+Q198+Q199+N(Q200)+N(Q201),"")</f>
        <v>74.94</v>
      </c>
      <c r="R202" s="59" t="n">
        <f aca="false">IF(ISNUMBER(R199),R197+R198+R199+N(R200)+N(R201),"")</f>
        <v>75.3789999999999</v>
      </c>
      <c r="S202" s="59" t="n">
        <f aca="false">IF(ISNUMBER(S199),S197+S198+S199+N(S200)+N(S201),"")</f>
        <v>305.928</v>
      </c>
      <c r="T202" s="59" t="n">
        <f aca="false">IF(ISNUMBER(T199),T197+T198+T199+N(T200)+N(T201),"")</f>
        <v>68.354</v>
      </c>
      <c r="U202" s="59" t="n">
        <f aca="false">IF(ISNUMBER(U199),U197+U198+U199+N(U200)+N(U201),"")</f>
        <v>71.798</v>
      </c>
      <c r="V202" s="59" t="n">
        <f aca="false">IF(ISNUMBER(V199),V197+V198+V199+N(V200)+N(V201),"")</f>
        <v>66.2130000000001</v>
      </c>
      <c r="W202" s="59" t="n">
        <f aca="false">IF(ISNUMBER(W199),W197+W198+W199+N(W200)+N(W201),"")</f>
        <v>53.819</v>
      </c>
      <c r="X202" s="59" t="n">
        <f aca="false">IF(ISNUMBER(X199),X197+X198+X199+N(X200)+N(X201),"")</f>
        <v>260.184</v>
      </c>
      <c r="Y202" s="59" t="n">
        <f aca="false">IF(ISNUMBER(Y199),Y197+Y198+Y199+N(Y200)+N(Y201),"")</f>
        <v>53.638</v>
      </c>
      <c r="Z202" s="59" t="n">
        <f aca="false">IF(ISNUMBER(Z199),Z197+Z198+Z199+N(Z200)+N(Z201),"")</f>
        <v>57.372</v>
      </c>
      <c r="AA202" s="59" t="n">
        <f aca="false">IF(ISNUMBER(AA199),AA197+AA198+AA199+N(AA200)+N(AA201),"")</f>
        <v>60.0489999999999</v>
      </c>
      <c r="AB202" s="59" t="n">
        <f aca="false">IF(ISNUMBER(AB199),AB197+AB198+AB199+N(AB200)+N(AB201),"")</f>
        <v>53.395</v>
      </c>
      <c r="AC202" s="59" t="n">
        <f aca="false">IF(ISNUMBER(AC199),AC197+AC198+AC199+N(AC200)+N(AC201),"")</f>
        <v>224.454</v>
      </c>
      <c r="AD202" s="59" t="n">
        <f aca="false">IF(ISNUMBER(AD199),AD197+AD198+AD199+N(AD200)+N(AD201),"")</f>
        <v>58.5780000000001</v>
      </c>
      <c r="AE202" s="59" t="n">
        <f aca="false">IF(ISNUMBER(AE199),AE197+AE198+AE199+N(AE200)+N(AE201),"")</f>
        <v>64.846</v>
      </c>
      <c r="AF202" s="59" t="n">
        <f aca="false">IF(ISNUMBER(AF199),AF197+AF198+AF199+N(AF200)+N(AF201),"")</f>
        <v>61.775</v>
      </c>
      <c r="AG202" s="59" t="n">
        <f aca="false">IF(ISNUMBER(AG199),AG197+AG198+AG199+N(AG200)+N(AG201),"")</f>
        <v>67.5099999999999</v>
      </c>
      <c r="AH202" s="59" t="n">
        <f aca="false">IF(ISNUMBER(AH199),AH197+AH198+AH199+N(AH200)+N(AH201),"")</f>
        <v>252.709</v>
      </c>
      <c r="AI202" s="59" t="n">
        <f aca="false">IF(ISNUMBER(AI199),AI197+AI198+AI199+N(AI200)+N(AI201),"")</f>
        <v>73.283</v>
      </c>
      <c r="AJ202" s="59" t="n">
        <f aca="false">IF(ISNUMBER(AJ199),AJ197+AJ198+AJ199+N(AJ200)+N(AJ201),"")</f>
        <v>80.41</v>
      </c>
      <c r="AK202" s="59" t="n">
        <f aca="false">IF(ISNUMBER(AK199),AK197+AK198+AK199+N(AK200)+N(AK201),"")</f>
        <v>79.41</v>
      </c>
      <c r="AL202" s="59" t="n">
        <f aca="false">IF(ISNUMBER(AL199),AL197+AL198+AL199+N(AL200)+N(AL201),"")</f>
        <v>83.536</v>
      </c>
      <c r="AM202" s="59" t="n">
        <f aca="false">IF(ISNUMBER(AM199),AM197+AM198+AM199+N(AM200)+N(AM201),"")</f>
        <v>316.639</v>
      </c>
      <c r="AN202" s="59" t="n">
        <f aca="false">IF(ISNUMBER(AN199),AN197+AN198+AN199+N(AN200)+N(AN201),"")</f>
        <v>74.992</v>
      </c>
      <c r="AO202" s="59" t="n">
        <f aca="false">IF(ISNUMBER(AO199),AO197+AO198+AO199+N(AO200)+N(AO201),"")</f>
        <v>80.867</v>
      </c>
      <c r="AP202" s="59" t="n">
        <f aca="false">IF(ISNUMBER(AP199),AP197+AP198+AP199+N(AP200)+N(AP201),"")</f>
        <v>67.709</v>
      </c>
      <c r="AQ202" s="59" t="n">
        <f aca="false">IF(ISNUMBER(AQ199),AQ197+AQ198+AQ199+N(AQ200)+N(AQ201),"")</f>
        <v>71</v>
      </c>
      <c r="AR202" s="59" t="n">
        <f aca="false">IF(ISNUMBER(AR199),AR197+AR198+AR199+N(AR200)+N(AR201),"")</f>
        <v>294.568</v>
      </c>
      <c r="AS202" s="59" t="n">
        <f aca="false">IF(ISNUMBER(AS199),AS197+AS198+AS199+N(AS200)+N(AS201),"")</f>
        <v>60.913</v>
      </c>
      <c r="AT202" s="59" t="n">
        <f aca="false">IF(ISNUMBER(AT199),AT197+AT198+AT199+N(AT200)+N(AT201),"")</f>
        <v>47.992</v>
      </c>
      <c r="AU202" s="59" t="n">
        <f aca="false">IF(ISNUMBER(AU199),AU197+AU198+AU199+N(AU200)+N(AU201),"")</f>
        <v>66.0130000000001</v>
      </c>
      <c r="AV202" s="59" t="n">
        <f aca="false">IF(ISNUMBER(AV199),AV197+AV198+AV199+N(AV200)+N(AV201),"")</f>
        <v>74.996</v>
      </c>
      <c r="AW202" s="59" t="n">
        <f aca="false">IF(ISNUMBER(AW199),AW197+AW198+AW199+N(AW200)+N(AW201),"")</f>
        <v>249.914</v>
      </c>
      <c r="AX202" s="59" t="n">
        <f aca="false">IF(ISNUMBER(AX199),AX197+AX198+AX199+N(AX200)+N(AX201),"")</f>
        <v>82.778</v>
      </c>
      <c r="AY202" s="59" t="n">
        <f aca="false">IF(ISNUMBER(AY199),AY197+AY198+AY199+N(AY200)+N(AY201),"")</f>
        <v>100.603</v>
      </c>
      <c r="AZ202" s="59" t="n">
        <f aca="false">IF(ISNUMBER(AZ199),AZ197+AZ198+AZ199+N(AZ200)+N(AZ201),"")</f>
        <v>93.7499999999999</v>
      </c>
      <c r="BA202" s="59" t="n">
        <f aca="false">IF(ISNUMBER(BA199),BA197+BA198+BA199+N(BA200)+N(BA201),"")</f>
        <v>96.2029999999999</v>
      </c>
      <c r="BB202" s="59" t="n">
        <f aca="false">IF(ISNUMBER(BB199),BB197+BB198+BB199+N(BB200)+N(BB201),"")</f>
        <v>373.334</v>
      </c>
      <c r="BC202" s="59" t="n">
        <f aca="false">IF(ISNUMBER(BC199),BC197+BC198+BC199+N(BC200)+N(BC201),"")</f>
        <v>124.683</v>
      </c>
      <c r="BD202" s="59" t="n">
        <f aca="false">IF(ISNUMBER(BD199),BD197+BD198+BD199+N(BD200)+N(BD201),"")</f>
        <v>128.186</v>
      </c>
      <c r="BE202" s="59" t="n">
        <f aca="false">IF(ISNUMBER(BE199),BE197+BE198+BE199+N(BE200)+N(BE201),"")</f>
        <v>119.573</v>
      </c>
      <c r="BF202" s="59" t="n">
        <f aca="false">IF(ISNUMBER(BF199),BF197+BF198+BF199+N(BF200)+N(BF201),"")</f>
        <v>113.214</v>
      </c>
      <c r="BG202" s="59" t="n">
        <f aca="false">IF(ISNUMBER(BG199),BG197+BG198+BG199+N(BG200)+N(BG201),"")</f>
        <v>485.656</v>
      </c>
      <c r="BH202" s="59" t="n">
        <f aca="false">IF(ISNUMBER(BH199),BH197+BH198+BH199+N(BH200)+N(BH201),"")</f>
        <v>124.2</v>
      </c>
      <c r="BI202" s="59" t="n">
        <f aca="false">IF(ISNUMBER(BI199),BI197+BI198+BI199+N(BI200)+N(BI201),"")</f>
        <v>142.232</v>
      </c>
      <c r="BJ202" s="59" t="n">
        <f aca="false">IF(ISNUMBER(BJ199),BJ197+BJ198+BJ199+N(BJ200)+N(BJ201),"")</f>
        <v>139.489</v>
      </c>
      <c r="BK202" s="59" t="n">
        <f aca="false">IF(ISNUMBER(BK199),BK197+BK198+BK199+N(BK200)+N(BK201),"")</f>
        <v>142.002</v>
      </c>
      <c r="BL202" s="59" t="n">
        <f aca="false">IF(ISNUMBER(BL199),BL197+BL198+BL199+N(BL200)+N(BL201),"")</f>
        <v>547.922000000001</v>
      </c>
      <c r="BM202" s="59" t="n">
        <f aca="false">IF(ISNUMBER(BM199),BM197+BM198+BM199+N(BM200)+N(BM201),"")</f>
        <v>128.656</v>
      </c>
      <c r="BN202" s="59" t="n">
        <f aca="false">IF(ISNUMBER(BN199),BN197+BN198+BN199+N(BN200)+N(BN201),"")</f>
        <v>134.26</v>
      </c>
      <c r="BO202" s="59" t="n">
        <f aca="false">IF(ISNUMBER(BO199),BO197+BO198+BO199+N(BO200)+N(BO201),"")</f>
        <v>122.368</v>
      </c>
      <c r="BP202" s="59" t="n">
        <f aca="false">IF(ISNUMBER(BP199),BP197+BP198+BP199+N(BP200)+N(BP201),"")</f>
        <v>145.981</v>
      </c>
      <c r="BQ202" s="59" t="n">
        <f aca="false">IF(ISNUMBER(BQ199),BQ197+BQ198+BQ199+N(BQ200)+N(BQ201),"")</f>
        <v>531.265</v>
      </c>
      <c r="BR202" s="59" t="n">
        <f aca="false">IF(ISNUMBER(BR199),BR197+BR198+BR199+N(BR200)+N(BR201),"")</f>
        <v>121.856</v>
      </c>
      <c r="BS202" s="59" t="n">
        <f aca="false">IF(ISNUMBER(BS199),BS197+BS198+BS199+N(BS200)+N(BS201),"")</f>
        <v>145.612</v>
      </c>
      <c r="BT202" s="59" t="n">
        <f aca="false">IF(ISNUMBER(BT199),BT197+BT198+BT199+N(BT200)+N(BT201),"")</f>
        <v>137.218</v>
      </c>
      <c r="BU202" s="59" t="n">
        <f aca="false">IF(ISNUMBER(BU199),BU197+BU198+BU199+N(BU200)+N(BU201),"")</f>
        <v>146.645</v>
      </c>
      <c r="BV202" s="59" t="n">
        <f aca="false">IF(ISNUMBER(BV199),BV197+BV198+BV199+N(BV200)+N(BV201),"")</f>
        <v>551.330999999999</v>
      </c>
      <c r="BW202" s="59" t="n">
        <f aca="false">IF(ISNUMBER(BW199),BW197+BW198+BW199+N(BW200)+N(BW201),"")</f>
        <v>138.458</v>
      </c>
      <c r="BX202" s="59" t="n">
        <f aca="false">IF(ISNUMBER(BX199),BX197+BX198+BX199+N(BX200)+N(BX201),"")</f>
        <v>161.22</v>
      </c>
      <c r="BY202" s="59" t="n">
        <f aca="false">IF(ISNUMBER(BY199),BY197+BY198+BY199+N(BY200)+N(BY201),"")</f>
        <v>156.497041042953</v>
      </c>
      <c r="BZ202" s="59" t="n">
        <f aca="false">IF(ISNUMBER(BZ199),BZ197+BZ198+BZ199+N(BZ200)+N(BZ201),"")</f>
        <v>162.728287203297</v>
      </c>
      <c r="CA202" s="59" t="n">
        <f aca="false">IF(ISNUMBER(CA199),CA197+CA198+CA199+N(CA200)+N(CA201),"")</f>
        <v>618.90332824625</v>
      </c>
      <c r="CB202" s="59" t="n">
        <f aca="false">IF(ISNUMBER(CB199),CB197+CB198+CB199+N(CB200)+N(CB201),"")</f>
        <v>671.316293631698</v>
      </c>
      <c r="CC202" s="59" t="n">
        <f aca="false">IF(ISNUMBER(CC199),CC197+CC198+CC199+N(CC200)+N(CC201),"")</f>
        <v>728.026722614095</v>
      </c>
      <c r="CD202" s="59" t="n">
        <f aca="false">IF(ISNUMBER(CD199),CD197+CD198+CD199+N(CD200)+N(CD201),"")</f>
        <v>783.477764986202</v>
      </c>
      <c r="CE202" s="59" t="n">
        <f aca="false">IF(ISNUMBER(CE199),CE197+CE198+CE199+N(CE200)+N(CE201),"")</f>
        <v>832.222277039333</v>
      </c>
      <c r="CH202" s="20" t="n">
        <f aca="false">IFERROR((CE202/BV202)^(1/5)-1,"n/m")</f>
        <v>0.085838871870032</v>
      </c>
      <c r="CI202" s="20" t="n">
        <f aca="false">IFERROR((BV202/AW202)^(1/5)-1,"n/m")</f>
        <v>0.171451641766979</v>
      </c>
      <c r="CJ202" s="20" t="n">
        <f aca="false">IFERROR((BV202/X202)^(1/10)-1,"n/m")</f>
        <v>0.0779861539170248</v>
      </c>
      <c r="CK202" s="20" t="n">
        <f aca="false">IFERROR((BV202/C202)^(1/19)-1,"n/m")</f>
        <v>0.0634513315085001</v>
      </c>
    </row>
    <row r="203" customFormat="false" ht="15" hidden="false" customHeight="false" outlineLevel="0" collapsed="false">
      <c r="B203" s="37" t="s">
        <v>345</v>
      </c>
      <c r="C203" s="48" t="n">
        <v>171.3</v>
      </c>
      <c r="D203" s="48" t="n">
        <v>202.629</v>
      </c>
      <c r="E203" s="48" t="n">
        <v>230.599</v>
      </c>
      <c r="F203" s="48" t="n">
        <v>73.098</v>
      </c>
      <c r="G203" s="48" t="n">
        <v>129.6</v>
      </c>
      <c r="H203" s="48" t="n">
        <v>212.579</v>
      </c>
      <c r="I203" s="48" t="n">
        <v>265.759</v>
      </c>
      <c r="J203" s="48" t="n">
        <v>77.139</v>
      </c>
      <c r="K203" s="48" t="n">
        <v>75.723</v>
      </c>
      <c r="L203" s="48" t="n">
        <v>71.121</v>
      </c>
      <c r="M203" s="48" t="n">
        <v>89.205</v>
      </c>
      <c r="N203" s="48" t="n">
        <v>313.188</v>
      </c>
      <c r="O203" s="48" t="n">
        <v>74.111</v>
      </c>
      <c r="P203" s="48" t="n">
        <v>81.498</v>
      </c>
      <c r="Q203" s="48" t="n">
        <v>74.94</v>
      </c>
      <c r="R203" s="48" t="n">
        <v>75.379</v>
      </c>
      <c r="S203" s="48" t="n">
        <v>305.928</v>
      </c>
      <c r="T203" s="48" t="n">
        <v>68.354</v>
      </c>
      <c r="U203" s="48" t="n">
        <v>71.798</v>
      </c>
      <c r="V203" s="48" t="n">
        <v>66.213</v>
      </c>
      <c r="W203" s="48" t="n">
        <v>53.819</v>
      </c>
      <c r="X203" s="48" t="n">
        <v>260.184</v>
      </c>
      <c r="Y203" s="48" t="n">
        <v>53.638</v>
      </c>
      <c r="Z203" s="48" t="n">
        <v>57.372</v>
      </c>
      <c r="AA203" s="48" t="n">
        <v>60.049</v>
      </c>
      <c r="AB203" s="48" t="n">
        <v>53.395</v>
      </c>
      <c r="AC203" s="48" t="n">
        <v>224.454</v>
      </c>
      <c r="AD203" s="48" t="n">
        <v>58.578</v>
      </c>
      <c r="AE203" s="48" t="n">
        <v>64.846</v>
      </c>
      <c r="AF203" s="48" t="n">
        <v>61.775</v>
      </c>
      <c r="AG203" s="48" t="n">
        <v>67.51</v>
      </c>
      <c r="AH203" s="48" t="n">
        <v>252.709</v>
      </c>
      <c r="AI203" s="48" t="n">
        <v>73.283</v>
      </c>
      <c r="AJ203" s="48" t="n">
        <v>80.41</v>
      </c>
      <c r="AK203" s="48" t="n">
        <v>79.41</v>
      </c>
      <c r="AL203" s="48" t="n">
        <v>83.536</v>
      </c>
      <c r="AM203" s="48" t="n">
        <v>316.639</v>
      </c>
      <c r="AN203" s="48" t="n">
        <v>74.992</v>
      </c>
      <c r="AO203" s="48" t="n">
        <v>80.867</v>
      </c>
      <c r="AP203" s="48" t="n">
        <v>67.709</v>
      </c>
      <c r="AQ203" s="48" t="n">
        <v>71</v>
      </c>
      <c r="AR203" s="48" t="n">
        <v>294.568</v>
      </c>
      <c r="AS203" s="48" t="n">
        <v>60.913</v>
      </c>
      <c r="AT203" s="48" t="n">
        <v>47.992</v>
      </c>
      <c r="AU203" s="48" t="n">
        <v>66.013</v>
      </c>
      <c r="AV203" s="48" t="n">
        <v>74.996</v>
      </c>
      <c r="AW203" s="48" t="n">
        <v>249.914</v>
      </c>
      <c r="AX203" s="48" t="n">
        <v>82.778</v>
      </c>
      <c r="AY203" s="48" t="n">
        <v>100.603</v>
      </c>
      <c r="AZ203" s="48" t="n">
        <v>93.75</v>
      </c>
      <c r="BA203" s="48" t="n">
        <v>96.203</v>
      </c>
      <c r="BB203" s="48" t="n">
        <v>373.334</v>
      </c>
      <c r="BC203" s="48" t="n">
        <v>124.683</v>
      </c>
      <c r="BD203" s="48" t="n">
        <v>128.186</v>
      </c>
      <c r="BE203" s="48" t="n">
        <v>119.573</v>
      </c>
      <c r="BF203" s="48" t="n">
        <v>113.214</v>
      </c>
      <c r="BG203" s="48" t="n">
        <v>485.656</v>
      </c>
      <c r="BH203" s="48" t="n">
        <v>124.2</v>
      </c>
      <c r="BI203" s="48" t="n">
        <v>142.232</v>
      </c>
      <c r="BJ203" s="48" t="n">
        <v>139.489</v>
      </c>
      <c r="BK203" s="48" t="n">
        <v>142.002</v>
      </c>
      <c r="BL203" s="48" t="n">
        <v>547.922</v>
      </c>
      <c r="BM203" s="48" t="n">
        <v>128.656</v>
      </c>
      <c r="BN203" s="48" t="n">
        <v>134.26</v>
      </c>
      <c r="BO203" s="48" t="n">
        <v>122.368</v>
      </c>
      <c r="BP203" s="48" t="n">
        <v>145.981</v>
      </c>
      <c r="BQ203" s="48" t="n">
        <v>531.265</v>
      </c>
      <c r="BR203" s="48" t="n">
        <v>121.856</v>
      </c>
      <c r="BS203" s="48" t="n">
        <v>145.612</v>
      </c>
      <c r="BT203" s="48" t="n">
        <v>137.218</v>
      </c>
      <c r="BU203" s="48" t="n">
        <v>146.645</v>
      </c>
      <c r="BV203" s="48" t="n">
        <v>551.331</v>
      </c>
      <c r="BW203" s="48" t="n">
        <v>138.458</v>
      </c>
      <c r="BX203" s="48" t="n">
        <v>161.22</v>
      </c>
    </row>
    <row r="204" customFormat="false" ht="15" hidden="false" customHeight="false" outlineLevel="0" collapsed="false">
      <c r="B204" s="36" t="s">
        <v>346</v>
      </c>
      <c r="C204" s="39" t="n">
        <f aca="false">IF(AND(ISNUMBER(C203),ISNUMBER(C202)),ROUND(C202-C203,1),"")</f>
        <v>0</v>
      </c>
      <c r="D204" s="39" t="n">
        <f aca="false">IF(AND(ISNUMBER(D203),ISNUMBER(D202)),ROUND(D202-D203,1),"")</f>
        <v>0</v>
      </c>
      <c r="E204" s="39" t="n">
        <f aca="false">IF(AND(ISNUMBER(E203),ISNUMBER(E202)),ROUND(E202-E203,1),"")</f>
        <v>0</v>
      </c>
      <c r="F204" s="39" t="n">
        <f aca="false">IF(AND(ISNUMBER(F203),ISNUMBER(F202)),ROUND(F202-F203,1),"")</f>
        <v>0</v>
      </c>
      <c r="G204" s="39" t="n">
        <f aca="false">IF(AND(ISNUMBER(G203),ISNUMBER(G202)),ROUND(G202-G203,1),"")</f>
        <v>0</v>
      </c>
      <c r="H204" s="39" t="n">
        <f aca="false">IF(AND(ISNUMBER(H203),ISNUMBER(H202)),ROUND(H202-H203,1),"")</f>
        <v>0</v>
      </c>
      <c r="I204" s="39" t="n">
        <f aca="false">IF(AND(ISNUMBER(I203),ISNUMBER(I202)),ROUND(I202-I203,1),"")</f>
        <v>0</v>
      </c>
      <c r="J204" s="39" t="n">
        <f aca="false">IF(AND(ISNUMBER(J203),ISNUMBER(J202)),ROUND(J202-J203,1),"")</f>
        <v>0</v>
      </c>
      <c r="K204" s="39" t="n">
        <f aca="false">IF(AND(ISNUMBER(K203),ISNUMBER(K202)),ROUND(K202-K203,1),"")</f>
        <v>0</v>
      </c>
      <c r="L204" s="39" t="n">
        <f aca="false">IF(AND(ISNUMBER(L203),ISNUMBER(L202)),ROUND(L202-L203,1),"")</f>
        <v>0</v>
      </c>
      <c r="M204" s="39" t="n">
        <f aca="false">IF(AND(ISNUMBER(M203),ISNUMBER(M202)),ROUND(M202-M203,1),"")</f>
        <v>0</v>
      </c>
      <c r="N204" s="39" t="n">
        <f aca="false">IF(AND(ISNUMBER(N203),ISNUMBER(N202)),ROUND(N202-N203,1),"")</f>
        <v>0</v>
      </c>
      <c r="O204" s="39" t="n">
        <f aca="false">IF(AND(ISNUMBER(O203),ISNUMBER(O202)),ROUND(O202-O203,1),"")</f>
        <v>0</v>
      </c>
      <c r="P204" s="39" t="n">
        <f aca="false">IF(AND(ISNUMBER(P203),ISNUMBER(P202)),ROUND(P202-P203,1),"")</f>
        <v>0</v>
      </c>
      <c r="Q204" s="39" t="n">
        <f aca="false">IF(AND(ISNUMBER(Q203),ISNUMBER(Q202)),ROUND(Q202-Q203,1),"")</f>
        <v>0</v>
      </c>
      <c r="R204" s="39" t="n">
        <f aca="false">IF(AND(ISNUMBER(R203),ISNUMBER(R202)),ROUND(R202-R203,1),"")</f>
        <v>0</v>
      </c>
      <c r="S204" s="39" t="n">
        <f aca="false">IF(AND(ISNUMBER(S203),ISNUMBER(S202)),ROUND(S202-S203,1),"")</f>
        <v>0</v>
      </c>
      <c r="T204" s="39" t="n">
        <f aca="false">IF(AND(ISNUMBER(T203),ISNUMBER(T202)),ROUND(T202-T203,1),"")</f>
        <v>0</v>
      </c>
      <c r="U204" s="39" t="n">
        <f aca="false">IF(AND(ISNUMBER(U203),ISNUMBER(U202)),ROUND(U202-U203,1),"")</f>
        <v>0</v>
      </c>
      <c r="V204" s="39" t="n">
        <f aca="false">IF(AND(ISNUMBER(V203),ISNUMBER(V202)),ROUND(V202-V203,1),"")</f>
        <v>0</v>
      </c>
      <c r="W204" s="39" t="n">
        <f aca="false">IF(AND(ISNUMBER(W203),ISNUMBER(W202)),ROUND(W202-W203,1),"")</f>
        <v>0</v>
      </c>
      <c r="X204" s="39" t="n">
        <f aca="false">IF(AND(ISNUMBER(X203),ISNUMBER(X202)),ROUND(X202-X203,1),"")</f>
        <v>0</v>
      </c>
      <c r="Y204" s="39" t="n">
        <f aca="false">IF(AND(ISNUMBER(Y203),ISNUMBER(Y202)),ROUND(Y202-Y203,1),"")</f>
        <v>0</v>
      </c>
      <c r="Z204" s="39" t="n">
        <f aca="false">IF(AND(ISNUMBER(Z203),ISNUMBER(Z202)),ROUND(Z202-Z203,1),"")</f>
        <v>0</v>
      </c>
      <c r="AA204" s="39" t="n">
        <f aca="false">IF(AND(ISNUMBER(AA203),ISNUMBER(AA202)),ROUND(AA202-AA203,1),"")</f>
        <v>0</v>
      </c>
      <c r="AB204" s="39" t="n">
        <f aca="false">IF(AND(ISNUMBER(AB203),ISNUMBER(AB202)),ROUND(AB202-AB203,1),"")</f>
        <v>0</v>
      </c>
      <c r="AC204" s="39" t="n">
        <f aca="false">IF(AND(ISNUMBER(AC203),ISNUMBER(AC202)),ROUND(AC202-AC203,1),"")</f>
        <v>0</v>
      </c>
      <c r="AD204" s="39" t="n">
        <f aca="false">IF(AND(ISNUMBER(AD203),ISNUMBER(AD202)),ROUND(AD202-AD203,1),"")</f>
        <v>0</v>
      </c>
      <c r="AE204" s="39" t="n">
        <f aca="false">IF(AND(ISNUMBER(AE203),ISNUMBER(AE202)),ROUND(AE202-AE203,1),"")</f>
        <v>0</v>
      </c>
      <c r="AF204" s="39" t="n">
        <f aca="false">IF(AND(ISNUMBER(AF203),ISNUMBER(AF202)),ROUND(AF202-AF203,1),"")</f>
        <v>0</v>
      </c>
      <c r="AG204" s="39" t="n">
        <f aca="false">IF(AND(ISNUMBER(AG203),ISNUMBER(AG202)),ROUND(AG202-AG203,1),"")</f>
        <v>0</v>
      </c>
      <c r="AH204" s="39" t="n">
        <f aca="false">IF(AND(ISNUMBER(AH203),ISNUMBER(AH202)),ROUND(AH202-AH203,1),"")</f>
        <v>0</v>
      </c>
      <c r="AI204" s="39" t="n">
        <f aca="false">IF(AND(ISNUMBER(AI203),ISNUMBER(AI202)),ROUND(AI202-AI203,1),"")</f>
        <v>0</v>
      </c>
      <c r="AJ204" s="39" t="n">
        <f aca="false">IF(AND(ISNUMBER(AJ203),ISNUMBER(AJ202)),ROUND(AJ202-AJ203,1),"")</f>
        <v>0</v>
      </c>
      <c r="AK204" s="39" t="n">
        <f aca="false">IF(AND(ISNUMBER(AK203),ISNUMBER(AK202)),ROUND(AK202-AK203,1),"")</f>
        <v>0</v>
      </c>
      <c r="AL204" s="39" t="n">
        <f aca="false">IF(AND(ISNUMBER(AL203),ISNUMBER(AL202)),ROUND(AL202-AL203,1),"")</f>
        <v>0</v>
      </c>
      <c r="AM204" s="39" t="n">
        <f aca="false">IF(AND(ISNUMBER(AM203),ISNUMBER(AM202)),ROUND(AM202-AM203,1),"")</f>
        <v>0</v>
      </c>
      <c r="AN204" s="39" t="n">
        <f aca="false">IF(AND(ISNUMBER(AN203),ISNUMBER(AN202)),ROUND(AN202-AN203,1),"")</f>
        <v>0</v>
      </c>
      <c r="AO204" s="39" t="n">
        <f aca="false">IF(AND(ISNUMBER(AO203),ISNUMBER(AO202)),ROUND(AO202-AO203,1),"")</f>
        <v>0</v>
      </c>
      <c r="AP204" s="39" t="n">
        <f aca="false">IF(AND(ISNUMBER(AP203),ISNUMBER(AP202)),ROUND(AP202-AP203,1),"")</f>
        <v>0</v>
      </c>
      <c r="AQ204" s="39" t="n">
        <f aca="false">IF(AND(ISNUMBER(AQ203),ISNUMBER(AQ202)),ROUND(AQ202-AQ203,1),"")</f>
        <v>0</v>
      </c>
      <c r="AR204" s="39" t="n">
        <f aca="false">IF(AND(ISNUMBER(AR203),ISNUMBER(AR202)),ROUND(AR202-AR203,1),"")</f>
        <v>0</v>
      </c>
      <c r="AS204" s="39" t="n">
        <f aca="false">IF(AND(ISNUMBER(AS203),ISNUMBER(AS202)),ROUND(AS202-AS203,1),"")</f>
        <v>0</v>
      </c>
      <c r="AT204" s="39" t="n">
        <f aca="false">IF(AND(ISNUMBER(AT203),ISNUMBER(AT202)),ROUND(AT202-AT203,1),"")</f>
        <v>0</v>
      </c>
      <c r="AU204" s="39" t="n">
        <f aca="false">IF(AND(ISNUMBER(AU203),ISNUMBER(AU202)),ROUND(AU202-AU203,1),"")</f>
        <v>0</v>
      </c>
      <c r="AV204" s="39" t="n">
        <f aca="false">IF(AND(ISNUMBER(AV203),ISNUMBER(AV202)),ROUND(AV202-AV203,1),"")</f>
        <v>0</v>
      </c>
      <c r="AW204" s="39" t="n">
        <f aca="false">IF(AND(ISNUMBER(AW203),ISNUMBER(AW202)),ROUND(AW202-AW203,1),"")</f>
        <v>0</v>
      </c>
      <c r="AX204" s="39" t="n">
        <f aca="false">IF(AND(ISNUMBER(AX203),ISNUMBER(AX202)),ROUND(AX202-AX203,1),"")</f>
        <v>0</v>
      </c>
      <c r="AY204" s="39" t="n">
        <f aca="false">IF(AND(ISNUMBER(AY203),ISNUMBER(AY202)),ROUND(AY202-AY203,1),"")</f>
        <v>0</v>
      </c>
      <c r="AZ204" s="39" t="n">
        <f aca="false">IF(AND(ISNUMBER(AZ203),ISNUMBER(AZ202)),ROUND(AZ202-AZ203,1),"")</f>
        <v>0</v>
      </c>
      <c r="BA204" s="39" t="n">
        <f aca="false">IF(AND(ISNUMBER(BA203),ISNUMBER(BA202)),ROUND(BA202-BA203,1),"")</f>
        <v>0</v>
      </c>
      <c r="BB204" s="39" t="n">
        <f aca="false">IF(AND(ISNUMBER(BB203),ISNUMBER(BB202)),ROUND(BB202-BB203,1),"")</f>
        <v>0</v>
      </c>
      <c r="BC204" s="39" t="n">
        <f aca="false">IF(AND(ISNUMBER(BC203),ISNUMBER(BC202)),ROUND(BC202-BC203,1),"")</f>
        <v>0</v>
      </c>
      <c r="BD204" s="39" t="n">
        <f aca="false">IF(AND(ISNUMBER(BD203),ISNUMBER(BD202)),ROUND(BD202-BD203,1),"")</f>
        <v>0</v>
      </c>
      <c r="BE204" s="39" t="n">
        <f aca="false">IF(AND(ISNUMBER(BE203),ISNUMBER(BE202)),ROUND(BE202-BE203,1),"")</f>
        <v>0</v>
      </c>
      <c r="BF204" s="39" t="n">
        <f aca="false">IF(AND(ISNUMBER(BF203),ISNUMBER(BF202)),ROUND(BF202-BF203,1),"")</f>
        <v>0</v>
      </c>
      <c r="BG204" s="39" t="n">
        <f aca="false">IF(AND(ISNUMBER(BG203),ISNUMBER(BG202)),ROUND(BG202-BG203,1),"")</f>
        <v>0</v>
      </c>
      <c r="BH204" s="39" t="n">
        <f aca="false">IF(AND(ISNUMBER(BH203),ISNUMBER(BH202)),ROUND(BH202-BH203,1),"")</f>
        <v>0</v>
      </c>
      <c r="BI204" s="39" t="n">
        <f aca="false">IF(AND(ISNUMBER(BI203),ISNUMBER(BI202)),ROUND(BI202-BI203,1),"")</f>
        <v>0</v>
      </c>
      <c r="BJ204" s="39" t="n">
        <f aca="false">IF(AND(ISNUMBER(BJ203),ISNUMBER(BJ202)),ROUND(BJ202-BJ203,1),"")</f>
        <v>0</v>
      </c>
      <c r="BK204" s="39" t="n">
        <f aca="false">IF(AND(ISNUMBER(BK203),ISNUMBER(BK202)),ROUND(BK202-BK203,1),"")</f>
        <v>0</v>
      </c>
      <c r="BL204" s="39" t="n">
        <f aca="false">IF(AND(ISNUMBER(BL203),ISNUMBER(BL202)),ROUND(BL202-BL203,1),"")</f>
        <v>0</v>
      </c>
      <c r="BM204" s="39" t="n">
        <f aca="false">IF(AND(ISNUMBER(BM203),ISNUMBER(BM202)),ROUND(BM202-BM203,1),"")</f>
        <v>0</v>
      </c>
      <c r="BN204" s="39" t="n">
        <f aca="false">IF(AND(ISNUMBER(BN203),ISNUMBER(BN202)),ROUND(BN202-BN203,1),"")</f>
        <v>0</v>
      </c>
      <c r="BO204" s="39" t="n">
        <f aca="false">IF(AND(ISNUMBER(BO203),ISNUMBER(BO202)),ROUND(BO202-BO203,1),"")</f>
        <v>0</v>
      </c>
      <c r="BP204" s="39" t="n">
        <f aca="false">IF(AND(ISNUMBER(BP203),ISNUMBER(BP202)),ROUND(BP202-BP203,1),"")</f>
        <v>0</v>
      </c>
      <c r="BQ204" s="39" t="n">
        <f aca="false">IF(AND(ISNUMBER(BQ203),ISNUMBER(BQ202)),ROUND(BQ202-BQ203,1),"")</f>
        <v>0</v>
      </c>
      <c r="BR204" s="39" t="n">
        <f aca="false">IF(AND(ISNUMBER(BR203),ISNUMBER(BR202)),ROUND(BR202-BR203,1),"")</f>
        <v>0</v>
      </c>
      <c r="BS204" s="39" t="n">
        <f aca="false">IF(AND(ISNUMBER(BS203),ISNUMBER(BS202)),ROUND(BS202-BS203,1),"")</f>
        <v>0</v>
      </c>
      <c r="BT204" s="39" t="n">
        <f aca="false">IF(AND(ISNUMBER(BT203),ISNUMBER(BT202)),ROUND(BT202-BT203,1),"")</f>
        <v>0</v>
      </c>
      <c r="BU204" s="39" t="n">
        <f aca="false">IF(AND(ISNUMBER(BU203),ISNUMBER(BU202)),ROUND(BU202-BU203,1),"")</f>
        <v>0</v>
      </c>
      <c r="BV204" s="39" t="n">
        <f aca="false">IF(AND(ISNUMBER(BV203),ISNUMBER(BV202)),ROUND(BV202-BV203,1),"")</f>
        <v>0</v>
      </c>
      <c r="BW204" s="39" t="n">
        <f aca="false">IF(AND(ISNUMBER(BW203),ISNUMBER(BW202)),ROUND(BW202-BW203,1),"")</f>
        <v>0</v>
      </c>
      <c r="BX204" s="39" t="n">
        <f aca="false">IF(AND(ISNUMBER(BX203),ISNUMBER(BX202)),ROUND(BX202-BX203,1),"")</f>
        <v>0</v>
      </c>
    </row>
    <row r="205" customFormat="false" ht="15" hidden="false" customHeight="false" outlineLevel="0" collapsed="false">
      <c r="B205" s="26" t="s">
        <v>297</v>
      </c>
      <c r="C205" s="72" t="n">
        <f aca="false">C157</f>
        <v>86.064</v>
      </c>
      <c r="D205" s="72" t="n">
        <f aca="false">D157</f>
        <v>86.784</v>
      </c>
      <c r="E205" s="72" t="n">
        <f aca="false">E157</f>
        <v>86.108</v>
      </c>
      <c r="F205" s="72" t="n">
        <f aca="false">F157</f>
        <v>85.268</v>
      </c>
      <c r="G205" s="72" t="n">
        <f aca="false">G157</f>
        <v>85.224</v>
      </c>
      <c r="H205" s="72" t="n">
        <f aca="false">H157</f>
        <v>84.708</v>
      </c>
      <c r="I205" s="72" t="n">
        <f aca="false">I157</f>
        <v>84.175</v>
      </c>
      <c r="J205" s="72" t="n">
        <f aca="false">J157</f>
        <v>83.786</v>
      </c>
      <c r="K205" s="72" t="n">
        <f aca="false">K157</f>
        <v>83.411</v>
      </c>
      <c r="L205" s="72" t="n">
        <f aca="false">L157</f>
        <v>82.707</v>
      </c>
      <c r="M205" s="72" t="n">
        <f aca="false">M157</f>
        <v>82.184</v>
      </c>
      <c r="N205" s="72" t="n">
        <f aca="false">N157</f>
        <v>83.042</v>
      </c>
      <c r="O205" s="72" t="n">
        <f aca="false">O157</f>
        <v>81.616</v>
      </c>
      <c r="P205" s="72" t="n">
        <f aca="false">P157</f>
        <v>80.773</v>
      </c>
      <c r="Q205" s="72" t="n">
        <f aca="false">Q157</f>
        <v>79.725</v>
      </c>
      <c r="R205" s="72" t="n">
        <f aca="false">R157</f>
        <v>78.28</v>
      </c>
      <c r="S205" s="72" t="n">
        <f aca="false">S157</f>
        <v>80.096</v>
      </c>
      <c r="T205" s="72" t="n">
        <f aca="false">T157</f>
        <v>77.059</v>
      </c>
      <c r="U205" s="72" t="n">
        <f aca="false">U157</f>
        <v>75.773</v>
      </c>
      <c r="V205" s="72" t="n">
        <f aca="false">V157</f>
        <v>73.754</v>
      </c>
      <c r="W205" s="72" t="n">
        <f aca="false">W157</f>
        <v>72.121</v>
      </c>
      <c r="X205" s="72" t="n">
        <f aca="false">X157</f>
        <v>74.854</v>
      </c>
      <c r="Y205" s="72" t="n">
        <f aca="false">Y157</f>
        <v>70.246</v>
      </c>
      <c r="Z205" s="72" t="n">
        <f aca="false">Z157</f>
        <v>68.89</v>
      </c>
      <c r="AA205" s="72" t="n">
        <f aca="false">AA157</f>
        <v>67.182</v>
      </c>
      <c r="AB205" s="72" t="n">
        <f aca="false">AB157</f>
        <v>66.303</v>
      </c>
      <c r="AC205" s="72" t="n">
        <f aca="false">AC157</f>
        <v>68.156</v>
      </c>
      <c r="AD205" s="72" t="n">
        <f aca="false">AD157</f>
        <v>66.583</v>
      </c>
      <c r="AE205" s="72" t="n">
        <f aca="false">AE157</f>
        <v>66.743</v>
      </c>
      <c r="AF205" s="72" t="n">
        <f aca="false">AF157</f>
        <v>66.702</v>
      </c>
      <c r="AG205" s="72" t="n">
        <f aca="false">AG157</f>
        <v>66.53</v>
      </c>
      <c r="AH205" s="72" t="n">
        <f aca="false">AH157</f>
        <v>66.643</v>
      </c>
      <c r="AI205" s="72" t="n">
        <f aca="false">AI157</f>
        <v>66.443</v>
      </c>
      <c r="AJ205" s="72" t="n">
        <f aca="false">AJ157</f>
        <v>66.121</v>
      </c>
      <c r="AK205" s="72" t="n">
        <f aca="false">AK157</f>
        <v>65.652</v>
      </c>
      <c r="AL205" s="72" t="n">
        <f aca="false">AL157</f>
        <v>64.559</v>
      </c>
      <c r="AM205" s="72" t="n">
        <f aca="false">AM157</f>
        <v>65.682</v>
      </c>
      <c r="AN205" s="72" t="n">
        <f aca="false">AN157</f>
        <v>63.899</v>
      </c>
      <c r="AO205" s="72" t="n">
        <f aca="false">AO157</f>
        <v>62.97</v>
      </c>
      <c r="AP205" s="72" t="n">
        <f aca="false">AP157</f>
        <v>62.061</v>
      </c>
      <c r="AQ205" s="72" t="n">
        <f aca="false">AQ157</f>
        <v>61.71</v>
      </c>
      <c r="AR205" s="72" t="n">
        <f aca="false">AR157</f>
        <v>62.658</v>
      </c>
      <c r="AS205" s="72" t="n">
        <f aca="false">AS157</f>
        <v>60.799</v>
      </c>
      <c r="AT205" s="72" t="n">
        <f aca="false">AT157</f>
        <v>59.831</v>
      </c>
      <c r="AU205" s="72" t="n">
        <f aca="false">AU157</f>
        <v>60.018</v>
      </c>
      <c r="AV205" s="72" t="n">
        <f aca="false">AV157</f>
        <v>60.301</v>
      </c>
      <c r="AW205" s="72" t="n">
        <f aca="false">AW157</f>
        <v>60.248</v>
      </c>
      <c r="AX205" s="72" t="n">
        <f aca="false">AX157</f>
        <v>60.299</v>
      </c>
      <c r="AY205" s="72" t="n">
        <f aca="false">AY157</f>
        <v>60.164</v>
      </c>
      <c r="AZ205" s="72" t="n">
        <f aca="false">AZ157</f>
        <v>60.055</v>
      </c>
      <c r="BA205" s="72" t="n">
        <f aca="false">BA157</f>
        <v>59.637</v>
      </c>
      <c r="BB205" s="72" t="n">
        <f aca="false">BB157</f>
        <v>60.062</v>
      </c>
      <c r="BC205" s="72" t="n">
        <f aca="false">BC157</f>
        <v>59.272</v>
      </c>
      <c r="BD205" s="72" t="n">
        <f aca="false">BD157</f>
        <v>58.688</v>
      </c>
      <c r="BE205" s="72" t="n">
        <f aca="false">BE157</f>
        <v>58.526</v>
      </c>
      <c r="BF205" s="72" t="n">
        <f aca="false">BF157</f>
        <v>58.459</v>
      </c>
      <c r="BG205" s="72" t="n">
        <f aca="false">BG157</f>
        <v>58.749</v>
      </c>
      <c r="BH205" s="72" t="n">
        <f aca="false">BH157</f>
        <v>58.417</v>
      </c>
      <c r="BI205" s="72" t="n">
        <f aca="false">BI157</f>
        <v>58.303</v>
      </c>
      <c r="BJ205" s="72" t="n">
        <f aca="false">BJ157</f>
        <v>58.136</v>
      </c>
      <c r="BK205" s="72" t="n">
        <f aca="false">BK157</f>
        <v>57.911</v>
      </c>
      <c r="BL205" s="72" t="n">
        <f aca="false">BL157</f>
        <v>58.221</v>
      </c>
      <c r="BM205" s="72" t="n">
        <f aca="false">BM157</f>
        <v>57.641</v>
      </c>
      <c r="BN205" s="72" t="n">
        <f aca="false">BN157</f>
        <v>57.366</v>
      </c>
      <c r="BO205" s="72" t="n">
        <f aca="false">BO157</f>
        <v>57.066</v>
      </c>
      <c r="BP205" s="72" t="n">
        <f aca="false">BP157</f>
        <v>56.818</v>
      </c>
      <c r="BQ205" s="72" t="n">
        <f aca="false">BQ157</f>
        <v>57.194</v>
      </c>
      <c r="BR205" s="72" t="n">
        <f aca="false">BR157</f>
        <v>56.527</v>
      </c>
      <c r="BS205" s="72" t="n">
        <f aca="false">BS157</f>
        <v>55.968</v>
      </c>
      <c r="BT205" s="72" t="n">
        <f aca="false">BT157</f>
        <v>55.574</v>
      </c>
      <c r="BU205" s="72" t="n">
        <f aca="false">BU157</f>
        <v>55.412</v>
      </c>
      <c r="BV205" s="72" t="n">
        <f aca="false">BV157</f>
        <v>55.875</v>
      </c>
      <c r="BW205" s="72" t="n">
        <f aca="false">BW157</f>
        <v>55.317</v>
      </c>
      <c r="BX205" s="72" t="n">
        <f aca="false">BX157</f>
        <v>55.102</v>
      </c>
      <c r="BY205" s="65" t="n">
        <f aca="false">BY157</f>
        <v>54.9659036074617</v>
      </c>
      <c r="BZ205" s="65" t="n">
        <f aca="false">BZ157</f>
        <v>54.6937108223851</v>
      </c>
      <c r="CA205" s="65" t="n">
        <f aca="false">CA157</f>
        <v>55.0196536074617</v>
      </c>
      <c r="CB205" s="65" t="n">
        <f aca="false">CB157</f>
        <v>53.9997694991117</v>
      </c>
      <c r="CC205" s="65" t="n">
        <f aca="false">CC157</f>
        <v>52.9831052520943</v>
      </c>
      <c r="CD205" s="65" t="n">
        <f aca="false">CD157</f>
        <v>51.9429634002351</v>
      </c>
      <c r="CE205" s="65" t="n">
        <f aca="false">CE157</f>
        <v>50.8719013212268</v>
      </c>
    </row>
    <row r="206" customFormat="false" ht="15" hidden="false" customHeight="false" outlineLevel="0" collapsed="false">
      <c r="B206" s="58" t="s">
        <v>347</v>
      </c>
      <c r="C206" s="68" t="n">
        <f aca="false">IF(ISNUMBER(C202),IFERROR(C202/C205,""),"")</f>
        <v>1.99047220672988</v>
      </c>
      <c r="D206" s="68" t="n">
        <f aca="false">IF(ISNUMBER(D202),IFERROR(D202/D205,""),"")</f>
        <v>2.33486587389381</v>
      </c>
      <c r="E206" s="68" t="n">
        <f aca="false">IF(ISNUMBER(E202),IFERROR(E202/E205,""),"")</f>
        <v>2.6780206252613</v>
      </c>
      <c r="F206" s="68" t="n">
        <f aca="false">IF(ISNUMBER(F202),IFERROR(F202/F205,""),"")</f>
        <v>0.857273537552189</v>
      </c>
      <c r="G206" s="68" t="n">
        <f aca="false">IF(ISNUMBER(G202),IFERROR(G202/G205,""),"")</f>
        <v>1.52069839481836</v>
      </c>
      <c r="H206" s="68" t="n">
        <f aca="false">IF(ISNUMBER(H202),IFERROR(H202/H205,""),"")</f>
        <v>2.50955045568305</v>
      </c>
      <c r="I206" s="68" t="n">
        <f aca="false">IF(ISNUMBER(I202),IFERROR(I202/I205,""),"")</f>
        <v>3.15722007722008</v>
      </c>
      <c r="J206" s="68" t="n">
        <f aca="false">IF(ISNUMBER(J202),IFERROR(J202/J205,""),"")</f>
        <v>0.920666937197145</v>
      </c>
      <c r="K206" s="68" t="n">
        <f aca="false">IF(ISNUMBER(K202),IFERROR(K202/K205,""),"")</f>
        <v>0.907829902530841</v>
      </c>
      <c r="L206" s="68" t="n">
        <f aca="false">IF(ISNUMBER(L202),IFERROR(L202/L205,""),"")</f>
        <v>0.859915122057383</v>
      </c>
      <c r="M206" s="68" t="n">
        <f aca="false">IF(ISNUMBER(M202),IFERROR(M202/M205,""),"")</f>
        <v>1.08543025406405</v>
      </c>
      <c r="N206" s="68" t="n">
        <f aca="false">IF(ISNUMBER(N202),IFERROR(N202/N205,""),"")</f>
        <v>3.77144095758772</v>
      </c>
      <c r="O206" s="68" t="n">
        <f aca="false">IF(ISNUMBER(O202),IFERROR(O202/O205,""),"")</f>
        <v>0.908044991178201</v>
      </c>
      <c r="P206" s="68" t="n">
        <f aca="false">IF(ISNUMBER(P202),IFERROR(P202/P205,""),"")</f>
        <v>1.00897577160685</v>
      </c>
      <c r="Q206" s="68" t="n">
        <f aca="false">IF(ISNUMBER(Q202),IFERROR(Q202/Q205,""),"")</f>
        <v>0.939981185324554</v>
      </c>
      <c r="R206" s="68" t="n">
        <f aca="false">IF(ISNUMBER(R202),IFERROR(R202/R205,""),"")</f>
        <v>0.962940725600408</v>
      </c>
      <c r="S206" s="68" t="n">
        <f aca="false">IF(ISNUMBER(S202),IFERROR(S202/S205,""),"")</f>
        <v>3.81951658010388</v>
      </c>
      <c r="T206" s="68" t="n">
        <f aca="false">IF(ISNUMBER(T202),IFERROR(T202/T205,""),"")</f>
        <v>0.887034609844405</v>
      </c>
      <c r="U206" s="68" t="n">
        <f aca="false">IF(ISNUMBER(U202),IFERROR(U202/U205,""),"")</f>
        <v>0.947540680717406</v>
      </c>
      <c r="V206" s="68" t="n">
        <f aca="false">IF(ISNUMBER(V202),IFERROR(V202/V205,""),"")</f>
        <v>0.897754698050276</v>
      </c>
      <c r="W206" s="68" t="n">
        <f aca="false">IF(ISNUMBER(W202),IFERROR(W202/W205,""),"")</f>
        <v>0.746232026732852</v>
      </c>
      <c r="X206" s="68" t="n">
        <f aca="false">IF(ISNUMBER(X202),IFERROR(X202/X205,""),"")</f>
        <v>3.47588639217677</v>
      </c>
      <c r="Y206" s="68" t="n">
        <f aca="false">IF(ISNUMBER(Y202),IFERROR(Y202/Y205,""),"")</f>
        <v>0.763573726617886</v>
      </c>
      <c r="Z206" s="68" t="n">
        <f aca="false">IF(ISNUMBER(Z202),IFERROR(Z202/Z205,""),"")</f>
        <v>0.832805922485122</v>
      </c>
      <c r="AA206" s="68" t="n">
        <f aca="false">IF(ISNUMBER(AA202),IFERROR(AA202/AA205,""),"")</f>
        <v>0.89382572712929</v>
      </c>
      <c r="AB206" s="68" t="n">
        <f aca="false">IF(ISNUMBER(AB202),IFERROR(AB202/AB205,""),"")</f>
        <v>0.805318009743149</v>
      </c>
      <c r="AC206" s="68" t="n">
        <f aca="false">IF(ISNUMBER(AC202),IFERROR(AC202/AC205,""),"")</f>
        <v>3.29323903984976</v>
      </c>
      <c r="AD206" s="68" t="n">
        <f aca="false">IF(ISNUMBER(AD202),IFERROR(AD202/AD205,""),"")</f>
        <v>0.879774116516229</v>
      </c>
      <c r="AE206" s="68" t="n">
        <f aca="false">IF(ISNUMBER(AE202),IFERROR(AE202/AE205,""),"")</f>
        <v>0.971577543712449</v>
      </c>
      <c r="AF206" s="68" t="n">
        <f aca="false">IF(ISNUMBER(AF202),IFERROR(AF202/AF205,""),"")</f>
        <v>0.926134148901082</v>
      </c>
      <c r="AG206" s="68" t="n">
        <f aca="false">IF(ISNUMBER(AG202),IFERROR(AG202/AG205,""),"")</f>
        <v>1.01473019690365</v>
      </c>
      <c r="AH206" s="68" t="n">
        <f aca="false">IF(ISNUMBER(AH202),IFERROR(AH202/AH205,""),"")</f>
        <v>3.79198115330943</v>
      </c>
      <c r="AI206" s="68" t="n">
        <f aca="false">IF(ISNUMBER(AI202),IFERROR(AI202/AI205,""),"")</f>
        <v>1.10294538175579</v>
      </c>
      <c r="AJ206" s="68" t="n">
        <f aca="false">IF(ISNUMBER(AJ202),IFERROR(AJ202/AJ205,""),"")</f>
        <v>1.21610380968225</v>
      </c>
      <c r="AK206" s="68" t="n">
        <f aca="false">IF(ISNUMBER(AK202),IFERROR(AK202/AK205,""),"")</f>
        <v>1.20955949552184</v>
      </c>
      <c r="AL206" s="68" t="n">
        <f aca="false">IF(ISNUMBER(AL202),IFERROR(AL202/AL205,""),"")</f>
        <v>1.29394817144008</v>
      </c>
      <c r="AM206" s="68" t="n">
        <f aca="false">IF(ISNUMBER(AM202),IFERROR(AM202/AM205,""),"")</f>
        <v>4.82078803934107</v>
      </c>
      <c r="AN206" s="68" t="n">
        <f aca="false">IF(ISNUMBER(AN202),IFERROR(AN202/AN205,""),"")</f>
        <v>1.17360209079954</v>
      </c>
      <c r="AO206" s="68" t="n">
        <f aca="false">IF(ISNUMBER(AO202),IFERROR(AO202/AO205,""),"")</f>
        <v>1.28421470541528</v>
      </c>
      <c r="AP206" s="68" t="n">
        <f aca="false">IF(ISNUMBER(AP202),IFERROR(AP202/AP205,""),"")</f>
        <v>1.09100723481736</v>
      </c>
      <c r="AQ206" s="68" t="n">
        <f aca="false">IF(ISNUMBER(AQ202),IFERROR(AQ202/AQ205,""),"")</f>
        <v>1.15054286177281</v>
      </c>
      <c r="AR206" s="68" t="n">
        <f aca="false">IF(ISNUMBER(AR202),IFERROR(AR202/AR205,""),"")</f>
        <v>4.7012033579112</v>
      </c>
      <c r="AS206" s="68" t="n">
        <f aca="false">IF(ISNUMBER(AS202),IFERROR(AS202/AS205,""),"")</f>
        <v>1.00187503083932</v>
      </c>
      <c r="AT206" s="68" t="n">
        <f aca="false">IF(ISNUMBER(AT202),IFERROR(AT202/AT205,""),"")</f>
        <v>0.802125988200097</v>
      </c>
      <c r="AU206" s="68" t="n">
        <f aca="false">IF(ISNUMBER(AU202),IFERROR(AU202/AU205,""),"")</f>
        <v>1.09988670065647</v>
      </c>
      <c r="AV206" s="68" t="n">
        <f aca="false">IF(ISNUMBER(AV202),IFERROR(AV202/AV205,""),"")</f>
        <v>1.24369413442563</v>
      </c>
      <c r="AW206" s="68" t="n">
        <f aca="false">IF(ISNUMBER(AW202),IFERROR(AW202/AW205,""),"")</f>
        <v>4.14808790333289</v>
      </c>
      <c r="AX206" s="68" t="n">
        <f aca="false">IF(ISNUMBER(AX202),IFERROR(AX202/AX205,""),"")</f>
        <v>1.37279225194448</v>
      </c>
      <c r="AY206" s="68" t="n">
        <f aca="false">IF(ISNUMBER(AY202),IFERROR(AY202/AY205,""),"")</f>
        <v>1.67214613390067</v>
      </c>
      <c r="AZ206" s="68" t="n">
        <f aca="false">IF(ISNUMBER(AZ202),IFERROR(AZ202/AZ205,""),"")</f>
        <v>1.56106902006494</v>
      </c>
      <c r="BA206" s="68" t="n">
        <f aca="false">IF(ISNUMBER(BA202),IFERROR(BA202/BA205,""),"")</f>
        <v>1.61314284756108</v>
      </c>
      <c r="BB206" s="68" t="n">
        <f aca="false">IF(ISNUMBER(BB202),IFERROR(BB202/BB205,""),"")</f>
        <v>6.21581032932636</v>
      </c>
      <c r="BC206" s="68" t="n">
        <f aca="false">IF(ISNUMBER(BC202),IFERROR(BC202/BC205,""),"")</f>
        <v>2.1035733567283</v>
      </c>
      <c r="BD206" s="68" t="n">
        <f aca="false">IF(ISNUMBER(BD202),IFERROR(BD202/BD205,""),"")</f>
        <v>2.18419438386042</v>
      </c>
      <c r="BE206" s="68" t="n">
        <f aca="false">IF(ISNUMBER(BE202),IFERROR(BE202/BE205,""),"")</f>
        <v>2.04307487270615</v>
      </c>
      <c r="BF206" s="68" t="n">
        <f aca="false">IF(ISNUMBER(BF202),IFERROR(BF202/BF205,""),"")</f>
        <v>1.93663935407721</v>
      </c>
      <c r="BG206" s="68" t="n">
        <f aca="false">IF(ISNUMBER(BG202),IFERROR(BG202/BG205,""),"")</f>
        <v>8.26662581490748</v>
      </c>
      <c r="BH206" s="68" t="n">
        <f aca="false">IF(ISNUMBER(BH202),IFERROR(BH202/BH205,""),"")</f>
        <v>2.12609343170653</v>
      </c>
      <c r="BI206" s="68" t="n">
        <f aca="false">IF(ISNUMBER(BI202),IFERROR(BI202/BI205,""),"")</f>
        <v>2.43953141347787</v>
      </c>
      <c r="BJ206" s="68" t="n">
        <f aca="false">IF(ISNUMBER(BJ202),IFERROR(BJ202/BJ205,""),"")</f>
        <v>2.3993566808862</v>
      </c>
      <c r="BK206" s="68" t="n">
        <f aca="false">IF(ISNUMBER(BK202),IFERROR(BK202/BK205,""),"")</f>
        <v>2.45207300858213</v>
      </c>
      <c r="BL206" s="68" t="n">
        <f aca="false">IF(ISNUMBER(BL202),IFERROR(BL202/BL205,""),"")</f>
        <v>9.41107160646504</v>
      </c>
      <c r="BM206" s="68" t="n">
        <f aca="false">IF(ISNUMBER(BM202),IFERROR(BM202/BM205,""),"")</f>
        <v>2.23202234520567</v>
      </c>
      <c r="BN206" s="68" t="n">
        <f aca="false">IF(ISNUMBER(BN202),IFERROR(BN202/BN205,""),"")</f>
        <v>2.34041069623122</v>
      </c>
      <c r="BO206" s="68" t="n">
        <f aca="false">IF(ISNUMBER(BO202),IFERROR(BO202/BO205,""),"")</f>
        <v>2.14432411593593</v>
      </c>
      <c r="BP206" s="68" t="n">
        <f aca="false">IF(ISNUMBER(BP202),IFERROR(BP202/BP205,""),"")</f>
        <v>2.56927382167623</v>
      </c>
      <c r="BQ206" s="68" t="n">
        <f aca="false">IF(ISNUMBER(BQ202),IFERROR(BQ202/BQ205,""),"")</f>
        <v>9.28882400251775</v>
      </c>
      <c r="BR206" s="68" t="n">
        <f aca="false">IF(ISNUMBER(BR202),IFERROR(BR202/BR205,""),"")</f>
        <v>2.15571319900225</v>
      </c>
      <c r="BS206" s="68" t="n">
        <f aca="false">IF(ISNUMBER(BS202),IFERROR(BS202/BS205,""),"")</f>
        <v>2.60170097198399</v>
      </c>
      <c r="BT206" s="68" t="n">
        <f aca="false">IF(ISNUMBER(BT202),IFERROR(BT202/BT205,""),"")</f>
        <v>2.46910425738655</v>
      </c>
      <c r="BU206" s="68" t="n">
        <f aca="false">IF(ISNUMBER(BU202),IFERROR(BU202/BU205,""),"")</f>
        <v>2.64644842272432</v>
      </c>
      <c r="BV206" s="68" t="n">
        <f aca="false">IF(ISNUMBER(BV202),IFERROR(BV202/BV205,""),"")</f>
        <v>9.86722147651006</v>
      </c>
      <c r="BW206" s="68" t="n">
        <f aca="false">IF(ISNUMBER(BW202),IFERROR(BW202/BW205,""),"")</f>
        <v>2.50299184699098</v>
      </c>
      <c r="BX206" s="68" t="n">
        <f aca="false">IF(ISNUMBER(BX202),IFERROR(BX202/BX205,""),"")</f>
        <v>2.92584661173823</v>
      </c>
      <c r="BY206" s="68" t="n">
        <f aca="false">IF(ISNUMBER(BY202),IFERROR(BY202/BY205,""),"")</f>
        <v>2.84716580228671</v>
      </c>
      <c r="BZ206" s="68" t="n">
        <f aca="false">IF(ISNUMBER(BZ202),IFERROR(BZ202/BZ205,""),"")</f>
        <v>2.9752650671619</v>
      </c>
      <c r="CA206" s="68" t="n">
        <f aca="false">IF(ISNUMBER(CA202),IFERROR(CA202/CA205,""),"")</f>
        <v>11.2487681704037</v>
      </c>
      <c r="CB206" s="68" t="n">
        <f aca="false">IF(ISNUMBER(CB202),IFERROR(CB202/CB205,""),"")</f>
        <v>12.4318362811297</v>
      </c>
      <c r="CC206" s="68" t="n">
        <f aca="false">IF(ISNUMBER(CC202),IFERROR(CC202/CC205,""),"")</f>
        <v>13.7407333743489</v>
      </c>
      <c r="CD206" s="68" t="n">
        <f aca="false">IF(ISNUMBER(CD202),IFERROR(CD202/CD205,""),"")</f>
        <v>15.0834244659721</v>
      </c>
      <c r="CE206" s="68" t="n">
        <f aca="false">IF(ISNUMBER(CE202),IFERROR(CE202/CE205,""),"")</f>
        <v>16.3591738351655</v>
      </c>
      <c r="CH206" s="20" t="n">
        <f aca="false">IFERROR((CE206/BV206)^(1/5)-1,"n/m")</f>
        <v>0.106402881550862</v>
      </c>
      <c r="CI206" s="20" t="n">
        <f aca="false">IFERROR((BV206/AW206)^(1/5)-1,"n/m")</f>
        <v>0.189239662673754</v>
      </c>
      <c r="CJ206" s="20" t="n">
        <f aca="false">IFERROR((BV206/X206)^(1/10)-1,"n/m")</f>
        <v>0.109974317693245</v>
      </c>
      <c r="CK206" s="20" t="n">
        <f aca="false">IFERROR((BV206/C206)^(1/19)-1,"n/m")</f>
        <v>0.0879063547833539</v>
      </c>
    </row>
    <row r="207" customFormat="false" ht="15" hidden="false" customHeight="false" outlineLevel="0" collapsed="false">
      <c r="B207" s="37" t="s">
        <v>348</v>
      </c>
      <c r="C207" s="69" t="n">
        <v>1.99</v>
      </c>
      <c r="D207" s="69" t="n">
        <v>2.335</v>
      </c>
      <c r="E207" s="69" t="n">
        <v>2.68</v>
      </c>
      <c r="F207" s="69" t="n">
        <v>0.855</v>
      </c>
      <c r="G207" s="69" t="n">
        <v>1.52</v>
      </c>
      <c r="H207" s="69" t="n">
        <v>2.51</v>
      </c>
      <c r="I207" s="69" t="n">
        <v>3.16</v>
      </c>
      <c r="J207" s="69" t="n">
        <v>0.92</v>
      </c>
      <c r="K207" s="69" t="n">
        <v>0.91</v>
      </c>
      <c r="L207" s="69" t="n">
        <v>0.86</v>
      </c>
      <c r="M207" s="69" t="n">
        <v>1.09</v>
      </c>
      <c r="N207" s="69" t="n">
        <v>3.77</v>
      </c>
      <c r="O207" s="69" t="n">
        <v>0.91</v>
      </c>
      <c r="P207" s="69" t="n">
        <v>1.01</v>
      </c>
      <c r="Q207" s="69" t="n">
        <v>0.94</v>
      </c>
      <c r="R207" s="69" t="n">
        <v>0.96</v>
      </c>
      <c r="S207" s="69" t="n">
        <v>3.82</v>
      </c>
      <c r="T207" s="69" t="n">
        <v>0.89</v>
      </c>
      <c r="U207" s="69" t="n">
        <v>0.95</v>
      </c>
      <c r="V207" s="69" t="n">
        <v>0.89</v>
      </c>
      <c r="W207" s="69" t="n">
        <v>0.75</v>
      </c>
      <c r="X207" s="69" t="n">
        <v>3.48</v>
      </c>
      <c r="Y207" s="69" t="n">
        <v>0.76</v>
      </c>
      <c r="Z207" s="69" t="n">
        <v>0.83</v>
      </c>
      <c r="AA207" s="69" t="n">
        <v>0.89</v>
      </c>
      <c r="AB207" s="69" t="n">
        <v>0.81</v>
      </c>
      <c r="AC207" s="69" t="n">
        <v>3.29</v>
      </c>
      <c r="AD207" s="69" t="n">
        <v>0.88</v>
      </c>
      <c r="AE207" s="69" t="n">
        <v>0.97</v>
      </c>
      <c r="AF207" s="69" t="n">
        <v>0.93</v>
      </c>
      <c r="AG207" s="69" t="n">
        <v>1.01</v>
      </c>
      <c r="AH207" s="69" t="n">
        <v>3.79</v>
      </c>
      <c r="AI207" s="69" t="n">
        <v>1.1</v>
      </c>
      <c r="AJ207" s="69" t="n">
        <v>1.22</v>
      </c>
      <c r="AK207" s="69" t="n">
        <v>1.21</v>
      </c>
      <c r="AL207" s="69" t="n">
        <v>1.29</v>
      </c>
      <c r="AM207" s="69" t="n">
        <v>4.82</v>
      </c>
      <c r="AN207" s="69" t="n">
        <v>1.17</v>
      </c>
      <c r="AO207" s="69" t="n">
        <v>1.28</v>
      </c>
      <c r="AP207" s="69" t="n">
        <v>1.09</v>
      </c>
      <c r="AQ207" s="69" t="n">
        <v>1.15</v>
      </c>
      <c r="AR207" s="69" t="n">
        <v>4.7</v>
      </c>
      <c r="AS207" s="69" t="n">
        <v>1</v>
      </c>
      <c r="AT207" s="69" t="n">
        <v>0.8</v>
      </c>
      <c r="AU207" s="69" t="n">
        <v>1.1</v>
      </c>
      <c r="AV207" s="69" t="n">
        <v>1.24</v>
      </c>
      <c r="AW207" s="69" t="n">
        <v>4.15</v>
      </c>
      <c r="AX207" s="69" t="n">
        <v>1.37</v>
      </c>
      <c r="AY207" s="69" t="n">
        <v>1.67</v>
      </c>
      <c r="AZ207" s="69" t="n">
        <v>1.56</v>
      </c>
      <c r="BA207" s="69" t="n">
        <v>1.61</v>
      </c>
      <c r="BB207" s="69" t="n">
        <v>6.22</v>
      </c>
      <c r="BC207" s="69" t="n">
        <v>2.1</v>
      </c>
      <c r="BD207" s="69" t="n">
        <v>2.18</v>
      </c>
      <c r="BE207" s="69" t="n">
        <v>2.04</v>
      </c>
      <c r="BF207" s="69" t="n">
        <v>1.94</v>
      </c>
      <c r="BG207" s="69" t="n">
        <v>8.27</v>
      </c>
      <c r="BH207" s="69" t="n">
        <v>2.13</v>
      </c>
      <c r="BI207" s="69" t="n">
        <v>2.44</v>
      </c>
      <c r="BJ207" s="69" t="n">
        <v>2.4</v>
      </c>
      <c r="BK207" s="69" t="n">
        <v>2.45</v>
      </c>
      <c r="BL207" s="69" t="n">
        <v>9.41</v>
      </c>
      <c r="BM207" s="69" t="n">
        <v>2.23</v>
      </c>
      <c r="BN207" s="69" t="n">
        <v>2.34</v>
      </c>
      <c r="BO207" s="69" t="n">
        <v>2.14</v>
      </c>
      <c r="BP207" s="69" t="n">
        <v>2.57</v>
      </c>
      <c r="BQ207" s="69" t="n">
        <v>9.29</v>
      </c>
      <c r="BR207" s="69" t="n">
        <v>2.16</v>
      </c>
      <c r="BS207" s="69" t="n">
        <v>2.6</v>
      </c>
      <c r="BT207" s="69" t="n">
        <v>2.47</v>
      </c>
      <c r="BU207" s="69" t="n">
        <v>2.65</v>
      </c>
      <c r="BV207" s="69" t="n">
        <v>9.87</v>
      </c>
      <c r="BW207" s="69" t="n">
        <v>2.5</v>
      </c>
      <c r="BX207" s="69" t="n">
        <v>2.93</v>
      </c>
    </row>
    <row r="208" customFormat="false" ht="15" hidden="false" customHeight="false" outlineLevel="0" collapsed="false">
      <c r="B208" s="36" t="s">
        <v>349</v>
      </c>
      <c r="C208" s="66" t="n">
        <f aca="false">IF(AND(ISNUMBER(C207),ISNUMBER(C206)),ROUND(C206-C207,2),"")</f>
        <v>0</v>
      </c>
      <c r="D208" s="66" t="n">
        <f aca="false">IF(AND(ISNUMBER(D207),ISNUMBER(D206)),ROUND(D206-D207,2),"")</f>
        <v>-0</v>
      </c>
      <c r="E208" s="66" t="n">
        <f aca="false">IF(AND(ISNUMBER(E207),ISNUMBER(E206)),ROUND(E206-E207,2),"")</f>
        <v>-0</v>
      </c>
      <c r="F208" s="66" t="n">
        <f aca="false">IF(AND(ISNUMBER(F207),ISNUMBER(F206)),ROUND(F206-F207,2),"")</f>
        <v>0</v>
      </c>
      <c r="G208" s="66" t="n">
        <f aca="false">IF(AND(ISNUMBER(G207),ISNUMBER(G206)),ROUND(G206-G207,2),"")</f>
        <v>0</v>
      </c>
      <c r="H208" s="66" t="n">
        <f aca="false">IF(AND(ISNUMBER(H207),ISNUMBER(H206)),ROUND(H206-H207,2),"")</f>
        <v>-0</v>
      </c>
      <c r="I208" s="66" t="n">
        <f aca="false">IF(AND(ISNUMBER(I207),ISNUMBER(I206)),ROUND(I206-I207,2),"")</f>
        <v>-0</v>
      </c>
      <c r="J208" s="66" t="n">
        <f aca="false">IF(AND(ISNUMBER(J207),ISNUMBER(J206)),ROUND(J206-J207,2),"")</f>
        <v>0</v>
      </c>
      <c r="K208" s="66" t="n">
        <f aca="false">IF(AND(ISNUMBER(K207),ISNUMBER(K206)),ROUND(K206-K207,2),"")</f>
        <v>-0</v>
      </c>
      <c r="L208" s="66" t="n">
        <f aca="false">IF(AND(ISNUMBER(L207),ISNUMBER(L206)),ROUND(L206-L207,2),"")</f>
        <v>-0</v>
      </c>
      <c r="M208" s="66" t="n">
        <f aca="false">IF(AND(ISNUMBER(M207),ISNUMBER(M206)),ROUND(M206-M207,2),"")</f>
        <v>-0</v>
      </c>
      <c r="N208" s="66" t="n">
        <f aca="false">IF(AND(ISNUMBER(N207),ISNUMBER(N206)),ROUND(N206-N207,2),"")</f>
        <v>0</v>
      </c>
      <c r="O208" s="66" t="n">
        <f aca="false">IF(AND(ISNUMBER(O207),ISNUMBER(O206)),ROUND(O206-O207,2),"")</f>
        <v>-0</v>
      </c>
      <c r="P208" s="66" t="n">
        <f aca="false">IF(AND(ISNUMBER(P207),ISNUMBER(P206)),ROUND(P206-P207,2),"")</f>
        <v>-0</v>
      </c>
      <c r="Q208" s="66" t="n">
        <f aca="false">IF(AND(ISNUMBER(Q207),ISNUMBER(Q206)),ROUND(Q206-Q207,2),"")</f>
        <v>-0</v>
      </c>
      <c r="R208" s="66" t="n">
        <f aca="false">IF(AND(ISNUMBER(R207),ISNUMBER(R206)),ROUND(R206-R207,2),"")</f>
        <v>0</v>
      </c>
      <c r="S208" s="66" t="n">
        <f aca="false">IF(AND(ISNUMBER(S207),ISNUMBER(S206)),ROUND(S206-S207,2),"")</f>
        <v>-0</v>
      </c>
      <c r="T208" s="66" t="n">
        <f aca="false">IF(AND(ISNUMBER(T207),ISNUMBER(T206)),ROUND(T206-T207,2),"")</f>
        <v>-0</v>
      </c>
      <c r="U208" s="66" t="n">
        <f aca="false">IF(AND(ISNUMBER(U207),ISNUMBER(U206)),ROUND(U206-U207,2),"")</f>
        <v>-0</v>
      </c>
      <c r="V208" s="66" t="n">
        <f aca="false">IF(AND(ISNUMBER(V207),ISNUMBER(V206)),ROUND(V206-V207,2),"")</f>
        <v>0.01</v>
      </c>
      <c r="W208" s="66" t="n">
        <f aca="false">IF(AND(ISNUMBER(W207),ISNUMBER(W206)),ROUND(W206-W207,2),"")</f>
        <v>-0</v>
      </c>
      <c r="X208" s="66" t="n">
        <f aca="false">IF(AND(ISNUMBER(X207),ISNUMBER(X206)),ROUND(X206-X207,2),"")</f>
        <v>-0</v>
      </c>
      <c r="Y208" s="66" t="n">
        <f aca="false">IF(AND(ISNUMBER(Y207),ISNUMBER(Y206)),ROUND(Y206-Y207,2),"")</f>
        <v>0</v>
      </c>
      <c r="Z208" s="66" t="n">
        <f aca="false">IF(AND(ISNUMBER(Z207),ISNUMBER(Z206)),ROUND(Z206-Z207,2),"")</f>
        <v>0</v>
      </c>
      <c r="AA208" s="66" t="n">
        <f aca="false">IF(AND(ISNUMBER(AA207),ISNUMBER(AA206)),ROUND(AA206-AA207,2),"")</f>
        <v>0</v>
      </c>
      <c r="AB208" s="66" t="n">
        <f aca="false">IF(AND(ISNUMBER(AB207),ISNUMBER(AB206)),ROUND(AB206-AB207,2),"")</f>
        <v>-0</v>
      </c>
      <c r="AC208" s="66" t="n">
        <f aca="false">IF(AND(ISNUMBER(AC207),ISNUMBER(AC206)),ROUND(AC206-AC207,2),"")</f>
        <v>0</v>
      </c>
      <c r="AD208" s="66" t="n">
        <f aca="false">IF(AND(ISNUMBER(AD207),ISNUMBER(AD206)),ROUND(AD206-AD207,2),"")</f>
        <v>-0</v>
      </c>
      <c r="AE208" s="66" t="n">
        <f aca="false">IF(AND(ISNUMBER(AE207),ISNUMBER(AE206)),ROUND(AE206-AE207,2),"")</f>
        <v>0</v>
      </c>
      <c r="AF208" s="66" t="n">
        <f aca="false">IF(AND(ISNUMBER(AF207),ISNUMBER(AF206)),ROUND(AF206-AF207,2),"")</f>
        <v>-0</v>
      </c>
      <c r="AG208" s="66" t="n">
        <f aca="false">IF(AND(ISNUMBER(AG207),ISNUMBER(AG206)),ROUND(AG206-AG207,2),"")</f>
        <v>0</v>
      </c>
      <c r="AH208" s="66" t="n">
        <f aca="false">IF(AND(ISNUMBER(AH207),ISNUMBER(AH206)),ROUND(AH206-AH207,2),"")</f>
        <v>0</v>
      </c>
      <c r="AI208" s="66" t="n">
        <f aca="false">IF(AND(ISNUMBER(AI207),ISNUMBER(AI206)),ROUND(AI206-AI207,2),"")</f>
        <v>0</v>
      </c>
      <c r="AJ208" s="66" t="n">
        <f aca="false">IF(AND(ISNUMBER(AJ207),ISNUMBER(AJ206)),ROUND(AJ206-AJ207,2),"")</f>
        <v>-0</v>
      </c>
      <c r="AK208" s="66" t="n">
        <f aca="false">IF(AND(ISNUMBER(AK207),ISNUMBER(AK206)),ROUND(AK206-AK207,2),"")</f>
        <v>-0</v>
      </c>
      <c r="AL208" s="66" t="n">
        <f aca="false">IF(AND(ISNUMBER(AL207),ISNUMBER(AL206)),ROUND(AL206-AL207,2),"")</f>
        <v>0</v>
      </c>
      <c r="AM208" s="66" t="n">
        <f aca="false">IF(AND(ISNUMBER(AM207),ISNUMBER(AM206)),ROUND(AM206-AM207,2),"")</f>
        <v>0</v>
      </c>
      <c r="AN208" s="66" t="n">
        <f aca="false">IF(AND(ISNUMBER(AN207),ISNUMBER(AN206)),ROUND(AN206-AN207,2),"")</f>
        <v>0</v>
      </c>
      <c r="AO208" s="66" t="n">
        <f aca="false">IF(AND(ISNUMBER(AO207),ISNUMBER(AO206)),ROUND(AO206-AO207,2),"")</f>
        <v>0</v>
      </c>
      <c r="AP208" s="66" t="n">
        <f aca="false">IF(AND(ISNUMBER(AP207),ISNUMBER(AP206)),ROUND(AP206-AP207,2),"")</f>
        <v>0</v>
      </c>
      <c r="AQ208" s="66" t="n">
        <f aca="false">IF(AND(ISNUMBER(AQ207),ISNUMBER(AQ206)),ROUND(AQ206-AQ207,2),"")</f>
        <v>0</v>
      </c>
      <c r="AR208" s="66" t="n">
        <f aca="false">IF(AND(ISNUMBER(AR207),ISNUMBER(AR206)),ROUND(AR206-AR207,2),"")</f>
        <v>0</v>
      </c>
      <c r="AS208" s="66" t="n">
        <f aca="false">IF(AND(ISNUMBER(AS207),ISNUMBER(AS206)),ROUND(AS206-AS207,2),"")</f>
        <v>0</v>
      </c>
      <c r="AT208" s="66" t="n">
        <f aca="false">IF(AND(ISNUMBER(AT207),ISNUMBER(AT206)),ROUND(AT206-AT207,2),"")</f>
        <v>0</v>
      </c>
      <c r="AU208" s="66" t="n">
        <f aca="false">IF(AND(ISNUMBER(AU207),ISNUMBER(AU206)),ROUND(AU206-AU207,2),"")</f>
        <v>-0</v>
      </c>
      <c r="AV208" s="66" t="n">
        <f aca="false">IF(AND(ISNUMBER(AV207),ISNUMBER(AV206)),ROUND(AV206-AV207,2),"")</f>
        <v>0</v>
      </c>
      <c r="AW208" s="66" t="n">
        <f aca="false">IF(AND(ISNUMBER(AW207),ISNUMBER(AW206)),ROUND(AW206-AW207,2),"")</f>
        <v>-0</v>
      </c>
      <c r="AX208" s="66" t="n">
        <f aca="false">IF(AND(ISNUMBER(AX207),ISNUMBER(AX206)),ROUND(AX206-AX207,2),"")</f>
        <v>0</v>
      </c>
      <c r="AY208" s="66" t="n">
        <f aca="false">IF(AND(ISNUMBER(AY207),ISNUMBER(AY206)),ROUND(AY206-AY207,2),"")</f>
        <v>0</v>
      </c>
      <c r="AZ208" s="66" t="n">
        <f aca="false">IF(AND(ISNUMBER(AZ207),ISNUMBER(AZ206)),ROUND(AZ206-AZ207,2),"")</f>
        <v>0</v>
      </c>
      <c r="BA208" s="66" t="n">
        <f aca="false">IF(AND(ISNUMBER(BA207),ISNUMBER(BA206)),ROUND(BA206-BA207,2),"")</f>
        <v>0</v>
      </c>
      <c r="BB208" s="66" t="n">
        <f aca="false">IF(AND(ISNUMBER(BB207),ISNUMBER(BB206)),ROUND(BB206-BB207,2),"")</f>
        <v>-0</v>
      </c>
      <c r="BC208" s="66" t="n">
        <f aca="false">IF(AND(ISNUMBER(BC207),ISNUMBER(BC206)),ROUND(BC206-BC207,2),"")</f>
        <v>0</v>
      </c>
      <c r="BD208" s="66" t="n">
        <f aca="false">IF(AND(ISNUMBER(BD207),ISNUMBER(BD206)),ROUND(BD206-BD207,2),"")</f>
        <v>0</v>
      </c>
      <c r="BE208" s="66" t="n">
        <f aca="false">IF(AND(ISNUMBER(BE207),ISNUMBER(BE206)),ROUND(BE206-BE207,2),"")</f>
        <v>0</v>
      </c>
      <c r="BF208" s="66" t="n">
        <f aca="false">IF(AND(ISNUMBER(BF207),ISNUMBER(BF206)),ROUND(BF206-BF207,2),"")</f>
        <v>-0</v>
      </c>
      <c r="BG208" s="66" t="n">
        <f aca="false">IF(AND(ISNUMBER(BG207),ISNUMBER(BG206)),ROUND(BG206-BG207,2),"")</f>
        <v>-0</v>
      </c>
      <c r="BH208" s="66" t="n">
        <f aca="false">IF(AND(ISNUMBER(BH207),ISNUMBER(BH206)),ROUND(BH206-BH207,2),"")</f>
        <v>-0</v>
      </c>
      <c r="BI208" s="66" t="n">
        <f aca="false">IF(AND(ISNUMBER(BI207),ISNUMBER(BI206)),ROUND(BI206-BI207,2),"")</f>
        <v>-0</v>
      </c>
      <c r="BJ208" s="66" t="n">
        <f aca="false">IF(AND(ISNUMBER(BJ207),ISNUMBER(BJ206)),ROUND(BJ206-BJ207,2),"")</f>
        <v>-0</v>
      </c>
      <c r="BK208" s="66" t="n">
        <f aca="false">IF(AND(ISNUMBER(BK207),ISNUMBER(BK206)),ROUND(BK206-BK207,2),"")</f>
        <v>0</v>
      </c>
      <c r="BL208" s="66" t="n">
        <f aca="false">IF(AND(ISNUMBER(BL207),ISNUMBER(BL206)),ROUND(BL206-BL207,2),"")</f>
        <v>0</v>
      </c>
      <c r="BM208" s="66" t="n">
        <f aca="false">IF(AND(ISNUMBER(BM207),ISNUMBER(BM206)),ROUND(BM206-BM207,2),"")</f>
        <v>0</v>
      </c>
      <c r="BN208" s="66" t="n">
        <f aca="false">IF(AND(ISNUMBER(BN207),ISNUMBER(BN206)),ROUND(BN206-BN207,2),"")</f>
        <v>0</v>
      </c>
      <c r="BO208" s="66" t="n">
        <f aca="false">IF(AND(ISNUMBER(BO207),ISNUMBER(BO206)),ROUND(BO206-BO207,2),"")</f>
        <v>0</v>
      </c>
      <c r="BP208" s="66" t="n">
        <f aca="false">IF(AND(ISNUMBER(BP207),ISNUMBER(BP206)),ROUND(BP206-BP207,2),"")</f>
        <v>-0</v>
      </c>
      <c r="BQ208" s="66" t="n">
        <f aca="false">IF(AND(ISNUMBER(BQ207),ISNUMBER(BQ206)),ROUND(BQ206-BQ207,2),"")</f>
        <v>-0</v>
      </c>
      <c r="BR208" s="66" t="n">
        <f aca="false">IF(AND(ISNUMBER(BR207),ISNUMBER(BR206)),ROUND(BR206-BR207,2),"")</f>
        <v>-0</v>
      </c>
      <c r="BS208" s="66" t="n">
        <f aca="false">IF(AND(ISNUMBER(BS207),ISNUMBER(BS206)),ROUND(BS206-BS207,2),"")</f>
        <v>0</v>
      </c>
      <c r="BT208" s="66" t="n">
        <f aca="false">IF(AND(ISNUMBER(BT207),ISNUMBER(BT206)),ROUND(BT206-BT207,2),"")</f>
        <v>-0</v>
      </c>
      <c r="BU208" s="66" t="n">
        <f aca="false">IF(AND(ISNUMBER(BU207),ISNUMBER(BU206)),ROUND(BU206-BU207,2),"")</f>
        <v>-0</v>
      </c>
      <c r="BV208" s="66" t="n">
        <f aca="false">IF(AND(ISNUMBER(BV207),ISNUMBER(BV206)),ROUND(BV206-BV207,2),"")</f>
        <v>-0</v>
      </c>
      <c r="BW208" s="66" t="n">
        <f aca="false">IF(AND(ISNUMBER(BW207),ISNUMBER(BW206)),ROUND(BW206-BW207,2),"")</f>
        <v>0</v>
      </c>
      <c r="BX208" s="66" t="n">
        <f aca="false">IF(AND(ISNUMBER(BX207),ISNUMBER(BX206)),ROUND(BX206-BX207,2),"")</f>
        <v>-0</v>
      </c>
    </row>
    <row r="209" customFormat="false" ht="15" hidden="false" customHeight="false" outlineLevel="0" collapsed="false">
      <c r="B209" s="21" t="s">
        <v>350</v>
      </c>
      <c r="C209" s="22" t="n">
        <f aca="false">IFERROR((C145-C199-N(C200))/(C144+C177),"")</f>
        <v>0.263666451751558</v>
      </c>
      <c r="D209" s="22" t="n">
        <f aca="false">IFERROR((D145-D199-N(D200))/(D144+D177),"")</f>
        <v>0.293899341043806</v>
      </c>
      <c r="E209" s="22" t="n">
        <f aca="false">IFERROR((E145-E199-N(E200))/(E144+E177),"")</f>
        <v>0.277526787392694</v>
      </c>
      <c r="F209" s="22" t="n">
        <f aca="false">IFERROR((F145-F199-N(F200))/(F144+F177),"")</f>
        <v>0.375822937213413</v>
      </c>
      <c r="G209" s="22" t="n">
        <f aca="false">IFERROR((G145-G199-N(G200))/(G144+G177),"")</f>
        <v>0.306989312446339</v>
      </c>
      <c r="H209" s="22" t="n">
        <f aca="false">IFERROR((H145-H199-N(H200))/(H144+H177),"")</f>
        <v>0.295766429165852</v>
      </c>
      <c r="I209" s="22" t="n">
        <f aca="false">IFERROR((I145-I199-N(I200))/(I144+I177),"")</f>
        <v>0.301707839760192</v>
      </c>
      <c r="J209" s="22" t="n">
        <f aca="false">IFERROR((J145-J199-N(J200))/(J144+J177),"")</f>
        <v>0.238820396488806</v>
      </c>
      <c r="K209" s="22" t="n">
        <f aca="false">IFERROR((K145-K199-N(K200))/(K144+K177),"")</f>
        <v>0.311845564622508</v>
      </c>
      <c r="L209" s="22" t="n">
        <f aca="false">IFERROR((L145-L199-N(L200))/(L144+L177),"")</f>
        <v>0.324480036872731</v>
      </c>
      <c r="M209" s="22" t="n">
        <f aca="false">IFERROR((M145-M199-N(M200))/(M144+M177),"")</f>
        <v>0.272647770367464</v>
      </c>
      <c r="N209" s="22" t="n">
        <f aca="false">IFERROR((N145-N199-N(N200))/(N144+N177),"")</f>
        <v>0.286984904307149</v>
      </c>
      <c r="O209" s="22" t="n">
        <f aca="false">IFERROR((O145-O199-N(O200))/(O144+O177),"")</f>
        <v>0.259727801426944</v>
      </c>
      <c r="P209" s="22" t="n">
        <f aca="false">IFERROR((P145-P199-N(P200))/(P144+P177),"")</f>
        <v>0.316480657883696</v>
      </c>
      <c r="Q209" s="22" t="n">
        <f aca="false">IFERROR((Q145-Q199-N(Q200))/(Q144+Q177),"")</f>
        <v>0.299149298569062</v>
      </c>
      <c r="R209" s="22" t="n">
        <f aca="false">IFERROR((R145-R199-N(R200))/(R144+R177),"")</f>
        <v>0.251729400804741</v>
      </c>
      <c r="S209" s="22" t="n">
        <f aca="false">IFERROR((S145-S199-N(S200))/(S144+S177),"")</f>
        <v>0.283541647638519</v>
      </c>
      <c r="T209" s="22" t="n">
        <f aca="false">IFERROR((T145-T199-N(T200))/(T144+T177),"")</f>
        <v>0.263076143117564</v>
      </c>
      <c r="U209" s="22" t="n">
        <f aca="false">IFERROR((U145-U199-N(U200))/(U144+U177),"")</f>
        <v>0.249777889268655</v>
      </c>
      <c r="V209" s="22" t="n">
        <f aca="false">IFERROR((V145-V199-N(V200))/(V144+V177),"")</f>
        <v>0.285087908764957</v>
      </c>
      <c r="W209" s="22" t="n">
        <f aca="false">IFERROR((W145-W199-N(W200))/(W144+W177),"")</f>
        <v>0.316243442029446</v>
      </c>
      <c r="X209" s="22" t="n">
        <f aca="false">IFERROR((X145-X199-N(X200))/(X144+X177),"")</f>
        <v>0.276841341462397</v>
      </c>
      <c r="Y209" s="22" t="n">
        <f aca="false">IFERROR((Y145-Y199-N(Y200))/(Y144+Y177),"")</f>
        <v>0.267251509934137</v>
      </c>
      <c r="Z209" s="22" t="n">
        <f aca="false">IFERROR((Z145-Z199-N(Z200))/(Z144+Z177),"")</f>
        <v>0.28389883404489</v>
      </c>
      <c r="AA209" s="22" t="n">
        <f aca="false">IFERROR((AA145-AA199-N(AA200))/(AA144+AA177),"")</f>
        <v>0.252279067450434</v>
      </c>
      <c r="AB209" s="22" t="n">
        <f aca="false">IFERROR((AB145-AB199-N(AB200))/(AB144+AB177),"")</f>
        <v>0.316703347323165</v>
      </c>
      <c r="AC209" s="22" t="n">
        <f aca="false">IFERROR((AC145-AC199-N(AC200))/(AC144+AC177),"")</f>
        <v>0.280070315908333</v>
      </c>
      <c r="AD209" s="22" t="n">
        <f aca="false">IFERROR((AD145-AD199-N(AD200))/(AD144+AD177),"")</f>
        <v>0.28133472367049</v>
      </c>
      <c r="AE209" s="22" t="n">
        <f aca="false">IFERROR((AE145-AE199-N(AE200))/(AE144+AE177),"")</f>
        <v>0.26721604268403</v>
      </c>
      <c r="AF209" s="22" t="n">
        <f aca="false">IFERROR((AF145-AF199-N(AF200))/(AF144+AF177),"")</f>
        <v>0.313220723475708</v>
      </c>
      <c r="AG209" s="22" t="n">
        <f aca="false">IFERROR((AG145-AG199-N(AG200))/(AG144+AG177),"")</f>
        <v>0.258087912087912</v>
      </c>
      <c r="AH209" s="22" t="n">
        <f aca="false">IFERROR((AH145-AH199-N(AH200))/(AH144+AH177),"")</f>
        <v>0.279918268710139</v>
      </c>
      <c r="AI209" s="22" t="n">
        <f aca="false">IFERROR((AI145-AI199-N(AI200))/(AI144+AI177),"")</f>
        <v>0.244842226756528</v>
      </c>
      <c r="AJ209" s="22" t="n">
        <f aca="false">IFERROR((AJ145-AJ199-N(AJ200))/(AJ144+AJ177),"")</f>
        <v>0.245682174251593</v>
      </c>
      <c r="AK209" s="22" t="n">
        <f aca="false">IFERROR((AK145-AK199-N(AK200))/(AK144+AK177),"")</f>
        <v>0.233399625417544</v>
      </c>
      <c r="AL209" s="22" t="n">
        <f aca="false">IFERROR((AL145-AL199-N(AL200))/(AL144+AL177),"")</f>
        <v>0.147473344499367</v>
      </c>
      <c r="AM209" s="22" t="n">
        <f aca="false">IFERROR((AM145-AM199-N(AM200))/(AM144+AM177),"")</f>
        <v>0.218604444510267</v>
      </c>
      <c r="AN209" s="22" t="n">
        <f aca="false">IFERROR((AN145-AN199-N(AN200))/(AN144+AN177),"")</f>
        <v>0.228962496015137</v>
      </c>
      <c r="AO209" s="22" t="n">
        <f aca="false">IFERROR((AO145-AO199-N(AO200))/(AO144+AO177),"")</f>
        <v>0.219884225759768</v>
      </c>
      <c r="AP209" s="22" t="n">
        <f aca="false">IFERROR((AP145-AP199-N(AP200))/(AP144+AP177),"")</f>
        <v>0.224455899198167</v>
      </c>
      <c r="AQ209" s="22" t="n">
        <f aca="false">IFERROR((AQ145-AQ199-N(AQ200))/(AQ144+AQ177),"")</f>
        <v>0.203544786583656</v>
      </c>
      <c r="AR209" s="22" t="n">
        <f aca="false">IFERROR((AR145-AR199-N(AR200))/(AR144+AR177),"")</f>
        <v>0.219421314577382</v>
      </c>
      <c r="AS209" s="22" t="n">
        <f aca="false">IFERROR((AS145-AS199-N(AS200))/(AS144+AS177),"")</f>
        <v>0.268413972036708</v>
      </c>
      <c r="AT209" s="22" t="n">
        <f aca="false">IFERROR((AT145-AT199-N(AT200))/(AT144+AT177),"")</f>
        <v>0.203196574387572</v>
      </c>
      <c r="AU209" s="22" t="n">
        <f aca="false">IFERROR((AU145-AU199-N(AU200))/(AU144+AU177),"")</f>
        <v>0.201914245661526</v>
      </c>
      <c r="AV209" s="22" t="n">
        <f aca="false">IFERROR((AV145-AV199-N(AV200))/(AV144+AV177),"")</f>
        <v>0.186513489764702</v>
      </c>
      <c r="AW209" s="22" t="n">
        <f aca="false">IFERROR((AW145-AW199-N(AW200))/(AW144+AW177),"")</f>
        <v>0.215084491871131</v>
      </c>
      <c r="AX209" s="22" t="n">
        <f aca="false">IFERROR((AX145-AX199-N(AX200))/(AX144+AX177),"")</f>
        <v>0.229054652192145</v>
      </c>
      <c r="AY209" s="22" t="n">
        <f aca="false">IFERROR((AY145-AY199-N(AY200))/(AY144+AY177),"")</f>
        <v>0.179278780376572</v>
      </c>
      <c r="AZ209" s="22" t="n">
        <f aca="false">IFERROR((AZ145-AZ199-N(AZ200))/(AZ144+AZ177),"")</f>
        <v>0.213183271646902</v>
      </c>
      <c r="BA209" s="22" t="n">
        <f aca="false">IFERROR((BA145-BA199-N(BA200))/(BA144+BA177),"")</f>
        <v>0.197085044575779</v>
      </c>
      <c r="BB209" s="22" t="n">
        <f aca="false">IFERROR((BB145-BB199-N(BB200))/(BB144+BB177),"")</f>
        <v>0.203827277882717</v>
      </c>
      <c r="BC209" s="22" t="n">
        <f aca="false">IFERROR((BC145-BC199-N(BC200))/(BC144+BC177),"")</f>
        <v>0.207117148053468</v>
      </c>
      <c r="BD209" s="22" t="n">
        <f aca="false">IFERROR((BD145-BD199-N(BD200))/(BD144+BD177),"")</f>
        <v>0.201613154370776</v>
      </c>
      <c r="BE209" s="22" t="n">
        <f aca="false">IFERROR((BE145-BE199-N(BE200))/(BE144+BE177),"")</f>
        <v>0.195152322873336</v>
      </c>
      <c r="BF209" s="22" t="n">
        <f aca="false">IFERROR((BF145-BF199-N(BF200))/(BF144+BF177),"")</f>
        <v>0.197496384927273</v>
      </c>
      <c r="BG209" s="22" t="n">
        <f aca="false">IFERROR((BG145-BG199-N(BG200))/(BG144+BG177),"")</f>
        <v>0.200501768866954</v>
      </c>
      <c r="BH209" s="22" t="n">
        <f aca="false">IFERROR((BH145-BH199-N(BH200))/(BH144+BH177),"")</f>
        <v>0.216024334370405</v>
      </c>
      <c r="BI209" s="22" t="n">
        <f aca="false">IFERROR((BI145-BI199-N(BI200))/(BI144+BI177),"")</f>
        <v>0.206613414253202</v>
      </c>
      <c r="BJ209" s="22" t="n">
        <f aca="false">IFERROR((BJ145-BJ199-N(BJ200))/(BJ144+BJ177),"")</f>
        <v>0.195374915637492</v>
      </c>
      <c r="BK209" s="22" t="n">
        <f aca="false">IFERROR((BK145-BK199-N(BK200))/(BK144+BK177),"")</f>
        <v>0.192909067141063</v>
      </c>
      <c r="BL209" s="22" t="n">
        <f aca="false">IFERROR((BL145-BL199-N(BL200))/(BL144+BL177),"")</f>
        <v>0.202445986407628</v>
      </c>
      <c r="BM209" s="22" t="n">
        <f aca="false">IFERROR((BM145-BM199-N(BM200))/(BM144+BM177),"")</f>
        <v>0.219779620005215</v>
      </c>
      <c r="BN209" s="22" t="n">
        <f aca="false">IFERROR((BN145-BN199-N(BN200))/(BN144+BN177),"")</f>
        <v>0.211894950633372</v>
      </c>
      <c r="BO209" s="22" t="n">
        <f aca="false">IFERROR((BO145-BO199-N(BO200))/(BO144+BO177),"")</f>
        <v>0.235696797081897</v>
      </c>
      <c r="BP209" s="22" t="n">
        <f aca="false">IFERROR((BP145-BP199-N(BP200))/(BP144+BP177),"")</f>
        <v>0.168009802804058</v>
      </c>
      <c r="BQ209" s="22" t="n">
        <f aca="false">IFERROR((BQ145-BQ199-N(BQ200))/(BQ144+BQ177),"")</f>
        <v>0.208035252430238</v>
      </c>
      <c r="BR209" s="22" t="n">
        <f aca="false">IFERROR((BR145-BR199-N(BR200))/(BR144+BR177),"")</f>
        <v>0.227595999036523</v>
      </c>
      <c r="BS209" s="22" t="n">
        <f aca="false">IFERROR((BS145-BS199-N(BS200))/(BS144+BS177),"")</f>
        <v>0.219364177344127</v>
      </c>
      <c r="BT209" s="22" t="n">
        <f aca="false">IFERROR((BT145-BT199-N(BT200))/(BT144+BT177),"")</f>
        <v>0.210937320299022</v>
      </c>
      <c r="BU209" s="22" t="n">
        <f aca="false">IFERROR((BU145-BU199-N(BU200))/(BU144+BU177),"")</f>
        <v>0.19813100465335</v>
      </c>
      <c r="BV209" s="22" t="n">
        <f aca="false">IFERROR((BV145-BV199-N(BV200))/(BV144+BV177),"")</f>
        <v>0.213587496844114</v>
      </c>
      <c r="BW209" s="22" t="n">
        <f aca="false">IFERROR((BW145-BW199-N(BW200))/(BW144+BW177),"")</f>
        <v>0.214065959016859</v>
      </c>
      <c r="BX209" s="22" t="n">
        <f aca="false">IFERROR((BX145-BX199-N(BX200))/(BX144+BX177),"")</f>
        <v>0.237290541115916</v>
      </c>
      <c r="BY209" s="23" t="n">
        <f aca="false">IFERROR((BY145-BY199-N(BY200))/(BY144+BY177),"")</f>
        <v>0.225</v>
      </c>
      <c r="BZ209" s="23" t="n">
        <f aca="false">IFERROR((BZ145-BZ199-N(BZ200))/(BZ144+BZ177),"")</f>
        <v>0.225</v>
      </c>
      <c r="CA209" s="23" t="n">
        <f aca="false">IFERROR((CA145-CA199-N(CA200))/(CA144+CA177),"")</f>
        <v>0.225840200905891</v>
      </c>
      <c r="CB209" s="23" t="n">
        <f aca="false">IFERROR((CB145-CB199-N(CB200))/(CB144+CB177),"")</f>
        <v>0.23</v>
      </c>
      <c r="CC209" s="23" t="n">
        <f aca="false">IFERROR((CC145-CC199-N(CC200))/(CC144+CC177),"")</f>
        <v>0.23</v>
      </c>
      <c r="CD209" s="23" t="n">
        <f aca="false">IFERROR((CD145-CD199-N(CD200))/(CD144+CD177),"")</f>
        <v>0.23</v>
      </c>
      <c r="CE209" s="23" t="n">
        <f aca="false">IFERROR((CE145-CE199-N(CE200))/(CE144+CE177),"")</f>
        <v>0.23</v>
      </c>
    </row>
    <row r="211" customFormat="false" ht="15" hidden="false" customHeight="false" outlineLevel="0" collapsed="false">
      <c r="B211" s="10" t="s">
        <v>351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</row>
    <row r="212" customFormat="false" ht="15" hidden="false" customHeight="false" outlineLevel="0" collapsed="false">
      <c r="B212" s="21" t="s">
        <v>107</v>
      </c>
      <c r="D212" s="22" t="n">
        <f aca="false">IF(AND(ISNUMBER(D133),ISNUMBER(C133)),IFERROR(D133/C133-1,""),"")</f>
        <v>0.156634033414219</v>
      </c>
      <c r="E212" s="22" t="n">
        <f aca="false">IF(AND(ISNUMBER(E133),ISNUMBER(D133)),IFERROR(E133/D133-1,""),"")</f>
        <v>0.0869643946993663</v>
      </c>
      <c r="F212" s="22" t="n">
        <f aca="false">IF(AND(ISNUMBER(F133),ISNUMBER(E133)),IFERROR(F133/E133-1,""),"")</f>
        <v>-0.302463242160257</v>
      </c>
      <c r="G212" s="22" t="n">
        <f aca="false">IF(AND(ISNUMBER(G133),ISNUMBER(F133)),IFERROR(G133/F133-1,""),"")</f>
        <v>0.197125979812466</v>
      </c>
      <c r="H212" s="22" t="n">
        <f aca="false">IF(AND(ISNUMBER(H133),ISNUMBER(G133)),IFERROR(H133/G133-1,""),"")</f>
        <v>0.301635323055282</v>
      </c>
      <c r="I212" s="22" t="n">
        <f aca="false">IF(AND(ISNUMBER(I133),ISNUMBER(H133)),IFERROR(I133/H133-1,""),"")</f>
        <v>0.0589168966629297</v>
      </c>
      <c r="N212" s="22" t="n">
        <f aca="false">IF(AND(ISNUMBER(N133),ISNUMBER(I133)),IFERROR(N133/I133-1,""),"")</f>
        <v>-0.000243922355589121</v>
      </c>
      <c r="O212" s="22" t="n">
        <f aca="false">IF(AND(ISNUMBER(O133),ISNUMBER(J133)),IFERROR(O133/J133-1,""),"")</f>
        <v>-0.0466354844949642</v>
      </c>
      <c r="P212" s="22" t="n">
        <f aca="false">IF(AND(ISNUMBER(P133),ISNUMBER(K133)),IFERROR(P133/K133-1,""),"")</f>
        <v>0.00151079413608413</v>
      </c>
      <c r="Q212" s="22" t="n">
        <f aca="false">IF(AND(ISNUMBER(Q133),ISNUMBER(L133)),IFERROR(Q133/L133-1,""),"")</f>
        <v>0.0345467028003614</v>
      </c>
      <c r="R212" s="22" t="n">
        <f aca="false">IF(AND(ISNUMBER(R133),ISNUMBER(M133)),IFERROR(R133/M133-1,""),"")</f>
        <v>-0.0431412818572143</v>
      </c>
      <c r="S212" s="22" t="n">
        <f aca="false">IF(AND(ISNUMBER(S133),ISNUMBER(N133)),IFERROR(S133/N133-1,""),"")</f>
        <v>-0.0137930381736975</v>
      </c>
      <c r="T212" s="22" t="n">
        <f aca="false">IF(AND(ISNUMBER(T133),ISNUMBER(O133)),IFERROR(T133/O133-1,""),"")</f>
        <v>-0.0396489660789827</v>
      </c>
      <c r="U212" s="22" t="n">
        <f aca="false">IF(AND(ISNUMBER(U133),ISNUMBER(P133)),IFERROR(U133/P133-1,""),"")</f>
        <v>-0.0875611332942592</v>
      </c>
      <c r="V212" s="22" t="n">
        <f aca="false">IF(AND(ISNUMBER(V133),ISNUMBER(Q133)),IFERROR(V133/Q133-1,""),"")</f>
        <v>-0.0986494396997948</v>
      </c>
      <c r="W212" s="22" t="n">
        <f aca="false">IF(AND(ISNUMBER(W133),ISNUMBER(R133)),IFERROR(W133/R133-1,""),"")</f>
        <v>-0.169556724575044</v>
      </c>
      <c r="X212" s="22" t="n">
        <f aca="false">IF(AND(ISNUMBER(X133),ISNUMBER(S133)),IFERROR(X133/S133-1,""),"")</f>
        <v>-0.0986494978893294</v>
      </c>
      <c r="Y212" s="22" t="n">
        <f aca="false">IF(AND(ISNUMBER(Y133),ISNUMBER(T133)),IFERROR(Y133/T133-1,""),"")</f>
        <v>-0.162909256725946</v>
      </c>
      <c r="Z212" s="22" t="n">
        <f aca="false">IF(AND(ISNUMBER(Z133),ISNUMBER(U133)),IFERROR(Z133/U133-1,""),"")</f>
        <v>-0.10879742455697</v>
      </c>
      <c r="AA212" s="22" t="n">
        <f aca="false">IF(AND(ISNUMBER(AA133),ISNUMBER(V133)),IFERROR(AA133/V133-1,""),"")</f>
        <v>-0.120155122867603</v>
      </c>
      <c r="AB212" s="22" t="n">
        <f aca="false">IF(AND(ISNUMBER(AB133),ISNUMBER(W133)),IFERROR(AB133/W133-1,""),"")</f>
        <v>-0.00731885525145914</v>
      </c>
      <c r="AC212" s="22" t="n">
        <f aca="false">IF(AND(ISNUMBER(AC133),ISNUMBER(X133)),IFERROR(AC133/X133-1,""),"")</f>
        <v>-0.102996264282033</v>
      </c>
      <c r="AD212" s="22" t="n">
        <f aca="false">IF(AND(ISNUMBER(AD133),ISNUMBER(Y133)),IFERROR(AD133/Y133-1,""),"")</f>
        <v>0.0547917097918733</v>
      </c>
      <c r="AE212" s="22" t="n">
        <f aca="false">IF(AND(ISNUMBER(AE133),ISNUMBER(Z133)),IFERROR(AE133/Z133-1,""),"")</f>
        <v>0.0581346279147492</v>
      </c>
      <c r="AF212" s="22" t="n">
        <f aca="false">IF(AND(ISNUMBER(AF133),ISNUMBER(AA133)),IFERROR(AF133/AA133-1,""),"")</f>
        <v>0.179416396838875</v>
      </c>
      <c r="AG212" s="22" t="n">
        <f aca="false">IF(AND(ISNUMBER(AG133),ISNUMBER(AB133)),IFERROR(AG133/AB133-1,""),"")</f>
        <v>0.325200238370567</v>
      </c>
      <c r="AH212" s="22" t="n">
        <f aca="false">IF(AND(ISNUMBER(AH133),ISNUMBER(AC133)),IFERROR(AH133/AC133-1,""),"")</f>
        <v>0.153791808192511</v>
      </c>
      <c r="AI212" s="22" t="n">
        <f aca="false">IF(AND(ISNUMBER(AI133),ISNUMBER(AD133)),IFERROR(AI133/AD133-1,""),"")</f>
        <v>0.304355161069863</v>
      </c>
      <c r="AJ212" s="22" t="n">
        <f aca="false">IF(AND(ISNUMBER(AJ133),ISNUMBER(AE133)),IFERROR(AJ133/AE133-1,""),"")</f>
        <v>0.260336471736821</v>
      </c>
      <c r="AK212" s="22" t="n">
        <f aca="false">IF(AND(ISNUMBER(AK133),ISNUMBER(AF133)),IFERROR(AK133/AF133-1,""),"")</f>
        <v>0.10098418051923</v>
      </c>
      <c r="AL212" s="22" t="n">
        <f aca="false">IF(AND(ISNUMBER(AL133),ISNUMBER(AG133)),IFERROR(AL133/AG133-1,""),"")</f>
        <v>-0.00449420156989222</v>
      </c>
      <c r="AM212" s="22" t="n">
        <f aca="false">IF(AND(ISNUMBER(AM133),ISNUMBER(AH133)),IFERROR(AM133/AH133-1,""),"")</f>
        <v>0.15403072132588</v>
      </c>
      <c r="AN212" s="22" t="n">
        <f aca="false">IF(AND(ISNUMBER(AN133),ISNUMBER(AI133)),IFERROR(AN133/AI133-1,""),"")</f>
        <v>0.00195065039276954</v>
      </c>
      <c r="AO212" s="22" t="n">
        <f aca="false">IF(AND(ISNUMBER(AO133),ISNUMBER(AJ133)),IFERROR(AO133/AJ133-1,""),"")</f>
        <v>-0.0165103056507673</v>
      </c>
      <c r="AP212" s="22" t="n">
        <f aca="false">IF(AND(ISNUMBER(AP133),ISNUMBER(AK133)),IFERROR(AP133/AK133-1,""),"")</f>
        <v>-0.00856872686029964</v>
      </c>
      <c r="AQ212" s="22" t="n">
        <f aca="false">IF(AND(ISNUMBER(AQ133),ISNUMBER(AL133)),IFERROR(AQ133/AL133-1,""),"")</f>
        <v>-0.0101098777000566</v>
      </c>
      <c r="AR212" s="22" t="n">
        <f aca="false">IF(AND(ISNUMBER(AR133),ISNUMBER(AM133)),IFERROR(AR133/AM133-1,""),"")</f>
        <v>-0.00838716877418966</v>
      </c>
      <c r="AS212" s="22" t="n">
        <f aca="false">IF(AND(ISNUMBER(AS133),ISNUMBER(AN133)),IFERROR(AS133/AN133-1,""),"")</f>
        <v>-0.0753226533047759</v>
      </c>
      <c r="AT212" s="22" t="n">
        <f aca="false">IF(AND(ISNUMBER(AT133),ISNUMBER(AO133)),IFERROR(AT133/AO133-1,""),"")</f>
        <v>-0.239741418363775</v>
      </c>
      <c r="AU212" s="22" t="n">
        <f aca="false">IF(AND(ISNUMBER(AU133),ISNUMBER(AP133)),IFERROR(AU133/AP133-1,""),"")</f>
        <v>-0.084696825186136</v>
      </c>
      <c r="AV212" s="22" t="n">
        <f aca="false">IF(AND(ISNUMBER(AV133),ISNUMBER(AQ133)),IFERROR(AV133/AQ133-1,""),"")</f>
        <v>-0.057738144551118</v>
      </c>
      <c r="AW212" s="22" t="n">
        <f aca="false">IF(AND(ISNUMBER(AW133),ISNUMBER(AR133)),IFERROR(AW133/AR133-1,""),"")</f>
        <v>-0.115831000322315</v>
      </c>
      <c r="AX212" s="22" t="n">
        <f aca="false">IF(AND(ISNUMBER(AX133),ISNUMBER(AS133)),IFERROR(AX133/AS133-1,""),"")</f>
        <v>0.078391318407216</v>
      </c>
      <c r="AY212" s="22" t="n">
        <f aca="false">IF(AND(ISNUMBER(AY133),ISNUMBER(AT133)),IFERROR(AY133/AT133-1,""),"")</f>
        <v>0.399045582815751</v>
      </c>
      <c r="AZ212" s="22" t="n">
        <f aca="false">IF(AND(ISNUMBER(AZ133),ISNUMBER(AU133)),IFERROR(AZ133/AU133-1,""),"")</f>
        <v>0.205663728456782</v>
      </c>
      <c r="BA212" s="22" t="n">
        <f aca="false">IF(AND(ISNUMBER(BA133),ISNUMBER(AV133)),IFERROR(BA133/AV133-1,""),"")</f>
        <v>0.216861200875188</v>
      </c>
      <c r="BB212" s="22" t="n">
        <f aca="false">IF(AND(ISNUMBER(BB133),ISNUMBER(AW133)),IFERROR(BB133/AW133-1,""),"")</f>
        <v>0.217963395345334</v>
      </c>
      <c r="BC212" s="22" t="n">
        <f aca="false">IF(AND(ISNUMBER(BC133),ISNUMBER(AX133)),IFERROR(BC133/AX133-1,""),"")</f>
        <v>0.222486562459958</v>
      </c>
      <c r="BD212" s="22" t="n">
        <f aca="false">IF(AND(ISNUMBER(BD133),ISNUMBER(AY133)),IFERROR(BD133/AY133-1,""),"")</f>
        <v>0.17319173238922</v>
      </c>
      <c r="BE212" s="22" t="n">
        <f aca="false">IF(AND(ISNUMBER(BE133),ISNUMBER(AZ133)),IFERROR(BE133/AZ133-1,""),"")</f>
        <v>0.159694167305265</v>
      </c>
      <c r="BF212" s="22" t="n">
        <f aca="false">IF(AND(ISNUMBER(BF133),ISNUMBER(BA133)),IFERROR(BF133/BA133-1,""),"")</f>
        <v>0.102674441605636</v>
      </c>
      <c r="BG212" s="22" t="n">
        <f aca="false">IF(AND(ISNUMBER(BG133),ISNUMBER(BB133)),IFERROR(BG133/BB133-1,""),"")</f>
        <v>0.162956607238929</v>
      </c>
      <c r="BH212" s="22" t="n">
        <f aca="false">IF(AND(ISNUMBER(BH133),ISNUMBER(BC133)),IFERROR(BH133/BC133-1,""),"")</f>
        <v>0.123070123875139</v>
      </c>
      <c r="BI212" s="22" t="n">
        <f aca="false">IF(AND(ISNUMBER(BI133),ISNUMBER(BD133)),IFERROR(BI133/BD133-1,""),"")</f>
        <v>0.0938294473225254</v>
      </c>
      <c r="BJ212" s="22" t="n">
        <f aca="false">IF(AND(ISNUMBER(BJ133),ISNUMBER(BE133)),IFERROR(BJ133/BE133-1,""),"")</f>
        <v>0.104758136948804</v>
      </c>
      <c r="BK212" s="22" t="n">
        <f aca="false">IF(AND(ISNUMBER(BK133),ISNUMBER(BF133)),IFERROR(BK133/BF133-1,""),"")</f>
        <v>0.137045161096275</v>
      </c>
      <c r="BL212" s="22" t="n">
        <f aca="false">IF(AND(ISNUMBER(BL133),ISNUMBER(BG133)),IFERROR(BL133/BG133-1,""),"")</f>
        <v>0.114437876524343</v>
      </c>
      <c r="BM212" s="22" t="n">
        <f aca="false">IF(AND(ISNUMBER(BM133),ISNUMBER(BH133)),IFERROR(BM133/BH133-1,""),"")</f>
        <v>-0.0559449575356741</v>
      </c>
      <c r="BN212" s="22" t="n">
        <f aca="false">IF(AND(ISNUMBER(BN133),ISNUMBER(BI133)),IFERROR(BN133/BI133-1,""),"")</f>
        <v>-0.0366615907558707</v>
      </c>
      <c r="BO212" s="22" t="n">
        <f aca="false">IF(AND(ISNUMBER(BO133),ISNUMBER(BJ133)),IFERROR(BO133/BJ133-1,""),"")</f>
        <v>-0.0478652050785219</v>
      </c>
      <c r="BP212" s="22" t="n">
        <f aca="false">IF(AND(ISNUMBER(BP133),ISNUMBER(BK133)),IFERROR(BP133/BK133-1,""),"")</f>
        <v>-0.0344662422981651</v>
      </c>
      <c r="BQ212" s="22" t="n">
        <f aca="false">IF(AND(ISNUMBER(BQ133),ISNUMBER(BL133)),IFERROR(BQ133/BL133-1,""),"")</f>
        <v>-0.0436502597076656</v>
      </c>
      <c r="BR212" s="22" t="n">
        <f aca="false">IF(AND(ISNUMBER(BR133),ISNUMBER(BM133)),IFERROR(BR133/BM133-1,""),"")</f>
        <v>0.0236354167409807</v>
      </c>
      <c r="BS212" s="22" t="n">
        <f aca="false">IF(AND(ISNUMBER(BS133),ISNUMBER(BN133)),IFERROR(BS133/BN133-1,""),"")</f>
        <v>0.065568282921415</v>
      </c>
      <c r="BT212" s="22" t="n">
        <f aca="false">IF(AND(ISNUMBER(BT133),ISNUMBER(BO133)),IFERROR(BT133/BO133-1,""),"")</f>
        <v>0.078746928871807</v>
      </c>
      <c r="BU212" s="22" t="n">
        <f aca="false">IF(AND(ISNUMBER(BU133),ISNUMBER(BP133)),IFERROR(BU133/BP133-1,""),"")</f>
        <v>0.0554621141628777</v>
      </c>
      <c r="BV212" s="22" t="n">
        <f aca="false">IF(AND(ISNUMBER(BV133),ISNUMBER(BQ133)),IFERROR(BV133/BQ133-1,""),"")</f>
        <v>0.0559619524680255</v>
      </c>
      <c r="BW212" s="22" t="n">
        <f aca="false">IF(AND(ISNUMBER(BW133),ISNUMBER(BR133)),IFERROR(BW133/BR133-1,""),"")</f>
        <v>0.116534645973468</v>
      </c>
      <c r="BX212" s="22" t="n">
        <f aca="false">IF(AND(ISNUMBER(BX133),ISNUMBER(BS133)),IFERROR(BX133/BS133-1,""),"")</f>
        <v>0.120320794214608</v>
      </c>
      <c r="BY212" s="23" t="n">
        <f aca="false">IF(AND(ISNUMBER(BY133),ISNUMBER(BT133)),IFERROR(BY133/BT133-1,""),"")</f>
        <v>0.118613047637782</v>
      </c>
      <c r="BZ212" s="23" t="n">
        <f aca="false">IF(AND(ISNUMBER(BZ133),ISNUMBER(BU133)),IFERROR(BZ133/BU133-1,""),"")</f>
        <v>0.104646710479134</v>
      </c>
      <c r="CA212" s="23" t="n">
        <f aca="false">IF(AND(ISNUMBER(CA133),ISNUMBER(BV133)),IFERROR(CA133/BV133-1,""),"")</f>
        <v>0.115</v>
      </c>
      <c r="CB212" s="23" t="n">
        <f aca="false">IF(AND(ISNUMBER(CB133),ISNUMBER(CA133)),IFERROR(CB133/CA133-1,""),"")</f>
        <v>0.0634136659180273</v>
      </c>
      <c r="CC212" s="23" t="n">
        <f aca="false">IF(AND(ISNUMBER(CC133),ISNUMBER(CB133)),IFERROR(CC133/CB133-1,""),"")</f>
        <v>0.0755304660284852</v>
      </c>
      <c r="CD212" s="23" t="n">
        <f aca="false">IF(AND(ISNUMBER(CD133),ISNUMBER(CC133)),IFERROR(CD133/CC133-1,""),"")</f>
        <v>0.0704406370076971</v>
      </c>
      <c r="CE212" s="23" t="n">
        <f aca="false">IF(AND(ISNUMBER(CE133),ISNUMBER(CD133)),IFERROR(CE133/CD133-1,""),"")</f>
        <v>0.0687692992183333</v>
      </c>
    </row>
    <row r="213" customFormat="false" ht="15" hidden="false" customHeight="false" outlineLevel="0" collapsed="false">
      <c r="B213" s="21" t="s">
        <v>136</v>
      </c>
      <c r="C213" s="22" t="str">
        <f aca="false">C113</f>
        <v/>
      </c>
      <c r="D213" s="22" t="str">
        <f aca="false">D113</f>
        <v/>
      </c>
      <c r="E213" s="22" t="str">
        <f aca="false">E113</f>
        <v/>
      </c>
      <c r="F213" s="22" t="str">
        <f aca="false">F113</f>
        <v/>
      </c>
      <c r="G213" s="22" t="n">
        <f aca="false">G113</f>
        <v>0.144133</v>
      </c>
      <c r="H213" s="22" t="n">
        <f aca="false">H113</f>
        <v>0.216856</v>
      </c>
      <c r="I213" s="22" t="n">
        <f aca="false">I113</f>
        <v>0.029915</v>
      </c>
      <c r="J213" s="22" t="n">
        <f aca="false">J113</f>
        <v>-0.05875</v>
      </c>
      <c r="K213" s="22" t="n">
        <f aca="false">K113</f>
        <v>-0.047828</v>
      </c>
      <c r="L213" s="22" t="n">
        <f aca="false">L113</f>
        <v>-0.024385</v>
      </c>
      <c r="M213" s="22" t="n">
        <f aca="false">M113</f>
        <v>0.03146</v>
      </c>
      <c r="N213" s="22" t="n">
        <f aca="false">N113</f>
        <v>-0.025856</v>
      </c>
      <c r="O213" s="22" t="n">
        <f aca="false">O113</f>
        <v>-0.045843</v>
      </c>
      <c r="P213" s="22" t="n">
        <f aca="false">P113</f>
        <v>0.0087</v>
      </c>
      <c r="Q213" s="22" t="n">
        <f aca="false">Q113</f>
        <v>0.043537</v>
      </c>
      <c r="R213" s="22" t="n">
        <f aca="false">R113</f>
        <v>-0.017325</v>
      </c>
      <c r="S213" s="22" t="n">
        <f aca="false">S113</f>
        <v>-0.002798</v>
      </c>
      <c r="T213" s="22" t="n">
        <f aca="false">T113</f>
        <v>0.021524</v>
      </c>
      <c r="U213" s="22" t="n">
        <f aca="false">U113</f>
        <v>-0.048554</v>
      </c>
      <c r="V213" s="22" t="n">
        <f aca="false">V113</f>
        <v>-0.069667</v>
      </c>
      <c r="W213" s="22" t="n">
        <f aca="false">W113</f>
        <v>-0.061917</v>
      </c>
      <c r="X213" s="22" t="n">
        <f aca="false">X113</f>
        <v>-0.04011</v>
      </c>
      <c r="Y213" s="22" t="n">
        <f aca="false">Y113</f>
        <v>-0.028399</v>
      </c>
      <c r="Z213" s="22" t="n">
        <f aca="false">Z113</f>
        <v>0.187501</v>
      </c>
      <c r="AA213" s="22" t="n">
        <f aca="false">AA113</f>
        <v>-0.135003</v>
      </c>
      <c r="AB213" s="22" t="n">
        <f aca="false">AB113</f>
        <v>-0.012017</v>
      </c>
      <c r="AC213" s="22" t="n">
        <f aca="false">AC113</f>
        <v>0.004745</v>
      </c>
      <c r="AD213" s="22" t="n">
        <f aca="false">AD113</f>
        <v>0.050045</v>
      </c>
      <c r="AE213" s="22" t="n">
        <f aca="false">AE113</f>
        <v>0.058544</v>
      </c>
      <c r="AF213" s="22" t="n">
        <f aca="false">AF113</f>
        <v>0.055453</v>
      </c>
      <c r="AG213" s="22" t="n">
        <f aca="false">AG113</f>
        <v>0.100257</v>
      </c>
      <c r="AH213" s="22" t="n">
        <f aca="false">AH113</f>
        <v>0.066055</v>
      </c>
      <c r="AI213" s="22" t="n">
        <f aca="false">AI113</f>
        <v>0.093665</v>
      </c>
      <c r="AJ213" s="22" t="n">
        <f aca="false">AJ113</f>
        <v>0.093133</v>
      </c>
      <c r="AK213" s="22" t="n">
        <f aca="false">AK113</f>
        <v>0.074445</v>
      </c>
      <c r="AL213" s="22" t="n">
        <f aca="false">AL113</f>
        <v>0.015196</v>
      </c>
      <c r="AM213" s="22" t="n">
        <f aca="false">AM113</f>
        <v>0.066295</v>
      </c>
      <c r="AN213" s="22" t="n">
        <f aca="false">AN113</f>
        <v>0.009241</v>
      </c>
      <c r="AO213" s="22" t="n">
        <f aca="false">AO113</f>
        <v>-0.034077</v>
      </c>
      <c r="AP213" s="22" t="n">
        <f aca="false">AP113</f>
        <v>-0.046638</v>
      </c>
      <c r="AQ213" s="22" t="n">
        <f aca="false">AQ113</f>
        <v>-0.065718</v>
      </c>
      <c r="AR213" s="22" t="n">
        <f aca="false">AR113</f>
        <v>-0.034068</v>
      </c>
      <c r="AS213" s="22" t="n">
        <f aca="false">AS113</f>
        <v>-0.095049</v>
      </c>
      <c r="AT213" s="22" t="n">
        <f aca="false">AT113</f>
        <v>-0.248112</v>
      </c>
      <c r="AU213" s="22" t="n">
        <f aca="false">AU113</f>
        <v>-0.083022</v>
      </c>
      <c r="AV213" s="22" t="n">
        <f aca="false">AV113</f>
        <v>-0.055844</v>
      </c>
      <c r="AW213" s="22" t="n">
        <f aca="false">AW113</f>
        <v>-0.122112</v>
      </c>
      <c r="AX213" s="22" t="n">
        <f aca="false">AX113</f>
        <v>0.06443</v>
      </c>
      <c r="AY213" s="22" t="n">
        <f aca="false">AY113</f>
        <v>0.360271</v>
      </c>
      <c r="AZ213" s="22" t="n">
        <f aca="false">AZ113</f>
        <v>0.182806</v>
      </c>
      <c r="BA213" s="22" t="n">
        <f aca="false">BA113</f>
        <v>0.190193</v>
      </c>
      <c r="BB213" s="22" t="n">
        <f aca="false">BB113</f>
        <v>0.192921</v>
      </c>
      <c r="BC213" s="22" t="n">
        <f aca="false">BC113</f>
        <v>0.220935</v>
      </c>
      <c r="BD213" s="22" t="n">
        <f aca="false">BD113</f>
        <v>0.204894</v>
      </c>
      <c r="BE213" s="22" t="n">
        <f aca="false">BE113</f>
        <v>0.213139</v>
      </c>
      <c r="BF213" s="22" t="n">
        <f aca="false">BF113</f>
        <v>0.1431</v>
      </c>
      <c r="BG213" s="22" t="n">
        <f aca="false">BG113</f>
        <v>0.194574</v>
      </c>
      <c r="BH213" s="22" t="n">
        <f aca="false">BH113</f>
        <v>0.085482</v>
      </c>
      <c r="BI213" s="22" t="n">
        <f aca="false">BI113</f>
        <v>0.044264</v>
      </c>
      <c r="BJ213" s="22" t="n">
        <f aca="false">BJ113</f>
        <v>0.003897</v>
      </c>
      <c r="BK213" s="22" t="n">
        <f aca="false">BK113</f>
        <v>0.025952</v>
      </c>
      <c r="BL213" s="22" t="n">
        <f aca="false">BL113</f>
        <v>0.039836</v>
      </c>
      <c r="BM213" s="22" t="n">
        <f aca="false">BM113</f>
        <v>-0.061639</v>
      </c>
      <c r="BN213" s="22" t="n">
        <f aca="false">BN113</f>
        <v>-0.044923</v>
      </c>
      <c r="BO213" s="22" t="n">
        <f aca="false">BO113</f>
        <v>-0.077296</v>
      </c>
      <c r="BP213" s="22" t="n">
        <f aca="false">BP113</f>
        <v>-0.074813</v>
      </c>
      <c r="BQ213" s="22" t="n">
        <f aca="false">BQ113</f>
        <v>-0.064596</v>
      </c>
      <c r="BR213" s="22" t="n">
        <f aca="false">BR113</f>
        <v>-0.012098</v>
      </c>
      <c r="BS213" s="22" t="n">
        <f aca="false">BS113</f>
        <v>0.02851</v>
      </c>
      <c r="BT213" s="22" t="n">
        <f aca="false">BT113</f>
        <v>0.056134</v>
      </c>
      <c r="BU213" s="22" t="n">
        <f aca="false">BU113</f>
        <v>0.025808</v>
      </c>
      <c r="BV213" s="22" t="n">
        <f aca="false">BV113</f>
        <v>0.024661</v>
      </c>
      <c r="BW213" s="22" t="n">
        <f aca="false">BW113</f>
        <v>0.078572</v>
      </c>
      <c r="BX213" s="22" t="n">
        <f aca="false">BX113</f>
        <v>0.100765</v>
      </c>
      <c r="BY213" s="23" t="n">
        <f aca="false">BY113</f>
        <v>0.106733625728991</v>
      </c>
      <c r="BZ213" s="23" t="n">
        <f aca="false">BZ113</f>
        <v>0.0999870631932428</v>
      </c>
      <c r="CA213" s="23" t="n">
        <f aca="false">CA113</f>
        <v>0.0967972522308628</v>
      </c>
      <c r="CB213" s="23" t="n">
        <f aca="false">CB113</f>
        <v>0.0501715747455918</v>
      </c>
      <c r="CC213" s="23" t="n">
        <f aca="false">CC113</f>
        <v>0.0502551977203993</v>
      </c>
      <c r="CD213" s="23" t="n">
        <f aca="false">CD113</f>
        <v>0.0470738767562714</v>
      </c>
      <c r="CE213" s="23" t="n">
        <f aca="false">CE113</f>
        <v>0.0471076180730999</v>
      </c>
    </row>
    <row r="214" customFormat="false" ht="15" hidden="false" customHeight="false" outlineLevel="0" collapsed="false">
      <c r="B214" s="21" t="s">
        <v>352</v>
      </c>
      <c r="C214" s="22" t="n">
        <f aca="false">C109</f>
        <v>0</v>
      </c>
      <c r="D214" s="22" t="n">
        <f aca="false">D109</f>
        <v>0</v>
      </c>
      <c r="E214" s="22" t="n">
        <f aca="false">E109</f>
        <v>0</v>
      </c>
      <c r="F214" s="22" t="n">
        <f aca="false">F109</f>
        <v>0</v>
      </c>
      <c r="G214" s="22" t="n">
        <f aca="false">G109</f>
        <v>0.140552</v>
      </c>
      <c r="H214" s="22" t="n">
        <f aca="false">H109</f>
        <v>0.147826</v>
      </c>
      <c r="I214" s="22" t="n">
        <f aca="false">I109</f>
        <v>0.012918</v>
      </c>
      <c r="J214" s="22" t="n">
        <f aca="false">J109</f>
        <v>-0.060004</v>
      </c>
      <c r="K214" s="22" t="n">
        <f aca="false">K109</f>
        <v>-0.048808</v>
      </c>
      <c r="L214" s="22" t="n">
        <f aca="false">L109</f>
        <v>-0.024937</v>
      </c>
      <c r="M214" s="22" t="n">
        <f aca="false">M109</f>
        <v>0.031317</v>
      </c>
      <c r="N214" s="22" t="n">
        <f aca="false">N109</f>
        <v>-0.0266</v>
      </c>
      <c r="O214" s="22" t="n">
        <f aca="false">O109</f>
        <v>-0.049973</v>
      </c>
      <c r="P214" s="22" t="n">
        <f aca="false">P109</f>
        <v>-0.0143</v>
      </c>
      <c r="Q214" s="22" t="n">
        <f aca="false">Q109</f>
        <v>0.018966</v>
      </c>
      <c r="R214" s="22" t="n">
        <f aca="false">R109</f>
        <v>-0.034579</v>
      </c>
      <c r="S214" s="22" t="n">
        <f aca="false">S109</f>
        <v>-0.020299</v>
      </c>
      <c r="T214" s="22" t="n">
        <f aca="false">T109</f>
        <v>-0.00758</v>
      </c>
      <c r="U214" s="22" t="n">
        <f aca="false">U109</f>
        <v>-0.064988</v>
      </c>
      <c r="V214" s="22" t="n">
        <f aca="false">V109</f>
        <v>-0.102408</v>
      </c>
      <c r="W214" s="22" t="n">
        <f aca="false">W109</f>
        <v>-0.143532</v>
      </c>
      <c r="X214" s="22" t="n">
        <f aca="false">X109</f>
        <v>-0.079624</v>
      </c>
      <c r="Y214" s="22" t="n">
        <f aca="false">Y109</f>
        <v>-0.142111</v>
      </c>
      <c r="Z214" s="22" t="n">
        <f aca="false">Z109</f>
        <v>-0.096842</v>
      </c>
      <c r="AA214" s="22" t="n">
        <f aca="false">AA109</f>
        <v>-0.127758</v>
      </c>
      <c r="AB214" s="22" t="n">
        <f aca="false">AB109</f>
        <v>-0.012969</v>
      </c>
      <c r="AC214" s="22" t="n">
        <f aca="false">AC109</f>
        <v>-0.097666</v>
      </c>
      <c r="AD214" s="22" t="n">
        <f aca="false">AD109</f>
        <v>0.029278</v>
      </c>
      <c r="AE214" s="22" t="n">
        <f aca="false">AE109</f>
        <v>0.032172</v>
      </c>
      <c r="AF214" s="22" t="n">
        <f aca="false">AF109</f>
        <v>0.037768</v>
      </c>
      <c r="AG214" s="22" t="n">
        <f aca="false">AG109</f>
        <v>0.06837</v>
      </c>
      <c r="AH214" s="22" t="n">
        <f aca="false">AH109</f>
        <v>0.041841</v>
      </c>
      <c r="AI214" s="22" t="n">
        <f aca="false">AI109</f>
        <v>0.051997</v>
      </c>
      <c r="AJ214" s="22" t="n">
        <f aca="false">AJ109</f>
        <v>0.043833</v>
      </c>
      <c r="AK214" s="22" t="n">
        <f aca="false">AK109</f>
        <v>0.003882</v>
      </c>
      <c r="AL214" s="22" t="n">
        <f aca="false">AL109</f>
        <v>-0.043482</v>
      </c>
      <c r="AM214" s="22" t="n">
        <f aca="false">AM109</f>
        <v>0.01059</v>
      </c>
      <c r="AN214" s="22" t="n">
        <f aca="false">AN109</f>
        <v>-0.036098</v>
      </c>
      <c r="AO214" s="22" t="n">
        <f aca="false">AO109</f>
        <v>-0.051545</v>
      </c>
      <c r="AP214" s="22" t="n">
        <f aca="false">AP109</f>
        <v>-0.040893</v>
      </c>
      <c r="AQ214" s="22" t="n">
        <f aca="false">AQ109</f>
        <v>-0.057379</v>
      </c>
      <c r="AR214" s="22" t="n">
        <f aca="false">AR109</f>
        <v>-0.046521</v>
      </c>
      <c r="AS214" s="22" t="n">
        <f aca="false">AS109</f>
        <v>-0.086145</v>
      </c>
      <c r="AT214" s="22" t="n">
        <f aca="false">AT109</f>
        <v>-0.245014</v>
      </c>
      <c r="AU214" s="22" t="n">
        <f aca="false">AU109</f>
        <v>-0.095146</v>
      </c>
      <c r="AV214" s="22" t="n">
        <f aca="false">AV109</f>
        <v>-0.075894</v>
      </c>
      <c r="AW214" s="22" t="n">
        <f aca="false">AW109</f>
        <v>-0.126925</v>
      </c>
      <c r="AX214" s="22" t="n">
        <f aca="false">AX109</f>
        <v>0.02721</v>
      </c>
      <c r="AY214" s="22" t="n">
        <f aca="false">AY109</f>
        <v>0.260359</v>
      </c>
      <c r="AZ214" s="22" t="n">
        <f aca="false">AZ109</f>
        <v>0.072517</v>
      </c>
      <c r="BA214" s="22" t="n">
        <f aca="false">BA109</f>
        <v>0.056201</v>
      </c>
      <c r="BB214" s="22" t="n">
        <f aca="false">BB109</f>
        <v>0.098064</v>
      </c>
      <c r="BC214" s="22" t="n">
        <f aca="false">BC109</f>
        <v>0.031864</v>
      </c>
      <c r="BD214" s="22" t="n">
        <f aca="false">BD109</f>
        <v>0.033696</v>
      </c>
      <c r="BE214" s="22" t="n">
        <f aca="false">BE109</f>
        <v>0.088223</v>
      </c>
      <c r="BF214" s="22" t="n">
        <f aca="false">BF109</f>
        <v>0.044115</v>
      </c>
      <c r="BG214" s="22" t="n">
        <f aca="false">BG109</f>
        <v>0.049584</v>
      </c>
      <c r="BH214" s="22" t="n">
        <f aca="false">BH109</f>
        <v>0.042116</v>
      </c>
      <c r="BI214" s="22" t="n">
        <f aca="false">BI109</f>
        <v>0.03562</v>
      </c>
      <c r="BJ214" s="22" t="n">
        <f aca="false">BJ109</f>
        <v>-0.007005</v>
      </c>
      <c r="BK214" s="22" t="n">
        <f aca="false">BK109</f>
        <v>0.020113</v>
      </c>
      <c r="BL214" s="22" t="n">
        <f aca="false">BL109</f>
        <v>0.022781</v>
      </c>
      <c r="BM214" s="22" t="n">
        <f aca="false">BM109</f>
        <v>-0.061367</v>
      </c>
      <c r="BN214" s="22" t="n">
        <f aca="false">BN109</f>
        <v>-0.054447</v>
      </c>
      <c r="BO214" s="22" t="n">
        <f aca="false">BO109</f>
        <v>-0.087027</v>
      </c>
      <c r="BP214" s="22" t="n">
        <f aca="false">BP109</f>
        <v>-0.084757</v>
      </c>
      <c r="BQ214" s="22" t="n">
        <f aca="false">BQ109</f>
        <v>-0.071848</v>
      </c>
      <c r="BR214" s="22" t="n">
        <f aca="false">BR109</f>
        <v>-0.038322</v>
      </c>
      <c r="BS214" s="22" t="n">
        <f aca="false">BS109</f>
        <v>-0.023341</v>
      </c>
      <c r="BT214" s="22" t="n">
        <f aca="false">BT109</f>
        <v>-0.021537</v>
      </c>
      <c r="BU214" s="22" t="n">
        <f aca="false">BU109</f>
        <v>-0.063645</v>
      </c>
      <c r="BV214" s="22" t="n">
        <f aca="false">BV109</f>
        <v>-0.036841</v>
      </c>
      <c r="BW214" s="22" t="n">
        <f aca="false">BW109</f>
        <v>-0.025529</v>
      </c>
      <c r="BX214" s="22" t="n">
        <f aca="false">BX109</f>
        <v>0.023689</v>
      </c>
      <c r="BY214" s="23" t="n">
        <f aca="false">BY109</f>
        <v>0.0310410522682708</v>
      </c>
      <c r="BZ214" s="23" t="n">
        <f aca="false">BZ109</f>
        <v>0.0291858314165455</v>
      </c>
      <c r="CA214" s="23" t="n">
        <f aca="false">CA109</f>
        <v>0.0152547376784281</v>
      </c>
      <c r="CB214" s="23" t="n">
        <f aca="false">CB109</f>
        <v>0.0279914818812689</v>
      </c>
      <c r="CC214" s="23" t="n">
        <f aca="false">CC109</f>
        <v>0.0280204984567495</v>
      </c>
      <c r="CD214" s="23" t="n">
        <f aca="false">CD109</f>
        <v>0.0248102338400133</v>
      </c>
      <c r="CE214" s="23" t="n">
        <f aca="false">CE109</f>
        <v>0.0248236763843834</v>
      </c>
    </row>
    <row r="215" customFormat="false" ht="15" hidden="false" customHeight="false" outlineLevel="0" collapsed="false">
      <c r="B215" s="21" t="s">
        <v>121</v>
      </c>
      <c r="C215" s="22" t="n">
        <f aca="false">C110</f>
        <v>0</v>
      </c>
      <c r="D215" s="22" t="n">
        <f aca="false">D110</f>
        <v>0</v>
      </c>
      <c r="E215" s="22" t="n">
        <f aca="false">E110</f>
        <v>0</v>
      </c>
      <c r="F215" s="22" t="n">
        <f aca="false">F110</f>
        <v>0</v>
      </c>
      <c r="G215" s="22" t="n">
        <f aca="false">G110</f>
        <v>0.003581</v>
      </c>
      <c r="H215" s="22" t="n">
        <f aca="false">H110</f>
        <v>0.06903</v>
      </c>
      <c r="I215" s="22" t="n">
        <f aca="false">I110</f>
        <v>0.016997</v>
      </c>
      <c r="J215" s="22" t="n">
        <f aca="false">J110</f>
        <v>0.001254</v>
      </c>
      <c r="K215" s="22" t="n">
        <f aca="false">K110</f>
        <v>0.00098</v>
      </c>
      <c r="L215" s="22" t="n">
        <f aca="false">L110</f>
        <v>0.000552</v>
      </c>
      <c r="M215" s="22" t="n">
        <f aca="false">M110</f>
        <v>0.000143</v>
      </c>
      <c r="N215" s="22" t="n">
        <f aca="false">N110</f>
        <v>0.000744</v>
      </c>
      <c r="O215" s="22" t="n">
        <f aca="false">O110</f>
        <v>0.00413</v>
      </c>
      <c r="P215" s="22" t="n">
        <f aca="false">P110</f>
        <v>0.023</v>
      </c>
      <c r="Q215" s="22" t="n">
        <f aca="false">Q110</f>
        <v>0.024571</v>
      </c>
      <c r="R215" s="22" t="n">
        <f aca="false">R110</f>
        <v>0.017254</v>
      </c>
      <c r="S215" s="22" t="n">
        <f aca="false">S110</f>
        <v>0.017501</v>
      </c>
      <c r="T215" s="22" t="n">
        <f aca="false">T110</f>
        <v>0.029104</v>
      </c>
      <c r="U215" s="22" t="n">
        <f aca="false">U110</f>
        <v>0.016434</v>
      </c>
      <c r="V215" s="22" t="n">
        <f aca="false">V110</f>
        <v>0.032741</v>
      </c>
      <c r="W215" s="22" t="n">
        <f aca="false">W110</f>
        <v>0.081615</v>
      </c>
      <c r="X215" s="22" t="n">
        <f aca="false">X110</f>
        <v>0.039514</v>
      </c>
      <c r="Y215" s="22" t="n">
        <f aca="false">Y110</f>
        <v>0.113712</v>
      </c>
      <c r="Z215" s="22" t="n">
        <f aca="false">Z110</f>
        <v>0.284343</v>
      </c>
      <c r="AA215" s="22" t="n">
        <f aca="false">AA110</f>
        <v>-0.007245</v>
      </c>
      <c r="AB215" s="22" t="n">
        <f aca="false">AB110</f>
        <v>0.000952</v>
      </c>
      <c r="AC215" s="22" t="n">
        <f aca="false">AC110</f>
        <v>0.102411</v>
      </c>
      <c r="AD215" s="22" t="n">
        <f aca="false">AD110</f>
        <v>0.020767</v>
      </c>
      <c r="AE215" s="22" t="n">
        <f aca="false">AE110</f>
        <v>0.026372</v>
      </c>
      <c r="AF215" s="22" t="n">
        <f aca="false">AF110</f>
        <v>0.017685</v>
      </c>
      <c r="AG215" s="22" t="n">
        <f aca="false">AG110</f>
        <v>0.031887</v>
      </c>
      <c r="AH215" s="22" t="n">
        <f aca="false">AH110</f>
        <v>0.024214</v>
      </c>
      <c r="AI215" s="22" t="n">
        <f aca="false">AI110</f>
        <v>0.041668</v>
      </c>
      <c r="AJ215" s="22" t="n">
        <f aca="false">AJ110</f>
        <v>0.0493</v>
      </c>
      <c r="AK215" s="22" t="n">
        <f aca="false">AK110</f>
        <v>0.070563</v>
      </c>
      <c r="AL215" s="22" t="n">
        <f aca="false">AL110</f>
        <v>0.058678</v>
      </c>
      <c r="AM215" s="22" t="n">
        <f aca="false">AM110</f>
        <v>0.055705</v>
      </c>
      <c r="AN215" s="22" t="n">
        <f aca="false">AN110</f>
        <v>0.045339</v>
      </c>
      <c r="AO215" s="22" t="n">
        <f aca="false">AO110</f>
        <v>0.017468</v>
      </c>
      <c r="AP215" s="22" t="n">
        <f aca="false">AP110</f>
        <v>-0.005745</v>
      </c>
      <c r="AQ215" s="22" t="n">
        <f aca="false">AQ110</f>
        <v>-0.008339</v>
      </c>
      <c r="AR215" s="22" t="n">
        <f aca="false">AR110</f>
        <v>0.012453</v>
      </c>
      <c r="AS215" s="22" t="n">
        <f aca="false">AS110</f>
        <v>-0.008904</v>
      </c>
      <c r="AT215" s="22" t="n">
        <f aca="false">AT110</f>
        <v>-0.003098</v>
      </c>
      <c r="AU215" s="22" t="n">
        <f aca="false">AU110</f>
        <v>0.012124</v>
      </c>
      <c r="AV215" s="22" t="n">
        <f aca="false">AV110</f>
        <v>0.02005</v>
      </c>
      <c r="AW215" s="22" t="n">
        <f aca="false">AW110</f>
        <v>0.004813</v>
      </c>
      <c r="AX215" s="22" t="n">
        <f aca="false">AX110</f>
        <v>0.03722</v>
      </c>
      <c r="AY215" s="22" t="n">
        <f aca="false">AY110</f>
        <v>0.099912</v>
      </c>
      <c r="AZ215" s="22" t="n">
        <f aca="false">AZ110</f>
        <v>0.110289</v>
      </c>
      <c r="BA215" s="22" t="n">
        <f aca="false">BA110</f>
        <v>0.133992</v>
      </c>
      <c r="BB215" s="22" t="n">
        <f aca="false">BB110</f>
        <v>0.094857</v>
      </c>
      <c r="BC215" s="22" t="n">
        <f aca="false">BC110</f>
        <v>0.189071</v>
      </c>
      <c r="BD215" s="22" t="n">
        <f aca="false">BD110</f>
        <v>0.171198</v>
      </c>
      <c r="BE215" s="22" t="n">
        <f aca="false">BE110</f>
        <v>0.124916</v>
      </c>
      <c r="BF215" s="22" t="n">
        <f aca="false">BF110</f>
        <v>0.098985</v>
      </c>
      <c r="BG215" s="22" t="n">
        <f aca="false">BG110</f>
        <v>0.14499</v>
      </c>
      <c r="BH215" s="22" t="n">
        <f aca="false">BH110</f>
        <v>0.043366</v>
      </c>
      <c r="BI215" s="22" t="n">
        <f aca="false">BI110</f>
        <v>0.008644</v>
      </c>
      <c r="BJ215" s="22" t="n">
        <f aca="false">BJ110</f>
        <v>0.010902</v>
      </c>
      <c r="BK215" s="22" t="n">
        <f aca="false">BK110</f>
        <v>0.005839</v>
      </c>
      <c r="BL215" s="22" t="n">
        <f aca="false">BL110</f>
        <v>0.017055</v>
      </c>
      <c r="BM215" s="22" t="n">
        <f aca="false">BM110</f>
        <v>-0.000272</v>
      </c>
      <c r="BN215" s="22" t="n">
        <f aca="false">BN110</f>
        <v>0.009524</v>
      </c>
      <c r="BO215" s="22" t="n">
        <f aca="false">BO110</f>
        <v>0.009731</v>
      </c>
      <c r="BP215" s="22" t="n">
        <f aca="false">BP110</f>
        <v>0.009944</v>
      </c>
      <c r="BQ215" s="22" t="n">
        <f aca="false">BQ110</f>
        <v>0.007252</v>
      </c>
      <c r="BR215" s="22" t="n">
        <f aca="false">BR110</f>
        <v>0.026224</v>
      </c>
      <c r="BS215" s="22" t="n">
        <f aca="false">BS110</f>
        <v>0.051851</v>
      </c>
      <c r="BT215" s="22" t="n">
        <f aca="false">BT110</f>
        <v>0.077671</v>
      </c>
      <c r="BU215" s="22" t="n">
        <f aca="false">BU110</f>
        <v>0.089453</v>
      </c>
      <c r="BV215" s="22" t="n">
        <f aca="false">BV110</f>
        <v>0.061502</v>
      </c>
      <c r="BW215" s="22" t="n">
        <f aca="false">BW110</f>
        <v>0.104101</v>
      </c>
      <c r="BX215" s="22" t="n">
        <f aca="false">BX110</f>
        <v>0.077076</v>
      </c>
      <c r="BY215" s="23" t="n">
        <f aca="false">BY110</f>
        <v>0.0756925734607205</v>
      </c>
      <c r="BZ215" s="23" t="n">
        <f aca="false">BZ110</f>
        <v>0.0708012317766973</v>
      </c>
      <c r="CA215" s="23" t="n">
        <f aca="false">CA110</f>
        <v>0.0815425145524348</v>
      </c>
      <c r="CB215" s="23" t="n">
        <f aca="false">CB110</f>
        <v>0.0221800928643229</v>
      </c>
      <c r="CC215" s="23" t="n">
        <f aca="false">CC110</f>
        <v>0.0222346992636498</v>
      </c>
      <c r="CD215" s="23" t="n">
        <f aca="false">CD110</f>
        <v>0.0222636429162581</v>
      </c>
      <c r="CE215" s="23" t="n">
        <f aca="false">CE110</f>
        <v>0.0222839416887165</v>
      </c>
    </row>
    <row r="216" customFormat="false" ht="15" hidden="false" customHeight="false" outlineLevel="0" collapsed="false">
      <c r="B216" s="21" t="s">
        <v>353</v>
      </c>
      <c r="D216" s="22" t="n">
        <f aca="false">IF(AND(ISNUMBER(D178),ISNUMBER(C178)),IFERROR(D178/C178-1,""),"")</f>
        <v>0.22444888087892</v>
      </c>
      <c r="E216" s="22" t="n">
        <f aca="false">IF(AND(ISNUMBER(E178),ISNUMBER(D178)),IFERROR(E178/D178-1,""),"")</f>
        <v>0.111631995312041</v>
      </c>
      <c r="F216" s="22" t="n">
        <f aca="false">IF(AND(ISNUMBER(F178),ISNUMBER(E178)),IFERROR(F178/E178-1,""),"")</f>
        <v>-0.621166547799932</v>
      </c>
      <c r="G216" s="22" t="n">
        <f aca="false">IF(AND(ISNUMBER(G178),ISNUMBER(F178)),IFERROR(G178/F178-1,""),"")</f>
        <v>0.589236310059752</v>
      </c>
      <c r="H216" s="22" t="n">
        <f aca="false">IF(AND(ISNUMBER(H178),ISNUMBER(G178)),IFERROR(H178/G178-1,""),"")</f>
        <v>0.571903150543117</v>
      </c>
      <c r="I216" s="22" t="n">
        <f aca="false">IF(AND(ISNUMBER(I178),ISNUMBER(H178)),IFERROR(I178/H178-1,""),"")</f>
        <v>0.246766012660718</v>
      </c>
      <c r="N216" s="22" t="n">
        <f aca="false">IF(AND(ISNUMBER(N178),ISNUMBER(I178)),IFERROR(N178/I178-1,""),"")</f>
        <v>0.149387135093085</v>
      </c>
      <c r="O216" s="22" t="n">
        <f aca="false">IF(AND(ISNUMBER(O178),ISNUMBER(J178)),IFERROR(O178/J178-1,""),"")</f>
        <v>-0.00576425765442079</v>
      </c>
      <c r="P216" s="22" t="n">
        <f aca="false">IF(AND(ISNUMBER(P178),ISNUMBER(K178)),IFERROR(P178/K178-1,""),"")</f>
        <v>0.0855852574841571</v>
      </c>
      <c r="Q216" s="22" t="n">
        <f aca="false">IF(AND(ISNUMBER(Q178),ISNUMBER(L178)),IFERROR(Q178/L178-1,""),"")</f>
        <v>0.0310663952997201</v>
      </c>
      <c r="R216" s="22" t="n">
        <f aca="false">IF(AND(ISNUMBER(R178),ISNUMBER(M178)),IFERROR(R178/M178-1,""),"")</f>
        <v>-0.123425733974649</v>
      </c>
      <c r="S216" s="22" t="n">
        <f aca="false">IF(AND(ISNUMBER(S178),ISNUMBER(N178)),IFERROR(S178/N178-1,""),"")</f>
        <v>-0.00688463042270326</v>
      </c>
      <c r="T216" s="22" t="n">
        <f aca="false">IF(AND(ISNUMBER(T178),ISNUMBER(O178)),IFERROR(T178/O178-1,""),"")</f>
        <v>-0.0672292266454881</v>
      </c>
      <c r="U216" s="22" t="n">
        <f aca="false">IF(AND(ISNUMBER(U178),ISNUMBER(P178)),IFERROR(U178/P178-1,""),"")</f>
        <v>-0.166985373054213</v>
      </c>
      <c r="V216" s="22" t="n">
        <f aca="false">IF(AND(ISNUMBER(V178),ISNUMBER(Q178)),IFERROR(V178/Q178-1,""),"")</f>
        <v>-0.0902513966480445</v>
      </c>
      <c r="W216" s="22" t="n">
        <f aca="false">IF(AND(ISNUMBER(W178),ISNUMBER(R178)),IFERROR(W178/R178-1,""),"")</f>
        <v>-0.179083549888761</v>
      </c>
      <c r="X216" s="22" t="n">
        <f aca="false">IF(AND(ISNUMBER(X178),ISNUMBER(S178)),IFERROR(X178/S178-1,""),"")</f>
        <v>-0.1278560574665</v>
      </c>
      <c r="Y216" s="22" t="n">
        <f aca="false">IF(AND(ISNUMBER(Y178),ISNUMBER(T178)),IFERROR(Y178/T178-1,""),"")</f>
        <v>-0.184965622937909</v>
      </c>
      <c r="Z216" s="22" t="n">
        <f aca="false">IF(AND(ISNUMBER(Z178),ISNUMBER(U178)),IFERROR(Z178/U178-1,""),"")</f>
        <v>-0.155705684541189</v>
      </c>
      <c r="AA216" s="22" t="n">
        <f aca="false">IF(AND(ISNUMBER(AA178),ISNUMBER(V178)),IFERROR(AA178/V178-1,""),"")</f>
        <v>-0.142835211397342</v>
      </c>
      <c r="AB216" s="22" t="n">
        <f aca="false">IF(AND(ISNUMBER(AB178),ISNUMBER(W178)),IFERROR(AB178/W178-1,""),"")</f>
        <v>-0.0373946709177866</v>
      </c>
      <c r="AC216" s="22" t="n">
        <f aca="false">IF(AND(ISNUMBER(AC178),ISNUMBER(X178)),IFERROR(AC178/X178-1,""),"")</f>
        <v>-0.13221508578247</v>
      </c>
      <c r="AD216" s="22" t="n">
        <f aca="false">IF(AND(ISNUMBER(AD178),ISNUMBER(Y178)),IFERROR(AD178/Y178-1,""),"")</f>
        <v>0.134149048694813</v>
      </c>
      <c r="AE216" s="22" t="n">
        <f aca="false">IF(AND(ISNUMBER(AE178),ISNUMBER(Z178)),IFERROR(AE178/Z178-1,""),"")</f>
        <v>0.115184182596562</v>
      </c>
      <c r="AF216" s="22" t="n">
        <f aca="false">IF(AND(ISNUMBER(AF178),ISNUMBER(AA178)),IFERROR(AF178/AA178-1,""),"")</f>
        <v>0.1286074196129</v>
      </c>
      <c r="AG216" s="22" t="n">
        <f aca="false">IF(AND(ISNUMBER(AG178),ISNUMBER(AB178)),IFERROR(AG178/AB178-1,""),"")</f>
        <v>0.129081101542537</v>
      </c>
      <c r="AH216" s="22" t="n">
        <f aca="false">IF(AND(ISNUMBER(AH178),ISNUMBER(AC178)),IFERROR(AH178/AC178-1,""),"")</f>
        <v>0.126595948564597</v>
      </c>
      <c r="AI216" s="22" t="n">
        <f aca="false">IF(AND(ISNUMBER(AI178),ISNUMBER(AD178)),IFERROR(AI178/AD178-1,""),"")</f>
        <v>0.168412932344678</v>
      </c>
      <c r="AJ216" s="22" t="n">
        <f aca="false">IF(AND(ISNUMBER(AJ178),ISNUMBER(AE178)),IFERROR(AJ178/AE178-1,""),"")</f>
        <v>0.19129346849737</v>
      </c>
      <c r="AK216" s="22" t="n">
        <f aca="false">IF(AND(ISNUMBER(AK178),ISNUMBER(AF178)),IFERROR(AK178/AF178-1,""),"")</f>
        <v>0.137840925922008</v>
      </c>
      <c r="AL216" s="22" t="n">
        <f aca="false">IF(AND(ISNUMBER(AL178),ISNUMBER(AG178)),IFERROR(AL178/AG178-1,""),"")</f>
        <v>0.071358226468863</v>
      </c>
      <c r="AM216" s="22" t="n">
        <f aca="false">IF(AND(ISNUMBER(AM178),ISNUMBER(AH178)),IFERROR(AM178/AH178-1,""),"")</f>
        <v>0.141373556048798</v>
      </c>
      <c r="AN216" s="22" t="n">
        <f aca="false">IF(AND(ISNUMBER(AN178),ISNUMBER(AI178)),IFERROR(AN178/AI178-1,""),"")</f>
        <v>0.0107115757940066</v>
      </c>
      <c r="AO216" s="22" t="n">
        <f aca="false">IF(AND(ISNUMBER(AO178),ISNUMBER(AJ178)),IFERROR(AO178/AJ178-1,""),"")</f>
        <v>-0.0166689107311161</v>
      </c>
      <c r="AP216" s="22" t="n">
        <f aca="false">IF(AND(ISNUMBER(AP178),ISNUMBER(AK178)),IFERROR(AP178/AK178-1,""),"")</f>
        <v>-0.128785413431768</v>
      </c>
      <c r="AQ216" s="22" t="n">
        <f aca="false">IF(AND(ISNUMBER(AQ178),ISNUMBER(AL178)),IFERROR(AQ178/AL178-1,""),"")</f>
        <v>-0.0715829413547946</v>
      </c>
      <c r="AR216" s="22" t="n">
        <f aca="false">IF(AND(ISNUMBER(AR178),ISNUMBER(AM178)),IFERROR(AR178/AM178-1,""),"")</f>
        <v>-0.05190752648488</v>
      </c>
      <c r="AS216" s="22" t="n">
        <f aca="false">IF(AND(ISNUMBER(AS178),ISNUMBER(AN178)),IFERROR(AS178/AN178-1,""),"")</f>
        <v>-0.135093500770236</v>
      </c>
      <c r="AT216" s="22" t="n">
        <f aca="false">IF(AND(ISNUMBER(AT178),ISNUMBER(AO178)),IFERROR(AT178/AO178-1,""),"")</f>
        <v>-0.396310293204805</v>
      </c>
      <c r="AU216" s="22" t="n">
        <f aca="false">IF(AND(ISNUMBER(AU178),ISNUMBER(AP178)),IFERROR(AU178/AP178-1,""),"")</f>
        <v>-0.057630736392742</v>
      </c>
      <c r="AV216" s="22" t="n">
        <f aca="false">IF(AND(ISNUMBER(AV178),ISNUMBER(AQ178)),IFERROR(AV178/AQ178-1,""),"")</f>
        <v>0.0244788759097943</v>
      </c>
      <c r="AW216" s="22" t="n">
        <f aca="false">IF(AND(ISNUMBER(AW178),ISNUMBER(AR178)),IFERROR(AW178/AR178-1,""),"")</f>
        <v>-0.150584025571861</v>
      </c>
      <c r="AX216" s="22" t="n">
        <f aca="false">IF(AND(ISNUMBER(AX178),ISNUMBER(AS178)),IFERROR(AX178/AS178-1,""),"")</f>
        <v>0.270138654041258</v>
      </c>
      <c r="AY216" s="22" t="n">
        <f aca="false">IF(AND(ISNUMBER(AY178),ISNUMBER(AT178)),IFERROR(AY178/AT178-1,""),"")</f>
        <v>0.94237370148035</v>
      </c>
      <c r="AZ216" s="22" t="n">
        <f aca="false">IF(AND(ISNUMBER(AZ178),ISNUMBER(AU178)),IFERROR(AZ178/AU178-1,""),"")</f>
        <v>0.414099660249148</v>
      </c>
      <c r="BA216" s="22" t="n">
        <f aca="false">IF(AND(ISNUMBER(BA178),ISNUMBER(AV178)),IFERROR(BA178/AV178-1,""),"")</f>
        <v>0.287992350636932</v>
      </c>
      <c r="BB216" s="22" t="n">
        <f aca="false">IF(AND(ISNUMBER(BB178),ISNUMBER(AW178)),IFERROR(BB178/AW178-1,""),"")</f>
        <v>0.443182552598955</v>
      </c>
      <c r="BC216" s="22" t="n">
        <f aca="false">IF(AND(ISNUMBER(BC178),ISNUMBER(AX178)),IFERROR(BC178/AX178-1,""),"")</f>
        <v>0.450662974599287</v>
      </c>
      <c r="BD216" s="22" t="n">
        <f aca="false">IF(AND(ISNUMBER(BD178),ISNUMBER(AY178)),IFERROR(BD178/AY178-1,""),"")</f>
        <v>0.300175158615859</v>
      </c>
      <c r="BE216" s="22" t="n">
        <f aca="false">IF(AND(ISNUMBER(BE178),ISNUMBER(AZ178)),IFERROR(BE178/AZ178-1,""),"")</f>
        <v>0.255564009129861</v>
      </c>
      <c r="BF216" s="22" t="n">
        <f aca="false">IF(AND(ISNUMBER(BF178),ISNUMBER(BA178)),IFERROR(BF178/BA178-1,""),"")</f>
        <v>0.195052445040471</v>
      </c>
      <c r="BG216" s="22" t="n">
        <f aca="false">IF(AND(ISNUMBER(BG178),ISNUMBER(BB178)),IFERROR(BG178/BB178-1,""),"")</f>
        <v>0.296544859424998</v>
      </c>
      <c r="BH216" s="22" t="n">
        <f aca="false">IF(AND(ISNUMBER(BH178),ISNUMBER(BC178)),IFERROR(BH178/BC178-1,""),"")</f>
        <v>0.0502165773438081</v>
      </c>
      <c r="BI216" s="22" t="n">
        <f aca="false">IF(AND(ISNUMBER(BI178),ISNUMBER(BD178)),IFERROR(BI178/BD178-1,""),"")</f>
        <v>0.143443064653263</v>
      </c>
      <c r="BJ216" s="22" t="n">
        <f aca="false">IF(AND(ISNUMBER(BJ178),ISNUMBER(BE178)),IFERROR(BJ178/BE178-1,""),"")</f>
        <v>0.174720620503138</v>
      </c>
      <c r="BK216" s="22" t="n">
        <f aca="false">IF(AND(ISNUMBER(BK178),ISNUMBER(BF178)),IFERROR(BK178/BF178-1,""),"")</f>
        <v>0.233098878490939</v>
      </c>
      <c r="BL216" s="22" t="n">
        <f aca="false">IF(AND(ISNUMBER(BL178),ISNUMBER(BG178)),IFERROR(BL178/BG178-1,""),"")</f>
        <v>0.148242172474807</v>
      </c>
      <c r="BM216" s="22" t="n">
        <f aca="false">IF(AND(ISNUMBER(BM178),ISNUMBER(BH178)),IFERROR(BM178/BH178-1,""),"")</f>
        <v>0.0117441454037044</v>
      </c>
      <c r="BN216" s="22" t="n">
        <f aca="false">IF(AND(ISNUMBER(BN178),ISNUMBER(BI178)),IFERROR(BN178/BI178-1,""),"")</f>
        <v>-0.052112624429888</v>
      </c>
      <c r="BO216" s="22" t="n">
        <f aca="false">IF(AND(ISNUMBER(BO178),ISNUMBER(BJ178)),IFERROR(BO178/BJ178-1,""),"")</f>
        <v>-0.0656465835541461</v>
      </c>
      <c r="BP216" s="22" t="n">
        <f aca="false">IF(AND(ISNUMBER(BP178),ISNUMBER(BK178)),IFERROR(BP178/BK178-1,""),"")</f>
        <v>0.0120581129540756</v>
      </c>
      <c r="BQ216" s="22" t="n">
        <f aca="false">IF(AND(ISNUMBER(BQ178),ISNUMBER(BL178)),IFERROR(BQ178/BL178-1,""),"")</f>
        <v>-0.0242953673496743</v>
      </c>
      <c r="BR216" s="22" t="n">
        <f aca="false">IF(AND(ISNUMBER(BR178),ISNUMBER(BM178)),IFERROR(BR178/BM178-1,""),"")</f>
        <v>-0.0218049701743478</v>
      </c>
      <c r="BS216" s="22" t="n">
        <f aca="false">IF(AND(ISNUMBER(BS178),ISNUMBER(BN178)),IFERROR(BS178/BN178-1,""),"")</f>
        <v>0.100155232323679</v>
      </c>
      <c r="BT216" s="22" t="n">
        <f aca="false">IF(AND(ISNUMBER(BT178),ISNUMBER(BO178)),IFERROR(BT178/BO178-1,""),"")</f>
        <v>0.0899010913655438</v>
      </c>
      <c r="BU216" s="22" t="n">
        <f aca="false">IF(AND(ISNUMBER(BU178),ISNUMBER(BP178)),IFERROR(BU178/BP178-1,""),"")</f>
        <v>0.0493170334846278</v>
      </c>
      <c r="BV216" s="22" t="n">
        <f aca="false">IF(AND(ISNUMBER(BV178),ISNUMBER(BQ178)),IFERROR(BV178/BQ178-1,""),"")</f>
        <v>0.0546899194932762</v>
      </c>
      <c r="BW216" s="22" t="n">
        <f aca="false">IF(AND(ISNUMBER(BW178),ISNUMBER(BR178)),IFERROR(BW178/BR178-1,""),"")</f>
        <v>0.115693187905044</v>
      </c>
      <c r="BX216" s="22" t="n">
        <f aca="false">IF(AND(ISNUMBER(BX178),ISNUMBER(BS178)),IFERROR(BX178/BS178-1,""),"")</f>
        <v>0.124278806320895</v>
      </c>
      <c r="BY216" s="23" t="n">
        <f aca="false">IF(AND(ISNUMBER(BY178),ISNUMBER(BT178)),IFERROR(BY178/BT178-1,""),"")</f>
        <v>0.147621760092746</v>
      </c>
      <c r="BZ216" s="23" t="n">
        <f aca="false">IF(AND(ISNUMBER(BZ178),ISNUMBER(BU178)),IFERROR(BZ178/BU178-1,""),"")</f>
        <v>0.13888823790399</v>
      </c>
      <c r="CA216" s="23" t="n">
        <f aca="false">IF(AND(ISNUMBER(CA178),ISNUMBER(BV178)),IFERROR(CA178/BV178-1,""),"")</f>
        <v>0.131963096639527</v>
      </c>
      <c r="CB216" s="23" t="n">
        <f aca="false">IF(AND(ISNUMBER(CB178),ISNUMBER(CA178)),IFERROR(CB178/CA178-1,""),"")</f>
        <v>0.0777845008806795</v>
      </c>
      <c r="CC216" s="23" t="n">
        <f aca="false">IF(AND(ISNUMBER(CC178),ISNUMBER(CB178)),IFERROR(CC178/CB178-1,""),"")</f>
        <v>0.0862324708835573</v>
      </c>
      <c r="CD216" s="23" t="n">
        <f aca="false">IF(AND(ISNUMBER(CD178),ISNUMBER(CC178)),IFERROR(CD178/CC178-1,""),"")</f>
        <v>0.076934296288848</v>
      </c>
      <c r="CE216" s="23" t="n">
        <f aca="false">IF(AND(ISNUMBER(CE178),ISNUMBER(CD178)),IFERROR(CE178/CD178-1,""),"")</f>
        <v>0.0632290788701502</v>
      </c>
    </row>
    <row r="217" customFormat="false" ht="15" hidden="false" customHeight="false" outlineLevel="0" collapsed="false">
      <c r="B217" s="21" t="s">
        <v>354</v>
      </c>
      <c r="D217" s="22" t="n">
        <f aca="false">IF(AND(ISNUMBER(D140),ISNUMBER(C140)),IFERROR(D140/C140-1,""),"")</f>
        <v>0.191707086749367</v>
      </c>
      <c r="E217" s="22" t="n">
        <f aca="false">IF(AND(ISNUMBER(E140),ISNUMBER(D140)),IFERROR(E140/D140-1,""),"")</f>
        <v>0.0640127939142459</v>
      </c>
      <c r="F217" s="22" t="n">
        <f aca="false">IF(AND(ISNUMBER(F140),ISNUMBER(E140)),IFERROR(F140/E140-1,""),"")</f>
        <v>-0.685258154933582</v>
      </c>
      <c r="G217" s="22" t="n">
        <f aca="false">IF(AND(ISNUMBER(G140),ISNUMBER(F140)),IFERROR(G140/F140-1,""),"")</f>
        <v>1.00514111168473</v>
      </c>
      <c r="H217" s="22" t="n">
        <f aca="false">IF(AND(ISNUMBER(H140),ISNUMBER(G140)),IFERROR(H140/G140-1,""),"")</f>
        <v>0.591374778737328</v>
      </c>
      <c r="I217" s="22" t="n">
        <f aca="false">IF(AND(ISNUMBER(I140),ISNUMBER(H140)),IFERROR(I140/H140-1,""),"")</f>
        <v>0.220442901442633</v>
      </c>
      <c r="N217" s="22" t="n">
        <f aca="false">IF(AND(ISNUMBER(N140),ISNUMBER(I140)),IFERROR(N140/I140-1,""),"")</f>
        <v>0.124016449358015</v>
      </c>
      <c r="O217" s="22" t="n">
        <f aca="false">IF(AND(ISNUMBER(O140),ISNUMBER(J140)),IFERROR(O140/J140-1,""),"")</f>
        <v>-0.0924292000451313</v>
      </c>
      <c r="P217" s="22" t="n">
        <f aca="false">IF(AND(ISNUMBER(P140),ISNUMBER(K140)),IFERROR(P140/K140-1,""),"")</f>
        <v>0.0767511891974826</v>
      </c>
      <c r="Q217" s="22" t="n">
        <f aca="false">IF(AND(ISNUMBER(Q140),ISNUMBER(L140)),IFERROR(Q140/L140-1,""),"")</f>
        <v>-0.200266868393956</v>
      </c>
      <c r="R217" s="22" t="n">
        <f aca="false">IF(AND(ISNUMBER(R140),ISNUMBER(M140)),IFERROR(R140/M140-1,""),"")</f>
        <v>-0.11764013287919</v>
      </c>
      <c r="S217" s="22" t="n">
        <f aca="false">IF(AND(ISNUMBER(S140),ISNUMBER(N140)),IFERROR(S140/N140-1,""),"")</f>
        <v>-0.0816688575746027</v>
      </c>
      <c r="T217" s="22" t="n">
        <f aca="false">IF(AND(ISNUMBER(T140),ISNUMBER(O140)),IFERROR(T140/O140-1,""),"")</f>
        <v>0.125077699594719</v>
      </c>
      <c r="U217" s="22" t="n">
        <f aca="false">IF(AND(ISNUMBER(U140),ISNUMBER(P140)),IFERROR(U140/P140-1,""),"")</f>
        <v>-0.137947005121353</v>
      </c>
      <c r="V217" s="22" t="n">
        <f aca="false">IF(AND(ISNUMBER(V140),ISNUMBER(Q140)),IFERROR(V140/Q140-1,""),"")</f>
        <v>-2.10384014083582</v>
      </c>
      <c r="W217" s="22" t="n">
        <f aca="false">IF(AND(ISNUMBER(W140),ISNUMBER(R140)),IFERROR(W140/R140-1,""),"")</f>
        <v>-0.252409047151557</v>
      </c>
      <c r="X217" s="22" t="n">
        <f aca="false">IF(AND(ISNUMBER(X140),ISNUMBER(S140)),IFERROR(X140/S140-1,""),"")</f>
        <v>-0.513842251576601</v>
      </c>
      <c r="Y217" s="22" t="n">
        <f aca="false">IF(AND(ISNUMBER(Y140),ISNUMBER(T140)),IFERROR(Y140/T140-1,""),"")</f>
        <v>-0.168035005911668</v>
      </c>
      <c r="Z217" s="22" t="n">
        <f aca="false">IF(AND(ISNUMBER(Z140),ISNUMBER(U140)),IFERROR(Z140/U140-1,""),"")</f>
        <v>-0.50321840743075</v>
      </c>
      <c r="AA217" s="22" t="n">
        <f aca="false">IF(AND(ISNUMBER(AA140),ISNUMBER(V140)),IFERROR(AA140/V140-1,""),"")</f>
        <v>-1.97391128408374</v>
      </c>
      <c r="AB217" s="22" t="n">
        <f aca="false">IF(AND(ISNUMBER(AB140),ISNUMBER(W140)),IFERROR(AB140/W140-1,""),"")</f>
        <v>0.0591062663351818</v>
      </c>
      <c r="AC217" s="22" t="n">
        <f aca="false">IF(AND(ISNUMBER(AC140),ISNUMBER(X140)),IFERROR(AC140/X140-1,""),"")</f>
        <v>0.586538249862409</v>
      </c>
      <c r="AD217" s="22" t="n">
        <f aca="false">IF(AND(ISNUMBER(AD140),ISNUMBER(Y140)),IFERROR(AD140/Y140-1,""),"")</f>
        <v>0.0822663762418328</v>
      </c>
      <c r="AE217" s="22" t="n">
        <f aca="false">IF(AND(ISNUMBER(AE140),ISNUMBER(Z140)),IFERROR(AE140/Z140-1,""),"")</f>
        <v>0.822761116426103</v>
      </c>
      <c r="AF217" s="22" t="n">
        <f aca="false">IF(AND(ISNUMBER(AF140),ISNUMBER(AA140)),IFERROR(AF140/AA140-1,""),"")</f>
        <v>0.626196091850078</v>
      </c>
      <c r="AG217" s="22" t="n">
        <f aca="false">IF(AND(ISNUMBER(AG140),ISNUMBER(AB140)),IFERROR(AG140/AB140-1,""),"")</f>
        <v>-0.0909824126349755</v>
      </c>
      <c r="AH217" s="22" t="n">
        <f aca="false">IF(AND(ISNUMBER(AH140),ISNUMBER(AC140)),IFERROR(AH140/AC140-1,""),"")</f>
        <v>0.310249970514164</v>
      </c>
      <c r="AI217" s="22" t="n">
        <f aca="false">IF(AND(ISNUMBER(AI140),ISNUMBER(AD140)),IFERROR(AI140/AD140-1,""),"")</f>
        <v>0.0454311170016932</v>
      </c>
      <c r="AJ217" s="22" t="n">
        <f aca="false">IF(AND(ISNUMBER(AJ140),ISNUMBER(AE140)),IFERROR(AJ140/AE140-1,""),"")</f>
        <v>0.0797791013441049</v>
      </c>
      <c r="AK217" s="22" t="n">
        <f aca="false">IF(AND(ISNUMBER(AK140),ISNUMBER(AF140)),IFERROR(AK140/AF140-1,""),"")</f>
        <v>-0.242601638235515</v>
      </c>
      <c r="AL217" s="22" t="n">
        <f aca="false">IF(AND(ISNUMBER(AL140),ISNUMBER(AG140)),IFERROR(AL140/AG140-1,""),"")</f>
        <v>0.257134533126747</v>
      </c>
      <c r="AM217" s="22" t="n">
        <f aca="false">IF(AND(ISNUMBER(AM140),ISNUMBER(AH140)),IFERROR(AM140/AH140-1,""),"")</f>
        <v>-0.0057504282374623</v>
      </c>
      <c r="AN217" s="22" t="n">
        <f aca="false">IF(AND(ISNUMBER(AN140),ISNUMBER(AI140)),IFERROR(AN140/AI140-1,""),"")</f>
        <v>0.109052918251397</v>
      </c>
      <c r="AO217" s="22" t="n">
        <f aca="false">IF(AND(ISNUMBER(AO140),ISNUMBER(AJ140)),IFERROR(AO140/AJ140-1,""),"")</f>
        <v>0.111503265211235</v>
      </c>
      <c r="AP217" s="22" t="n">
        <f aca="false">IF(AND(ISNUMBER(AP140),ISNUMBER(AK140)),IFERROR(AP140/AK140-1,""),"")</f>
        <v>-0.121473999622968</v>
      </c>
      <c r="AQ217" s="22" t="n">
        <f aca="false">IF(AND(ISNUMBER(AQ140),ISNUMBER(AL140)),IFERROR(AQ140/AL140-1,""),"")</f>
        <v>-0.128810702622985</v>
      </c>
      <c r="AR217" s="22" t="n">
        <f aca="false">IF(AND(ISNUMBER(AR140),ISNUMBER(AM140)),IFERROR(AR140/AM140-1,""),"")</f>
        <v>-0.0123262830225355</v>
      </c>
      <c r="AS217" s="22" t="n">
        <f aca="false">IF(AND(ISNUMBER(AS140),ISNUMBER(AN140)),IFERROR(AS140/AN140-1,""),"")</f>
        <v>-0.141874298778552</v>
      </c>
      <c r="AT217" s="22" t="n">
        <f aca="false">IF(AND(ISNUMBER(AT140),ISNUMBER(AO140)),IFERROR(AT140/AO140-1,""),"")</f>
        <v>-0.6219649002719</v>
      </c>
      <c r="AU217" s="22" t="n">
        <f aca="false">IF(AND(ISNUMBER(AU140),ISNUMBER(AP140)),IFERROR(AU140/AP140-1,""),"")</f>
        <v>-0.121419859053125</v>
      </c>
      <c r="AV217" s="22" t="n">
        <f aca="false">IF(AND(ISNUMBER(AV140),ISNUMBER(AQ140)),IFERROR(AV140/AQ140-1,""),"")</f>
        <v>0.00892360523324642</v>
      </c>
      <c r="AW217" s="22" t="n">
        <f aca="false">IF(AND(ISNUMBER(AW140),ISNUMBER(AR140)),IFERROR(AW140/AR140-1,""),"")</f>
        <v>-0.23951632471489</v>
      </c>
      <c r="AX217" s="22" t="n">
        <f aca="false">IF(AND(ISNUMBER(AX140),ISNUMBER(AS140)),IFERROR(AX140/AS140-1,""),"")</f>
        <v>0.281890618447344</v>
      </c>
      <c r="AY217" s="22" t="n">
        <f aca="false">IF(AND(ISNUMBER(AY140),ISNUMBER(AT140)),IFERROR(AY140/AT140-1,""),"")</f>
        <v>2.06362538979982</v>
      </c>
      <c r="AZ217" s="22" t="n">
        <f aca="false">IF(AND(ISNUMBER(AZ140),ISNUMBER(AU140)),IFERROR(AZ140/AU140-1,""),"")</f>
        <v>0.485609245047753</v>
      </c>
      <c r="BA217" s="22" t="n">
        <f aca="false">IF(AND(ISNUMBER(BA140),ISNUMBER(AV140)),IFERROR(BA140/AV140-1,""),"")</f>
        <v>0.442341802492809</v>
      </c>
      <c r="BB217" s="22" t="n">
        <f aca="false">IF(AND(ISNUMBER(BB140),ISNUMBER(AW140)),IFERROR(BB140/AW140-1,""),"")</f>
        <v>0.636712033495112</v>
      </c>
      <c r="BC217" s="22" t="n">
        <f aca="false">IF(AND(ISNUMBER(BC140),ISNUMBER(AX140)),IFERROR(BC140/AX140-1,""),"")</f>
        <v>0.551131552613348</v>
      </c>
      <c r="BD217" s="22" t="n">
        <f aca="false">IF(AND(ISNUMBER(BD140),ISNUMBER(AY140)),IFERROR(BD140/AY140-1,""),"")</f>
        <v>0.375227791367735</v>
      </c>
      <c r="BE217" s="22" t="n">
        <f aca="false">IF(AND(ISNUMBER(BE140),ISNUMBER(AZ140)),IFERROR(BE140/AZ140-1,""),"")</f>
        <v>0.229635718612098</v>
      </c>
      <c r="BF217" s="22" t="n">
        <f aca="false">IF(AND(ISNUMBER(BF140),ISNUMBER(BA140)),IFERROR(BF140/BA140-1,""),"")</f>
        <v>0.175647491877789</v>
      </c>
      <c r="BG217" s="22" t="n">
        <f aca="false">IF(AND(ISNUMBER(BG140),ISNUMBER(BB140)),IFERROR(BG140/BB140-1,""),"")</f>
        <v>0.326352863198525</v>
      </c>
      <c r="BH217" s="22" t="n">
        <f aca="false">IF(AND(ISNUMBER(BH140),ISNUMBER(BC140)),IFERROR(BH140/BC140-1,""),"")</f>
        <v>0.0195898415691731</v>
      </c>
      <c r="BI217" s="22" t="n">
        <f aca="false">IF(AND(ISNUMBER(BI140),ISNUMBER(BD140)),IFERROR(BI140/BD140-1,""),"")</f>
        <v>0.0625548399419817</v>
      </c>
      <c r="BJ217" s="22" t="n">
        <f aca="false">IF(AND(ISNUMBER(BJ140),ISNUMBER(BE140)),IFERROR(BJ140/BE140-1,""),"")</f>
        <v>0.20640494268484</v>
      </c>
      <c r="BK217" s="22" t="n">
        <f aca="false">IF(AND(ISNUMBER(BK140),ISNUMBER(BF140)),IFERROR(BK140/BF140-1,""),"")</f>
        <v>0.442037487278073</v>
      </c>
      <c r="BL217" s="22" t="n">
        <f aca="false">IF(AND(ISNUMBER(BL140),ISNUMBER(BG140)),IFERROR(BL140/BG140-1,""),"")</f>
        <v>0.172312259935723</v>
      </c>
      <c r="BM217" s="22" t="n">
        <f aca="false">IF(AND(ISNUMBER(BM140),ISNUMBER(BH140)),IFERROR(BM140/BH140-1,""),"")</f>
        <v>0.00415541116059437</v>
      </c>
      <c r="BN217" s="22" t="n">
        <f aca="false">IF(AND(ISNUMBER(BN140),ISNUMBER(BI140)),IFERROR(BN140/BI140-1,""),"")</f>
        <v>-0.163892524703253</v>
      </c>
      <c r="BO217" s="22" t="n">
        <f aca="false">IF(AND(ISNUMBER(BO140),ISNUMBER(BJ140)),IFERROR(BO140/BJ140-1,""),"")</f>
        <v>-0.150961555287242</v>
      </c>
      <c r="BP217" s="22" t="n">
        <f aca="false">IF(AND(ISNUMBER(BP140),ISNUMBER(BK140)),IFERROR(BP140/BK140-1,""),"")</f>
        <v>-0.132401448799447</v>
      </c>
      <c r="BQ217" s="22" t="n">
        <f aca="false">IF(AND(ISNUMBER(BQ140),ISNUMBER(BL140)),IFERROR(BQ140/BL140-1,""),"")</f>
        <v>-0.113376211431653</v>
      </c>
      <c r="BR217" s="22" t="n">
        <f aca="false">IF(AND(ISNUMBER(BR140),ISNUMBER(BM140)),IFERROR(BR140/BM140-1,""),"")</f>
        <v>-0.000781595545511382</v>
      </c>
      <c r="BS217" s="22" t="n">
        <f aca="false">IF(AND(ISNUMBER(BS140),ISNUMBER(BN140)),IFERROR(BS140/BN140-1,""),"")</f>
        <v>0.290960641771591</v>
      </c>
      <c r="BT217" s="22" t="n">
        <f aca="false">IF(AND(ISNUMBER(BT140),ISNUMBER(BO140)),IFERROR(BT140/BO140-1,""),"")</f>
        <v>0.213636988183567</v>
      </c>
      <c r="BU217" s="22" t="n">
        <f aca="false">IF(AND(ISNUMBER(BU140),ISNUMBER(BP140)),IFERROR(BU140/BP140-1,""),"")</f>
        <v>0.041368908070976</v>
      </c>
      <c r="BV217" s="22" t="n">
        <f aca="false">IF(AND(ISNUMBER(BV140),ISNUMBER(BQ140)),IFERROR(BV140/BQ140-1,""),"")</f>
        <v>0.128204040461173</v>
      </c>
      <c r="BW217" s="22" t="n">
        <f aca="false">IF(AND(ISNUMBER(BW140),ISNUMBER(BR140)),IFERROR(BW140/BR140-1,""),"")</f>
        <v>0.128791278089717</v>
      </c>
      <c r="BX217" s="22" t="n">
        <f aca="false">IF(AND(ISNUMBER(BX140),ISNUMBER(BS140)),IFERROR(BX140/BS140-1,""),"")</f>
        <v>0.148326255308518</v>
      </c>
      <c r="BY217" s="23" t="n">
        <f aca="false">IF(AND(ISNUMBER(BY140),ISNUMBER(BT140)),IFERROR(BY140/BT140-1,""),"")</f>
        <v>0.200460020615511</v>
      </c>
      <c r="BZ217" s="23" t="n">
        <f aca="false">IF(AND(ISNUMBER(BZ140),ISNUMBER(BU140)),IFERROR(BZ140/BU140-1,""),"")</f>
        <v>0.194043525486197</v>
      </c>
      <c r="CA217" s="23" t="n">
        <f aca="false">IF(AND(ISNUMBER(CA140),ISNUMBER(BV140)),IFERROR(CA140/BV140-1,""),"")</f>
        <v>0.168402108113679</v>
      </c>
      <c r="CB217" s="23" t="n">
        <f aca="false">IF(AND(ISNUMBER(CB140),ISNUMBER(CA140)),IFERROR(CB140/CA140-1,""),"")</f>
        <v>0.0741835460494049</v>
      </c>
      <c r="CC217" s="23" t="n">
        <f aca="false">IF(AND(ISNUMBER(CC140),ISNUMBER(CB140)),IFERROR(CC140/CB140-1,""),"")</f>
        <v>0.0878591009454837</v>
      </c>
      <c r="CD217" s="23" t="n">
        <f aca="false">IF(AND(ISNUMBER(CD140),ISNUMBER(CC140)),IFERROR(CD140/CC140-1,""),"")</f>
        <v>0.0782683253794532</v>
      </c>
      <c r="CE217" s="23" t="n">
        <f aca="false">IF(AND(ISNUMBER(CE140),ISNUMBER(CD140)),IFERROR(CE140/CD140-1,""),"")</f>
        <v>0.064245878364728</v>
      </c>
    </row>
    <row r="218" customFormat="false" ht="15" hidden="false" customHeight="false" outlineLevel="0" collapsed="false">
      <c r="B218" s="21" t="s">
        <v>355</v>
      </c>
      <c r="D218" s="22" t="n">
        <f aca="false">IF(AND(ISNUMBER(D149),ISNUMBER(C149)),IFERROR(D149/C149-1,""),"")</f>
        <v>0.158438471384165</v>
      </c>
      <c r="E218" s="22" t="n">
        <f aca="false">IF(AND(ISNUMBER(E149),ISNUMBER(D149)),IFERROR(E149/D149-1,""),"")</f>
        <v>0.0471055954541861</v>
      </c>
      <c r="F218" s="22" t="n">
        <f aca="false">IF(AND(ISNUMBER(F149),ISNUMBER(E149)),IFERROR(F149/E149-1,""),"")</f>
        <v>-0.771176620219892</v>
      </c>
      <c r="G218" s="22" t="n">
        <f aca="false">IF(AND(ISNUMBER(G149),ISNUMBER(F149)),IFERROR(G149/F149-1,""),"")</f>
        <v>1.68124176548089</v>
      </c>
      <c r="H218" s="22" t="n">
        <f aca="false">IF(AND(ISNUMBER(H149),ISNUMBER(G149)),IFERROR(H149/G149-1,""),"")</f>
        <v>0.667531709714075</v>
      </c>
      <c r="I218" s="22" t="n">
        <f aca="false">IF(AND(ISNUMBER(I149),ISNUMBER(H149)),IFERROR(I149/H149-1,""),"")</f>
        <v>0.185209912241122</v>
      </c>
      <c r="N218" s="22" t="n">
        <f aca="false">IF(AND(ISNUMBER(N149),ISNUMBER(I149)),IFERROR(N149/I149-1,""),"")</f>
        <v>0.141287668359159</v>
      </c>
      <c r="O218" s="22" t="n">
        <f aca="false">IF(AND(ISNUMBER(O149),ISNUMBER(J149)),IFERROR(O149/J149-1,""),"")</f>
        <v>-0.154971110379307</v>
      </c>
      <c r="P218" s="22" t="n">
        <f aca="false">IF(AND(ISNUMBER(P149),ISNUMBER(K149)),IFERROR(P149/K149-1,""),"")</f>
        <v>0.0650910393080453</v>
      </c>
      <c r="Q218" s="22" t="n">
        <f aca="false">IF(AND(ISNUMBER(Q149),ISNUMBER(L149)),IFERROR(Q149/L149-1,""),"")</f>
        <v>-0.308203621827872</v>
      </c>
      <c r="R218" s="22" t="n">
        <f aca="false">IF(AND(ISNUMBER(R149),ISNUMBER(M149)),IFERROR(R149/M149-1,""),"")</f>
        <v>-0.148453421493593</v>
      </c>
      <c r="S218" s="22" t="n">
        <f aca="false">IF(AND(ISNUMBER(S149),ISNUMBER(N149)),IFERROR(S149/N149-1,""),"")</f>
        <v>-0.133072367077404</v>
      </c>
      <c r="T218" s="22" t="n">
        <f aca="false">IF(AND(ISNUMBER(T149),ISNUMBER(O149)),IFERROR(T149/O149-1,""),"")</f>
        <v>0.210812534320585</v>
      </c>
      <c r="U218" s="22" t="n">
        <f aca="false">IF(AND(ISNUMBER(U149),ISNUMBER(P149)),IFERROR(U149/P149-1,""),"")</f>
        <v>-0.0831997103398328</v>
      </c>
      <c r="V218" s="22" t="n">
        <f aca="false">IF(AND(ISNUMBER(V149),ISNUMBER(Q149)),IFERROR(V149/Q149-1,""),"")</f>
        <v>-2.32342576987896</v>
      </c>
      <c r="W218" s="22" t="n">
        <f aca="false">IF(AND(ISNUMBER(W149),ISNUMBER(R149)),IFERROR(W149/R149-1,""),"")</f>
        <v>-0.352603307982768</v>
      </c>
      <c r="X218" s="22" t="n">
        <f aca="false">IF(AND(ISNUMBER(X149),ISNUMBER(S149)),IFERROR(X149/S149-1,""),"")</f>
        <v>-0.499469935528454</v>
      </c>
      <c r="Y218" s="22" t="n">
        <f aca="false">IF(AND(ISNUMBER(Y149),ISNUMBER(T149)),IFERROR(Y149/T149-1,""),"")</f>
        <v>-0.215290985165463</v>
      </c>
      <c r="Z218" s="22" t="n">
        <f aca="false">IF(AND(ISNUMBER(Z149),ISNUMBER(U149)),IFERROR(Z149/U149-1,""),"")</f>
        <v>-0.558280910603966</v>
      </c>
      <c r="AA218" s="22" t="n">
        <f aca="false">IF(AND(ISNUMBER(AA149),ISNUMBER(V149)),IFERROR(AA149/V149-1,""),"")</f>
        <v>-1.99310356233255</v>
      </c>
      <c r="AB218" s="22" t="n">
        <f aca="false">IF(AND(ISNUMBER(AB149),ISNUMBER(W149)),IFERROR(AB149/W149-1,""),"")</f>
        <v>0.0965867082888356</v>
      </c>
      <c r="AC218" s="22" t="n">
        <f aca="false">IF(AND(ISNUMBER(AC149),ISNUMBER(X149)),IFERROR(AC149/X149-1,""),"")</f>
        <v>0.556339133026873</v>
      </c>
      <c r="AD218" s="22" t="n">
        <f aca="false">IF(AND(ISNUMBER(AD149),ISNUMBER(Y149)),IFERROR(AD149/Y149-1,""),"")</f>
        <v>0.0411275588202409</v>
      </c>
      <c r="AE218" s="22" t="n">
        <f aca="false">IF(AND(ISNUMBER(AE149),ISNUMBER(Z149)),IFERROR(AE149/Z149-1,""),"")</f>
        <v>0.959063767282942</v>
      </c>
      <c r="AF218" s="22" t="n">
        <f aca="false">IF(AND(ISNUMBER(AF149),ISNUMBER(AA149)),IFERROR(AF149/AA149-1,""),"")</f>
        <v>0.767323352595382</v>
      </c>
      <c r="AG218" s="22" t="n">
        <f aca="false">IF(AND(ISNUMBER(AG149),ISNUMBER(AB149)),IFERROR(AG149/AB149-1,""),"")</f>
        <v>-0.547129881075008</v>
      </c>
      <c r="AH218" s="22" t="n">
        <f aca="false">IF(AND(ISNUMBER(AH149),ISNUMBER(AC149)),IFERROR(AH149/AC149-1,""),"")</f>
        <v>0.247501247486127</v>
      </c>
      <c r="AI218" s="22" t="n">
        <f aca="false">IF(AND(ISNUMBER(AI149),ISNUMBER(AD149)),IFERROR(AI149/AD149-1,""),"")</f>
        <v>0.0891769930520729</v>
      </c>
      <c r="AJ218" s="22" t="n">
        <f aca="false">IF(AND(ISNUMBER(AJ149),ISNUMBER(AE149)),IFERROR(AJ149/AE149-1,""),"")</f>
        <v>0.122440996218543</v>
      </c>
      <c r="AK218" s="22" t="n">
        <f aca="false">IF(AND(ISNUMBER(AK149),ISNUMBER(AF149)),IFERROR(AK149/AF149-1,""),"")</f>
        <v>-0.335327817876863</v>
      </c>
      <c r="AL218" s="22" t="n">
        <f aca="false">IF(AND(ISNUMBER(AL149),ISNUMBER(AG149)),IFERROR(AL149/AG149-1,""),"")</f>
        <v>2.59120797320211</v>
      </c>
      <c r="AM218" s="22" t="n">
        <f aca="false">IF(AND(ISNUMBER(AM149),ISNUMBER(AH149)),IFERROR(AM149/AH149-1,""),"")</f>
        <v>0.159848567492111</v>
      </c>
      <c r="AN218" s="22" t="n">
        <f aca="false">IF(AND(ISNUMBER(AN149),ISNUMBER(AI149)),IFERROR(AN149/AI149-1,""),"")</f>
        <v>0.175194002367486</v>
      </c>
      <c r="AO218" s="22" t="n">
        <f aca="false">IF(AND(ISNUMBER(AO149),ISNUMBER(AJ149)),IFERROR(AO149/AJ149-1,""),"")</f>
        <v>0.240880576208179</v>
      </c>
      <c r="AP218" s="22" t="n">
        <f aca="false">IF(AND(ISNUMBER(AP149),ISNUMBER(AK149)),IFERROR(AP149/AK149-1,""),"")</f>
        <v>0.0272473383518328</v>
      </c>
      <c r="AQ218" s="22" t="n">
        <f aca="false">IF(AND(ISNUMBER(AQ149),ISNUMBER(AL149)),IFERROR(AQ149/AL149-1,""),"")</f>
        <v>-0.266274369810799</v>
      </c>
      <c r="AR218" s="22" t="n">
        <f aca="false">IF(AND(ISNUMBER(AR149),ISNUMBER(AM149)),IFERROR(AR149/AM149-1,""),"")</f>
        <v>0.021050908153526</v>
      </c>
      <c r="AS218" s="22" t="n">
        <f aca="false">IF(AND(ISNUMBER(AS149),ISNUMBER(AN149)),IFERROR(AS149/AN149-1,""),"")</f>
        <v>-0.222691662003358</v>
      </c>
      <c r="AT218" s="22" t="n">
        <f aca="false">IF(AND(ISNUMBER(AT149),ISNUMBER(AO149)),IFERROR(AT149/AO149-1,""),"")</f>
        <v>-0.684079951317699</v>
      </c>
      <c r="AU218" s="22" t="n">
        <f aca="false">IF(AND(ISNUMBER(AU149),ISNUMBER(AP149)),IFERROR(AU149/AP149-1,""),"")</f>
        <v>-0.192958971032692</v>
      </c>
      <c r="AV218" s="22" t="n">
        <f aca="false">IF(AND(ISNUMBER(AV149),ISNUMBER(AQ149)),IFERROR(AV149/AQ149-1,""),"")</f>
        <v>0.0213761064724709</v>
      </c>
      <c r="AW218" s="22" t="n">
        <f aca="false">IF(AND(ISNUMBER(AW149),ISNUMBER(AR149)),IFERROR(AW149/AR149-1,""),"")</f>
        <v>-0.296797437130896</v>
      </c>
      <c r="AX218" s="22" t="n">
        <f aca="false">IF(AND(ISNUMBER(AX149),ISNUMBER(AS149)),IFERROR(AX149/AS149-1,""),"")</f>
        <v>0.335031136388179</v>
      </c>
      <c r="AY218" s="22" t="n">
        <f aca="false">IF(AND(ISNUMBER(AY149),ISNUMBER(AT149)),IFERROR(AY149/AT149-1,""),"")</f>
        <v>2.55997184768114</v>
      </c>
      <c r="AZ218" s="22" t="n">
        <f aca="false">IF(AND(ISNUMBER(AZ149),ISNUMBER(AU149)),IFERROR(AZ149/AU149-1,""),"")</f>
        <v>-0.456950358248262</v>
      </c>
      <c r="BA218" s="22" t="n">
        <f aca="false">IF(AND(ISNUMBER(BA149),ISNUMBER(AV149)),IFERROR(BA149/AV149-1,""),"")</f>
        <v>0.143658379175758</v>
      </c>
      <c r="BB218" s="22" t="n">
        <f aca="false">IF(AND(ISNUMBER(BB149),ISNUMBER(AW149)),IFERROR(BB149/AW149-1,""),"")</f>
        <v>0.341319166484729</v>
      </c>
      <c r="BC218" s="22" t="n">
        <f aca="false">IF(AND(ISNUMBER(BC149),ISNUMBER(AX149)),IFERROR(BC149/AX149-1,""),"")</f>
        <v>0.69904417811451</v>
      </c>
      <c r="BD218" s="22" t="n">
        <f aca="false">IF(AND(ISNUMBER(BD149),ISNUMBER(AY149)),IFERROR(BD149/AY149-1,""),"")</f>
        <v>0.330034857707718</v>
      </c>
      <c r="BE218" s="22" t="n">
        <f aca="false">IF(AND(ISNUMBER(BE149),ISNUMBER(AZ149)),IFERROR(BE149/AZ149-1,""),"")</f>
        <v>2.4393991875807</v>
      </c>
      <c r="BF218" s="22" t="n">
        <f aca="false">IF(AND(ISNUMBER(BF149),ISNUMBER(BA149)),IFERROR(BF149/BA149-1,""),"")</f>
        <v>0.466483937280826</v>
      </c>
      <c r="BG218" s="22" t="n">
        <f aca="false">IF(AND(ISNUMBER(BG149),ISNUMBER(BB149)),IFERROR(BG149/BB149-1,""),"")</f>
        <v>0.708072602055948</v>
      </c>
      <c r="BH218" s="22" t="n">
        <f aca="false">IF(AND(ISNUMBER(BH149),ISNUMBER(BC149)),IFERROR(BH149/BC149-1,""),"")</f>
        <v>-0.0325240022216923</v>
      </c>
      <c r="BI218" s="22" t="n">
        <f aca="false">IF(AND(ISNUMBER(BI149),ISNUMBER(BD149)),IFERROR(BI149/BD149-1,""),"")</f>
        <v>0.0743841092761084</v>
      </c>
      <c r="BJ218" s="22" t="n">
        <f aca="false">IF(AND(ISNUMBER(BJ149),ISNUMBER(BE149)),IFERROR(BJ149/BE149-1,""),"")</f>
        <v>0.184188601510643</v>
      </c>
      <c r="BK218" s="22" t="n">
        <f aca="false">IF(AND(ISNUMBER(BK149),ISNUMBER(BF149)),IFERROR(BK149/BF149-1,""),"")</f>
        <v>0.435178568156414</v>
      </c>
      <c r="BL218" s="22" t="n">
        <f aca="false">IF(AND(ISNUMBER(BL149),ISNUMBER(BG149)),IFERROR(BL149/BG149-1,""),"")</f>
        <v>0.154638476655149</v>
      </c>
      <c r="BM218" s="22" t="n">
        <f aca="false">IF(AND(ISNUMBER(BM149),ISNUMBER(BH149)),IFERROR(BM149/BH149-1,""),"")</f>
        <v>0.0121708179216107</v>
      </c>
      <c r="BN218" s="22" t="n">
        <f aca="false">IF(AND(ISNUMBER(BN149),ISNUMBER(BI149)),IFERROR(BN149/BI149-1,""),"")</f>
        <v>-0.259395183898757</v>
      </c>
      <c r="BO218" s="22" t="n">
        <f aca="false">IF(AND(ISNUMBER(BO149),ISNUMBER(BJ149)),IFERROR(BO149/BJ149-1,""),"")</f>
        <v>-0.221016985843842</v>
      </c>
      <c r="BP218" s="22" t="n">
        <f aca="false">IF(AND(ISNUMBER(BP149),ISNUMBER(BK149)),IFERROR(BP149/BK149-1,""),"")</f>
        <v>-0.104791757105283</v>
      </c>
      <c r="BQ218" s="22" t="n">
        <f aca="false">IF(AND(ISNUMBER(BQ149),ISNUMBER(BL149)),IFERROR(BQ149/BL149-1,""),"")</f>
        <v>-0.145144961558778</v>
      </c>
      <c r="BR218" s="22" t="n">
        <f aca="false">IF(AND(ISNUMBER(BR149),ISNUMBER(BM149)),IFERROR(BR149/BM149-1,""),"")</f>
        <v>-0.0399303164121058</v>
      </c>
      <c r="BS218" s="22" t="n">
        <f aca="false">IF(AND(ISNUMBER(BS149),ISNUMBER(BN149)),IFERROR(BS149/BN149-1,""),"")</f>
        <v>0.409879262201597</v>
      </c>
      <c r="BT218" s="22" t="n">
        <f aca="false">IF(AND(ISNUMBER(BT149),ISNUMBER(BO149)),IFERROR(BT149/BO149-1,""),"")</f>
        <v>0.217078883639685</v>
      </c>
      <c r="BU218" s="22" t="n">
        <f aca="false">IF(AND(ISNUMBER(BU149),ISNUMBER(BP149)),IFERROR(BU149/BP149-1,""),"")</f>
        <v>-0.0300009270550315</v>
      </c>
      <c r="BV218" s="22" t="n">
        <f aca="false">IF(AND(ISNUMBER(BV149),ISNUMBER(BQ149)),IFERROR(BV149/BQ149-1,""),"")</f>
        <v>0.116764784127282</v>
      </c>
      <c r="BW218" s="22" t="n">
        <f aca="false">IF(AND(ISNUMBER(BW149),ISNUMBER(BR149)),IFERROR(BW149/BR149-1,""),"")</f>
        <v>0.151029226835011</v>
      </c>
      <c r="BX218" s="22" t="n">
        <f aca="false">IF(AND(ISNUMBER(BX149),ISNUMBER(BS149)),IFERROR(BX149/BS149-1,""),"")</f>
        <v>0.10546319283662</v>
      </c>
      <c r="BY218" s="23" t="n">
        <f aca="false">IF(AND(ISNUMBER(BY149),ISNUMBER(BT149)),IFERROR(BY149/BT149-1,""),"")</f>
        <v>0.257233593004473</v>
      </c>
      <c r="BZ218" s="23" t="n">
        <f aca="false">IF(AND(ISNUMBER(BZ149),ISNUMBER(BU149)),IFERROR(BZ149/BU149-1,""),"")</f>
        <v>0.179245175069455</v>
      </c>
      <c r="CA218" s="23" t="n">
        <f aca="false">IF(AND(ISNUMBER(CA149),ISNUMBER(BV149)),IFERROR(CA149/BV149-1,""),"")</f>
        <v>0.170869720548458</v>
      </c>
      <c r="CB218" s="23" t="n">
        <f aca="false">IF(AND(ISNUMBER(CB149),ISNUMBER(CA149)),IFERROR(CB149/CA149-1,""),"")</f>
        <v>0.0863035411675517</v>
      </c>
      <c r="CC218" s="23" t="n">
        <f aca="false">IF(AND(ISNUMBER(CC149),ISNUMBER(CB149)),IFERROR(CC149/CB149-1,""),"")</f>
        <v>0.0856554290311795</v>
      </c>
      <c r="CD218" s="23" t="n">
        <f aca="false">IF(AND(ISNUMBER(CD149),ISNUMBER(CC149)),IFERROR(CD149/CC149-1,""),"")</f>
        <v>0.0771453348086924</v>
      </c>
      <c r="CE218" s="23" t="n">
        <f aca="false">IF(AND(ISNUMBER(CE149),ISNUMBER(CD149)),IFERROR(CE149/CD149-1,""),"")</f>
        <v>0.0629580656712094</v>
      </c>
    </row>
    <row r="219" customFormat="false" ht="15" hidden="false" customHeight="false" outlineLevel="0" collapsed="false">
      <c r="B219" s="21" t="s">
        <v>356</v>
      </c>
      <c r="D219" s="22" t="n">
        <f aca="false">IF(AND(ISNUMBER(D206),ISNUMBER(C206)),IFERROR(D206/C206-1,""),"")</f>
        <v>0.173021088161653</v>
      </c>
      <c r="E219" s="22" t="n">
        <f aca="false">IF(AND(ISNUMBER(E206),ISNUMBER(D206)),IFERROR(E206/D206-1,""),"")</f>
        <v>0.14696979180017</v>
      </c>
      <c r="F219" s="22" t="n">
        <f aca="false">IF(AND(ISNUMBER(F206),ISNUMBER(E206)),IFERROR(F206/E206-1,""),"")</f>
        <v>-0.679885386443376</v>
      </c>
      <c r="G219" s="22" t="n">
        <f aca="false">IF(AND(ISNUMBER(G206),ISNUMBER(F206)),IFERROR(G206/F206-1,""),"")</f>
        <v>0.773877681049712</v>
      </c>
      <c r="H219" s="22" t="n">
        <f aca="false">IF(AND(ISNUMBER(H206),ISNUMBER(G206)),IFERROR(H206/G206-1,""),"")</f>
        <v>0.650261790394541</v>
      </c>
      <c r="I219" s="22" t="n">
        <f aca="false">IF(AND(ISNUMBER(I206),ISNUMBER(H206)),IFERROR(I206/H206-1,""),"")</f>
        <v>0.258081928606112</v>
      </c>
      <c r="N219" s="22" t="n">
        <f aca="false">IF(AND(ISNUMBER(N206),ISNUMBER(I206)),IFERROR(N206/I206-1,""),"")</f>
        <v>0.194544841773736</v>
      </c>
      <c r="O219" s="22" t="n">
        <f aca="false">IF(AND(ISNUMBER(O206),ISNUMBER(J206)),IFERROR(O206/J206-1,""),"")</f>
        <v>-0.0137095680413704</v>
      </c>
      <c r="P219" s="22" t="n">
        <f aca="false">IF(AND(ISNUMBER(P206),ISNUMBER(K206)),IFERROR(P206/K206-1,""),"")</f>
        <v>0.111415000534828</v>
      </c>
      <c r="Q219" s="22" t="n">
        <f aca="false">IF(AND(ISNUMBER(Q206),ISNUMBER(L206)),IFERROR(Q206/L206-1,""),"")</f>
        <v>0.0931092630114576</v>
      </c>
      <c r="R219" s="22" t="n">
        <f aca="false">IF(AND(ISNUMBER(R206),ISNUMBER(M206)),IFERROR(R206/M206-1,""),"")</f>
        <v>-0.112848824698796</v>
      </c>
      <c r="S219" s="22" t="n">
        <f aca="false">IF(AND(ISNUMBER(S206),ISNUMBER(N206)),IFERROR(S206/N206-1,""),"")</f>
        <v>0.0127472822872725</v>
      </c>
      <c r="T219" s="22" t="n">
        <f aca="false">IF(AND(ISNUMBER(T206),ISNUMBER(O206)),IFERROR(T206/O206-1,""),"")</f>
        <v>-0.0231380400067343</v>
      </c>
      <c r="U219" s="22" t="n">
        <f aca="false">IF(AND(ISNUMBER(U206),ISNUMBER(P206)),IFERROR(U206/P206-1,""),"")</f>
        <v>-0.0608885690006246</v>
      </c>
      <c r="V219" s="22" t="n">
        <f aca="false">IF(AND(ISNUMBER(V206),ISNUMBER(Q206)),IFERROR(V206/Q206-1,""),"")</f>
        <v>-0.0449226941278594</v>
      </c>
      <c r="W219" s="22" t="n">
        <f aca="false">IF(AND(ISNUMBER(W206),ISNUMBER(R206)),IFERROR(W206/R206-1,""),"")</f>
        <v>-0.225048845797268</v>
      </c>
      <c r="X219" s="22" t="n">
        <f aca="false">IF(AND(ISNUMBER(X206),ISNUMBER(S206)),IFERROR(X206/S206-1,""),"")</f>
        <v>-0.0899669318670053</v>
      </c>
      <c r="Y219" s="22" t="n">
        <f aca="false">IF(AND(ISNUMBER(Y206),ISNUMBER(T206)),IFERROR(Y206/T206-1,""),"")</f>
        <v>-0.139183840017444</v>
      </c>
      <c r="Z219" s="22" t="n">
        <f aca="false">IF(AND(ISNUMBER(Z206),ISNUMBER(U206)),IFERROR(Z206/U206-1,""),"")</f>
        <v>-0.121086894280271</v>
      </c>
      <c r="AA219" s="22" t="n">
        <f aca="false">IF(AND(ISNUMBER(AA206),ISNUMBER(V206)),IFERROR(AA206/V206-1,""),"")</f>
        <v>-0.00437644150403116</v>
      </c>
      <c r="AB219" s="22" t="n">
        <f aca="false">IF(AND(ISNUMBER(AB206),ISNUMBER(W206)),IFERROR(AB206/W206-1,""),"")</f>
        <v>0.0791791036750147</v>
      </c>
      <c r="AC219" s="22" t="n">
        <f aca="false">IF(AND(ISNUMBER(AC206),ISNUMBER(X206)),IFERROR(AC206/X206-1,""),"")</f>
        <v>-0.0525469856374202</v>
      </c>
      <c r="AD219" s="22" t="n">
        <f aca="false">IF(AND(ISNUMBER(AD206),ISNUMBER(Y206)),IFERROR(AD206/Y206-1,""),"")</f>
        <v>0.152179659733753</v>
      </c>
      <c r="AE219" s="22" t="n">
        <f aca="false">IF(AND(ISNUMBER(AE206),ISNUMBER(Z206)),IFERROR(AE206/Z206-1,""),"")</f>
        <v>0.166631405325778</v>
      </c>
      <c r="AF219" s="22" t="n">
        <f aca="false">IF(AND(ISNUMBER(AF206),ISNUMBER(AA206)),IFERROR(AF206/AA206-1,""),"")</f>
        <v>0.0361462204445127</v>
      </c>
      <c r="AG219" s="22" t="n">
        <f aca="false">IF(AND(ISNUMBER(AG206),ISNUMBER(AB206)),IFERROR(AG206/AB206-1,""),"")</f>
        <v>0.260036637237622</v>
      </c>
      <c r="AH219" s="22" t="n">
        <f aca="false">IF(AND(ISNUMBER(AH206),ISNUMBER(AC206)),IFERROR(AH206/AC206-1,""),"")</f>
        <v>0.151444249088709</v>
      </c>
      <c r="AI219" s="22" t="n">
        <f aca="false">IF(AND(ISNUMBER(AI206),ISNUMBER(AD206)),IFERROR(AI206/AD206-1,""),"")</f>
        <v>0.253668823678612</v>
      </c>
      <c r="AJ219" s="22" t="n">
        <f aca="false">IF(AND(ISNUMBER(AJ206),ISNUMBER(AE206)),IFERROR(AJ206/AE206-1,""),"")</f>
        <v>0.25167961893752</v>
      </c>
      <c r="AK219" s="22" t="n">
        <f aca="false">IF(AND(ISNUMBER(AK206),ISNUMBER(AF206)),IFERROR(AK206/AF206-1,""),"")</f>
        <v>0.306030553950595</v>
      </c>
      <c r="AL219" s="22" t="n">
        <f aca="false">IF(AND(ISNUMBER(AL206),ISNUMBER(AG206)),IFERROR(AL206/AG206-1,""),"")</f>
        <v>0.275164743681061</v>
      </c>
      <c r="AM219" s="22" t="n">
        <f aca="false">IF(AND(ISNUMBER(AM206),ISNUMBER(AH206)),IFERROR(AM206/AH206-1,""),"")</f>
        <v>0.27131118126306</v>
      </c>
      <c r="AN219" s="22" t="n">
        <f aca="false">IF(AND(ISNUMBER(AN206),ISNUMBER(AI206)),IFERROR(AN206/AI206-1,""),"")</f>
        <v>0.0640618386118748</v>
      </c>
      <c r="AO219" s="22" t="n">
        <f aca="false">IF(AND(ISNUMBER(AO206),ISNUMBER(AJ206)),IFERROR(AO206/AJ206-1,""),"")</f>
        <v>0.0560074684338212</v>
      </c>
      <c r="AP219" s="22" t="n">
        <f aca="false">IF(AND(ISNUMBER(AP206),ISNUMBER(AK206)),IFERROR(AP206/AK206-1,""),"")</f>
        <v>-0.0980127568287484</v>
      </c>
      <c r="AQ219" s="22" t="n">
        <f aca="false">IF(AND(ISNUMBER(AQ206),ISNUMBER(AL206)),IFERROR(AQ206/AL206-1,""),"")</f>
        <v>-0.110827707656689</v>
      </c>
      <c r="AR219" s="22" t="n">
        <f aca="false">IF(AND(ISNUMBER(AR206),ISNUMBER(AM206)),IFERROR(AR206/AM206-1,""),"")</f>
        <v>-0.0248060442512655</v>
      </c>
      <c r="AS219" s="22" t="n">
        <f aca="false">IF(AND(ISNUMBER(AS206),ISNUMBER(AN206)),IFERROR(AS206/AN206-1,""),"")</f>
        <v>-0.146324773367801</v>
      </c>
      <c r="AT219" s="22" t="n">
        <f aca="false">IF(AND(ISNUMBER(AT206),ISNUMBER(AO206)),IFERROR(AT206/AO206-1,""),"")</f>
        <v>-0.375395730310756</v>
      </c>
      <c r="AU219" s="22" t="n">
        <f aca="false">IF(AND(ISNUMBER(AU206),ISNUMBER(AP206)),IFERROR(AU206/AP206-1,""),"")</f>
        <v>0.00813877814531661</v>
      </c>
      <c r="AV219" s="22" t="n">
        <f aca="false">IF(AND(ISNUMBER(AV206),ISNUMBER(AQ206)),IFERROR(AV206/AQ206-1,""),"")</f>
        <v>0.080962887822615</v>
      </c>
      <c r="AW219" s="22" t="n">
        <f aca="false">IF(AND(ISNUMBER(AW206),ISNUMBER(AR206)),IFERROR(AW206/AR206-1,""),"")</f>
        <v>-0.117654015890958</v>
      </c>
      <c r="AX219" s="22" t="n">
        <f aca="false">IF(AND(ISNUMBER(AX206),ISNUMBER(AS206)),IFERROR(AX206/AS206-1,""),"")</f>
        <v>0.370223041484941</v>
      </c>
      <c r="AY219" s="22" t="n">
        <f aca="false">IF(AND(ISNUMBER(AY206),ISNUMBER(AT206)),IFERROR(AY206/AT206-1,""),"")</f>
        <v>1.0846427599894</v>
      </c>
      <c r="AZ219" s="22" t="n">
        <f aca="false">IF(AND(ISNUMBER(AZ206),ISNUMBER(AU206)),IFERROR(AZ206/AU206-1,""),"")</f>
        <v>0.419299841641153</v>
      </c>
      <c r="BA219" s="22" t="n">
        <f aca="false">IF(AND(ISNUMBER(BA206),ISNUMBER(AV206)),IFERROR(BA206/AV206-1,""),"")</f>
        <v>0.297057534412242</v>
      </c>
      <c r="BB219" s="22" t="n">
        <f aca="false">IF(AND(ISNUMBER(BB206),ISNUMBER(AW206)),IFERROR(BB206/AW206-1,""),"")</f>
        <v>0.498476038642312</v>
      </c>
      <c r="BC219" s="22" t="n">
        <f aca="false">IF(AND(ISNUMBER(BC206),ISNUMBER(AX206)),IFERROR(BC206/AX206-1,""),"")</f>
        <v>0.532331897815361</v>
      </c>
      <c r="BD219" s="22" t="n">
        <f aca="false">IF(AND(ISNUMBER(BD206),ISNUMBER(AY206)),IFERROR(BD206/AY206-1,""),"")</f>
        <v>0.306222189304277</v>
      </c>
      <c r="BE219" s="22" t="n">
        <f aca="false">IF(AND(ISNUMBER(BE206),ISNUMBER(AZ206)),IFERROR(BE206/AZ206-1,""),"")</f>
        <v>0.308766522457257</v>
      </c>
      <c r="BF219" s="22" t="n">
        <f aca="false">IF(AND(ISNUMBER(BF206),ISNUMBER(BA206)),IFERROR(BF206/BA206-1,""),"")</f>
        <v>0.200538041008107</v>
      </c>
      <c r="BG219" s="22" t="n">
        <f aca="false">IF(AND(ISNUMBER(BG206),ISNUMBER(BB206)),IFERROR(BG206/BB206-1,""),"")</f>
        <v>0.329935338584145</v>
      </c>
      <c r="BH219" s="22" t="n">
        <f aca="false">IF(AND(ISNUMBER(BH206),ISNUMBER(BC206)),IFERROR(BH206/BC206-1,""),"")</f>
        <v>0.0107056285468687</v>
      </c>
      <c r="BI219" s="22" t="n">
        <f aca="false">IF(AND(ISNUMBER(BI206),ISNUMBER(BD206)),IFERROR(BI206/BD206-1,""),"")</f>
        <v>0.116902154636146</v>
      </c>
      <c r="BJ219" s="22" t="n">
        <f aca="false">IF(AND(ISNUMBER(BJ206),ISNUMBER(BE206)),IFERROR(BJ206/BE206-1,""),"")</f>
        <v>0.17438509618012</v>
      </c>
      <c r="BK219" s="22" t="n">
        <f aca="false">IF(AND(ISNUMBER(BK206),ISNUMBER(BF206)),IFERROR(BK206/BF206-1,""),"")</f>
        <v>0.266148497612512</v>
      </c>
      <c r="BL219" s="22" t="n">
        <f aca="false">IF(AND(ISNUMBER(BL206),ISNUMBER(BG206)),IFERROR(BL206/BG206-1,""),"")</f>
        <v>0.138441707315908</v>
      </c>
      <c r="BM219" s="22" t="n">
        <f aca="false">IF(AND(ISNUMBER(BM206),ISNUMBER(BH206)),IFERROR(BM206/BH206-1,""),"")</f>
        <v>0.0498232636061151</v>
      </c>
      <c r="BN219" s="22" t="n">
        <f aca="false">IF(AND(ISNUMBER(BN206),ISNUMBER(BI206)),IFERROR(BN206/BI206-1,""),"")</f>
        <v>-0.0406310477081913</v>
      </c>
      <c r="BO219" s="22" t="n">
        <f aca="false">IF(AND(ISNUMBER(BO206),ISNUMBER(BJ206)),IFERROR(BO206/BJ206-1,""),"")</f>
        <v>-0.106292060276785</v>
      </c>
      <c r="BP219" s="22" t="n">
        <f aca="false">IF(AND(ISNUMBER(BP206),ISNUMBER(BK206)),IFERROR(BP206/BK206-1,""),"")</f>
        <v>0.0477966246045281</v>
      </c>
      <c r="BQ219" s="22" t="n">
        <f aca="false">IF(AND(ISNUMBER(BQ206),ISNUMBER(BL206)),IFERROR(BQ206/BL206-1,""),"")</f>
        <v>-0.0129897645092094</v>
      </c>
      <c r="BR219" s="22" t="n">
        <f aca="false">IF(AND(ISNUMBER(BR206),ISNUMBER(BM206)),IFERROR(BR206/BM206-1,""),"")</f>
        <v>-0.0341883433054929</v>
      </c>
      <c r="BS219" s="22" t="n">
        <f aca="false">IF(AND(ISNUMBER(BS206),ISNUMBER(BN206)),IFERROR(BS206/BN206-1,""),"")</f>
        <v>0.111642916422119</v>
      </c>
      <c r="BT219" s="22" t="n">
        <f aca="false">IF(AND(ISNUMBER(BT206),ISNUMBER(BO206)),IFERROR(BT206/BO206-1,""),"")</f>
        <v>0.151460378138245</v>
      </c>
      <c r="BU219" s="22" t="n">
        <f aca="false">IF(AND(ISNUMBER(BU206),ISNUMBER(BP206)),IFERROR(BU206/BP206-1,""),"")</f>
        <v>0.0300375150351782</v>
      </c>
      <c r="BV219" s="22" t="n">
        <f aca="false">IF(AND(ISNUMBER(BV206),ISNUMBER(BQ206)),IFERROR(BV206/BQ206-1,""),"")</f>
        <v>0.062268105611166</v>
      </c>
      <c r="BW219" s="22" t="n">
        <f aca="false">IF(AND(ISNUMBER(BW206),ISNUMBER(BR206)),IFERROR(BW206/BR206-1,""),"")</f>
        <v>0.161096869541582</v>
      </c>
      <c r="BX219" s="22" t="n">
        <f aca="false">IF(AND(ISNUMBER(BX206),ISNUMBER(BS206)),IFERROR(BX206/BS206-1,""),"")</f>
        <v>0.124589890707945</v>
      </c>
      <c r="BY219" s="23" t="n">
        <f aca="false">IF(AND(ISNUMBER(BY206),ISNUMBER(BT206)),IFERROR(BY206/BT206-1,""),"")</f>
        <v>0.153116881868862</v>
      </c>
      <c r="BZ219" s="23" t="n">
        <f aca="false">IF(AND(ISNUMBER(BZ206),ISNUMBER(BU206)),IFERROR(BZ206/BU206-1,""),"")</f>
        <v>0.124248272369159</v>
      </c>
      <c r="CA219" s="23" t="n">
        <f aca="false">IF(AND(ISNUMBER(CA206),ISNUMBER(BV206)),IFERROR(CA206/BV206-1,""),"")</f>
        <v>0.14001375130603</v>
      </c>
      <c r="CB219" s="23" t="n">
        <f aca="false">IF(AND(ISNUMBER(CB206),ISNUMBER(CA206)),IFERROR(CB206/CA206-1,""),"")</f>
        <v>0.105173125875133</v>
      </c>
      <c r="CC219" s="23" t="n">
        <f aca="false">IF(AND(ISNUMBER(CC206),ISNUMBER(CB206)),IFERROR(CC206/CB206-1,""),"")</f>
        <v>0.10528590174615</v>
      </c>
      <c r="CD219" s="23" t="n">
        <f aca="false">IF(AND(ISNUMBER(CD206),ISNUMBER(CC206)),IFERROR(CD206/CC206-1,""),"")</f>
        <v>0.0977161156572404</v>
      </c>
      <c r="CE219" s="23" t="n">
        <f aca="false">IF(AND(ISNUMBER(CE206),ISNUMBER(CD206)),IFERROR(CE206/CD206-1,""),"")</f>
        <v>0.0845795576509434</v>
      </c>
    </row>
    <row r="220" customFormat="false" ht="15" hidden="false" customHeight="false" outlineLevel="0" collapsed="false">
      <c r="B220" s="21" t="s">
        <v>272</v>
      </c>
      <c r="C220" s="22" t="n">
        <f aca="false">C136</f>
        <v>0.280071402672022</v>
      </c>
      <c r="D220" s="22" t="n">
        <f aca="false">D136</f>
        <v>0.283922545931574</v>
      </c>
      <c r="E220" s="22" t="n">
        <f aca="false">E136</f>
        <v>0.290485254712236</v>
      </c>
      <c r="F220" s="22" t="n">
        <f aca="false">F136</f>
        <v>0.263847775236586</v>
      </c>
      <c r="G220" s="22" t="n">
        <f aca="false">G136</f>
        <v>0.272353698146821</v>
      </c>
      <c r="H220" s="22" t="n">
        <f aca="false">H136</f>
        <v>0.273411467118235</v>
      </c>
      <c r="I220" s="22" t="n">
        <f aca="false">I136</f>
        <v>0.303730995697364</v>
      </c>
      <c r="J220" s="22" t="n">
        <f aca="false">J136</f>
        <v>0.315308256781148</v>
      </c>
      <c r="K220" s="22" t="n">
        <f aca="false">K136</f>
        <v>0.3303923940657</v>
      </c>
      <c r="L220" s="22" t="n">
        <f aca="false">L136</f>
        <v>0.336328093947606</v>
      </c>
      <c r="M220" s="22" t="n">
        <f aca="false">M136</f>
        <v>0.340025266126742</v>
      </c>
      <c r="N220" s="22" t="n">
        <f aca="false">N136</f>
        <v>0.33044609770983</v>
      </c>
      <c r="O220" s="22" t="n">
        <f aca="false">O136</f>
        <v>0.330387614551676</v>
      </c>
      <c r="P220" s="22" t="n">
        <f aca="false">P136</f>
        <v>0.343522787637039</v>
      </c>
      <c r="Q220" s="22" t="n">
        <f aca="false">Q136</f>
        <v>0.337547867562104</v>
      </c>
      <c r="R220" s="22" t="n">
        <f aca="false">R136</f>
        <v>0.337866289253371</v>
      </c>
      <c r="S220" s="22" t="n">
        <f aca="false">S136</f>
        <v>0.337428963034475</v>
      </c>
      <c r="T220" s="22" t="n">
        <f aca="false">T136</f>
        <v>0.334990120079039</v>
      </c>
      <c r="U220" s="22" t="n">
        <f aca="false">U136</f>
        <v>0.339653097451635</v>
      </c>
      <c r="V220" s="22" t="n">
        <f aca="false">V136</f>
        <v>0.308283449530819</v>
      </c>
      <c r="W220" s="22" t="n">
        <f aca="false">W136</f>
        <v>0.345218623731261</v>
      </c>
      <c r="X220" s="22" t="n">
        <f aca="false">X136</f>
        <v>0.331708725206454</v>
      </c>
      <c r="Y220" s="22" t="n">
        <f aca="false">Y136</f>
        <v>0.343371065619314</v>
      </c>
      <c r="Z220" s="22" t="n">
        <f aca="false">Z136</f>
        <v>0.34254023341627</v>
      </c>
      <c r="AA220" s="22" t="n">
        <f aca="false">AA136</f>
        <v>0.352001071090081</v>
      </c>
      <c r="AB220" s="22" t="n">
        <f aca="false">AB136</f>
        <v>0.350207864809836</v>
      </c>
      <c r="AC220" s="22" t="n">
        <f aca="false">AC136</f>
        <v>0.347003051946396</v>
      </c>
      <c r="AD220" s="22" t="n">
        <f aca="false">AD136</f>
        <v>0.350933125838143</v>
      </c>
      <c r="AE220" s="22" t="n">
        <f aca="false">AE136</f>
        <v>0.346949388856806</v>
      </c>
      <c r="AF220" s="22" t="n">
        <f aca="false">AF136</f>
        <v>0.32788491555525</v>
      </c>
      <c r="AG220" s="22" t="n">
        <f aca="false">AG136</f>
        <v>0.320490909212578</v>
      </c>
      <c r="AH220" s="22" t="n">
        <f aca="false">AH136</f>
        <v>0.335434995242778</v>
      </c>
      <c r="AI220" s="22" t="n">
        <f aca="false">AI136</f>
        <v>0.338597537798801</v>
      </c>
      <c r="AJ220" s="22" t="n">
        <f aca="false">AJ136</f>
        <v>0.34189648276316</v>
      </c>
      <c r="AK220" s="22" t="n">
        <f aca="false">AK136</f>
        <v>0.341273017600078</v>
      </c>
      <c r="AL220" s="22" t="n">
        <f aca="false">AL136</f>
        <v>0.336501632772137</v>
      </c>
      <c r="AM220" s="22" t="n">
        <f aca="false">AM136</f>
        <v>0.339594489205507</v>
      </c>
      <c r="AN220" s="22" t="n">
        <f aca="false">AN136</f>
        <v>0.340397590012303</v>
      </c>
      <c r="AO220" s="22" t="n">
        <f aca="false">AO136</f>
        <v>0.347333618186685</v>
      </c>
      <c r="AP220" s="22" t="n">
        <f aca="false">AP136</f>
        <v>0.326158380805246</v>
      </c>
      <c r="AQ220" s="22" t="n">
        <f aca="false">AQ136</f>
        <v>0.32721948861005</v>
      </c>
      <c r="AR220" s="22" t="n">
        <f aca="false">AR136</f>
        <v>0.33549641857281</v>
      </c>
      <c r="AS220" s="22" t="n">
        <f aca="false">AS136</f>
        <v>0.338069861294518</v>
      </c>
      <c r="AT220" s="22" t="n">
        <f aca="false">AT136</f>
        <v>0.320584635542306</v>
      </c>
      <c r="AU220" s="22" t="n">
        <f aca="false">AU136</f>
        <v>0.322007570774181</v>
      </c>
      <c r="AV220" s="22" t="n">
        <f aca="false">AV136</f>
        <v>0.330435258880878</v>
      </c>
      <c r="AW220" s="22" t="n">
        <f aca="false">AW136</f>
        <v>0.328139263387814</v>
      </c>
      <c r="AX220" s="22" t="n">
        <f aca="false">AX136</f>
        <v>0.335217913373605</v>
      </c>
      <c r="AY220" s="22" t="n">
        <f aca="false">AY136</f>
        <v>0.33154779334361</v>
      </c>
      <c r="AZ220" s="22" t="n">
        <f aca="false">AZ136</f>
        <v>0.332532295704405</v>
      </c>
      <c r="BA220" s="22" t="n">
        <f aca="false">BA136</f>
        <v>0.322957272185641</v>
      </c>
      <c r="BB220" s="22" t="n">
        <f aca="false">BB136</f>
        <v>0.330409872054122</v>
      </c>
      <c r="BC220" s="22" t="n">
        <f aca="false">BC136</f>
        <v>0.35634309004936</v>
      </c>
      <c r="BD220" s="22" t="n">
        <f aca="false">BD136</f>
        <v>0.343940576883607</v>
      </c>
      <c r="BE220" s="22" t="n">
        <f aca="false">BE136</f>
        <v>0.330950344296651</v>
      </c>
      <c r="BF220" s="22" t="n">
        <f aca="false">BF136</f>
        <v>0.33083333512365</v>
      </c>
      <c r="BG220" s="22" t="n">
        <f aca="false">BG136</f>
        <v>0.340517987424795</v>
      </c>
      <c r="BH220" s="22" t="n">
        <f aca="false">BH136</f>
        <v>0.341905415247902</v>
      </c>
      <c r="BI220" s="22" t="n">
        <f aca="false">BI136</f>
        <v>0.352102888554686</v>
      </c>
      <c r="BJ220" s="22" t="n">
        <f aca="false">BJ136</f>
        <v>0.353876350881812</v>
      </c>
      <c r="BK220" s="22" t="n">
        <f aca="false">BK136</f>
        <v>0.350519690811836</v>
      </c>
      <c r="BL220" s="22" t="n">
        <f aca="false">BL136</f>
        <v>0.349611702924586</v>
      </c>
      <c r="BM220" s="22" t="n">
        <f aca="false">BM136</f>
        <v>0.375458750893042</v>
      </c>
      <c r="BN220" s="22" t="n">
        <f aca="false">BN136</f>
        <v>0.375667403685879</v>
      </c>
      <c r="BO220" s="22" t="n">
        <f aca="false">BO136</f>
        <v>0.35789049960407</v>
      </c>
      <c r="BP220" s="22" t="n">
        <f aca="false">BP136</f>
        <v>0.360675948185525</v>
      </c>
      <c r="BQ220" s="22" t="n">
        <f aca="false">BQ136</f>
        <v>0.367431592024287</v>
      </c>
      <c r="BR220" s="22" t="n">
        <f aca="false">BR136</f>
        <v>0.363851419969175</v>
      </c>
      <c r="BS220" s="22" t="n">
        <f aca="false">BS136</f>
        <v>0.372514979245375</v>
      </c>
      <c r="BT220" s="22" t="n">
        <f aca="false">BT136</f>
        <v>0.366849882258932</v>
      </c>
      <c r="BU220" s="22" t="n">
        <f aca="false">BU136</f>
        <v>0.346658756019894</v>
      </c>
      <c r="BV220" s="22" t="n">
        <f aca="false">BV136</f>
        <v>0.362450014800367</v>
      </c>
      <c r="BW220" s="22" t="n">
        <f aca="false">BW136</f>
        <v>0.355912162463417</v>
      </c>
      <c r="BX220" s="22" t="n">
        <f aca="false">BX136</f>
        <v>0.368131196896192</v>
      </c>
      <c r="BY220" s="23" t="n">
        <f aca="false">BY136</f>
        <v>0.376062405384867</v>
      </c>
      <c r="BZ220" s="23" t="n">
        <f aca="false">BZ136</f>
        <v>0.357480022313135</v>
      </c>
      <c r="CA220" s="23" t="n">
        <f aca="false">CA136</f>
        <v>0.364533667560225</v>
      </c>
      <c r="CB220" s="23" t="n">
        <f aca="false">CB136</f>
        <v>0.370466311688041</v>
      </c>
      <c r="CC220" s="23" t="n">
        <f aca="false">CC136</f>
        <v>0.372356657307964</v>
      </c>
      <c r="CD220" s="23" t="n">
        <f aca="false">CD136</f>
        <v>0.373538460265083</v>
      </c>
      <c r="CE220" s="23" t="n">
        <f aca="false">CE136</f>
        <v>0.372630549426102</v>
      </c>
      <c r="CH220" s="41" t="n">
        <f aca="false">IFERROR(AVERAGE(CA220,CB220,CC220,CD220,CE220),"n/m")</f>
        <v>0.370705129249483</v>
      </c>
      <c r="CI220" s="41" t="n">
        <f aca="false">IFERROR(AVERAGE(BB220,BG220,BL220,BQ220,BV220),"n/m")</f>
        <v>0.350084233845632</v>
      </c>
      <c r="CJ220" s="41" t="n">
        <f aca="false">IFERROR(AVERAGE(AC220,AH220,AM220,AR220,AW220,BB220,BG220,BL220,BQ220,BV220),"n/m")</f>
        <v>0.343608938758346</v>
      </c>
      <c r="CK220" s="41" t="n">
        <f aca="false">IFERROR(AVERAGE(C220,D220,E220,F220,G220,H220,I220,N220,S220,X220,AC220,AH220,AM220,AR220,AW220,BB220,BG220,BL220,BQ220,BV220),"n/m")</f>
        <v>0.320174815652453</v>
      </c>
    </row>
    <row r="221" customFormat="false" ht="15" hidden="false" customHeight="false" outlineLevel="0" collapsed="false">
      <c r="B221" s="21" t="s">
        <v>233</v>
      </c>
      <c r="C221" s="22" t="n">
        <f aca="false">C179</f>
        <v>0.120150716435546</v>
      </c>
      <c r="D221" s="22" t="n">
        <f aca="false">D179</f>
        <v>0.127195297757262</v>
      </c>
      <c r="E221" s="22" t="n">
        <f aca="false">E179</f>
        <v>0.130081871429949</v>
      </c>
      <c r="F221" s="22" t="n">
        <f aca="false">F179</f>
        <v>0.0706476954348185</v>
      </c>
      <c r="G221" s="22" t="n">
        <f aca="false">G179</f>
        <v>0.0937878591730542</v>
      </c>
      <c r="H221" s="22" t="n">
        <f aca="false">H179</f>
        <v>0.11326170141939</v>
      </c>
      <c r="I221" s="22" t="n">
        <f aca="false">I179</f>
        <v>0.133354034023664</v>
      </c>
      <c r="J221" s="22" t="n">
        <f aca="false">J179</f>
        <v>0.14099332983566</v>
      </c>
      <c r="K221" s="22" t="n">
        <f aca="false">K179</f>
        <v>0.150985934080436</v>
      </c>
      <c r="L221" s="22" t="n">
        <f aca="false">L179</f>
        <v>0.150553206865402</v>
      </c>
      <c r="M221" s="22" t="n">
        <f aca="false">M179</f>
        <v>0.170736620914365</v>
      </c>
      <c r="N221" s="22" t="n">
        <f aca="false">N179</f>
        <v>0.153312807540722</v>
      </c>
      <c r="O221" s="22" t="n">
        <f aca="false">O179</f>
        <v>0.147037786360943</v>
      </c>
      <c r="P221" s="22" t="n">
        <f aca="false">P179</f>
        <v>0.163660846278333</v>
      </c>
      <c r="Q221" s="22" t="n">
        <f aca="false">Q179</f>
        <v>0.150046732432028</v>
      </c>
      <c r="R221" s="22" t="n">
        <f aca="false">R179</f>
        <v>0.156411103670715</v>
      </c>
      <c r="S221" s="22" t="n">
        <f aca="false">S179</f>
        <v>0.154386768107762</v>
      </c>
      <c r="T221" s="22" t="n">
        <f aca="false">T179</f>
        <v>0.14281501747986</v>
      </c>
      <c r="U221" s="22" t="n">
        <f aca="false">U179</f>
        <v>0.149414808797425</v>
      </c>
      <c r="V221" s="22" t="n">
        <f aca="false">V179</f>
        <v>0.151444744453366</v>
      </c>
      <c r="W221" s="22" t="n">
        <f aca="false">W179</f>
        <v>0.154616759245403</v>
      </c>
      <c r="X221" s="22" t="n">
        <f aca="false">X179</f>
        <v>0.149384156659599</v>
      </c>
      <c r="Y221" s="22" t="n">
        <f aca="false">Y179</f>
        <v>0.139052008091197</v>
      </c>
      <c r="Z221" s="22" t="n">
        <f aca="false">Z179</f>
        <v>0.141550391784179</v>
      </c>
      <c r="AA221" s="22" t="n">
        <f aca="false">AA179</f>
        <v>0.147540896967476</v>
      </c>
      <c r="AB221" s="22" t="n">
        <f aca="false">AB179</f>
        <v>0.149932248841845</v>
      </c>
      <c r="AC221" s="22" t="n">
        <f aca="false">AC179</f>
        <v>0.14451814681524</v>
      </c>
      <c r="AD221" s="22" t="n">
        <f aca="false">AD179</f>
        <v>0.149513597074869</v>
      </c>
      <c r="AE221" s="22" t="n">
        <f aca="false">AE179</f>
        <v>0.149182111419173</v>
      </c>
      <c r="AF221" s="22" t="n">
        <f aca="false">AF179</f>
        <v>0.141184870296987</v>
      </c>
      <c r="AG221" s="22" t="n">
        <f aca="false">AG179</f>
        <v>0.127743463800799</v>
      </c>
      <c r="AH221" s="22" t="n">
        <f aca="false">AH179</f>
        <v>0.141111730504631</v>
      </c>
      <c r="AI221" s="22" t="n">
        <f aca="false">AI179</f>
        <v>0.133931022468114</v>
      </c>
      <c r="AJ221" s="22" t="n">
        <f aca="false">AJ179</f>
        <v>0.141009705690258</v>
      </c>
      <c r="AK221" s="22" t="n">
        <f aca="false">AK179</f>
        <v>0.145911200530729</v>
      </c>
      <c r="AL221" s="22" t="n">
        <f aca="false">AL179</f>
        <v>0.137476859538575</v>
      </c>
      <c r="AM221" s="22" t="n">
        <f aca="false">AM179</f>
        <v>0.1395640468403</v>
      </c>
      <c r="AN221" s="22" t="n">
        <f aca="false">AN179</f>
        <v>0.1351020978063</v>
      </c>
      <c r="AO221" s="22" t="n">
        <f aca="false">AO179</f>
        <v>0.14098696538517</v>
      </c>
      <c r="AP221" s="22" t="n">
        <f aca="false">AP179</f>
        <v>0.128218636722529</v>
      </c>
      <c r="AQ221" s="22" t="n">
        <f aca="false">AQ179</f>
        <v>0.128939423365526</v>
      </c>
      <c r="AR221" s="22" t="n">
        <f aca="false">AR179</f>
        <v>0.133438796086402</v>
      </c>
      <c r="AS221" s="22" t="n">
        <f aca="false">AS179</f>
        <v>0.12636914148472</v>
      </c>
      <c r="AT221" s="22" t="n">
        <f aca="false">AT179</f>
        <v>0.111951883018721</v>
      </c>
      <c r="AU221" s="22" t="n">
        <f aca="false">AU179</f>
        <v>0.132010142206169</v>
      </c>
      <c r="AV221" s="22" t="n">
        <f aca="false">AV179</f>
        <v>0.140190027587439</v>
      </c>
      <c r="AW221" s="22" t="n">
        <f aca="false">AW179</f>
        <v>0.128193869096935</v>
      </c>
      <c r="AX221" s="22" t="n">
        <f aca="false">AX179</f>
        <v>0.148838671582426</v>
      </c>
      <c r="AY221" s="22" t="n">
        <f aca="false">AY179</f>
        <v>0.155429098292222</v>
      </c>
      <c r="AZ221" s="22" t="n">
        <f aca="false">AZ179</f>
        <v>0.15483214169686</v>
      </c>
      <c r="BA221" s="22" t="n">
        <f aca="false">BA179</f>
        <v>0.148384781303191</v>
      </c>
      <c r="BB221" s="22" t="n">
        <f aca="false">BB179</f>
        <v>0.151898781143907</v>
      </c>
      <c r="BC221" s="22" t="n">
        <f aca="false">BC179</f>
        <v>0.176619323830188</v>
      </c>
      <c r="BD221" s="22" t="n">
        <f aca="false">BD179</f>
        <v>0.172252366724458</v>
      </c>
      <c r="BE221" s="22" t="n">
        <f aca="false">BE179</f>
        <v>0.167631837817031</v>
      </c>
      <c r="BF221" s="22" t="n">
        <f aca="false">BF179</f>
        <v>0.160815911761736</v>
      </c>
      <c r="BG221" s="22" t="n">
        <f aca="false">BG179</f>
        <v>0.169347319254357</v>
      </c>
      <c r="BH221" s="22" t="n">
        <f aca="false">BH179</f>
        <v>0.165162030244106</v>
      </c>
      <c r="BI221" s="22" t="n">
        <f aca="false">BI179</f>
        <v>0.180065342529689</v>
      </c>
      <c r="BJ221" s="22" t="n">
        <f aca="false">BJ179</f>
        <v>0.178247681506445</v>
      </c>
      <c r="BK221" s="22" t="n">
        <f aca="false">BK179</f>
        <v>0.174401094364364</v>
      </c>
      <c r="BL221" s="22" t="n">
        <f aca="false">BL179</f>
        <v>0.174484139367064</v>
      </c>
      <c r="BM221" s="22" t="n">
        <f aca="false">BM179</f>
        <v>0.177004210163708</v>
      </c>
      <c r="BN221" s="22" t="n">
        <f aca="false">BN179</f>
        <v>0.177177265355301</v>
      </c>
      <c r="BO221" s="22" t="n">
        <f aca="false">BO179</f>
        <v>0.174918857159121</v>
      </c>
      <c r="BP221" s="22" t="n">
        <f aca="false">BP179</f>
        <v>0.182804631170679</v>
      </c>
      <c r="BQ221" s="22" t="n">
        <f aca="false">BQ179</f>
        <v>0.178015401616995</v>
      </c>
      <c r="BR221" s="22" t="n">
        <f aca="false">BR179</f>
        <v>0.169146783912193</v>
      </c>
      <c r="BS221" s="22" t="n">
        <f aca="false">BS179</f>
        <v>0.182928207092488</v>
      </c>
      <c r="BT221" s="22" t="n">
        <f aca="false">BT179</f>
        <v>0.176727505048402</v>
      </c>
      <c r="BU221" s="22" t="n">
        <f aca="false">BU179</f>
        <v>0.181740311389014</v>
      </c>
      <c r="BV221" s="22" t="n">
        <f aca="false">BV179</f>
        <v>0.177800960689137</v>
      </c>
      <c r="BW221" s="22" t="n">
        <f aca="false">BW179</f>
        <v>0.169019309205892</v>
      </c>
      <c r="BX221" s="22" t="n">
        <f aca="false">BX179</f>
        <v>0.183574479179905</v>
      </c>
      <c r="BY221" s="23" t="n">
        <f aca="false">BY179</f>
        <v>0.181310535246072</v>
      </c>
      <c r="BZ221" s="23" t="n">
        <f aca="false">BZ179</f>
        <v>0.187373846344212</v>
      </c>
      <c r="CA221" s="23" t="n">
        <f aca="false">CA179</f>
        <v>0.180505942643191</v>
      </c>
      <c r="CB221" s="23" t="n">
        <f aca="false">CB179</f>
        <v>0.182945276643346</v>
      </c>
      <c r="CC221" s="23" t="n">
        <f aca="false">CC179</f>
        <v>0.184765663234606</v>
      </c>
      <c r="CD221" s="23" t="n">
        <f aca="false">CD179</f>
        <v>0.185886514987073</v>
      </c>
      <c r="CE221" s="23" t="n">
        <f aca="false">CE179</f>
        <v>0.184922927940235</v>
      </c>
      <c r="CH221" s="41" t="n">
        <f aca="false">IFERROR(AVERAGE(CA221,CB221,CC221,CD221,CE221),"n/m")</f>
        <v>0.18380526508969</v>
      </c>
      <c r="CI221" s="41" t="n">
        <f aca="false">IFERROR(AVERAGE(BB221,BG221,BL221,BQ221,BV221),"n/m")</f>
        <v>0.170309320414292</v>
      </c>
      <c r="CJ221" s="41" t="n">
        <f aca="false">IFERROR(AVERAGE(AC221,AH221,AM221,AR221,AW221,BB221,BG221,BL221,BQ221,BV221),"n/m")</f>
        <v>0.153837319141497</v>
      </c>
      <c r="CK221" s="41" t="n">
        <f aca="false">IFERROR(AVERAGE(C221,D221,E221,F221,G221,H221,I221,N221,S221,X221,AC221,AH221,AM221,AR221,AW221,BB221,BG221,BL221,BQ221,BV221),"n/m")</f>
        <v>0.139196804969837</v>
      </c>
    </row>
    <row r="222" customFormat="false" ht="15" hidden="false" customHeight="false" outlineLevel="0" collapsed="false">
      <c r="B222" s="21" t="s">
        <v>329</v>
      </c>
      <c r="C222" s="22" t="n">
        <f aca="false">C185</f>
        <v>0.144403790224224</v>
      </c>
      <c r="D222" s="22" t="n">
        <f aca="false">D185</f>
        <v>0.150261927477569</v>
      </c>
      <c r="E222" s="22" t="n">
        <f aca="false">E185</f>
        <v>0.153043546307154</v>
      </c>
      <c r="F222" s="22" t="n">
        <f aca="false">F185</f>
        <v>0.103376829151933</v>
      </c>
      <c r="G222" s="22" t="n">
        <f aca="false">G185</f>
        <v>0.12149425265147</v>
      </c>
      <c r="H222" s="22" t="n">
        <f aca="false">H185</f>
        <v>0.136289532173313</v>
      </c>
      <c r="I222" s="22" t="n">
        <f aca="false">I185</f>
        <v>0.15625119376512</v>
      </c>
      <c r="J222" s="22" t="n">
        <f aca="false">J185</f>
        <v>0.165203813669592</v>
      </c>
      <c r="K222" s="22" t="n">
        <f aca="false">K185</f>
        <v>0.174573018508947</v>
      </c>
      <c r="L222" s="22" t="n">
        <f aca="false">L185</f>
        <v>0.175595302619693</v>
      </c>
      <c r="M222" s="22" t="n">
        <f aca="false">M185</f>
        <v>0.194522594716498</v>
      </c>
      <c r="N222" s="22" t="n">
        <f aca="false">N185</f>
        <v>0.17745965097272</v>
      </c>
      <c r="O222" s="22" t="n">
        <f aca="false">O185</f>
        <v>0.173212059638398</v>
      </c>
      <c r="P222" s="22" t="n">
        <f aca="false">P185</f>
        <v>0.188325548260815</v>
      </c>
      <c r="Q222" s="22" t="n">
        <f aca="false">Q185</f>
        <v>0.173960605048779</v>
      </c>
      <c r="R222" s="22" t="n">
        <f aca="false">R185</f>
        <v>0.180667120888247</v>
      </c>
      <c r="S222" s="22" t="n">
        <f aca="false">S185</f>
        <v>0.179128674834466</v>
      </c>
      <c r="T222" s="22" t="n">
        <f aca="false">T185</f>
        <v>0.1671834625323</v>
      </c>
      <c r="U222" s="22" t="n">
        <f aca="false">U185</f>
        <v>0.173012004693564</v>
      </c>
      <c r="V222" s="22" t="n">
        <f aca="false">V185</f>
        <v>0.176522011389317</v>
      </c>
      <c r="W222" s="22" t="n">
        <f aca="false">W185</f>
        <v>0.182980184335854</v>
      </c>
      <c r="X222" s="22" t="n">
        <f aca="false">X185</f>
        <v>0.174625590200454</v>
      </c>
      <c r="Y222" s="22" t="n">
        <f aca="false">Y185</f>
        <v>0.167423854503724</v>
      </c>
      <c r="Z222" s="22" t="n">
        <f aca="false">Z185</f>
        <v>0.169582963380586</v>
      </c>
      <c r="AA222" s="22" t="n">
        <f aca="false">AA185</f>
        <v>0.176190794967286</v>
      </c>
      <c r="AB222" s="22" t="n">
        <f aca="false">AB185</f>
        <v>0.179334832608526</v>
      </c>
      <c r="AC222" s="22" t="n">
        <f aca="false">AC185</f>
        <v>0.173126517290406</v>
      </c>
      <c r="AD222" s="22" t="n">
        <f aca="false">AD185</f>
        <v>0.177342971301281</v>
      </c>
      <c r="AE222" s="22" t="n">
        <f aca="false">AE185</f>
        <v>0.174450992090713</v>
      </c>
      <c r="AF222" s="22" t="n">
        <f aca="false">AF185</f>
        <v>0.16874461344514</v>
      </c>
      <c r="AG222" s="22" t="n">
        <f aca="false">AG185</f>
        <v>0.151376165206743</v>
      </c>
      <c r="AH222" s="22" t="n">
        <f aca="false">AH185</f>
        <v>0.167065927814448</v>
      </c>
      <c r="AI222" s="22" t="n">
        <f aca="false">AI185</f>
        <v>0.157864103809443</v>
      </c>
      <c r="AJ222" s="22" t="n">
        <f aca="false">AJ185</f>
        <v>0.164032240915788</v>
      </c>
      <c r="AK222" s="22" t="n">
        <f aca="false">AK185</f>
        <v>0.16981979354198</v>
      </c>
      <c r="AL222" s="22" t="n">
        <f aca="false">AL185</f>
        <v>0.162213794336586</v>
      </c>
      <c r="AM222" s="22" t="n">
        <f aca="false">AM185</f>
        <v>0.163451068025149</v>
      </c>
      <c r="AN222" s="22" t="n">
        <f aca="false">AN185</f>
        <v>0.159998893534289</v>
      </c>
      <c r="AO222" s="22" t="n">
        <f aca="false">AO185</f>
        <v>0.167178458909046</v>
      </c>
      <c r="AP222" s="22" t="n">
        <f aca="false">AP185</f>
        <v>0.15715745987523</v>
      </c>
      <c r="AQ222" s="22" t="n">
        <f aca="false">AQ185</f>
        <v>0.157578292750171</v>
      </c>
      <c r="AR222" s="22" t="n">
        <f aca="false">AR185</f>
        <v>0.160571536644034</v>
      </c>
      <c r="AS222" s="22" t="n">
        <f aca="false">AS185</f>
        <v>0.156323941475033</v>
      </c>
      <c r="AT222" s="22" t="n">
        <f aca="false">AT185</f>
        <v>0.14589311136955</v>
      </c>
      <c r="AU222" s="22" t="n">
        <f aca="false">AU185</f>
        <v>0.161145064644604</v>
      </c>
      <c r="AV222" s="22" t="n">
        <f aca="false">AV185</f>
        <v>0.168910368207278</v>
      </c>
      <c r="AW222" s="22" t="n">
        <f aca="false">AW185</f>
        <v>0.158506439707765</v>
      </c>
      <c r="AX222" s="22" t="n">
        <f aca="false">AX185</f>
        <v>0.174092924766948</v>
      </c>
      <c r="AY222" s="22" t="n">
        <f aca="false">AY185</f>
        <v>0.178890779160123</v>
      </c>
      <c r="AZ222" s="22" t="n">
        <f aca="false">AZ185</f>
        <v>0.18217406076478</v>
      </c>
      <c r="BA222" s="22" t="n">
        <f aca="false">BA185</f>
        <v>0.172770893963999</v>
      </c>
      <c r="BB222" s="22" t="n">
        <f aca="false">BB185</f>
        <v>0.176988912181759</v>
      </c>
      <c r="BC222" s="22" t="n">
        <f aca="false">BC185</f>
        <v>0.198112697850122</v>
      </c>
      <c r="BD222" s="22" t="n">
        <f aca="false">BD185</f>
        <v>0.192743523286671</v>
      </c>
      <c r="BE222" s="22" t="n">
        <f aca="false">BE185</f>
        <v>0.188214789786579</v>
      </c>
      <c r="BF222" s="22" t="n">
        <f aca="false">BF185</f>
        <v>0.181279231395566</v>
      </c>
      <c r="BG222" s="22" t="n">
        <f aca="false">BG185</f>
        <v>0.190101007361725</v>
      </c>
      <c r="BH222" s="22" t="n">
        <f aca="false">BH185</f>
        <v>0.185650935254291</v>
      </c>
      <c r="BI222" s="22" t="n">
        <f aca="false">BI185</f>
        <v>0.200730742575891</v>
      </c>
      <c r="BJ222" s="22" t="n">
        <f aca="false">BJ185</f>
        <v>0.199045889815663</v>
      </c>
      <c r="BK222" s="22" t="n">
        <f aca="false">BK185</f>
        <v>0.19515566161619</v>
      </c>
      <c r="BL222" s="22" t="n">
        <f aca="false">BL185</f>
        <v>0.195161030203959</v>
      </c>
      <c r="BM222" s="22" t="n">
        <f aca="false">BM185</f>
        <v>0.199003869763157</v>
      </c>
      <c r="BN222" s="22" t="n">
        <f aca="false">BN185</f>
        <v>0.197599451101761</v>
      </c>
      <c r="BO222" s="22" t="n">
        <f aca="false">BO185</f>
        <v>0.197936689778696</v>
      </c>
      <c r="BP222" s="22" t="n">
        <f aca="false">BP185</f>
        <v>0.20544875840361</v>
      </c>
      <c r="BQ222" s="22" t="n">
        <f aca="false">BQ185</f>
        <v>0.20002719106337</v>
      </c>
      <c r="BR222" s="22" t="n">
        <f aca="false">BR185</f>
        <v>0.192826875669562</v>
      </c>
      <c r="BS222" s="22" t="n">
        <f aca="false">BS185</f>
        <v>0.205397764066896</v>
      </c>
      <c r="BT222" s="22" t="n">
        <f aca="false">BT185</f>
        <v>0.200043911434594</v>
      </c>
      <c r="BU222" s="22" t="n">
        <f aca="false">BU185</f>
        <v>0.205431462434471</v>
      </c>
      <c r="BV222" s="22" t="n">
        <f aca="false">BV185</f>
        <v>0.201081359970687</v>
      </c>
      <c r="BW222" s="22" t="n">
        <f aca="false">BW185</f>
        <v>0.192211935789355</v>
      </c>
      <c r="BX222" s="22" t="n">
        <f aca="false">BX185</f>
        <v>0.204866426217734</v>
      </c>
      <c r="BY222" s="23" t="n">
        <f aca="false">BY185</f>
        <v>0.202602482283901</v>
      </c>
      <c r="BZ222" s="23" t="n">
        <f aca="false">BZ185</f>
        <v>0.208665793382041</v>
      </c>
      <c r="CA222" s="23" t="n">
        <f aca="false">CA185</f>
        <v>0.202249495133156</v>
      </c>
      <c r="CB222" s="23" t="n">
        <f aca="false">CB185</f>
        <v>0.206567898469492</v>
      </c>
      <c r="CC222" s="23" t="n">
        <f aca="false">CC185</f>
        <v>0.209548667328957</v>
      </c>
      <c r="CD222" s="23" t="n">
        <f aca="false">CD185</f>
        <v>0.211722052911343</v>
      </c>
      <c r="CE222" s="23" t="n">
        <f aca="false">CE185</f>
        <v>0.211714389223848</v>
      </c>
      <c r="CH222" s="41" t="n">
        <f aca="false">IFERROR(AVERAGE(CA222,CB222,CC222,CD222,CE222),"n/m")</f>
        <v>0.208360500613359</v>
      </c>
      <c r="CI222" s="41" t="n">
        <f aca="false">IFERROR(AVERAGE(BB222,BG222,BL222,BQ222,BV222),"n/m")</f>
        <v>0.1926719001563</v>
      </c>
      <c r="CJ222" s="41" t="n">
        <f aca="false">IFERROR(AVERAGE(AC222,AH222,AM222,AR222,AW222,BB222,BG222,BL222,BQ222,BV222),"n/m")</f>
        <v>0.17860809902633</v>
      </c>
      <c r="CK222" s="41" t="n">
        <f aca="false">IFERROR(AVERAGE(C222,D222,E222,F222,G222,H222,I222,N222,S222,X222,AC222,AH222,AM222,AR222,AW222,BB222,BG222,BL222,BQ222,BV222),"n/m")</f>
        <v>0.164120798901086</v>
      </c>
    </row>
    <row r="223" customFormat="false" ht="15" hidden="false" customHeight="false" outlineLevel="0" collapsed="false">
      <c r="B223" s="21" t="s">
        <v>357</v>
      </c>
      <c r="D223" s="22" t="n">
        <f aca="false">IF(AND(ISNUMBER(D178),ISNUMBER(C178)),IFERROR((D178-C178)/(D133-C133),""),"")</f>
        <v>0.172170078577002</v>
      </c>
      <c r="E223" s="22" t="n">
        <f aca="false">IF(AND(ISNUMBER(E178),ISNUMBER(D178)),IFERROR((E178-D178)/(E133-D133),""),"")</f>
        <v>0.163274463440334</v>
      </c>
      <c r="F223" s="22" t="n">
        <f aca="false">IF(AND(ISNUMBER(F178),ISNUMBER(E178)),IFERROR((F178-E178)/(F133-E133),""),"")</f>
        <v>0.26714818776122</v>
      </c>
      <c r="G223" s="22" t="n">
        <f aca="false">IF(AND(ISNUMBER(G178),ISNUMBER(F178)),IFERROR((G178-F178)/(G133-F133),""),"")</f>
        <v>0.211175550842361</v>
      </c>
      <c r="H223" s="22" t="n">
        <f aca="false">IF(AND(ISNUMBER(H178),ISNUMBER(G178)),IFERROR((H178-G178)/(H133-G133),""),"")</f>
        <v>0.17782258258239</v>
      </c>
      <c r="I223" s="22" t="n">
        <f aca="false">IF(AND(ISNUMBER(I178),ISNUMBER(H178)),IFERROR((I178-H178)/(I133-H133),""),"")</f>
        <v>0.474382393328212</v>
      </c>
      <c r="N223" s="22" t="n">
        <f aca="false">IF(AND(ISNUMBER(N178),ISNUMBER(I178)),IFERROR((N178-I178)/(N133-I133),""),"")</f>
        <v>-81.6709770114504</v>
      </c>
      <c r="O223" s="22" t="n">
        <f aca="false">IF(AND(ISNUMBER(O178),ISNUMBER(J178)),IFERROR((O178-J178)/(O133-J133),""),"")</f>
        <v>0.017427113485124</v>
      </c>
      <c r="P223" s="22" t="n">
        <f aca="false">IF(AND(ISNUMBER(P178),ISNUMBER(K178)),IFERROR((P178-K178)/(P133-K133),""),"")</f>
        <v>8.55323020928163</v>
      </c>
      <c r="Q223" s="22" t="n">
        <f aca="false">IF(AND(ISNUMBER(Q178),ISNUMBER(L178)),IFERROR((Q178-L178)/(Q133-L133),""),"")</f>
        <v>0.135386160153964</v>
      </c>
      <c r="R223" s="22" t="n">
        <f aca="false">IF(AND(ISNUMBER(R178),ISNUMBER(M178)),IFERROR((R178-M178)/(R133-M133),""),"")</f>
        <v>0.488471641210236</v>
      </c>
      <c r="S223" s="22" t="n">
        <f aca="false">IF(AND(ISNUMBER(S178),ISNUMBER(N178)),IFERROR((S178-N178)/(S133-N133),""),"")</f>
        <v>0.0765242585203371</v>
      </c>
      <c r="T223" s="22" t="n">
        <f aca="false">IF(AND(ISNUMBER(T178),ISNUMBER(O178)),IFERROR((T178-O178)/(T133-O133),""),"")</f>
        <v>0.249318901406377</v>
      </c>
      <c r="U223" s="22" t="n">
        <f aca="false">IF(AND(ISNUMBER(U178),ISNUMBER(P178)),IFERROR((U178-P178)/(U133-P133),""),"")</f>
        <v>0.312112993996018</v>
      </c>
      <c r="V223" s="22" t="n">
        <f aca="false">IF(AND(ISNUMBER(V178),ISNUMBER(Q178)),IFERROR((V178-Q178)/(V133-Q133),""),"")</f>
        <v>0.137273229383524</v>
      </c>
      <c r="W223" s="22" t="n">
        <f aca="false">IF(AND(ISNUMBER(W178),ISNUMBER(R178)),IFERROR((W178-R178)/(W133-R133),""),"")</f>
        <v>0.165199320508066</v>
      </c>
      <c r="X223" s="22" t="n">
        <f aca="false">IF(AND(ISNUMBER(X178),ISNUMBER(S178)),IFERROR((X178-S178)/(X133-S133),""),"")</f>
        <v>0.200095123823112</v>
      </c>
      <c r="Y223" s="22" t="n">
        <f aca="false">IF(AND(ISNUMBER(Y178),ISNUMBER(T178)),IFERROR((Y178-T178)/(Y133-T133),""),"")</f>
        <v>0.162150814532833</v>
      </c>
      <c r="Z223" s="22" t="n">
        <f aca="false">IF(AND(ISNUMBER(Z178),ISNUMBER(U178)),IFERROR((Z178-U178)/(Z133-U133),""),"")</f>
        <v>0.213835347473797</v>
      </c>
      <c r="AA223" s="22" t="n">
        <f aca="false">IF(AND(ISNUMBER(AA178),ISNUMBER(V178)),IFERROR((AA178-V178)/(AA133-V133),""),"")</f>
        <v>0.180030959752323</v>
      </c>
      <c r="AB223" s="22" t="n">
        <f aca="false">IF(AND(ISNUMBER(AB178),ISNUMBER(W178)),IFERROR((AB178-W178)/(AB133-W133),""),"")</f>
        <v>0.789992783257154</v>
      </c>
      <c r="AC223" s="22" t="n">
        <f aca="false">IF(AND(ISNUMBER(AC178),ISNUMBER(X178)),IFERROR((AC178-X178)/(AC133-X133),""),"")</f>
        <v>0.19176267435494</v>
      </c>
      <c r="AD223" s="22" t="n">
        <f aca="false">IF(AND(ISNUMBER(AD178),ISNUMBER(Y178)),IFERROR((AD178-Y178)/(AD133-Y133),""),"")</f>
        <v>0.340447390223697</v>
      </c>
      <c r="AE223" s="22" t="n">
        <f aca="false">IF(AND(ISNUMBER(AE178),ISNUMBER(Z178)),IFERROR((AE178-Z178)/(AE133-Z133),""),"")</f>
        <v>0.280458768873402</v>
      </c>
      <c r="AF223" s="22" t="n">
        <f aca="false">IF(AND(ISNUMBER(AF178),ISNUMBER(AA178)),IFERROR((AF178-AA178)/(AF133-AA133),""),"")</f>
        <v>0.105758751043252</v>
      </c>
      <c r="AG223" s="22" t="n">
        <f aca="false">IF(AND(ISNUMBER(AG178),ISNUMBER(AB178)),IFERROR((AG178-AB178)/(AG133-AB133),""),"")</f>
        <v>0.0595123175008313</v>
      </c>
      <c r="AH223" s="22" t="n">
        <f aca="false">IF(AND(ISNUMBER(AH178),ISNUMBER(AC178)),IFERROR((AH178-AC178)/(AH133-AC133),""),"")</f>
        <v>0.118962200236123</v>
      </c>
      <c r="AI223" s="22" t="n">
        <f aca="false">IF(AND(ISNUMBER(AI178),ISNUMBER(AD178)),IFERROR((AI178-AD178)/(AI133-AD133),""),"")</f>
        <v>0.0827323683957488</v>
      </c>
      <c r="AJ223" s="22" t="n">
        <f aca="false">IF(AND(ISNUMBER(AJ178),ISNUMBER(AE178)),IFERROR((AJ178-AE178)/(AJ133-AE133),""),"")</f>
        <v>0.109618000661789</v>
      </c>
      <c r="AK223" s="22" t="n">
        <f aca="false">IF(AND(ISNUMBER(AK178),ISNUMBER(AF178)),IFERROR((AK178-AF178)/(AK133-AF133),""),"")</f>
        <v>0.1927138800142</v>
      </c>
      <c r="AL223" s="22" t="n">
        <f aca="false">IF(AND(ISNUMBER(AL178),ISNUMBER(AG178)),IFERROR((AL178-AG178)/(AL133-AG133),""),"")</f>
        <v>-2.02829064919599</v>
      </c>
      <c r="AM223" s="22" t="n">
        <f aca="false">IF(AND(ISNUMBER(AM178),ISNUMBER(AH178)),IFERROR((AM178-AH178)/(AM133-AH133),""),"")</f>
        <v>0.129516157360795</v>
      </c>
      <c r="AN223" s="22" t="n">
        <f aca="false">IF(AND(ISNUMBER(AN178),ISNUMBER(AI178)),IFERROR((AN178-AI178)/(AN133-AI133),""),"")</f>
        <v>0.73545331529095</v>
      </c>
      <c r="AO223" s="22" t="n">
        <f aca="false">IF(AND(ISNUMBER(AO178),ISNUMBER(AJ178)),IFERROR((AO178-AJ178)/(AO133-AJ133),""),"")</f>
        <v>0.142364305427782</v>
      </c>
      <c r="AP223" s="22" t="n">
        <f aca="false">IF(AND(ISNUMBER(AP178),ISNUMBER(AK178)),IFERROR((AP178-AK178)/(AP133-AK133),""),"")</f>
        <v>2.19300189993666</v>
      </c>
      <c r="AQ223" s="22" t="n">
        <f aca="false">IF(AND(ISNUMBER(AQ178),ISNUMBER(AL178)),IFERROR((AQ178-AL178)/(AQ133-AL133),""),"")</f>
        <v>0.973404255319143</v>
      </c>
      <c r="AR223" s="22" t="n">
        <f aca="false">IF(AND(ISNUMBER(AR178),ISNUMBER(AM178)),IFERROR((AR178-AM178)/(AR133-AM133),""),"")</f>
        <v>0.86375088575702</v>
      </c>
      <c r="AS223" s="22" t="n">
        <f aca="false">IF(AND(ISNUMBER(AS178),ISNUMBER(AN178)),IFERROR((AS178-AN178)/(AS133-AN133),""),"")</f>
        <v>0.24230977738139</v>
      </c>
      <c r="AT223" s="22" t="n">
        <f aca="false">IF(AND(ISNUMBER(AT178),ISNUMBER(AO178)),IFERROR((AT178-AO178)/(AT133-AO133),""),"")</f>
        <v>0.233061879633457</v>
      </c>
      <c r="AU223" s="22" t="n">
        <f aca="false">IF(AND(ISNUMBER(AU178),ISNUMBER(AP178)),IFERROR((AU178-AP178)/(AU133-AP133),""),"")</f>
        <v>0.0872445270215675</v>
      </c>
      <c r="AV223" s="22" t="n">
        <f aca="false">IF(AND(ISNUMBER(AV178),ISNUMBER(AQ178)),IFERROR((AV178-AQ178)/(AV133-AQ133),""),"")</f>
        <v>-0.0546656316891293</v>
      </c>
      <c r="AW223" s="22" t="n">
        <f aca="false">IF(AND(ISNUMBER(AW178),ISNUMBER(AR178)),IFERROR((AW178-AR178)/(AW133-AR133),""),"")</f>
        <v>0.173474726336124</v>
      </c>
      <c r="AX223" s="22" t="n">
        <f aca="false">IF(AND(ISNUMBER(AX178),ISNUMBER(AS178)),IFERROR((AX178-AS178)/(AX133-AS133),""),"")</f>
        <v>0.435471560966745</v>
      </c>
      <c r="AY223" s="22" t="n">
        <f aca="false">IF(AND(ISNUMBER(AY178),ISNUMBER(AT178)),IFERROR((AY178-AT178)/(AY133-AT133),""),"")</f>
        <v>0.264382103025958</v>
      </c>
      <c r="AZ223" s="22" t="n">
        <f aca="false">IF(AND(ISNUMBER(AZ178),ISNUMBER(AU178)),IFERROR((AZ178-AU178)/(AZ133-AU133),""),"")</f>
        <v>0.265799688876611</v>
      </c>
      <c r="BA223" s="22" t="n">
        <f aca="false">IF(AND(ISNUMBER(BA178),ISNUMBER(AV178)),IFERROR((BA178-AV178)/(BA133-AV133),""),"")</f>
        <v>0.186172793555634</v>
      </c>
      <c r="BB223" s="22" t="n">
        <f aca="false">IF(AND(ISNUMBER(BB178),ISNUMBER(AW178)),IFERROR((BB178-AW178)/(BB133-AW133),""),"")</f>
        <v>0.260655171222226</v>
      </c>
      <c r="BC223" s="22" t="n">
        <f aca="false">IF(AND(ISNUMBER(BC178),ISNUMBER(AX178)),IFERROR((BC178-AX178)/(BC133-AX133),""),"")</f>
        <v>0.301483728855825</v>
      </c>
      <c r="BD223" s="22" t="n">
        <f aca="false">IF(AND(ISNUMBER(BD178),ISNUMBER(AY178)),IFERROR((BD178-AY178)/(BD133-AY133),""),"")</f>
        <v>0.269389038320468</v>
      </c>
      <c r="BE223" s="22" t="n">
        <f aca="false">IF(AND(ISNUMBER(BE178),ISNUMBER(AZ178)),IFERROR((BE178-AZ178)/(BE133-AZ133),""),"")</f>
        <v>0.247783144130574</v>
      </c>
      <c r="BF223" s="22" t="n">
        <f aca="false">IF(AND(ISNUMBER(BF178),ISNUMBER(BA178)),IFERROR((BF178-BA178)/(BF133-BA133),""),"")</f>
        <v>0.281889182423312</v>
      </c>
      <c r="BG223" s="22" t="n">
        <f aca="false">IF(AND(ISNUMBER(BG178),ISNUMBER(BB178)),IFERROR((BG178-BB178)/(BG133-BB133),""),"")</f>
        <v>0.27642207004901</v>
      </c>
      <c r="BH223" s="22" t="n">
        <f aca="false">IF(AND(ISNUMBER(BH178),ISNUMBER(BC178)),IFERROR((BH178-BC178)/(BH133-BC133),""),"")</f>
        <v>0.0720663769261173</v>
      </c>
      <c r="BI223" s="22" t="n">
        <f aca="false">IF(AND(ISNUMBER(BI178),ISNUMBER(BD178)),IFERROR((BI178-BD178)/(BI133-BD133),""),"")</f>
        <v>0.263333186774534</v>
      </c>
      <c r="BJ223" s="22" t="n">
        <f aca="false">IF(AND(ISNUMBER(BJ178),ISNUMBER(BE178)),IFERROR((BJ178-BE178)/(BJ133-BE133),""),"")</f>
        <v>0.279584379529262</v>
      </c>
      <c r="BK223" s="22" t="n">
        <f aca="false">IF(AND(ISNUMBER(BK178),ISNUMBER(BF178)),IFERROR((BK178-BF178)/(BK133-BF133),""),"")</f>
        <v>0.273530333908136</v>
      </c>
      <c r="BL223" s="22" t="n">
        <f aca="false">IF(AND(ISNUMBER(BL178),ISNUMBER(BG178)),IFERROR((BL178-BG178)/(BL133-BG133),""),"")</f>
        <v>0.219371551373644</v>
      </c>
      <c r="BM223" s="22" t="n">
        <f aca="false">IF(AND(ISNUMBER(BM178),ISNUMBER(BH178)),IFERROR((BM178-BH178)/(BM133-BH133),""),"")</f>
        <v>-0.0346713445464848</v>
      </c>
      <c r="BN223" s="22" t="n">
        <f aca="false">IF(AND(ISNUMBER(BN178),ISNUMBER(BI178)),IFERROR((BN178-BI178)/(BN133-BI133),""),"")</f>
        <v>0.255953911835814</v>
      </c>
      <c r="BO223" s="22" t="n">
        <f aca="false">IF(AND(ISNUMBER(BO178),ISNUMBER(BJ178)),IFERROR((BO178-BJ178)/(BO133-BJ133),""),"")</f>
        <v>0.24446466484683</v>
      </c>
      <c r="BP223" s="22" t="n">
        <f aca="false">IF(AND(ISNUMBER(BP178),ISNUMBER(BK178)),IFERROR((BP178-BK178)/(BP133-BK133),""),"")</f>
        <v>-0.0610147191842792</v>
      </c>
      <c r="BQ223" s="22" t="n">
        <f aca="false">IF(AND(ISNUMBER(BQ178),ISNUMBER(BL178)),IFERROR((BQ178-BL178)/(BQ133-BL133),""),"")</f>
        <v>0.0971164041406636</v>
      </c>
      <c r="BR223" s="22" t="n">
        <f aca="false">IF(AND(ISNUMBER(BR178),ISNUMBER(BM178)),IFERROR((BR178-BM178)/(BR133-BM133),""),"")</f>
        <v>-0.163296106248115</v>
      </c>
      <c r="BS223" s="22" t="n">
        <f aca="false">IF(AND(ISNUMBER(BS178),ISNUMBER(BN178)),IFERROR((BS178-BN178)/(BS133-BN133),""),"")</f>
        <v>0.270637408568443</v>
      </c>
      <c r="BT223" s="22" t="n">
        <f aca="false">IF(AND(ISNUMBER(BT178),ISNUMBER(BO178)),IFERROR((BT178-BO178)/(BT133-BO133),""),"")</f>
        <v>0.199695358083338</v>
      </c>
      <c r="BU223" s="22" t="n">
        <f aca="false">IF(AND(ISNUMBER(BU178),ISNUMBER(BP178)),IFERROR((BU178-BP178)/(BU133-BP133),""),"")</f>
        <v>0.162550278738268</v>
      </c>
      <c r="BV223" s="22" t="n">
        <f aca="false">IF(AND(ISNUMBER(BV178),ISNUMBER(BQ178)),IFERROR((BV178-BQ178)/(BV133-BQ133),""),"")</f>
        <v>0.173969054931728</v>
      </c>
      <c r="BW223" s="22" t="n">
        <f aca="false">IF(AND(ISNUMBER(BW178),ISNUMBER(BR178)),IFERROR((BW178-BR178)/(BW133-BR133),""),"")</f>
        <v>0.167925431027117</v>
      </c>
      <c r="BX223" s="22" t="n">
        <f aca="false">IF(AND(ISNUMBER(BX178),ISNUMBER(BS178)),IFERROR((BX178-BS178)/(BX133-BS133),""),"")</f>
        <v>0.188945721047408</v>
      </c>
      <c r="BY223" s="23" t="n">
        <f aca="false">IF(AND(ISNUMBER(BY178),ISNUMBER(BT178)),IFERROR((BY178-BT178)/(BY133-BT133),""),"")</f>
        <v>0.219949034879487</v>
      </c>
      <c r="BZ223" s="23" t="n">
        <f aca="false">IF(AND(ISNUMBER(BZ178),ISNUMBER(BU178)),IFERROR((BZ178-BU178)/(BZ133-BU133),""),"")</f>
        <v>0.241207692906654</v>
      </c>
      <c r="CA223" s="23" t="n">
        <f aca="false">IF(AND(ISNUMBER(CA178),ISNUMBER(BV178)),IFERROR((CA178-BV178)/(CA133-BV133),""),"")</f>
        <v>0.204027524852359</v>
      </c>
      <c r="CB223" s="23" t="n">
        <f aca="false">IF(AND(ISNUMBER(CB178),ISNUMBER(CA178)),IFERROR((CB178-CA178)/(CB133-CA133),""),"")</f>
        <v>0.221412284737599</v>
      </c>
      <c r="CC223" s="23" t="n">
        <f aca="false">IF(AND(ISNUMBER(CC178),ISNUMBER(CB178)),IFERROR((CC178-CB178)/(CC133-CB133),""),"")</f>
        <v>0.208867018448981</v>
      </c>
      <c r="CD223" s="23" t="n">
        <f aca="false">IF(AND(ISNUMBER(CD178),ISNUMBER(CC178)),IFERROR((CD178-CC178)/(CD133-CC133),""),"")</f>
        <v>0.201798519762725</v>
      </c>
      <c r="CE223" s="23" t="n">
        <f aca="false">IF(AND(ISNUMBER(CE178),ISNUMBER(CD178)),IFERROR((CE178-CD178)/(CE133-CD133),""),"")</f>
        <v>0.170911049706925</v>
      </c>
    </row>
    <row r="224" customFormat="false" ht="15" hidden="false" customHeight="false" outlineLevel="0" collapsed="false">
      <c r="B224" s="21" t="s">
        <v>358</v>
      </c>
      <c r="C224" s="22" t="n">
        <f aca="false">IF(AND(ISNUMBER(C140),ISNUMBER(C133)),IFERROR(C140/C133,""),"")</f>
        <v>0.118144037648682</v>
      </c>
      <c r="D224" s="22" t="n">
        <f aca="false">IF(AND(ISNUMBER(D140),ISNUMBER(D133)),IFERROR(D140/D133,""),"")</f>
        <v>0.121726564198977</v>
      </c>
      <c r="E224" s="22" t="n">
        <f aca="false">IF(AND(ISNUMBER(E140),ISNUMBER(E133)),IFERROR(E140/E133,""),"")</f>
        <v>0.119156268870019</v>
      </c>
      <c r="F224" s="22" t="n">
        <f aca="false">IF(AND(ISNUMBER(F140),ISNUMBER(F133)),IFERROR(F140/F133,""),"")</f>
        <v>0.0537655736330333</v>
      </c>
      <c r="G224" s="22" t="n">
        <f aca="false">IF(AND(ISNUMBER(G140),ISNUMBER(G133)),IFERROR(G140/G133,""),"")</f>
        <v>0.0900553190749367</v>
      </c>
      <c r="H224" s="22" t="n">
        <f aca="false">IF(AND(ISNUMBER(H140),ISNUMBER(H133)),IFERROR(H140/H133,""),"")</f>
        <v>0.110101317111314</v>
      </c>
      <c r="I224" s="22" t="n">
        <f aca="false">IF(AND(ISNUMBER(I140),ISNUMBER(I133)),IFERROR(I140/I133,""),"")</f>
        <v>0.126896049474183</v>
      </c>
      <c r="J224" s="22" t="n">
        <f aca="false">IF(AND(ISNUMBER(J140),ISNUMBER(J133)),IFERROR(J140/J133,""),"")</f>
        <v>0.123341678576846</v>
      </c>
      <c r="K224" s="22" t="n">
        <f aca="false">IF(AND(ISNUMBER(K140),ISNUMBER(K133)),IFERROR(K140/K133,""),"")</f>
        <v>0.143342607968855</v>
      </c>
      <c r="L224" s="22" t="n">
        <f aca="false">IF(AND(ISNUMBER(L140),ISNUMBER(L133)),IFERROR(L140/L133,""),"")</f>
        <v>0.137565311653117</v>
      </c>
      <c r="M224" s="22" t="n">
        <f aca="false">IF(AND(ISNUMBER(M140),ISNUMBER(M133)),IFERROR(M140/M133,""),"")</f>
        <v>0.166349324487857</v>
      </c>
      <c r="N224" s="22" t="n">
        <f aca="false">IF(AND(ISNUMBER(N140),ISNUMBER(N133)),IFERROR(N140/N133,""),"")</f>
        <v>0.142668046893595</v>
      </c>
      <c r="O224" s="22" t="n">
        <f aca="false">IF(AND(ISNUMBER(O140),ISNUMBER(O133)),IFERROR(O140/O133,""),"")</f>
        <v>0.117417109692261</v>
      </c>
      <c r="P224" s="22" t="n">
        <f aca="false">IF(AND(ISNUMBER(P140),ISNUMBER(P133)),IFERROR(P140/P133,""),"")</f>
        <v>0.154111492853427</v>
      </c>
      <c r="Q224" s="22" t="n">
        <f aca="false">IF(AND(ISNUMBER(Q140),ISNUMBER(Q133)),IFERROR(Q140/Q133,""),"")</f>
        <v>0.106341779632483</v>
      </c>
      <c r="R224" s="22" t="n">
        <f aca="false">IF(AND(ISNUMBER(R140),ISNUMBER(R133)),IFERROR(R140/R133,""),"")</f>
        <v>0.153397743123075</v>
      </c>
      <c r="S224" s="22" t="n">
        <f aca="false">IF(AND(ISNUMBER(S140),ISNUMBER(S133)),IFERROR(S140/S133,""),"")</f>
        <v>0.132848900446589</v>
      </c>
      <c r="T224" s="22" t="n">
        <f aca="false">IF(AND(ISNUMBER(T140),ISNUMBER(T133)),IFERROR(T140/T133,""),"")</f>
        <v>0.137557379540964</v>
      </c>
      <c r="U224" s="22" t="n">
        <f aca="false">IF(AND(ISNUMBER(U140),ISNUMBER(U133)),IFERROR(U140/U133,""),"")</f>
        <v>0.145601287721515</v>
      </c>
      <c r="V224" s="22" t="n">
        <f aca="false">IF(AND(ISNUMBER(V140),ISNUMBER(V133)),IFERROR(V140/V133,""),"")</f>
        <v>-0.130231599309325</v>
      </c>
      <c r="W224" s="22" t="n">
        <f aca="false">IF(AND(ISNUMBER(W140),ISNUMBER(W133)),IFERROR(W140/W133,""),"")</f>
        <v>0.13809343556608</v>
      </c>
      <c r="X224" s="22" t="n">
        <f aca="false">IF(AND(ISNUMBER(X140),ISNUMBER(X133)),IFERROR(X140/X133,""),"")</f>
        <v>0.071654170237216</v>
      </c>
      <c r="Y224" s="22" t="n">
        <f aca="false">IF(AND(ISNUMBER(Y140),ISNUMBER(Y133)),IFERROR(Y140/Y133,""),"")</f>
        <v>0.13671507584589</v>
      </c>
      <c r="Z224" s="22" t="n">
        <f aca="false">IF(AND(ISNUMBER(Z140),ISNUMBER(Z133)),IFERROR(Z140/Z133,""),"")</f>
        <v>0.0811622874389367</v>
      </c>
      <c r="AA224" s="22" t="n">
        <f aca="false">IF(AND(ISNUMBER(AA140),ISNUMBER(AA133)),IFERROR(AA140/AA133,""),"")</f>
        <v>0.144154983916032</v>
      </c>
      <c r="AB224" s="22" t="n">
        <f aca="false">IF(AND(ISNUMBER(AB140),ISNUMBER(AB133)),IFERROR(AB140/AB133,""),"")</f>
        <v>0.1473339387189</v>
      </c>
      <c r="AC224" s="22" t="n">
        <f aca="false">IF(AND(ISNUMBER(AC140),ISNUMBER(AC133)),IFERROR(AC140/AC133,""),"")</f>
        <v>0.126735349382357</v>
      </c>
      <c r="AD224" s="22" t="n">
        <f aca="false">IF(AND(ISNUMBER(AD140),ISNUMBER(AD133)),IFERROR(AD140/AD133,""),"")</f>
        <v>0.140276159112545</v>
      </c>
      <c r="AE224" s="22" t="n">
        <f aca="false">IF(AND(ISNUMBER(AE140),ISNUMBER(AE133)),IFERROR(AE140/AE133,""),"")</f>
        <v>0.139811568170144</v>
      </c>
      <c r="AF224" s="22" t="n">
        <f aca="false">IF(AND(ISNUMBER(AF140),ISNUMBER(AF133)),IFERROR(AF140/AF133,""),"")</f>
        <v>0.198762940801295</v>
      </c>
      <c r="AG224" s="22" t="n">
        <f aca="false">IF(AND(ISNUMBER(AG140),ISNUMBER(AG133)),IFERROR(AG140/AG133,""),"")</f>
        <v>0.101063324344038</v>
      </c>
      <c r="AH224" s="22" t="n">
        <f aca="false">IF(AND(ISNUMBER(AH140),ISNUMBER(AH133)),IFERROR(AH140/AH133,""),"")</f>
        <v>0.143921101373974</v>
      </c>
      <c r="AI224" s="22" t="n">
        <f aca="false">IF(AND(ISNUMBER(AI140),ISNUMBER(AI133)),IFERROR(AI140/AI133,""),"")</f>
        <v>0.112430315060394</v>
      </c>
      <c r="AJ224" s="22" t="n">
        <f aca="false">IF(AND(ISNUMBER(AJ140),ISNUMBER(AJ133)),IFERROR(AJ140/AJ133,""),"")</f>
        <v>0.119781989033633</v>
      </c>
      <c r="AK224" s="22" t="n">
        <f aca="false">IF(AND(ISNUMBER(AK140),ISNUMBER(AK133)),IFERROR(AK140/AK133,""),"")</f>
        <v>0.136734685571409</v>
      </c>
      <c r="AL224" s="22" t="n">
        <f aca="false">IF(AND(ISNUMBER(AL140),ISNUMBER(AL133)),IFERROR(AL140/AL133,""),"")</f>
        <v>0.127623761976911</v>
      </c>
      <c r="AM224" s="22" t="n">
        <f aca="false">IF(AND(ISNUMBER(AM140),ISNUMBER(AM133)),IFERROR(AM140/AM133,""),"")</f>
        <v>0.123994526977813</v>
      </c>
      <c r="AN224" s="22" t="n">
        <f aca="false">IF(AND(ISNUMBER(AN140),ISNUMBER(AN133)),IFERROR(AN140/AN133,""),"")</f>
        <v>0.124448413670647</v>
      </c>
      <c r="AO224" s="22" t="n">
        <f aca="false">IF(AND(ISNUMBER(AO140),ISNUMBER(AO133)),IFERROR(AO140/AO133,""),"")</f>
        <v>0.135373123571443</v>
      </c>
      <c r="AP224" s="22" t="n">
        <f aca="false">IF(AND(ISNUMBER(AP140),ISNUMBER(AP133)),IFERROR(AP140/AP133,""),"")</f>
        <v>0.121163190714617</v>
      </c>
      <c r="AQ224" s="22" t="n">
        <f aca="false">IF(AND(ISNUMBER(AQ140),ISNUMBER(AQ133)),IFERROR(AQ140/AQ133,""),"")</f>
        <v>0.112319996957791</v>
      </c>
      <c r="AR224" s="22" t="n">
        <f aca="false">IF(AND(ISNUMBER(AR140),ISNUMBER(AR133)),IFERROR(AR140/AR133,""),"")</f>
        <v>0.123501967187787</v>
      </c>
      <c r="AS224" s="22" t="n">
        <f aca="false">IF(AND(ISNUMBER(AS140),ISNUMBER(AS133)),IFERROR(AS140/AS133,""),"")</f>
        <v>0.115491509150402</v>
      </c>
      <c r="AT224" s="22" t="n">
        <f aca="false">IF(AND(ISNUMBER(AT140),ISNUMBER(AT133)),IFERROR(AT140/AT133,""),"")</f>
        <v>0.0673136660420126</v>
      </c>
      <c r="AU224" s="22" t="n">
        <f aca="false">IF(AND(ISNUMBER(AU140),ISNUMBER(AU133)),IFERROR(AU140/AU133,""),"")</f>
        <v>0.116301981796654</v>
      </c>
      <c r="AV224" s="22" t="n">
        <f aca="false">IF(AND(ISNUMBER(AV140),ISNUMBER(AV133)),IFERROR(AV140/AV133,""),"")</f>
        <v>0.120266246176819</v>
      </c>
      <c r="AW224" s="22" t="n">
        <f aca="false">IF(AND(ISNUMBER(AW140),ISNUMBER(AW133)),IFERROR(AW140/AW133,""),"")</f>
        <v>0.106225427430896</v>
      </c>
      <c r="AX224" s="22" t="n">
        <f aca="false">IF(AND(ISNUMBER(AX140),ISNUMBER(AX133)),IFERROR(AX140/AX133,""),"")</f>
        <v>0.137285491419657</v>
      </c>
      <c r="AY224" s="22" t="n">
        <f aca="false">IF(AND(ISNUMBER(AY140),ISNUMBER(AY133)),IFERROR(AY140/AY133,""),"")</f>
        <v>0.147403243253708</v>
      </c>
      <c r="AZ224" s="22" t="n">
        <f aca="false">IF(AND(ISNUMBER(AZ140),ISNUMBER(AZ133)),IFERROR(AZ140/AZ133,""),"")</f>
        <v>0.143306375813128</v>
      </c>
      <c r="BA224" s="22" t="n">
        <f aca="false">IF(AND(ISNUMBER(BA140),ISNUMBER(BA133)),IFERROR(BA140/BA133,""),"")</f>
        <v>0.142551208112279</v>
      </c>
      <c r="BB224" s="22" t="n">
        <f aca="false">IF(AND(ISNUMBER(BB140),ISNUMBER(BB133)),IFERROR(BB140/BB133,""),"")</f>
        <v>0.142746847732656</v>
      </c>
      <c r="BC224" s="22" t="n">
        <f aca="false">IF(AND(ISNUMBER(BC140),ISNUMBER(BC133)),IFERROR(BC140/BC133,""),"")</f>
        <v>0.174192391144613</v>
      </c>
      <c r="BD224" s="22" t="n">
        <f aca="false">IF(AND(ISNUMBER(BD140),ISNUMBER(BD133)),IFERROR(BD140/BD133,""),"")</f>
        <v>0.172787645074356</v>
      </c>
      <c r="BE224" s="22" t="n">
        <f aca="false">IF(AND(ISNUMBER(BE140),ISNUMBER(BE133)),IFERROR(BE140/BE133,""),"")</f>
        <v>0.151949232282623</v>
      </c>
      <c r="BF224" s="22" t="n">
        <f aca="false">IF(AND(ISNUMBER(BF140),ISNUMBER(BF133)),IFERROR(BF140/BF133,""),"")</f>
        <v>0.151984995713982</v>
      </c>
      <c r="BG224" s="22" t="n">
        <f aca="false">IF(AND(ISNUMBER(BG140),ISNUMBER(BG133)),IFERROR(BG140/BG133,""),"")</f>
        <v>0.162802884496509</v>
      </c>
      <c r="BH224" s="22" t="n">
        <f aca="false">IF(AND(ISNUMBER(BH140),ISNUMBER(BH133)),IFERROR(BH140/BH133,""),"")</f>
        <v>0.158142210992906</v>
      </c>
      <c r="BI224" s="22" t="n">
        <f aca="false">IF(AND(ISNUMBER(BI140),ISNUMBER(BI133)),IFERROR(BI140/BI133,""),"")</f>
        <v>0.167847326660789</v>
      </c>
      <c r="BJ224" s="22" t="n">
        <f aca="false">IF(AND(ISNUMBER(BJ140),ISNUMBER(BJ133)),IFERROR(BJ140/BJ133,""),"")</f>
        <v>0.165929807377755</v>
      </c>
      <c r="BK224" s="22" t="n">
        <f aca="false">IF(AND(ISNUMBER(BK140),ISNUMBER(BK133)),IFERROR(BK140/BK133,""),"")</f>
        <v>0.192752292364579</v>
      </c>
      <c r="BL224" s="22" t="n">
        <f aca="false">IF(AND(ISNUMBER(BL140),ISNUMBER(BL133)),IFERROR(BL140/BL133,""),"")</f>
        <v>0.171257475601412</v>
      </c>
      <c r="BM224" s="22" t="n">
        <f aca="false">IF(AND(ISNUMBER(BM140),ISNUMBER(BM133)),IFERROR(BM140/BM133,""),"")</f>
        <v>0.1682098498059</v>
      </c>
      <c r="BN224" s="22" t="n">
        <f aca="false">IF(AND(ISNUMBER(BN140),ISNUMBER(BN133)),IFERROR(BN140/BN133,""),"")</f>
        <v>0.145679237101919</v>
      </c>
      <c r="BO224" s="22" t="n">
        <f aca="false">IF(AND(ISNUMBER(BO140),ISNUMBER(BO133)),IFERROR(BO140/BO133,""),"")</f>
        <v>0.147963068190482</v>
      </c>
      <c r="BP224" s="22" t="n">
        <f aca="false">IF(AND(ISNUMBER(BP140),ISNUMBER(BP133)),IFERROR(BP140/BP133,""),"")</f>
        <v>0.173201204268755</v>
      </c>
      <c r="BQ224" s="22" t="n">
        <f aca="false">IF(AND(ISNUMBER(BQ140),ISNUMBER(BQ133)),IFERROR(BQ140/BQ133,""),"")</f>
        <v>0.158771363070545</v>
      </c>
      <c r="BR224" s="22" t="n">
        <f aca="false">IF(AND(ISNUMBER(BR140),ISNUMBER(BR133)),IFERROR(BR140/BR133,""),"")</f>
        <v>0.164197501364015</v>
      </c>
      <c r="BS224" s="22" t="n">
        <f aca="false">IF(AND(ISNUMBER(BS140),ISNUMBER(BS133)),IFERROR(BS140/BS133,""),"")</f>
        <v>0.176493768101165</v>
      </c>
      <c r="BT224" s="22" t="n">
        <f aca="false">IF(AND(ISNUMBER(BT140),ISNUMBER(BT133)),IFERROR(BT140/BT133,""),"")</f>
        <v>0.16646485624659</v>
      </c>
      <c r="BU224" s="22" t="n">
        <f aca="false">IF(AND(ISNUMBER(BU140),ISNUMBER(BU133)),IFERROR(BU140/BU133,""),"")</f>
        <v>0.170888510867096</v>
      </c>
      <c r="BV224" s="22" t="n">
        <f aca="false">IF(AND(ISNUMBER(BV140),ISNUMBER(BV133)),IFERROR(BV140/BV133,""),"")</f>
        <v>0.169633472974151</v>
      </c>
      <c r="BW224" s="22" t="n">
        <f aca="false">IF(AND(ISNUMBER(BW140),ISNUMBER(BW133)),IFERROR(BW140/BW133,""),"")</f>
        <v>0.165999960764521</v>
      </c>
      <c r="BX224" s="22" t="n">
        <f aca="false">IF(AND(ISNUMBER(BX140),ISNUMBER(BX133)),IFERROR(BX140/BX133,""),"")</f>
        <v>0.1809057092</v>
      </c>
      <c r="BY224" s="23" t="n">
        <f aca="false">IF(AND(ISNUMBER(BY140),ISNUMBER(BY133)),IFERROR(BY140/BY133,""),"")</f>
        <v>0.178644800526453</v>
      </c>
      <c r="BZ224" s="23" t="n">
        <f aca="false">IF(AND(ISNUMBER(BZ140),ISNUMBER(BZ133)),IFERROR(BZ140/BZ133,""),"")</f>
        <v>0.184718171018071</v>
      </c>
      <c r="CA224" s="23" t="n">
        <f aca="false">IF(AND(ISNUMBER(CA140),ISNUMBER(CA133)),IFERROR(CA140/CA133,""),"")</f>
        <v>0.177757943883088</v>
      </c>
      <c r="CB224" s="23" t="n">
        <f aca="false">IF(AND(ISNUMBER(CB140),ISNUMBER(CB133)),IFERROR(CB140/CB133,""),"")</f>
        <v>0.179558213909116</v>
      </c>
      <c r="CC224" s="23" t="n">
        <f aca="false">IF(AND(ISNUMBER(CC140),ISNUMBER(CC133)),IFERROR(CC140/CC133,""),"")</f>
        <v>0.181616461197831</v>
      </c>
      <c r="CD224" s="23" t="n">
        <f aca="false">IF(AND(ISNUMBER(CD140),ISNUMBER(CD133)),IFERROR(CD140/CD133,""),"")</f>
        <v>0.182944547046115</v>
      </c>
      <c r="CE224" s="23" t="n">
        <f aca="false">IF(AND(ISNUMBER(CE140),ISNUMBER(CE133)),IFERROR(CE140/CE133,""),"")</f>
        <v>0.182170259105989</v>
      </c>
      <c r="CH224" s="41" t="n">
        <f aca="false">IFERROR(AVERAGE(CA224,CB224,CC224,CD224,CE224),"n/m")</f>
        <v>0.180809485028428</v>
      </c>
      <c r="CI224" s="41" t="n">
        <f aca="false">IFERROR(AVERAGE(BB224,BG224,BL224,BQ224,BV224),"n/m")</f>
        <v>0.161042408775054</v>
      </c>
      <c r="CJ224" s="41" t="n">
        <f aca="false">IFERROR(AVERAGE(AC224,AH224,AM224,AR224,AW224,BB224,BG224,BL224,BQ224,BV224),"n/m")</f>
        <v>0.14295904162281</v>
      </c>
      <c r="CK224" s="41" t="n">
        <f aca="false">IFERROR(AVERAGE(C224,D224,E224,F224,G224,H224,I224,N224,S224,X224,AC224,AH224,AM224,AR224,AW224,BB224,BG224,BL224,BQ224,BV224),"n/m")</f>
        <v>0.125830333190832</v>
      </c>
    </row>
    <row r="225" customFormat="false" ht="15" hidden="false" customHeight="false" outlineLevel="0" collapsed="false">
      <c r="B225" s="21" t="s">
        <v>359</v>
      </c>
      <c r="C225" s="22" t="n">
        <f aca="false">C192</f>
        <v>0.115343714105324</v>
      </c>
      <c r="D225" s="22" t="n">
        <f aca="false">D192</f>
        <v>0.12164413640222</v>
      </c>
      <c r="E225" s="22" t="n">
        <f aca="false">E192</f>
        <v>0.126969893886204</v>
      </c>
      <c r="F225" s="22" t="n">
        <f aca="false">F192</f>
        <v>0.0701619455439676</v>
      </c>
      <c r="G225" s="22" t="n">
        <f aca="false">G192</f>
        <v>0.0913783975437789</v>
      </c>
      <c r="H225" s="22" t="n">
        <f aca="false">H192</f>
        <v>0.110205970513718</v>
      </c>
      <c r="I225" s="22" t="n">
        <f aca="false">I192</f>
        <v>0.13065827143862</v>
      </c>
      <c r="J225" s="22" t="n">
        <f aca="false">J192</f>
        <v>0.138247610194093</v>
      </c>
      <c r="K225" s="22" t="n">
        <f aca="false">K192</f>
        <v>0.148001462679673</v>
      </c>
      <c r="L225" s="22" t="n">
        <f aca="false">L192</f>
        <v>0.146673893405601</v>
      </c>
      <c r="M225" s="22" t="n">
        <f aca="false">M192</f>
        <v>0.1676979704557</v>
      </c>
      <c r="N225" s="22" t="n">
        <f aca="false">N192</f>
        <v>0.150157869589588</v>
      </c>
      <c r="O225" s="22" t="n">
        <f aca="false">O192</f>
        <v>0.143178281673776</v>
      </c>
      <c r="P225" s="22" t="n">
        <f aca="false">P192</f>
        <v>0.160019271657623</v>
      </c>
      <c r="Q225" s="22" t="n">
        <f aca="false">Q192</f>
        <v>0.146952193211014</v>
      </c>
      <c r="R225" s="22" t="n">
        <f aca="false">R192</f>
        <v>0.153640449503914</v>
      </c>
      <c r="S225" s="22" t="n">
        <f aca="false">S192</f>
        <v>0.151043036635667</v>
      </c>
      <c r="T225" s="22" t="n">
        <f aca="false">T192</f>
        <v>0.137557379540964</v>
      </c>
      <c r="U225" s="22" t="n">
        <f aca="false">U192</f>
        <v>0.147465174353883</v>
      </c>
      <c r="V225" s="22" t="n">
        <f aca="false">V192</f>
        <v>0.150505451310206</v>
      </c>
      <c r="W225" s="22" t="n">
        <f aca="false">W192</f>
        <v>0.151384279514424</v>
      </c>
      <c r="X225" s="22" t="n">
        <f aca="false">X192</f>
        <v>0.146545989003037</v>
      </c>
      <c r="Y225" s="22" t="n">
        <f aca="false">Y192</f>
        <v>0.13671507584589</v>
      </c>
      <c r="Z225" s="22" t="n">
        <f aca="false">Z192</f>
        <v>0.139141619599675</v>
      </c>
      <c r="AA225" s="22" t="n">
        <f aca="false">AA192</f>
        <v>0.144154983916032</v>
      </c>
      <c r="AB225" s="22" t="n">
        <f aca="false">AB192</f>
        <v>0.1473339387189</v>
      </c>
      <c r="AC225" s="22" t="n">
        <f aca="false">AC192</f>
        <v>0.141835933481461</v>
      </c>
      <c r="AD225" s="22" t="n">
        <f aca="false">AD192</f>
        <v>0.146499293334274</v>
      </c>
      <c r="AE225" s="22" t="n">
        <f aca="false">AE192</f>
        <v>0.146987036936595</v>
      </c>
      <c r="AF225" s="22" t="n">
        <f aca="false">AF192</f>
        <v>0.137948082946597</v>
      </c>
      <c r="AG225" s="22" t="n">
        <f aca="false">AG192</f>
        <v>0.124179420090071</v>
      </c>
      <c r="AH225" s="22" t="n">
        <f aca="false">AH192</f>
        <v>0.138079835209994</v>
      </c>
      <c r="AI225" s="22" t="n">
        <f aca="false">AI192</f>
        <v>0.128376024157446</v>
      </c>
      <c r="AJ225" s="22" t="n">
        <f aca="false">AJ192</f>
        <v>0.135388556702597</v>
      </c>
      <c r="AK225" s="22" t="n">
        <f aca="false">AK192</f>
        <v>0.141626837100579</v>
      </c>
      <c r="AL225" s="22" t="n">
        <f aca="false">AL192</f>
        <v>0.129996625559438</v>
      </c>
      <c r="AM225" s="22" t="n">
        <f aca="false">AM192</f>
        <v>0.133828203365565</v>
      </c>
      <c r="AN225" s="22" t="n">
        <f aca="false">AN192</f>
        <v>0.130145394863365</v>
      </c>
      <c r="AO225" s="22" t="n">
        <f aca="false">AO192</f>
        <v>0.136241840495851</v>
      </c>
      <c r="AP225" s="22" t="n">
        <f aca="false">AP192</f>
        <v>0.125410689630164</v>
      </c>
      <c r="AQ225" s="22" t="n">
        <f aca="false">AQ192</f>
        <v>0.124340798063851</v>
      </c>
      <c r="AR225" s="22" t="n">
        <f aca="false">AR192</f>
        <v>0.129147476485646</v>
      </c>
      <c r="AS225" s="22" t="n">
        <f aca="false">AS192</f>
        <v>0.125928964901259</v>
      </c>
      <c r="AT225" s="22" t="n">
        <f aca="false">AT192</f>
        <v>0.10665163434209</v>
      </c>
      <c r="AU225" s="22" t="n">
        <f aca="false">AU192</f>
        <v>0.125656313164536</v>
      </c>
      <c r="AV225" s="22" t="n">
        <f aca="false">AV192</f>
        <v>0.133889886623407</v>
      </c>
      <c r="AW225" s="22" t="n">
        <f aca="false">AW192</f>
        <v>0.123651803871357</v>
      </c>
      <c r="AX225" s="22" t="n">
        <f aca="false">AX192</f>
        <v>0.144254914989148</v>
      </c>
      <c r="AY225" s="22" t="n">
        <f aca="false">AY192</f>
        <v>0.151373216174161</v>
      </c>
      <c r="AZ225" s="22" t="n">
        <f aca="false">AZ192</f>
        <v>0.152202109481756</v>
      </c>
      <c r="BA225" s="22" t="n">
        <f aca="false">BA192</f>
        <v>0.144710518554316</v>
      </c>
      <c r="BB225" s="22" t="n">
        <f aca="false">BB192</f>
        <v>0.14817449863644</v>
      </c>
      <c r="BC225" s="22" t="n">
        <f aca="false">BC192</f>
        <v>0.176229242485801</v>
      </c>
      <c r="BD225" s="22" t="n">
        <f aca="false">BD192</f>
        <v>0.173421934448514</v>
      </c>
      <c r="BE225" s="22" t="n">
        <f aca="false">BE192</f>
        <v>0.163795389418759</v>
      </c>
      <c r="BF225" s="22" t="n">
        <f aca="false">BF192</f>
        <v>0.157697538171342</v>
      </c>
      <c r="BG225" s="22" t="n">
        <f aca="false">BG192</f>
        <v>0.167827064208841</v>
      </c>
      <c r="BH225" s="22" t="n">
        <f aca="false">BH192</f>
        <v>0.162696049331164</v>
      </c>
      <c r="BI225" s="22" t="n">
        <f aca="false">BI192</f>
        <v>0.173704581991674</v>
      </c>
      <c r="BJ225" s="22" t="n">
        <f aca="false">BJ192</f>
        <v>0.177472430687157</v>
      </c>
      <c r="BK225" s="22" t="n">
        <f aca="false">BK192</f>
        <v>0.17203267977561</v>
      </c>
      <c r="BL225" s="22" t="n">
        <f aca="false">BL192</f>
        <v>0.171481254574586</v>
      </c>
      <c r="BM225" s="22" t="n">
        <f aca="false">BM192</f>
        <v>0.174698862715642</v>
      </c>
      <c r="BN225" s="22" t="n">
        <f aca="false">BN192</f>
        <v>0.17385235929344</v>
      </c>
      <c r="BO225" s="22" t="n">
        <f aca="false">BO192</f>
        <v>0.172558522971581</v>
      </c>
      <c r="BP225" s="22" t="n">
        <f aca="false">BP192</f>
        <v>0.181597231395134</v>
      </c>
      <c r="BQ225" s="22" t="n">
        <f aca="false">BQ192</f>
        <v>0.175716634195382</v>
      </c>
      <c r="BR225" s="22" t="n">
        <f aca="false">BR192</f>
        <v>0.168704723672525</v>
      </c>
      <c r="BS225" s="22" t="n">
        <f aca="false">BS192</f>
        <v>0.179222778557014</v>
      </c>
      <c r="BT225" s="22" t="n">
        <f aca="false">BT192</f>
        <v>0.173913780934711</v>
      </c>
      <c r="BU225" s="22" t="n">
        <f aca="false">BU192</f>
        <v>0.179694358565515</v>
      </c>
      <c r="BV225" s="22" t="n">
        <f aca="false">BV192</f>
        <v>0.175516294224219</v>
      </c>
      <c r="BW225" s="22" t="n">
        <f aca="false">BW192</f>
        <v>0.168511031411568</v>
      </c>
      <c r="BX225" s="22" t="n">
        <f aca="false">BX192</f>
        <v>0.183772074745237</v>
      </c>
      <c r="BY225" s="23" t="n">
        <f aca="false">BY192</f>
        <v>0.181171962529568</v>
      </c>
      <c r="BZ225" s="23" t="n">
        <f aca="false">BZ192</f>
        <v>0.187235796544512</v>
      </c>
      <c r="CA225" s="23" t="n">
        <f aca="false">CA192</f>
        <v>0.180366529907328</v>
      </c>
      <c r="CB225" s="23" t="n">
        <f aca="false">CB192</f>
        <v>0.181949081721514</v>
      </c>
      <c r="CC225" s="23" t="n">
        <f aca="false">CC192</f>
        <v>0.183839427341437</v>
      </c>
      <c r="CD225" s="23" t="n">
        <f aca="false">CD192</f>
        <v>0.185021230298556</v>
      </c>
      <c r="CE225" s="23" t="n">
        <f aca="false">CE192</f>
        <v>0.184113319459575</v>
      </c>
      <c r="CH225" s="41" t="n">
        <f aca="false">IFERROR(AVERAGE(CA225,CB225,CC225,CD225,CE225),"n/m")</f>
        <v>0.183057917745682</v>
      </c>
      <c r="CI225" s="41" t="n">
        <f aca="false">IFERROR(AVERAGE(BB225,BG225,BL225,BQ225,BV225),"n/m")</f>
        <v>0.167743149167893</v>
      </c>
      <c r="CJ225" s="41" t="n">
        <f aca="false">IFERROR(AVERAGE(AC225,AH225,AM225,AR225,AW225,BB225,BG225,BL225,BQ225,BV225),"n/m")</f>
        <v>0.150525899825349</v>
      </c>
      <c r="CK225" s="41" t="n">
        <f aca="false">IFERROR(AVERAGE(C225,D225,E225,F225,G225,H225,I225,N225,S225,X225,AC225,AH225,AM225,AR225,AW225,BB225,BG225,BL225,BQ225,BV225),"n/m")</f>
        <v>0.135968411145781</v>
      </c>
    </row>
    <row r="226" customFormat="false" ht="15" hidden="false" customHeight="false" outlineLevel="0" collapsed="false">
      <c r="B226" s="21" t="s">
        <v>360</v>
      </c>
      <c r="C226" s="22" t="n">
        <f aca="false">IF(AND(ISNUMBER(C149),ISNUMBER(C133)),IFERROR(C149/C133,""),"")</f>
        <v>0.0887502757471798</v>
      </c>
      <c r="D226" s="22" t="n">
        <f aca="false">IF(AND(ISNUMBER(D149),ISNUMBER(D133)),IFERROR(D149/D133,""),"")</f>
        <v>0.0888887329970747</v>
      </c>
      <c r="E226" s="22" t="n">
        <f aca="false">IF(AND(ISNUMBER(E149),ISNUMBER(E133)),IFERROR(E149/E133,""),"")</f>
        <v>0.0856291982956931</v>
      </c>
      <c r="F226" s="22" t="n">
        <f aca="false">IF(AND(ISNUMBER(F149),ISNUMBER(F133)),IFERROR(F149/F133,""),"")</f>
        <v>0.0280902222594888</v>
      </c>
      <c r="G226" s="22" t="n">
        <f aca="false">IF(AND(ISNUMBER(G149),ISNUMBER(G133)),IFERROR(G149/G133,""),"")</f>
        <v>0.0629145790784533</v>
      </c>
      <c r="H226" s="22" t="n">
        <f aca="false">IF(AND(ISNUMBER(H149),ISNUMBER(H133)),IFERROR(H149/H133,""),"")</f>
        <v>0.0806001909739038</v>
      </c>
      <c r="I226" s="22" t="n">
        <f aca="false">IF(AND(ISNUMBER(I149),ISNUMBER(I133)),IFERROR(I149/I133,""),"")</f>
        <v>0.0902130710840913</v>
      </c>
      <c r="J226" s="22" t="n">
        <f aca="false">IF(AND(ISNUMBER(J149),ISNUMBER(J133)),IFERROR(J149/J133,""),"")</f>
        <v>0.092970373225824</v>
      </c>
      <c r="K226" s="22" t="n">
        <f aca="false">IF(AND(ISNUMBER(K149),ISNUMBER(K133)),IFERROR(K149/K133,""),"")</f>
        <v>0.0998113913053041</v>
      </c>
      <c r="L226" s="22" t="n">
        <f aca="false">IF(AND(ISNUMBER(L149),ISNUMBER(L133)),IFERROR(L149/L133,""),"")</f>
        <v>0.095456549232159</v>
      </c>
      <c r="M226" s="22" t="n">
        <f aca="false">IF(AND(ISNUMBER(M149),ISNUMBER(M133)),IFERROR(M149/M133,""),"")</f>
        <v>0.123566189277705</v>
      </c>
      <c r="N226" s="22" t="n">
        <f aca="false">IF(AND(ISNUMBER(N149),ISNUMBER(N133)),IFERROR(N149/N133,""),"")</f>
        <v>0.102984185698246</v>
      </c>
      <c r="O226" s="22" t="n">
        <f aca="false">IF(AND(ISNUMBER(O149),ISNUMBER(O133)),IFERROR(O149/O133,""),"")</f>
        <v>0.0824056800698331</v>
      </c>
      <c r="P226" s="22" t="n">
        <f aca="false">IF(AND(ISNUMBER(P149),ISNUMBER(P133)),IFERROR(P149/P133,""),"")</f>
        <v>0.106147850949376</v>
      </c>
      <c r="Q226" s="22" t="n">
        <f aca="false">IF(AND(ISNUMBER(Q149),ISNUMBER(Q133)),IFERROR(Q149/Q133,""),"")</f>
        <v>0.0638313329430815</v>
      </c>
      <c r="R226" s="22" t="n">
        <f aca="false">IF(AND(ISNUMBER(R149),ISNUMBER(R133)),IFERROR(R149/R133,""),"")</f>
        <v>0.109966459732672</v>
      </c>
      <c r="S226" s="22" t="n">
        <f aca="false">IF(AND(ISNUMBER(S149),ISNUMBER(S133)),IFERROR(S149/S133,""),"")</f>
        <v>0.0905284993836473</v>
      </c>
      <c r="T226" s="22" t="n">
        <f aca="false">IF(AND(ISNUMBER(T149),ISNUMBER(T133)),IFERROR(T149/T133,""),"")</f>
        <v>0.103897248822009</v>
      </c>
      <c r="U226" s="22" t="n">
        <f aca="false">IF(AND(ISNUMBER(U149),ISNUMBER(U133)),IFERROR(U149/U133,""),"")</f>
        <v>0.106655233625177</v>
      </c>
      <c r="V226" s="22" t="n">
        <f aca="false">IF(AND(ISNUMBER(V149),ISNUMBER(V133)),IFERROR(V149/V133,""),"")</f>
        <v>-0.0937216158322043</v>
      </c>
      <c r="W226" s="22" t="n">
        <f aca="false">IF(AND(ISNUMBER(W149),ISNUMBER(W133)),IFERROR(W149/W133,""),"")</f>
        <v>0.0857276160461984</v>
      </c>
      <c r="X226" s="22" t="n">
        <f aca="false">IF(AND(ISNUMBER(X149),ISNUMBER(X133)),IFERROR(X149/X133,""),"")</f>
        <v>0.0502714931948257</v>
      </c>
      <c r="Y226" s="22" t="n">
        <f aca="false">IF(AND(ISNUMBER(Y149),ISNUMBER(Y133)),IFERROR(Y149/Y133,""),"")</f>
        <v>0.0973957822640098</v>
      </c>
      <c r="Z226" s="22" t="n">
        <f aca="false">IF(AND(ISNUMBER(Z149),ISNUMBER(Z133)),IFERROR(Z149/Z133,""),"")</f>
        <v>0.0528630122649886</v>
      </c>
      <c r="AA226" s="22" t="n">
        <f aca="false">IF(AND(ISNUMBER(AA149),ISNUMBER(AA133)),IFERROR(AA149/AA133,""),"")</f>
        <v>0.105786000429845</v>
      </c>
      <c r="AB226" s="22" t="n">
        <f aca="false">IF(AND(ISNUMBER(AB149),ISNUMBER(AB133)),IFERROR(AB149/AB133,""),"")</f>
        <v>0.0947008662216137</v>
      </c>
      <c r="AC226" s="22" t="n">
        <f aca="false">IF(AND(ISNUMBER(AC149),ISNUMBER(AC133)),IFERROR(AC149/AC133,""),"")</f>
        <v>0.0872231508291077</v>
      </c>
      <c r="AD226" s="22" t="n">
        <f aca="false">IF(AND(ISNUMBER(AD149),ISNUMBER(AD133)),IFERROR(AD149/AD133,""),"")</f>
        <v>0.0961340822899758</v>
      </c>
      <c r="AE226" s="22" t="n">
        <f aca="false">IF(AND(ISNUMBER(AE149),ISNUMBER(AE133)),IFERROR(AE149/AE133,""),"")</f>
        <v>0.0978722453889078</v>
      </c>
      <c r="AF226" s="22" t="n">
        <f aca="false">IF(AND(ISNUMBER(AF149),ISNUMBER(AF133)),IFERROR(AF149/AF133,""),"")</f>
        <v>0.158517440861789</v>
      </c>
      <c r="AG226" s="22" t="n">
        <f aca="false">IF(AND(ISNUMBER(AG149),ISNUMBER(AG133)),IFERROR(AG149/AG133,""),"")</f>
        <v>0.0323628017157731</v>
      </c>
      <c r="AH226" s="22" t="n">
        <f aca="false">IF(AND(ISNUMBER(AH149),ISNUMBER(AH133)),IFERROR(AH149/AH133,""),"")</f>
        <v>0.0943072993727021</v>
      </c>
      <c r="AI226" s="22" t="n">
        <f aca="false">IF(AND(ISNUMBER(AI149),ISNUMBER(AI133)),IFERROR(AI149/AI133,""),"")</f>
        <v>0.0802749387617198</v>
      </c>
      <c r="AJ226" s="22" t="n">
        <f aca="false">IF(AND(ISNUMBER(AJ149),ISNUMBER(AJ133)),IFERROR(AJ149/AJ133,""),"")</f>
        <v>0.0871638828836583</v>
      </c>
      <c r="AK226" s="22" t="n">
        <f aca="false">IF(AND(ISNUMBER(AK149),ISNUMBER(AK133)),IFERROR(AK149/AK133,""),"")</f>
        <v>0.0956981355286061</v>
      </c>
      <c r="AL226" s="22" t="n">
        <f aca="false">IF(AND(ISNUMBER(AL149),ISNUMBER(AL133)),IFERROR(AL149/AL133,""),"")</f>
        <v>0.116746232658938</v>
      </c>
      <c r="AM226" s="22" t="n">
        <f aca="false">IF(AND(ISNUMBER(AM149),ISNUMBER(AM133)),IFERROR(AM149/AM133,""),"")</f>
        <v>0.0947827333017683</v>
      </c>
      <c r="AN226" s="22" t="n">
        <f aca="false">IF(AND(ISNUMBER(AN149),ISNUMBER(AN133)),IFERROR(AN149/AN133,""),"")</f>
        <v>0.0941549631573263</v>
      </c>
      <c r="AO226" s="22" t="n">
        <f aca="false">IF(AND(ISNUMBER(AO149),ISNUMBER(AO133)),IFERROR(AO149/AO133,""),"")</f>
        <v>0.109975701665877</v>
      </c>
      <c r="AP226" s="22" t="n">
        <f aca="false">IF(AND(ISNUMBER(AP149),ISNUMBER(AP133)),IFERROR(AP149/AP133,""),"")</f>
        <v>0.0991552896003328</v>
      </c>
      <c r="AQ226" s="22" t="n">
        <f aca="false">IF(AND(ISNUMBER(AQ149),ISNUMBER(AQ133)),IFERROR(AQ149/AQ133,""),"")</f>
        <v>0.0865345569171555</v>
      </c>
      <c r="AR226" s="22" t="n">
        <f aca="false">IF(AND(ISNUMBER(AR149),ISNUMBER(AR133)),IFERROR(AR149/AR133,""),"")</f>
        <v>0.097596554691017</v>
      </c>
      <c r="AS226" s="22" t="n">
        <f aca="false">IF(AND(ISNUMBER(AS149),ISNUMBER(AS133)),IFERROR(AS149/AS133,""),"")</f>
        <v>0.0791491628810056</v>
      </c>
      <c r="AT226" s="22" t="n">
        <f aca="false">IF(AND(ISNUMBER(AT149),ISNUMBER(AT133)),IFERROR(AT149/AT133,""),"")</f>
        <v>0.0456996209755098</v>
      </c>
      <c r="AU226" s="22" t="n">
        <f aca="false">IF(AND(ISNUMBER(AU149),ISNUMBER(AU133)),IFERROR(AU149/AU133,""),"")</f>
        <v>0.087427192594276</v>
      </c>
      <c r="AV226" s="22" t="n">
        <f aca="false">IF(AND(ISNUMBER(AV149),ISNUMBER(AV133)),IFERROR(AV149/AV133,""),"")</f>
        <v>0.0938001769977832</v>
      </c>
      <c r="AW226" s="22" t="n">
        <f aca="false">IF(AND(ISNUMBER(AW149),ISNUMBER(AW133)),IFERROR(AW149/AW133,""),"")</f>
        <v>0.0776210740378098</v>
      </c>
      <c r="AX226" s="22" t="n">
        <f aca="false">IF(AND(ISNUMBER(AX149),ISNUMBER(AX133)),IFERROR(AX149/AX133,""),"")</f>
        <v>0.0979853927433981</v>
      </c>
      <c r="AY226" s="22" t="n">
        <f aca="false">IF(AND(ISNUMBER(AY149),ISNUMBER(AY133)),IFERROR(AY149/AY133,""),"")</f>
        <v>0.116285963889097</v>
      </c>
      <c r="AZ226" s="22" t="n">
        <f aca="false">IF(AND(ISNUMBER(AZ149),ISNUMBER(AZ133)),IFERROR(AZ149/AZ133,""),"")</f>
        <v>0.0393785634394521</v>
      </c>
      <c r="BA226" s="22" t="n">
        <f aca="false">IF(AND(ISNUMBER(BA149),ISNUMBER(BA133)),IFERROR(BA149/BA133,""),"")</f>
        <v>0.0881574318537969</v>
      </c>
      <c r="BB226" s="22" t="n">
        <f aca="false">IF(AND(ISNUMBER(BB149),ISNUMBER(BB133)),IFERROR(BB149/BB133,""),"")</f>
        <v>0.0854825643594358</v>
      </c>
      <c r="BC226" s="22" t="n">
        <f aca="false">IF(AND(ISNUMBER(BC149),ISNUMBER(BC133)),IFERROR(BC149/BC133,""),"")</f>
        <v>0.136182692058333</v>
      </c>
      <c r="BD226" s="22" t="n">
        <f aca="false">IF(AND(ISNUMBER(BD149),ISNUMBER(BD133)),IFERROR(BD149/BD133,""),"")</f>
        <v>0.131832147435666</v>
      </c>
      <c r="BE226" s="22" t="n">
        <f aca="false">IF(AND(ISNUMBER(BE149),ISNUMBER(BE133)),IFERROR(BE149/BE133,""),"")</f>
        <v>0.116788204097344</v>
      </c>
      <c r="BF226" s="22" t="n">
        <f aca="false">IF(AND(ISNUMBER(BF149),ISNUMBER(BF133)),IFERROR(BF149/BF133,""),"")</f>
        <v>0.117243542506773</v>
      </c>
      <c r="BG226" s="22" t="n">
        <f aca="false">IF(AND(ISNUMBER(BG149),ISNUMBER(BG133)),IFERROR(BG149/BG133,""),"")</f>
        <v>0.125551052573227</v>
      </c>
      <c r="BH226" s="22" t="n">
        <f aca="false">IF(AND(ISNUMBER(BH149),ISNUMBER(BH133)),IFERROR(BH149/BH133,""),"")</f>
        <v>0.117315457938332</v>
      </c>
      <c r="BI226" s="22" t="n">
        <f aca="false">IF(AND(ISNUMBER(BI149),ISNUMBER(BI133)),IFERROR(BI149/BI133,""),"")</f>
        <v>0.129488527341559</v>
      </c>
      <c r="BJ226" s="22" t="n">
        <f aca="false">IF(AND(ISNUMBER(BJ149),ISNUMBER(BJ133)),IFERROR(BJ149/BJ133,""),"")</f>
        <v>0.125185102021459</v>
      </c>
      <c r="BK226" s="22" t="n">
        <f aca="false">IF(AND(ISNUMBER(BK149),ISNUMBER(BK133)),IFERROR(BK149/BK133,""),"")</f>
        <v>0.147984816450231</v>
      </c>
      <c r="BL226" s="22" t="n">
        <f aca="false">IF(AND(ISNUMBER(BL149),ISNUMBER(BL133)),IFERROR(BL149/BL133,""),"")</f>
        <v>0.130079997404355</v>
      </c>
      <c r="BM226" s="22" t="n">
        <f aca="false">IF(AND(ISNUMBER(BM149),ISNUMBER(BM133)),IFERROR(BM149/BM133,""),"")</f>
        <v>0.125780042132212</v>
      </c>
      <c r="BN226" s="22" t="n">
        <f aca="false">IF(AND(ISNUMBER(BN149),ISNUMBER(BN133)),IFERROR(BN149/BN133,""),"")</f>
        <v>0.0995494688665662</v>
      </c>
      <c r="BO226" s="22" t="n">
        <f aca="false">IF(AND(ISNUMBER(BO149),ISNUMBER(BO133)),IFERROR(BO149/BO133,""),"")</f>
        <v>0.102419393367685</v>
      </c>
      <c r="BP226" s="22" t="n">
        <f aca="false">IF(AND(ISNUMBER(BP149),ISNUMBER(BP133)),IFERROR(BP149/BP133,""),"")</f>
        <v>0.13720620998776</v>
      </c>
      <c r="BQ226" s="22" t="n">
        <f aca="false">IF(AND(ISNUMBER(BQ149),ISNUMBER(BQ133)),IFERROR(BQ149/BQ133,""),"")</f>
        <v>0.116274973993868</v>
      </c>
      <c r="BR226" s="22" t="n">
        <f aca="false">IF(AND(ISNUMBER(BR149),ISNUMBER(BR133)),IFERROR(BR149/BR133,""),"")</f>
        <v>0.11796935049005</v>
      </c>
      <c r="BS226" s="22" t="n">
        <f aca="false">IF(AND(ISNUMBER(BS149),ISNUMBER(BS133)),IFERROR(BS149/BS133,""),"")</f>
        <v>0.131716318857912</v>
      </c>
      <c r="BT226" s="22" t="n">
        <f aca="false">IF(AND(ISNUMBER(BT149),ISNUMBER(BT133)),IFERROR(BT149/BT133,""),"")</f>
        <v>0.115553034364938</v>
      </c>
      <c r="BU226" s="22" t="n">
        <f aca="false">IF(AND(ISNUMBER(BU149),ISNUMBER(BU133)),IFERROR(BU149/BU133,""),"")</f>
        <v>0.126096327574939</v>
      </c>
      <c r="BV226" s="22" t="n">
        <f aca="false">IF(AND(ISNUMBER(BV149),ISNUMBER(BV133)),IFERROR(BV149/BV133,""),"")</f>
        <v>0.122970146725622</v>
      </c>
      <c r="BW226" s="22" t="n">
        <f aca="false">IF(AND(ISNUMBER(BW149),ISNUMBER(BW133)),IFERROR(BW149/BW133,""),"")</f>
        <v>0.121613933588602</v>
      </c>
      <c r="BX226" s="22" t="n">
        <f aca="false">IF(AND(ISNUMBER(BX149),ISNUMBER(BX133)),IFERROR(BX149/BX133,""),"")</f>
        <v>0.129969507970644</v>
      </c>
      <c r="BY226" s="23" t="n">
        <f aca="false">IF(AND(ISNUMBER(BY149),ISNUMBER(BY133)),IFERROR(BY149/BY133,""),"")</f>
        <v>0.129872574688797</v>
      </c>
      <c r="BZ226" s="23" t="n">
        <f aca="false">IF(AND(ISNUMBER(BZ149),ISNUMBER(BZ133)),IFERROR(BZ149/BZ133,""),"")</f>
        <v>0.13461180346269</v>
      </c>
      <c r="CA226" s="23" t="n">
        <f aca="false">IF(AND(ISNUMBER(CA149),ISNUMBER(CA133)),IFERROR(CA149/CA133,""),"")</f>
        <v>0.129131857697249</v>
      </c>
      <c r="CB226" s="23" t="n">
        <f aca="false">IF(AND(ISNUMBER(CB149),ISNUMBER(CB133)),IFERROR(CB149/CB133,""),"")</f>
        <v>0.131911408316318</v>
      </c>
      <c r="CC226" s="23" t="n">
        <f aca="false">IF(AND(ISNUMBER(CC149),ISNUMBER(CC133)),IFERROR(CC149/CC133,""),"")</f>
        <v>0.133153212403717</v>
      </c>
      <c r="CD226" s="23" t="n">
        <f aca="false">IF(AND(ISNUMBER(CD149),ISNUMBER(CD133)),IFERROR(CD149/CD133,""),"")</f>
        <v>0.133987216662836</v>
      </c>
      <c r="CE226" s="23" t="n">
        <f aca="false">IF(AND(ISNUMBER(CE149),ISNUMBER(CE133)),IFERROR(CE149/CE133,""),"")</f>
        <v>0.133258686184906</v>
      </c>
      <c r="CH226" s="41" t="n">
        <f aca="false">IFERROR(AVERAGE(CA226,CB226,CC226,CD226,CE226),"n/m")</f>
        <v>0.132288476253005</v>
      </c>
      <c r="CI226" s="41" t="n">
        <f aca="false">IFERROR(AVERAGE(BB226,BG226,BL226,BQ226,BV226),"n/m")</f>
        <v>0.116071747011302</v>
      </c>
      <c r="CJ226" s="41" t="n">
        <f aca="false">IFERROR(AVERAGE(AC226,AH226,AM226,AR226,AW226,BB226,BG226,BL226,BQ226,BV226),"n/m")</f>
        <v>0.103188954728891</v>
      </c>
      <c r="CK226" s="41" t="n">
        <f aca="false">IFERROR(AVERAGE(C226,D226,E226,F226,G226,H226,I226,N226,S226,X226,AC226,AH226,AM226,AR226,AW226,BB226,BG226,BL226,BQ226,BV226),"n/m")</f>
        <v>0.0900379998000758</v>
      </c>
    </row>
    <row r="227" customFormat="false" ht="15" hidden="false" customHeight="false" outlineLevel="0" collapsed="false">
      <c r="B227" s="21" t="s">
        <v>260</v>
      </c>
      <c r="C227" s="22" t="n">
        <f aca="false">C128</f>
        <v>0.1601635973153</v>
      </c>
      <c r="D227" s="22" t="n">
        <f aca="false">D128</f>
        <v>0.162278409529355</v>
      </c>
      <c r="E227" s="22" t="n">
        <f aca="false">E128</f>
        <v>0.163515360826031</v>
      </c>
      <c r="F227" s="22" t="n">
        <f aca="false">F128</f>
        <v>0.19279355340502</v>
      </c>
      <c r="G227" s="22" t="n">
        <f aca="false">G128</f>
        <v>0.182483870905413</v>
      </c>
      <c r="H227" s="22" t="n">
        <f aca="false">H128</f>
        <v>0.163205496604517</v>
      </c>
      <c r="I227" s="22" t="n">
        <f aca="false">I128</f>
        <v>0.173556713875222</v>
      </c>
      <c r="J227" s="22" t="n">
        <f aca="false">J128</f>
        <v>0.190503957148404</v>
      </c>
      <c r="K227" s="22" t="n">
        <f aca="false">K128</f>
        <v>0.185879917298112</v>
      </c>
      <c r="L227" s="22" t="n">
        <f aca="false">L128</f>
        <v>0.189654200542005</v>
      </c>
      <c r="M227" s="22" t="n">
        <f aca="false">M128</f>
        <v>0.173313597960803</v>
      </c>
      <c r="N227" s="22" t="n">
        <f aca="false">N128</f>
        <v>0.184811357496185</v>
      </c>
      <c r="O227" s="22" t="n">
        <f aca="false">O128</f>
        <v>0.212995320131609</v>
      </c>
      <c r="P227" s="22" t="n">
        <f aca="false">P128</f>
        <v>0.188263780127407</v>
      </c>
      <c r="Q227" s="22" t="n">
        <f aca="false">Q128</f>
        <v>0.19059567435109</v>
      </c>
      <c r="R227" s="22" t="n">
        <f aca="false">R128</f>
        <v>0.184225839749457</v>
      </c>
      <c r="S227" s="22" t="n">
        <f aca="false">S128</f>
        <v>0.193897681177141</v>
      </c>
      <c r="T227" s="22" t="n">
        <f aca="false">T128</f>
        <v>0.197432740538076</v>
      </c>
      <c r="U227" s="22" t="n">
        <f aca="false">U128</f>
        <v>0.192187923097752</v>
      </c>
      <c r="V227" s="22" t="n">
        <f aca="false">V128</f>
        <v>0.198861998307412</v>
      </c>
      <c r="W227" s="22" t="n">
        <f aca="false">W128</f>
        <v>0.195080856008521</v>
      </c>
      <c r="X227" s="22" t="n">
        <f aca="false">X128</f>
        <v>0.19589469321407</v>
      </c>
      <c r="Y227" s="22" t="n">
        <f aca="false">Y128</f>
        <v>0.206655989773425</v>
      </c>
      <c r="Z227" s="22" t="n">
        <f aca="false">Z128</f>
        <v>0.203398613816596</v>
      </c>
      <c r="AA227" s="22" t="n">
        <f aca="false">AA128</f>
        <v>0.207846087174049</v>
      </c>
      <c r="AB227" s="22" t="n">
        <f aca="false">AB128</f>
        <v>0.202873926090936</v>
      </c>
      <c r="AC227" s="22" t="n">
        <f aca="false">AC128</f>
        <v>0.205167118464935</v>
      </c>
      <c r="AD227" s="22" t="n">
        <f aca="false">AD128</f>
        <v>0.210656966725599</v>
      </c>
      <c r="AE227" s="22" t="n">
        <f aca="false">AE128</f>
        <v>0.207137820686663</v>
      </c>
      <c r="AF227" s="22" t="n">
        <f aca="false">AF128</f>
        <v>0.198281978398515</v>
      </c>
      <c r="AG227" s="22" t="n">
        <f aca="false">AG128</f>
        <v>0.20418102611803</v>
      </c>
      <c r="AH227" s="22" t="n">
        <f aca="false">AH128</f>
        <v>0.204815824839746</v>
      </c>
      <c r="AI227" s="22" t="n">
        <f aca="false">AI128</f>
        <v>0.212738354168426</v>
      </c>
      <c r="AJ227" s="22" t="n">
        <f aca="false">AJ128</f>
        <v>0.20750532876317</v>
      </c>
      <c r="AK227" s="22" t="n">
        <f aca="false">AK128</f>
        <v>0.200962150267467</v>
      </c>
      <c r="AL227" s="22" t="n">
        <f aca="false">AL128</f>
        <v>0.207624891271761</v>
      </c>
      <c r="AM227" s="22" t="n">
        <f aca="false">AM128</f>
        <v>0.207251424220633</v>
      </c>
      <c r="AN227" s="22" t="n">
        <f aca="false">AN128</f>
        <v>0.211292799806105</v>
      </c>
      <c r="AO227" s="22" t="n">
        <f aca="false">AO128</f>
        <v>0.210278401251982</v>
      </c>
      <c r="AP227" s="22" t="n">
        <f aca="false">AP128</f>
        <v>0.202949439163199</v>
      </c>
      <c r="AQ227" s="22" t="n">
        <f aca="false">AQ128</f>
        <v>0.202878690546199</v>
      </c>
      <c r="AR227" s="22" t="n">
        <f aca="false">AR128</f>
        <v>0.206937300384381</v>
      </c>
      <c r="AS227" s="22" t="n">
        <f aca="false">AS128</f>
        <v>0.213289059261444</v>
      </c>
      <c r="AT227" s="22" t="n">
        <f aca="false">AT128</f>
        <v>0.213933001200216</v>
      </c>
      <c r="AU227" s="22" t="n">
        <f aca="false">AU128</f>
        <v>0.196351257609645</v>
      </c>
      <c r="AV227" s="22" t="n">
        <f aca="false">AV128</f>
        <v>0.196545372257471</v>
      </c>
      <c r="AW227" s="22" t="n">
        <f aca="false">AW128</f>
        <v>0.204790991940951</v>
      </c>
      <c r="AX227" s="22" t="n">
        <f aca="false">AX128</f>
        <v>0.192433235009333</v>
      </c>
      <c r="AY227" s="22" t="n">
        <f aca="false">AY128</f>
        <v>0.183382257209718</v>
      </c>
      <c r="AZ227" s="22" t="n">
        <f aca="false">AZ128</f>
        <v>0.184905772678913</v>
      </c>
      <c r="BA227" s="22" t="n">
        <f aca="false">BA128</f>
        <v>0.178570117180791</v>
      </c>
      <c r="BB227" s="22" t="n">
        <f aca="false">BB128</f>
        <v>0.184624541614876</v>
      </c>
      <c r="BC227" s="22" t="n">
        <f aca="false">BC128</f>
        <v>0.180113847563558</v>
      </c>
      <c r="BD227" s="22" t="n">
        <f aca="false">BD128</f>
        <v>0.172023403730859</v>
      </c>
      <c r="BE227" s="22" t="n">
        <f aca="false">BE128</f>
        <v>0.170057953038792</v>
      </c>
      <c r="BF227" s="22" t="n">
        <f aca="false">BF128</f>
        <v>0.176288544622927</v>
      </c>
      <c r="BG227" s="22" t="n">
        <f aca="false">BG128</f>
        <v>0.174581005957922</v>
      </c>
      <c r="BH227" s="22" t="n">
        <f aca="false">BH128</f>
        <v>0.182919401968359</v>
      </c>
      <c r="BI227" s="22" t="n">
        <f aca="false">BI128</f>
        <v>0.181740864539184</v>
      </c>
      <c r="BJ227" s="22" t="n">
        <f aca="false">BJ128</f>
        <v>0.181099946380905</v>
      </c>
      <c r="BK227" s="22" t="n">
        <f aca="false">BK128</f>
        <v>0.178487011036226</v>
      </c>
      <c r="BL227" s="22" t="n">
        <f aca="false">BL128</f>
        <v>0.181053412080629</v>
      </c>
      <c r="BM227" s="22" t="n">
        <f aca="false">BM128</f>
        <v>0.202555653961437</v>
      </c>
      <c r="BN227" s="22" t="n">
        <f aca="false">BN128</f>
        <v>0.204060359230799</v>
      </c>
      <c r="BO227" s="22" t="n">
        <f aca="false">BO128</f>
        <v>0.189366501348399</v>
      </c>
      <c r="BP227" s="22" t="n">
        <f aca="false">BP128</f>
        <v>0.18303456548774</v>
      </c>
      <c r="BQ227" s="22" t="n">
        <f aca="false">BQ128</f>
        <v>0.194725432624786</v>
      </c>
      <c r="BR227" s="22" t="n">
        <f aca="false">BR128</f>
        <v>0.195805804131471</v>
      </c>
      <c r="BS227" s="22" t="n">
        <f aca="false">BS128</f>
        <v>0.193686258408172</v>
      </c>
      <c r="BT227" s="22" t="n">
        <f aca="false">BT128</f>
        <v>0.194890442855299</v>
      </c>
      <c r="BU227" s="22" t="n">
        <f aca="false">BU128</f>
        <v>0.170244225768623</v>
      </c>
      <c r="BV227" s="22" t="n">
        <f aca="false">BV128</f>
        <v>0.188517229966527</v>
      </c>
      <c r="BW227" s="22" t="n">
        <f aca="false">BW128</f>
        <v>0.187983421226751</v>
      </c>
      <c r="BX227" s="22" t="n">
        <f aca="false">BX128</f>
        <v>0.184371420630125</v>
      </c>
      <c r="BY227" s="23" t="n">
        <f aca="false">BY128</f>
        <v>0.194890442855299</v>
      </c>
      <c r="BZ227" s="23" t="n">
        <f aca="false">BZ128</f>
        <v>0.170244225768623</v>
      </c>
      <c r="CA227" s="23" t="n">
        <f aca="false">CA128</f>
        <v>0.184308669123348</v>
      </c>
      <c r="CB227" s="23" t="n">
        <f aca="false">CB128</f>
        <v>0.188517229966527</v>
      </c>
      <c r="CC227" s="23" t="n">
        <f aca="false">CC128</f>
        <v>0.188517229966527</v>
      </c>
      <c r="CD227" s="23" t="n">
        <f aca="false">CD128</f>
        <v>0.188517229966527</v>
      </c>
      <c r="CE227" s="23" t="n">
        <f aca="false">CE128</f>
        <v>0.188517229966527</v>
      </c>
      <c r="CH227" s="41" t="n">
        <f aca="false">IFERROR(AVERAGE(CA227,CB227,CC227,CD227,CE227),"n/m")</f>
        <v>0.187675517797891</v>
      </c>
      <c r="CI227" s="41" t="n">
        <f aca="false">IFERROR(AVERAGE(BB227,BG227,BL227,BQ227,BV227),"n/m")</f>
        <v>0.184700324448948</v>
      </c>
      <c r="CJ227" s="41" t="n">
        <f aca="false">IFERROR(AVERAGE(AC227,AH227,AM227,AR227,AW227,BB227,BG227,BL227,BQ227,BV227),"n/m")</f>
        <v>0.195246428209539</v>
      </c>
      <c r="CK227" s="41" t="n">
        <f aca="false">IFERROR(AVERAGE(C227,D227,E227,F227,G227,H227,I227,N227,S227,X227,AC227,AH227,AM227,AR227,AW227,BB227,BG227,BL227,BQ227,BV227),"n/m")</f>
        <v>0.186253250822182</v>
      </c>
    </row>
    <row r="229" customFormat="false" ht="15" hidden="false" customHeight="false" outlineLevel="0" collapsed="false">
      <c r="B229" s="10" t="s">
        <v>361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 t="s">
        <v>362</v>
      </c>
    </row>
    <row r="230" customFormat="false" ht="15" hidden="false" customHeight="false" outlineLevel="0" collapsed="false">
      <c r="B230" s="26" t="s">
        <v>363</v>
      </c>
      <c r="C230" s="38" t="n">
        <v>175.008</v>
      </c>
      <c r="D230" s="38" t="n">
        <v>202.736</v>
      </c>
      <c r="E230" s="38" t="n">
        <v>212.286</v>
      </c>
      <c r="F230" s="38" t="n">
        <v>48.576</v>
      </c>
      <c r="G230" s="38" t="n">
        <v>130.244</v>
      </c>
      <c r="H230" s="38" t="n">
        <v>217.186</v>
      </c>
      <c r="I230" s="38" t="n">
        <v>257.411</v>
      </c>
      <c r="J230" s="38" t="n">
        <v>66.806</v>
      </c>
      <c r="K230" s="38" t="n">
        <v>72.606</v>
      </c>
      <c r="L230" s="38" t="n">
        <v>66.044</v>
      </c>
      <c r="M230" s="38" t="n">
        <v>88.324</v>
      </c>
      <c r="N230" s="38" t="n">
        <v>293.78</v>
      </c>
      <c r="O230" s="38" t="n">
        <v>56.453</v>
      </c>
      <c r="P230" s="38" t="n">
        <v>77.332</v>
      </c>
      <c r="Q230" s="38" t="n">
        <v>45.689</v>
      </c>
      <c r="R230" s="38" t="n">
        <v>75.212</v>
      </c>
      <c r="S230" s="38" t="n">
        <v>254.686</v>
      </c>
      <c r="T230" s="38" t="n">
        <v>68.354</v>
      </c>
      <c r="U230" s="38" t="n">
        <v>70.898</v>
      </c>
      <c r="V230" s="38" t="n">
        <v>-60.466</v>
      </c>
      <c r="W230" s="38" t="n">
        <v>48.692</v>
      </c>
      <c r="X230" s="38" t="n">
        <v>127.478</v>
      </c>
      <c r="Y230" s="38" t="n">
        <v>53.638</v>
      </c>
      <c r="Z230" s="38" t="n">
        <v>31.317</v>
      </c>
      <c r="AA230" s="38" t="n">
        <v>60.049</v>
      </c>
      <c r="AB230" s="38" t="n">
        <v>53.395</v>
      </c>
      <c r="AC230" s="38" t="n">
        <v>198.399</v>
      </c>
      <c r="AD230" s="38" t="n">
        <v>55.844</v>
      </c>
      <c r="AE230" s="38" t="n">
        <v>61.352</v>
      </c>
      <c r="AF230" s="38" t="n">
        <v>106.126</v>
      </c>
      <c r="AG230" s="38" t="n">
        <v>24.181</v>
      </c>
      <c r="AH230" s="38" t="n">
        <v>247.503</v>
      </c>
      <c r="AI230" s="38" t="n">
        <v>60.824</v>
      </c>
      <c r="AJ230" s="38" t="n">
        <v>68.864</v>
      </c>
      <c r="AK230" s="38" t="n">
        <v>70.539</v>
      </c>
      <c r="AL230" s="38" t="n">
        <v>86.839</v>
      </c>
      <c r="AM230" s="38" t="n">
        <v>287.066</v>
      </c>
      <c r="AN230" s="38" t="n">
        <v>71.48</v>
      </c>
      <c r="AO230" s="38" t="n">
        <v>85.452</v>
      </c>
      <c r="AP230" s="38" t="n">
        <v>72.461</v>
      </c>
      <c r="AQ230" s="38" t="n">
        <v>63.716</v>
      </c>
      <c r="AR230" s="38" t="n">
        <v>293.109</v>
      </c>
      <c r="AS230" s="38" t="n">
        <v>55.562</v>
      </c>
      <c r="AT230" s="38" t="n">
        <v>26.996</v>
      </c>
      <c r="AU230" s="38" t="n">
        <v>58.479</v>
      </c>
      <c r="AV230" s="38" t="n">
        <v>65.078</v>
      </c>
      <c r="AW230" s="38" t="n">
        <v>206.115</v>
      </c>
      <c r="AX230" s="38" t="n">
        <v>74.177</v>
      </c>
      <c r="AY230" s="38" t="n">
        <v>96.105</v>
      </c>
      <c r="AZ230" s="38" t="n">
        <v>31.757</v>
      </c>
      <c r="BA230" s="38" t="n">
        <v>74.427</v>
      </c>
      <c r="BB230" s="38" t="n">
        <v>276.466</v>
      </c>
      <c r="BC230" s="38" t="n">
        <v>126.03</v>
      </c>
      <c r="BD230" s="38" t="n">
        <v>127.823</v>
      </c>
      <c r="BE230" s="38" t="n">
        <v>109.225</v>
      </c>
      <c r="BF230" s="38" t="n">
        <v>109.146</v>
      </c>
      <c r="BG230" s="38" t="n">
        <v>472.224</v>
      </c>
      <c r="BH230" s="38" t="n">
        <v>121.931</v>
      </c>
      <c r="BI230" s="38" t="n">
        <v>137.331</v>
      </c>
      <c r="BJ230" s="38" t="n">
        <v>129.343</v>
      </c>
      <c r="BK230" s="38" t="n">
        <v>156.643</v>
      </c>
      <c r="BL230" s="38" t="n">
        <v>545.248</v>
      </c>
      <c r="BM230" s="38" t="n">
        <v>123.415</v>
      </c>
      <c r="BN230" s="38" t="n">
        <v>101.708</v>
      </c>
      <c r="BO230" s="38" t="n">
        <v>100.756</v>
      </c>
      <c r="BP230" s="38" t="n">
        <v>140.229</v>
      </c>
      <c r="BQ230" s="38" t="n">
        <v>466.108</v>
      </c>
      <c r="BR230" s="38" t="n">
        <v>118.487</v>
      </c>
      <c r="BS230" s="38" t="n">
        <v>143.396</v>
      </c>
      <c r="BT230" s="38" t="n">
        <v>122.628</v>
      </c>
      <c r="BU230" s="38" t="n">
        <v>136.022</v>
      </c>
      <c r="BV230" s="38" t="n">
        <v>520.533</v>
      </c>
      <c r="BW230" s="38" t="n">
        <v>136.382</v>
      </c>
      <c r="BX230" s="38" t="n">
        <v>158.519</v>
      </c>
      <c r="CA230" s="51" t="n">
        <f aca="false">$BW$230+$BX$230+$BY$147+$BZ$147</f>
        <v>609.47632824625</v>
      </c>
      <c r="CB230" s="51" t="n">
        <f aca="false">CB147</f>
        <v>662.076293631698</v>
      </c>
      <c r="CC230" s="51" t="n">
        <f aca="false">CC147</f>
        <v>718.786722614095</v>
      </c>
      <c r="CD230" s="51" t="n">
        <f aca="false">CD147</f>
        <v>774.237764986202</v>
      </c>
      <c r="CE230" s="51" t="n">
        <f aca="false">CE147</f>
        <v>822.982277039333</v>
      </c>
    </row>
    <row r="231" customFormat="false" ht="15" hidden="false" customHeight="false" outlineLevel="0" collapsed="false">
      <c r="B231" s="37" t="s">
        <v>364</v>
      </c>
    </row>
    <row r="232" customFormat="false" ht="15" hidden="false" customHeight="false" outlineLevel="0" collapsed="false">
      <c r="B232" s="26" t="s">
        <v>365</v>
      </c>
      <c r="C232" s="38" t="n">
        <v>47.825</v>
      </c>
      <c r="D232" s="38" t="n">
        <v>52.61</v>
      </c>
      <c r="E232" s="38" t="n">
        <v>56.925</v>
      </c>
      <c r="F232" s="38" t="n">
        <v>56.598</v>
      </c>
      <c r="G232" s="38" t="n">
        <v>57.357</v>
      </c>
      <c r="H232" s="38" t="n">
        <v>62.051</v>
      </c>
      <c r="I232" s="38" t="n">
        <v>65.334</v>
      </c>
      <c r="J232" s="38" t="n">
        <v>17.397</v>
      </c>
      <c r="K232" s="38" t="n">
        <v>17.158</v>
      </c>
      <c r="L232" s="38" t="n">
        <v>17.326</v>
      </c>
      <c r="M232" s="38" t="n">
        <v>17.002</v>
      </c>
      <c r="N232" s="38" t="n">
        <v>68.883</v>
      </c>
      <c r="O232" s="38" t="n">
        <v>17.931</v>
      </c>
      <c r="P232" s="38" t="n">
        <v>17.969</v>
      </c>
      <c r="Q232" s="38" t="n">
        <v>17.117</v>
      </c>
      <c r="R232" s="38" t="n">
        <v>16.59</v>
      </c>
      <c r="S232" s="38" t="n">
        <v>69.607</v>
      </c>
      <c r="T232" s="38" t="n">
        <v>16.032</v>
      </c>
      <c r="U232" s="38" t="n">
        <v>15.686</v>
      </c>
      <c r="V232" s="38" t="n">
        <v>16.179</v>
      </c>
      <c r="W232" s="38" t="n">
        <v>16.11</v>
      </c>
      <c r="X232" s="38" t="n">
        <v>64.007</v>
      </c>
      <c r="Y232" s="38" t="n">
        <v>15.625</v>
      </c>
      <c r="Z232" s="38" t="n">
        <v>16.607</v>
      </c>
      <c r="AA232" s="38" t="n">
        <v>16.263</v>
      </c>
      <c r="AB232" s="38" t="n">
        <v>16.578</v>
      </c>
      <c r="AC232" s="38" t="n">
        <v>65.073</v>
      </c>
      <c r="AD232" s="38" t="n">
        <v>16.166</v>
      </c>
      <c r="AE232" s="38" t="n">
        <v>15.84</v>
      </c>
      <c r="AF232" s="38" t="n">
        <v>18.451</v>
      </c>
      <c r="AG232" s="38" t="n">
        <v>17.658</v>
      </c>
      <c r="AH232" s="38" t="n">
        <v>68.115</v>
      </c>
      <c r="AI232" s="38" t="n">
        <v>18.134</v>
      </c>
      <c r="AJ232" s="38" t="n">
        <v>18.189</v>
      </c>
      <c r="AK232" s="38" t="n">
        <v>17.623</v>
      </c>
      <c r="AL232" s="38" t="n">
        <v>18.4</v>
      </c>
      <c r="AM232" s="38" t="n">
        <v>72.346</v>
      </c>
      <c r="AN232" s="38" t="n">
        <v>18.901</v>
      </c>
      <c r="AO232" s="38" t="n">
        <v>20.351</v>
      </c>
      <c r="AP232" s="38" t="n">
        <v>21.148</v>
      </c>
      <c r="AQ232" s="38" t="n">
        <v>21.087</v>
      </c>
      <c r="AR232" s="38" t="n">
        <v>81.487</v>
      </c>
      <c r="AS232" s="38" t="n">
        <v>21.028</v>
      </c>
      <c r="AT232" s="38" t="n">
        <v>20.05</v>
      </c>
      <c r="AU232" s="38" t="n">
        <v>19.488</v>
      </c>
      <c r="AV232" s="38" t="n">
        <v>19.926</v>
      </c>
      <c r="AW232" s="38" t="n">
        <v>80.492</v>
      </c>
      <c r="AX232" s="38" t="n">
        <v>19.118</v>
      </c>
      <c r="AY232" s="38" t="n">
        <v>19.39</v>
      </c>
      <c r="AZ232" s="38" t="n">
        <v>22.05</v>
      </c>
      <c r="BA232" s="38" t="n">
        <v>20.588</v>
      </c>
      <c r="BB232" s="38" t="n">
        <v>81.146</v>
      </c>
      <c r="BC232" s="38" t="n">
        <v>19.891</v>
      </c>
      <c r="BD232" s="38" t="n">
        <v>19.868</v>
      </c>
      <c r="BE232" s="38" t="n">
        <v>19.25</v>
      </c>
      <c r="BF232" s="38" t="n">
        <v>19.05</v>
      </c>
      <c r="BG232" s="38" t="n">
        <v>78.059</v>
      </c>
      <c r="BH232" s="38" t="n">
        <v>21.295</v>
      </c>
      <c r="BI232" s="38" t="n">
        <v>21.917</v>
      </c>
      <c r="BJ232" s="38" t="n">
        <v>21.489</v>
      </c>
      <c r="BK232" s="38" t="n">
        <v>21.969</v>
      </c>
      <c r="BL232" s="38" t="n">
        <v>86.67</v>
      </c>
      <c r="BM232" s="38" t="n">
        <v>21.586</v>
      </c>
      <c r="BN232" s="38" t="n">
        <v>20.865</v>
      </c>
      <c r="BO232" s="38" t="n">
        <v>22.644</v>
      </c>
      <c r="BP232" s="38" t="n">
        <v>23.143</v>
      </c>
      <c r="BQ232" s="38" t="n">
        <v>88.238</v>
      </c>
      <c r="BR232" s="38" t="n">
        <v>23.784</v>
      </c>
      <c r="BS232" s="38" t="n">
        <v>24.462</v>
      </c>
      <c r="BT232" s="38" t="n">
        <v>24.744</v>
      </c>
      <c r="BU232" s="38" t="n">
        <v>25.556</v>
      </c>
      <c r="BV232" s="38" t="n">
        <v>98.546</v>
      </c>
      <c r="BW232" s="38" t="n">
        <v>26.009</v>
      </c>
      <c r="BX232" s="38" t="n">
        <v>25.969</v>
      </c>
      <c r="CA232" s="51" t="n">
        <f aca="false">$BW$232+$BX$232+$BY$152+$BZ$152</f>
        <v>102.625183056553</v>
      </c>
      <c r="CB232" s="51" t="n">
        <f aca="false">CB152</f>
        <v>118.564255390357</v>
      </c>
      <c r="CC232" s="51" t="n">
        <f aca="false">CC152</f>
        <v>133.783436147972</v>
      </c>
      <c r="CD232" s="51" t="n">
        <f aca="false">CD152</f>
        <v>149.289235480114</v>
      </c>
      <c r="CE232" s="51" t="n">
        <f aca="false">CE152</f>
        <v>165.45936661723</v>
      </c>
    </row>
    <row r="233" customFormat="false" ht="15" hidden="false" customHeight="false" outlineLevel="0" collapsed="false">
      <c r="B233" s="26" t="s">
        <v>366</v>
      </c>
      <c r="C233" s="48" t="n">
        <v>4.217</v>
      </c>
      <c r="D233" s="48" t="n">
        <v>4.679</v>
      </c>
      <c r="E233" s="48" t="n">
        <v>4.738</v>
      </c>
      <c r="F233" s="48" t="n">
        <v>5.432</v>
      </c>
      <c r="G233" s="48" t="n">
        <v>8.213</v>
      </c>
      <c r="H233" s="48" t="n">
        <v>6.61</v>
      </c>
      <c r="I233" s="48" t="n">
        <v>8.961</v>
      </c>
      <c r="J233" s="48" t="n">
        <v>2.468</v>
      </c>
      <c r="K233" s="48" t="n">
        <v>2.511</v>
      </c>
      <c r="L233" s="48" t="n">
        <v>2.532</v>
      </c>
      <c r="M233" s="48" t="n">
        <v>2.223</v>
      </c>
      <c r="N233" s="48" t="n">
        <v>9.734</v>
      </c>
      <c r="O233" s="48" t="n">
        <v>2.293</v>
      </c>
      <c r="P233" s="48" t="n">
        <v>2.292</v>
      </c>
      <c r="Q233" s="48" t="n">
        <v>1.683</v>
      </c>
      <c r="R233" s="48" t="n">
        <v>2.148</v>
      </c>
      <c r="S233" s="48" t="n">
        <v>8.416</v>
      </c>
      <c r="T233" s="48" t="n">
        <v>1.957</v>
      </c>
      <c r="U233" s="48" t="n">
        <v>1.932</v>
      </c>
      <c r="V233" s="48" t="n">
        <v>2.053</v>
      </c>
      <c r="W233" s="48" t="n">
        <v>1.99</v>
      </c>
      <c r="X233" s="48" t="n">
        <v>7.932</v>
      </c>
      <c r="Y233" s="48" t="n">
        <v>2.154</v>
      </c>
      <c r="Z233" s="48" t="n">
        <v>2.689</v>
      </c>
      <c r="AA233" s="48" t="n">
        <v>2.673</v>
      </c>
      <c r="AB233" s="48" t="n">
        <v>2.816</v>
      </c>
      <c r="AC233" s="48" t="n">
        <v>10.332</v>
      </c>
      <c r="AD233" s="48" t="n">
        <v>3.268</v>
      </c>
      <c r="AE233" s="48" t="n">
        <v>3.364</v>
      </c>
      <c r="AF233" s="48" t="n">
        <v>3.334</v>
      </c>
      <c r="AG233" s="48" t="n">
        <v>2.732</v>
      </c>
      <c r="AH233" s="48" t="n">
        <v>12.698</v>
      </c>
      <c r="AI233" s="48" t="n">
        <v>4.419</v>
      </c>
      <c r="AJ233" s="48" t="n">
        <v>5.402</v>
      </c>
      <c r="AK233" s="48" t="n">
        <v>3.762</v>
      </c>
      <c r="AL233" s="48" t="n">
        <v>4.971</v>
      </c>
      <c r="AM233" s="48" t="n">
        <v>18.554</v>
      </c>
      <c r="AN233" s="48" t="n">
        <v>4.149</v>
      </c>
      <c r="AO233" s="48" t="n">
        <v>4.596</v>
      </c>
      <c r="AP233" s="48" t="n">
        <v>3.857</v>
      </c>
      <c r="AQ233" s="48" t="n">
        <v>4.022</v>
      </c>
      <c r="AR233" s="48" t="n">
        <v>16.624</v>
      </c>
      <c r="AS233" s="48" t="n">
        <v>3.691</v>
      </c>
      <c r="AT233" s="48" t="n">
        <v>4.116</v>
      </c>
      <c r="AU233" s="48" t="n">
        <v>3.849</v>
      </c>
      <c r="AV233" s="48" t="n">
        <v>3.732</v>
      </c>
      <c r="AW233" s="48" t="n">
        <v>15.388</v>
      </c>
      <c r="AX233" s="48" t="n">
        <v>6.402</v>
      </c>
      <c r="AY233" s="48" t="n">
        <v>6.249</v>
      </c>
      <c r="AZ233" s="48" t="n">
        <v>5.564</v>
      </c>
      <c r="BA233" s="48" t="n">
        <v>5.572</v>
      </c>
      <c r="BB233" s="48" t="n">
        <v>23.787</v>
      </c>
      <c r="BC233" s="48" t="n">
        <v>11.148</v>
      </c>
      <c r="BD233" s="48" t="n">
        <v>5.192</v>
      </c>
      <c r="BE233" s="48" t="n">
        <v>4.609</v>
      </c>
      <c r="BF233" s="48" t="n">
        <v>4.318</v>
      </c>
      <c r="BG233" s="48" t="n">
        <v>25.267</v>
      </c>
      <c r="BH233" s="48" t="n">
        <v>11.634</v>
      </c>
      <c r="BI233" s="48" t="n">
        <v>4.981</v>
      </c>
      <c r="BJ233" s="48" t="n">
        <v>5.509</v>
      </c>
      <c r="BK233" s="48" t="n">
        <v>4.107</v>
      </c>
      <c r="BL233" s="48" t="n">
        <v>26.231</v>
      </c>
      <c r="BM233" s="48" t="n">
        <v>14.19</v>
      </c>
      <c r="BN233" s="48" t="n">
        <v>4.189</v>
      </c>
      <c r="BO233" s="48" t="n">
        <v>1.124</v>
      </c>
      <c r="BP233" s="48" t="n">
        <v>4.549</v>
      </c>
      <c r="BQ233" s="48" t="n">
        <v>24.052</v>
      </c>
      <c r="BR233" s="48" t="n">
        <v>8.352</v>
      </c>
      <c r="BS233" s="48" t="n">
        <v>3.925</v>
      </c>
      <c r="BT233" s="48" t="n">
        <v>3.633</v>
      </c>
      <c r="BU233" s="48" t="n">
        <v>4.438</v>
      </c>
      <c r="BV233" s="48" t="n">
        <v>20.348</v>
      </c>
      <c r="BW233" s="48" t="n">
        <v>9.58</v>
      </c>
      <c r="BX233" s="48" t="n">
        <v>4.875</v>
      </c>
      <c r="CA233" s="56" t="n">
        <f aca="false">$BW$233+$BX$233</f>
        <v>14.455</v>
      </c>
      <c r="CB233" s="56" t="n">
        <f aca="false">CB153</f>
        <v>25.0954903022514</v>
      </c>
      <c r="CC233" s="56" t="n">
        <f aca="false">CC153</f>
        <v>26.9909643799938</v>
      </c>
      <c r="CD233" s="56" t="n">
        <f aca="false">CD153</f>
        <v>28.8922251043726</v>
      </c>
      <c r="CE233" s="56" t="n">
        <f aca="false">CE153</f>
        <v>30.8791231776587</v>
      </c>
      <c r="CF233" s="19" t="s">
        <v>367</v>
      </c>
    </row>
    <row r="234" customFormat="false" ht="15" hidden="false" customHeight="false" outlineLevel="0" collapsed="false">
      <c r="B234" s="26" t="s">
        <v>368</v>
      </c>
      <c r="C234" s="48" t="n">
        <v>-8.738</v>
      </c>
      <c r="D234" s="48" t="n">
        <v>0.627</v>
      </c>
      <c r="E234" s="48" t="n">
        <v>-0.18</v>
      </c>
      <c r="F234" s="48" t="n">
        <v>0</v>
      </c>
      <c r="G234" s="48" t="n">
        <v>0</v>
      </c>
      <c r="H234" s="48" t="n">
        <v>0</v>
      </c>
      <c r="I234" s="48" t="n">
        <v>0</v>
      </c>
      <c r="J234" s="48" t="n">
        <v>0</v>
      </c>
      <c r="K234" s="48" t="n">
        <v>0</v>
      </c>
      <c r="L234" s="48" t="n">
        <v>0</v>
      </c>
      <c r="M234" s="48" t="n">
        <v>0</v>
      </c>
      <c r="N234" s="48" t="n">
        <v>0</v>
      </c>
      <c r="O234" s="48" t="n">
        <v>0</v>
      </c>
      <c r="P234" s="48" t="n">
        <v>0</v>
      </c>
      <c r="Q234" s="48" t="n">
        <v>0</v>
      </c>
      <c r="R234" s="48" t="n">
        <v>0</v>
      </c>
      <c r="S234" s="48" t="n">
        <v>0</v>
      </c>
      <c r="T234" s="48" t="n">
        <v>0</v>
      </c>
      <c r="U234" s="48" t="n">
        <v>0</v>
      </c>
      <c r="V234" s="48" t="n">
        <v>0</v>
      </c>
      <c r="W234" s="48" t="n">
        <v>0</v>
      </c>
      <c r="X234" s="48" t="n">
        <v>0</v>
      </c>
      <c r="Y234" s="48" t="n">
        <v>0</v>
      </c>
      <c r="Z234" s="48" t="n">
        <v>34.348</v>
      </c>
      <c r="AA234" s="48" t="n">
        <v>0</v>
      </c>
      <c r="AB234" s="48" t="n">
        <v>0</v>
      </c>
      <c r="AC234" s="48" t="n">
        <v>34.348</v>
      </c>
      <c r="AD234" s="48" t="n">
        <v>0</v>
      </c>
      <c r="AE234" s="48" t="n">
        <v>0</v>
      </c>
      <c r="AF234" s="48" t="n">
        <v>-51.585</v>
      </c>
      <c r="AG234" s="48" t="n">
        <v>1.935</v>
      </c>
      <c r="AH234" s="48" t="n">
        <v>-49.65</v>
      </c>
      <c r="AI234" s="48" t="n">
        <v>0</v>
      </c>
      <c r="AJ234" s="48" t="n">
        <v>0</v>
      </c>
      <c r="AK234" s="48" t="n">
        <v>0</v>
      </c>
      <c r="AL234" s="48" t="n">
        <v>0</v>
      </c>
      <c r="AM234" s="48" t="n">
        <v>0</v>
      </c>
      <c r="AN234" s="48" t="n">
        <v>0</v>
      </c>
      <c r="AO234" s="48" t="n">
        <v>0</v>
      </c>
      <c r="AP234" s="48" t="n">
        <v>-7.601</v>
      </c>
      <c r="AQ234" s="48" t="n">
        <v>0</v>
      </c>
      <c r="AR234" s="48" t="n">
        <v>-7.601</v>
      </c>
      <c r="AS234" s="48" t="n">
        <v>0</v>
      </c>
      <c r="AT234" s="48" t="n">
        <v>0</v>
      </c>
      <c r="AU234" s="48" t="n">
        <v>0</v>
      </c>
      <c r="AV234" s="48" t="n">
        <v>0</v>
      </c>
      <c r="AW234" s="48" t="n">
        <v>0</v>
      </c>
      <c r="AX234" s="48" t="n">
        <v>0</v>
      </c>
      <c r="AY234" s="48" t="n">
        <v>0</v>
      </c>
      <c r="AZ234" s="48" t="n">
        <v>0</v>
      </c>
      <c r="BA234" s="48" t="n">
        <v>0</v>
      </c>
      <c r="BB234" s="48" t="n">
        <v>0</v>
      </c>
      <c r="BC234" s="48" t="n">
        <v>0</v>
      </c>
      <c r="BD234" s="48" t="n">
        <v>0</v>
      </c>
      <c r="BE234" s="48" t="n">
        <v>0</v>
      </c>
      <c r="BF234" s="48" t="n">
        <v>0</v>
      </c>
      <c r="BG234" s="48" t="n">
        <v>0</v>
      </c>
      <c r="BH234" s="48" t="n">
        <v>0</v>
      </c>
      <c r="BI234" s="48" t="n">
        <v>0</v>
      </c>
      <c r="BJ234" s="48" t="n">
        <v>0</v>
      </c>
      <c r="BK234" s="48" t="n">
        <v>-36.187</v>
      </c>
      <c r="BL234" s="48" t="n">
        <v>-36.187</v>
      </c>
      <c r="BM234" s="48" t="n">
        <v>0</v>
      </c>
      <c r="BN234" s="48" t="n">
        <v>0</v>
      </c>
      <c r="BO234" s="48" t="n">
        <v>0</v>
      </c>
      <c r="BP234" s="48" t="n">
        <v>0</v>
      </c>
      <c r="BQ234" s="48" t="n">
        <v>0</v>
      </c>
      <c r="BR234" s="48" t="n">
        <v>0</v>
      </c>
      <c r="BS234" s="48" t="n">
        <v>0</v>
      </c>
      <c r="BT234" s="48" t="n">
        <v>0</v>
      </c>
      <c r="BU234" s="48" t="n">
        <v>0</v>
      </c>
      <c r="BV234" s="48" t="n">
        <v>0</v>
      </c>
      <c r="BW234" s="48" t="n">
        <v>0</v>
      </c>
      <c r="BX234" s="48" t="n">
        <v>0</v>
      </c>
      <c r="CA234" s="56" t="n">
        <f aca="false">$BW$234+$BX$234</f>
        <v>0</v>
      </c>
      <c r="CB234" s="55" t="n">
        <v>0</v>
      </c>
      <c r="CC234" s="55" t="n">
        <v>0</v>
      </c>
      <c r="CD234" s="55" t="n">
        <v>0</v>
      </c>
      <c r="CE234" s="55" t="n">
        <v>0</v>
      </c>
    </row>
    <row r="235" customFormat="false" ht="15" hidden="false" customHeight="false" outlineLevel="0" collapsed="false">
      <c r="B235" s="26" t="s">
        <v>369</v>
      </c>
      <c r="C235" s="48" t="n">
        <v>4.349</v>
      </c>
      <c r="D235" s="48" t="n">
        <v>-3.711</v>
      </c>
      <c r="E235" s="48" t="n">
        <v>7.367</v>
      </c>
      <c r="F235" s="48" t="n">
        <v>-7.09</v>
      </c>
      <c r="G235" s="48" t="n">
        <v>4.387</v>
      </c>
      <c r="H235" s="48" t="n">
        <v>15.139</v>
      </c>
      <c r="I235" s="48" t="n">
        <v>-2.137</v>
      </c>
      <c r="J235" s="48" t="n">
        <v>13.237</v>
      </c>
      <c r="K235" s="48" t="n">
        <v>6.467</v>
      </c>
      <c r="L235" s="48" t="n">
        <v>1.319</v>
      </c>
      <c r="M235" s="48" t="n">
        <v>-3.206</v>
      </c>
      <c r="N235" s="48" t="n">
        <v>17.817</v>
      </c>
      <c r="O235" s="48" t="n">
        <v>3.726</v>
      </c>
      <c r="P235" s="48" t="n">
        <v>-4.052</v>
      </c>
      <c r="Q235" s="48" t="n">
        <v>6.481</v>
      </c>
      <c r="R235" s="48" t="n">
        <v>11.732</v>
      </c>
      <c r="S235" s="48" t="n">
        <v>17.887</v>
      </c>
      <c r="T235" s="48" t="n">
        <v>-16.886</v>
      </c>
      <c r="U235" s="48" t="n">
        <v>10.549</v>
      </c>
      <c r="V235" s="48" t="n">
        <v>-51.353</v>
      </c>
      <c r="W235" s="48" t="n">
        <v>1.962</v>
      </c>
      <c r="X235" s="48" t="n">
        <v>-55.728</v>
      </c>
      <c r="Y235" s="48" t="n">
        <v>-4.238</v>
      </c>
      <c r="Z235" s="48" t="n">
        <v>-3.925</v>
      </c>
      <c r="AA235" s="48" t="n">
        <v>-4.65</v>
      </c>
      <c r="AB235" s="48" t="n">
        <v>3.008</v>
      </c>
      <c r="AC235" s="48" t="n">
        <v>-9.805</v>
      </c>
      <c r="AD235" s="48" t="n">
        <v>0.822</v>
      </c>
      <c r="AE235" s="48" t="n">
        <v>5.574</v>
      </c>
      <c r="AF235" s="48" t="n">
        <v>-3.267</v>
      </c>
      <c r="AG235" s="48" t="n">
        <v>0.929</v>
      </c>
      <c r="AH235" s="48" t="n">
        <v>4.058</v>
      </c>
      <c r="AI235" s="48" t="n">
        <v>7.955</v>
      </c>
      <c r="AJ235" s="48" t="n">
        <v>-2.986</v>
      </c>
      <c r="AK235" s="48" t="n">
        <v>-0.525</v>
      </c>
      <c r="AL235" s="48" t="n">
        <v>-2.954</v>
      </c>
      <c r="AM235" s="48" t="n">
        <v>1.49</v>
      </c>
      <c r="AN235" s="48" t="n">
        <v>1.317</v>
      </c>
      <c r="AO235" s="48" t="n">
        <v>1.357</v>
      </c>
      <c r="AP235" s="48" t="n">
        <v>1.371</v>
      </c>
      <c r="AQ235" s="48" t="n">
        <v>8.974</v>
      </c>
      <c r="AR235" s="48" t="n">
        <v>13.019</v>
      </c>
      <c r="AS235" s="48" t="n">
        <v>-3.685</v>
      </c>
      <c r="AT235" s="48" t="n">
        <v>-6.951</v>
      </c>
      <c r="AU235" s="48" t="n">
        <v>0.493</v>
      </c>
      <c r="AV235" s="48" t="n">
        <v>7.195</v>
      </c>
      <c r="AW235" s="48" t="n">
        <v>-2.948</v>
      </c>
      <c r="AX235" s="48" t="n">
        <v>-16.115</v>
      </c>
      <c r="AY235" s="48" t="n">
        <v>-4.88</v>
      </c>
      <c r="AZ235" s="48" t="n">
        <v>-7.433</v>
      </c>
      <c r="BA235" s="48" t="n">
        <v>-0.128</v>
      </c>
      <c r="BB235" s="48" t="n">
        <v>-28.556</v>
      </c>
      <c r="BC235" s="48" t="n">
        <v>-18.207</v>
      </c>
      <c r="BD235" s="48" t="n">
        <v>-3.565</v>
      </c>
      <c r="BE235" s="48" t="n">
        <v>-12.631</v>
      </c>
      <c r="BF235" s="48" t="n">
        <v>-13.804</v>
      </c>
      <c r="BG235" s="48" t="n">
        <v>-48.207</v>
      </c>
      <c r="BH235" s="48" t="n">
        <v>-7.019</v>
      </c>
      <c r="BI235" s="48" t="n">
        <v>10.793</v>
      </c>
      <c r="BJ235" s="48" t="n">
        <v>-0.573</v>
      </c>
      <c r="BK235" s="48" t="n">
        <v>-24.127</v>
      </c>
      <c r="BL235" s="48" t="n">
        <v>-20.926</v>
      </c>
      <c r="BM235" s="48" t="n">
        <v>-7.348</v>
      </c>
      <c r="BN235" s="48" t="n">
        <v>3.484</v>
      </c>
      <c r="BO235" s="48" t="n">
        <v>-9.476</v>
      </c>
      <c r="BP235" s="48" t="n">
        <v>-26.988</v>
      </c>
      <c r="BQ235" s="48" t="n">
        <v>-40.328</v>
      </c>
      <c r="BR235" s="48" t="n">
        <v>-5.838</v>
      </c>
      <c r="BS235" s="48" t="n">
        <v>-20.504</v>
      </c>
      <c r="BT235" s="48" t="n">
        <v>97.737</v>
      </c>
      <c r="BU235" s="48" t="n">
        <v>11.349</v>
      </c>
      <c r="BV235" s="48" t="n">
        <v>82.744</v>
      </c>
      <c r="BW235" s="48" t="n">
        <v>22.533</v>
      </c>
      <c r="BX235" s="48" t="n">
        <v>-4.041</v>
      </c>
      <c r="CA235" s="56" t="n">
        <f aca="false">$BW$235+$BX$235</f>
        <v>18.492</v>
      </c>
      <c r="CB235" s="55" t="n">
        <v>0</v>
      </c>
      <c r="CC235" s="55" t="n">
        <v>0</v>
      </c>
      <c r="CD235" s="55" t="n">
        <v>0</v>
      </c>
      <c r="CE235" s="55" t="n">
        <v>0</v>
      </c>
    </row>
    <row r="236" customFormat="false" ht="15" hidden="false" customHeight="false" outlineLevel="0" collapsed="false">
      <c r="B236" s="26" t="s">
        <v>370</v>
      </c>
      <c r="C236" s="48" t="n">
        <v>-3.035</v>
      </c>
      <c r="D236" s="48" t="n">
        <v>-9.6</v>
      </c>
      <c r="E236" s="48" t="n">
        <v>21.822</v>
      </c>
      <c r="F236" s="48" t="n">
        <v>36.843</v>
      </c>
      <c r="G236" s="48" t="n">
        <v>14.341</v>
      </c>
      <c r="H236" s="48" t="n">
        <v>20.694</v>
      </c>
      <c r="I236" s="48" t="n">
        <v>-29.738</v>
      </c>
      <c r="J236" s="48" t="n">
        <v>-49.351</v>
      </c>
      <c r="K236" s="48" t="n">
        <v>-17.982</v>
      </c>
      <c r="L236" s="48" t="n">
        <v>8.302</v>
      </c>
      <c r="M236" s="48" t="n">
        <v>4.698</v>
      </c>
      <c r="N236" s="48" t="n">
        <v>-54.333</v>
      </c>
      <c r="O236" s="48" t="n">
        <v>-2.176</v>
      </c>
      <c r="P236" s="48" t="n">
        <v>-0.822</v>
      </c>
      <c r="Q236" s="48" t="n">
        <v>22.224</v>
      </c>
      <c r="R236" s="48" t="n">
        <v>2.112</v>
      </c>
      <c r="S236" s="48" t="n">
        <v>21.338</v>
      </c>
      <c r="T236" s="48" t="n">
        <v>-19.41</v>
      </c>
      <c r="U236" s="48" t="n">
        <v>-21.549</v>
      </c>
      <c r="V236" s="48" t="n">
        <v>145.922</v>
      </c>
      <c r="W236" s="48" t="n">
        <v>10.936</v>
      </c>
      <c r="X236" s="48" t="n">
        <v>115.899</v>
      </c>
      <c r="Y236" s="48" t="n">
        <v>-16.732</v>
      </c>
      <c r="Z236" s="48" t="n">
        <v>2.256</v>
      </c>
      <c r="AA236" s="48" t="n">
        <v>2.853</v>
      </c>
      <c r="AB236" s="48" t="n">
        <v>-1.236</v>
      </c>
      <c r="AC236" s="48" t="n">
        <v>-12.859</v>
      </c>
      <c r="AD236" s="48" t="n">
        <v>0.29</v>
      </c>
      <c r="AE236" s="48" t="n">
        <v>-1.625</v>
      </c>
      <c r="AF236" s="48" t="n">
        <v>1.573</v>
      </c>
      <c r="AG236" s="48" t="n">
        <v>33.373</v>
      </c>
      <c r="AH236" s="48" t="n">
        <v>33.611</v>
      </c>
      <c r="AI236" s="48" t="n">
        <v>-4.938</v>
      </c>
      <c r="AJ236" s="48" t="n">
        <v>-3.964</v>
      </c>
      <c r="AK236" s="48" t="n">
        <v>0.109</v>
      </c>
      <c r="AL236" s="48" t="n">
        <v>-7.827</v>
      </c>
      <c r="AM236" s="48" t="n">
        <v>-16.62</v>
      </c>
      <c r="AN236" s="48" t="n">
        <v>-0.11</v>
      </c>
      <c r="AO236" s="48" t="n">
        <v>-5.76</v>
      </c>
      <c r="AP236" s="48" t="n">
        <v>-1.715</v>
      </c>
      <c r="AQ236" s="48" t="n">
        <v>1.477</v>
      </c>
      <c r="AR236" s="48" t="n">
        <v>-6.108</v>
      </c>
      <c r="AS236" s="48" t="n">
        <v>-4.593</v>
      </c>
      <c r="AT236" s="48" t="n">
        <v>23.806</v>
      </c>
      <c r="AU236" s="48" t="n">
        <v>-1.855</v>
      </c>
      <c r="AV236" s="48" t="n">
        <v>-5.898</v>
      </c>
      <c r="AW236" s="48" t="n">
        <v>11.46</v>
      </c>
      <c r="AX236" s="48" t="n">
        <v>8.855</v>
      </c>
      <c r="AY236" s="48" t="n">
        <v>-6.865</v>
      </c>
      <c r="AZ236" s="48" t="n">
        <v>75.924</v>
      </c>
      <c r="BA236" s="48" t="n">
        <v>30.174</v>
      </c>
      <c r="BB236" s="48" t="n">
        <v>108.088</v>
      </c>
      <c r="BC236" s="48" t="n">
        <v>0.914</v>
      </c>
      <c r="BD236" s="48" t="n">
        <v>8.047</v>
      </c>
      <c r="BE236" s="48" t="n">
        <v>14.936</v>
      </c>
      <c r="BF236" s="48" t="n">
        <v>-3.815</v>
      </c>
      <c r="BG236" s="48" t="n">
        <v>20.082</v>
      </c>
      <c r="BH236" s="48" t="n">
        <v>-2.117</v>
      </c>
      <c r="BI236" s="48" t="n">
        <v>4.248</v>
      </c>
      <c r="BJ236" s="48" t="n">
        <v>-4.901</v>
      </c>
      <c r="BK236" s="48" t="n">
        <v>-9.915</v>
      </c>
      <c r="BL236" s="48" t="n">
        <v>-12.685</v>
      </c>
      <c r="BM236" s="48" t="n">
        <v>5.168</v>
      </c>
      <c r="BN236" s="48" t="n">
        <v>20.603</v>
      </c>
      <c r="BO236" s="48" t="n">
        <v>7.435</v>
      </c>
      <c r="BP236" s="48" t="n">
        <v>-15.307</v>
      </c>
      <c r="BQ236" s="48" t="n">
        <v>17.899</v>
      </c>
      <c r="BR236" s="48" t="n">
        <v>0.282</v>
      </c>
      <c r="BS236" s="48" t="n">
        <v>-0.461</v>
      </c>
      <c r="BT236" s="48" t="n">
        <v>-1.729</v>
      </c>
      <c r="BU236" s="48" t="n">
        <v>6.423</v>
      </c>
      <c r="BV236" s="48" t="n">
        <v>4.515</v>
      </c>
      <c r="BW236" s="48" t="n">
        <v>-1.516</v>
      </c>
      <c r="BX236" s="48" t="n">
        <v>-0.22</v>
      </c>
      <c r="CA236" s="56" t="n">
        <f aca="false">$BW$236+$BX$236</f>
        <v>-1.736</v>
      </c>
      <c r="CB236" s="55" t="n">
        <v>0</v>
      </c>
      <c r="CC236" s="55" t="n">
        <v>0</v>
      </c>
      <c r="CD236" s="55" t="n">
        <v>0</v>
      </c>
      <c r="CE236" s="55" t="n">
        <v>0</v>
      </c>
    </row>
    <row r="237" customFormat="false" ht="15" hidden="false" customHeight="false" outlineLevel="0" collapsed="false">
      <c r="B237" s="26" t="s">
        <v>371</v>
      </c>
      <c r="C237" s="38" t="n">
        <v>-100.946</v>
      </c>
      <c r="D237" s="38" t="n">
        <v>2.491</v>
      </c>
      <c r="E237" s="38" t="n">
        <v>-45.509</v>
      </c>
      <c r="F237" s="38" t="n">
        <v>109.991</v>
      </c>
      <c r="G237" s="38" t="n">
        <v>-57.564</v>
      </c>
      <c r="H237" s="38" t="n">
        <v>-128.162</v>
      </c>
      <c r="I237" s="38" t="n">
        <v>27.653</v>
      </c>
      <c r="J237" s="38" t="n">
        <v>-70.705</v>
      </c>
      <c r="K237" s="38" t="n">
        <v>26.439</v>
      </c>
      <c r="L237" s="38" t="n">
        <v>59.517</v>
      </c>
      <c r="M237" s="38" t="n">
        <v>-12.238</v>
      </c>
      <c r="N237" s="38" t="n">
        <v>3.013</v>
      </c>
      <c r="O237" s="38" t="n">
        <v>-64.596</v>
      </c>
      <c r="P237" s="38" t="n">
        <v>12.255</v>
      </c>
      <c r="Q237" s="38" t="n">
        <v>56.254</v>
      </c>
      <c r="R237" s="38" t="n">
        <v>25.855</v>
      </c>
      <c r="S237" s="38" t="n">
        <v>29.768</v>
      </c>
      <c r="T237" s="38" t="n">
        <v>2.737</v>
      </c>
      <c r="U237" s="38" t="n">
        <v>-0.23</v>
      </c>
      <c r="V237" s="38" t="n">
        <v>53.031</v>
      </c>
      <c r="W237" s="38" t="n">
        <v>-4.268</v>
      </c>
      <c r="X237" s="38" t="n">
        <v>51.27</v>
      </c>
      <c r="Y237" s="38" t="n">
        <v>-26.086</v>
      </c>
      <c r="Z237" s="38" t="n">
        <v>17.704</v>
      </c>
      <c r="AA237" s="38" t="n">
        <v>34.221</v>
      </c>
      <c r="AB237" s="38" t="n">
        <v>-7.924</v>
      </c>
      <c r="AC237" s="38" t="n">
        <v>17.915</v>
      </c>
      <c r="AD237" s="38" t="n">
        <v>-0.15</v>
      </c>
      <c r="AE237" s="38" t="n">
        <v>-9.058</v>
      </c>
      <c r="AF237" s="38" t="n">
        <v>19.035</v>
      </c>
      <c r="AG237" s="38" t="n">
        <v>8.683</v>
      </c>
      <c r="AH237" s="38" t="n">
        <v>18.51</v>
      </c>
      <c r="AI237" s="38" t="n">
        <v>-42.617</v>
      </c>
      <c r="AJ237" s="38" t="n">
        <v>-5.724</v>
      </c>
      <c r="AK237" s="38" t="n">
        <v>14.711</v>
      </c>
      <c r="AL237" s="38" t="n">
        <v>-0.054</v>
      </c>
      <c r="AM237" s="38" t="n">
        <v>-33.684</v>
      </c>
      <c r="AN237" s="38" t="n">
        <v>-69.859</v>
      </c>
      <c r="AO237" s="38" t="n">
        <v>20.111</v>
      </c>
      <c r="AP237" s="38" t="n">
        <v>39.16</v>
      </c>
      <c r="AQ237" s="38" t="n">
        <v>23.243</v>
      </c>
      <c r="AR237" s="38" t="n">
        <v>12.655</v>
      </c>
      <c r="AS237" s="38" t="n">
        <v>-50.031</v>
      </c>
      <c r="AT237" s="38" t="n">
        <v>36.024</v>
      </c>
      <c r="AU237" s="38" t="n">
        <v>9.094</v>
      </c>
      <c r="AV237" s="38" t="n">
        <v>45.768</v>
      </c>
      <c r="AW237" s="38" t="n">
        <v>40.855</v>
      </c>
      <c r="AX237" s="38" t="n">
        <v>-47.175</v>
      </c>
      <c r="AY237" s="38" t="n">
        <v>-10.027</v>
      </c>
      <c r="AZ237" s="38" t="n">
        <v>-17.971</v>
      </c>
      <c r="BA237" s="38" t="n">
        <v>-20.695</v>
      </c>
      <c r="BB237" s="38" t="n">
        <v>-95.868</v>
      </c>
      <c r="BC237" s="38" t="n">
        <v>-96.686</v>
      </c>
      <c r="BD237" s="38" t="n">
        <v>-59.154</v>
      </c>
      <c r="BE237" s="38" t="n">
        <v>-5.106</v>
      </c>
      <c r="BF237" s="38" t="n">
        <v>-3.093</v>
      </c>
      <c r="BG237" s="38" t="n">
        <v>-164.039</v>
      </c>
      <c r="BH237" s="38" t="n">
        <v>-21.793</v>
      </c>
      <c r="BI237" s="38" t="n">
        <v>19.575</v>
      </c>
      <c r="BJ237" s="38" t="n">
        <v>72.237</v>
      </c>
      <c r="BK237" s="38" t="n">
        <v>9.172</v>
      </c>
      <c r="BL237" s="38" t="n">
        <v>79.191</v>
      </c>
      <c r="BM237" s="38" t="n">
        <v>-23.717</v>
      </c>
      <c r="BN237" s="38" t="n">
        <v>19.838</v>
      </c>
      <c r="BO237" s="38" t="n">
        <v>76.718</v>
      </c>
      <c r="BP237" s="38" t="n">
        <v>-29.831</v>
      </c>
      <c r="BQ237" s="38" t="n">
        <v>43.008</v>
      </c>
      <c r="BR237" s="38" t="n">
        <v>40.626</v>
      </c>
      <c r="BS237" s="38" t="n">
        <v>-6.99</v>
      </c>
      <c r="BT237" s="38" t="n">
        <v>-10.326</v>
      </c>
      <c r="BU237" s="38" t="n">
        <v>-88.823</v>
      </c>
      <c r="BV237" s="38" t="n">
        <v>-65.513</v>
      </c>
      <c r="BW237" s="38" t="n">
        <v>-90.818</v>
      </c>
      <c r="BX237" s="38" t="n">
        <v>68.662</v>
      </c>
      <c r="CA237" s="51" t="n">
        <f aca="false">$BW$237+$BX$237-(CA280-$BX$280)-(CA281-$BX$281)+(CA291-$BX$291)+(CA292-$BX$292)</f>
        <v>-120.606233188127</v>
      </c>
      <c r="CB237" s="51" t="n">
        <f aca="false">-(CB280-CA280)-(CB281-CA281)+(CB291-CA291)+(CB292-CA292)</f>
        <v>-45.9004599975671</v>
      </c>
      <c r="CC237" s="51" t="n">
        <f aca="false">-(CC280-CB280)-(CC281-CB281)+(CC291-CB291)+(CC292-CB292)</f>
        <v>-60.6985667785215</v>
      </c>
      <c r="CD237" s="51" t="n">
        <f aca="false">-(CD280-CC280)-(CD281-CC281)+(CD291-CC291)+(CD292-CC292)</f>
        <v>-61.1563350669705</v>
      </c>
      <c r="CE237" s="51" t="n">
        <f aca="false">-(CE280-CD280)-(CE281-CD281)+(CE291-CD291)+(CE292-CD292)</f>
        <v>-65.1551821287139</v>
      </c>
    </row>
    <row r="238" customFormat="false" ht="15" hidden="false" customHeight="false" outlineLevel="0" collapsed="false">
      <c r="B238" s="58" t="s">
        <v>372</v>
      </c>
      <c r="C238" s="61" t="n">
        <v>118.68</v>
      </c>
      <c r="D238" s="61" t="n">
        <v>249.832</v>
      </c>
      <c r="E238" s="61" t="n">
        <v>257.449</v>
      </c>
      <c r="F238" s="61" t="n">
        <v>250.35</v>
      </c>
      <c r="G238" s="61" t="n">
        <v>156.978</v>
      </c>
      <c r="H238" s="61" t="n">
        <v>193.518</v>
      </c>
      <c r="I238" s="61" t="n">
        <v>327.484</v>
      </c>
      <c r="J238" s="61" t="n">
        <v>-20.148</v>
      </c>
      <c r="K238" s="61" t="n">
        <v>107.199</v>
      </c>
      <c r="L238" s="61" t="n">
        <v>155.04</v>
      </c>
      <c r="M238" s="61" t="n">
        <v>96.803</v>
      </c>
      <c r="N238" s="61" t="n">
        <v>338.894</v>
      </c>
      <c r="O238" s="61" t="n">
        <v>13.631</v>
      </c>
      <c r="P238" s="61" t="n">
        <v>104.974</v>
      </c>
      <c r="Q238" s="61" t="n">
        <v>149.448</v>
      </c>
      <c r="R238" s="61" t="n">
        <v>133.649</v>
      </c>
      <c r="S238" s="61" t="n">
        <v>401.702</v>
      </c>
      <c r="T238" s="61" t="n">
        <v>52.784</v>
      </c>
      <c r="U238" s="61" t="n">
        <v>77.286</v>
      </c>
      <c r="V238" s="61" t="n">
        <v>105.366</v>
      </c>
      <c r="W238" s="61" t="n">
        <v>75.422</v>
      </c>
      <c r="X238" s="61" t="n">
        <v>310.858</v>
      </c>
      <c r="Y238" s="61" t="n">
        <v>24.361</v>
      </c>
      <c r="Z238" s="61" t="n">
        <v>100.996</v>
      </c>
      <c r="AA238" s="61" t="n">
        <v>111.409</v>
      </c>
      <c r="AB238" s="61" t="n">
        <v>66.637</v>
      </c>
      <c r="AC238" s="61" t="n">
        <v>303.403</v>
      </c>
      <c r="AD238" s="61" t="n">
        <v>76.24</v>
      </c>
      <c r="AE238" s="61" t="n">
        <v>75.447</v>
      </c>
      <c r="AF238" s="61" t="n">
        <v>93.667</v>
      </c>
      <c r="AG238" s="61" t="n">
        <v>89.491</v>
      </c>
      <c r="AH238" s="61" t="n">
        <v>334.845</v>
      </c>
      <c r="AI238" s="61" t="n">
        <v>43.777</v>
      </c>
      <c r="AJ238" s="61" t="n">
        <v>79.781</v>
      </c>
      <c r="AK238" s="61" t="n">
        <v>106.219</v>
      </c>
      <c r="AL238" s="61" t="n">
        <v>99.375</v>
      </c>
      <c r="AM238" s="61" t="n">
        <v>329.152</v>
      </c>
      <c r="AN238" s="61" t="n">
        <v>25.878</v>
      </c>
      <c r="AO238" s="61" t="n">
        <v>126.107</v>
      </c>
      <c r="AP238" s="61" t="n">
        <v>128.681</v>
      </c>
      <c r="AQ238" s="61" t="n">
        <v>122.519</v>
      </c>
      <c r="AR238" s="61" t="n">
        <v>403.185</v>
      </c>
      <c r="AS238" s="61" t="n">
        <v>21.972</v>
      </c>
      <c r="AT238" s="61" t="n">
        <v>104.041</v>
      </c>
      <c r="AU238" s="61" t="n">
        <v>89.548</v>
      </c>
      <c r="AV238" s="61" t="n">
        <v>135.801</v>
      </c>
      <c r="AW238" s="61" t="n">
        <v>351.362</v>
      </c>
      <c r="AX238" s="61" t="n">
        <v>45.262</v>
      </c>
      <c r="AY238" s="61" t="n">
        <v>99.972</v>
      </c>
      <c r="AZ238" s="61" t="n">
        <v>109.891</v>
      </c>
      <c r="BA238" s="61" t="n">
        <v>109.938</v>
      </c>
      <c r="BB238" s="61" t="n">
        <v>365.063</v>
      </c>
      <c r="BC238" s="61" t="n">
        <v>43.09</v>
      </c>
      <c r="BD238" s="61" t="n">
        <v>98.211</v>
      </c>
      <c r="BE238" s="61" t="n">
        <v>130.283</v>
      </c>
      <c r="BF238" s="61" t="n">
        <v>111.802</v>
      </c>
      <c r="BG238" s="61" t="n">
        <v>383.386</v>
      </c>
      <c r="BH238" s="61" t="n">
        <v>123.931</v>
      </c>
      <c r="BI238" s="61" t="n">
        <v>198.845</v>
      </c>
      <c r="BJ238" s="61" t="n">
        <v>223.104</v>
      </c>
      <c r="BK238" s="61" t="n">
        <v>121.662</v>
      </c>
      <c r="BL238" s="61" t="n">
        <v>667.542</v>
      </c>
      <c r="BM238" s="61" t="n">
        <v>133.294</v>
      </c>
      <c r="BN238" s="61" t="n">
        <v>170.687</v>
      </c>
      <c r="BO238" s="61" t="n">
        <v>199.201</v>
      </c>
      <c r="BP238" s="61" t="n">
        <v>95.795</v>
      </c>
      <c r="BQ238" s="61" t="n">
        <v>598.977</v>
      </c>
      <c r="BR238" s="61" t="n">
        <v>185.693</v>
      </c>
      <c r="BS238" s="61" t="n">
        <v>143.828</v>
      </c>
      <c r="BT238" s="61" t="n">
        <v>236.687</v>
      </c>
      <c r="BU238" s="61" t="n">
        <v>94.965</v>
      </c>
      <c r="BV238" s="61" t="n">
        <v>661.173</v>
      </c>
      <c r="BW238" s="61" t="n">
        <v>102.17</v>
      </c>
      <c r="BX238" s="61" t="n">
        <v>253.764</v>
      </c>
      <c r="BY238" s="16"/>
      <c r="BZ238" s="16"/>
      <c r="CA238" s="59" t="n">
        <f aca="false">SUM(CA230:CA237)</f>
        <v>622.706278114676</v>
      </c>
      <c r="CB238" s="59" t="n">
        <f aca="false">SUM(CB230:CB237)</f>
        <v>759.835579326739</v>
      </c>
      <c r="CC238" s="59" t="n">
        <f aca="false">SUM(CC230:CC237)</f>
        <v>818.862556363539</v>
      </c>
      <c r="CD238" s="59" t="n">
        <f aca="false">SUM(CD230:CD237)</f>
        <v>891.262890503718</v>
      </c>
      <c r="CE238" s="59" t="n">
        <f aca="false">SUM(CE230:CE237)</f>
        <v>954.165584705508</v>
      </c>
      <c r="CH238" s="20" t="n">
        <f aca="false">IFERROR((CE238/BV238)^(1/5)-1,"n/m")</f>
        <v>0.0761225389078175</v>
      </c>
      <c r="CI238" s="20" t="n">
        <f aca="false">IFERROR((BV238/AW238)^(1/5)-1,"n/m")</f>
        <v>0.134781021643683</v>
      </c>
      <c r="CJ238" s="20" t="n">
        <f aca="false">IFERROR((BV238/X238)^(1/10)-1,"n/m")</f>
        <v>0.0783886447492006</v>
      </c>
      <c r="CK238" s="20" t="n">
        <f aca="false">IFERROR((BV238/C238)^(1/19)-1,"n/m")</f>
        <v>0.0946111615213583</v>
      </c>
    </row>
    <row r="239" customFormat="false" ht="15" hidden="false" customHeight="false" outlineLevel="0" collapsed="false">
      <c r="B239" s="26" t="s">
        <v>373</v>
      </c>
      <c r="C239" s="38" t="n">
        <v>-76.002</v>
      </c>
      <c r="D239" s="38" t="n">
        <v>-61.633</v>
      </c>
      <c r="E239" s="38" t="n">
        <v>-72.426</v>
      </c>
      <c r="F239" s="38" t="n">
        <v>-38.201</v>
      </c>
      <c r="G239" s="38" t="n">
        <v>-60.565</v>
      </c>
      <c r="H239" s="38" t="n">
        <v>-65.813</v>
      </c>
      <c r="I239" s="38" t="n">
        <v>-52.715</v>
      </c>
      <c r="J239" s="38" t="n">
        <v>-15.138</v>
      </c>
      <c r="K239" s="38" t="n">
        <v>-15.91</v>
      </c>
      <c r="L239" s="38" t="n">
        <v>-28.643</v>
      </c>
      <c r="M239" s="38" t="n">
        <v>-16.324</v>
      </c>
      <c r="N239" s="38" t="n">
        <v>-76.015</v>
      </c>
      <c r="O239" s="38" t="n">
        <v>-14.506</v>
      </c>
      <c r="P239" s="38" t="n">
        <v>-25.441</v>
      </c>
      <c r="Q239" s="38" t="n">
        <v>-15.483</v>
      </c>
      <c r="R239" s="38" t="n">
        <v>-17.56</v>
      </c>
      <c r="S239" s="38" t="n">
        <v>-72.99</v>
      </c>
      <c r="T239" s="38" t="n">
        <v>-12.456</v>
      </c>
      <c r="U239" s="38" t="n">
        <v>-16.761</v>
      </c>
      <c r="V239" s="38" t="n">
        <v>-10.97</v>
      </c>
      <c r="W239" s="38" t="n">
        <v>-10.32</v>
      </c>
      <c r="X239" s="38" t="n">
        <v>-50.507</v>
      </c>
      <c r="Y239" s="38" t="n">
        <v>-8.885</v>
      </c>
      <c r="Z239" s="38" t="n">
        <v>-15.894</v>
      </c>
      <c r="AA239" s="38" t="n">
        <v>-14.598</v>
      </c>
      <c r="AB239" s="38" t="n">
        <v>-10.5</v>
      </c>
      <c r="AC239" s="38" t="n">
        <v>-49.877</v>
      </c>
      <c r="AD239" s="38" t="n">
        <v>-12.037</v>
      </c>
      <c r="AE239" s="38" t="n">
        <v>-16.094</v>
      </c>
      <c r="AF239" s="38" t="n">
        <v>-10.828</v>
      </c>
      <c r="AG239" s="38" t="n">
        <v>-22.697</v>
      </c>
      <c r="AH239" s="38" t="n">
        <v>-61.656</v>
      </c>
      <c r="AI239" s="38" t="n">
        <v>-14.657</v>
      </c>
      <c r="AJ239" s="38" t="n">
        <v>-16.726</v>
      </c>
      <c r="AK239" s="38" t="n">
        <v>-17.363</v>
      </c>
      <c r="AL239" s="38" t="n">
        <v>-22.5</v>
      </c>
      <c r="AM239" s="38" t="n">
        <v>-71.246</v>
      </c>
      <c r="AN239" s="38" t="n">
        <v>-16.251</v>
      </c>
      <c r="AO239" s="38" t="n">
        <v>-20.262</v>
      </c>
      <c r="AP239" s="38" t="n">
        <v>-17.038</v>
      </c>
      <c r="AQ239" s="38" t="n">
        <v>-16.064</v>
      </c>
      <c r="AR239" s="38" t="n">
        <v>-69.615</v>
      </c>
      <c r="AS239" s="38" t="n">
        <v>-11.828</v>
      </c>
      <c r="AT239" s="38" t="n">
        <v>-13.183</v>
      </c>
      <c r="AU239" s="38" t="n">
        <v>-12.105</v>
      </c>
      <c r="AV239" s="38" t="n">
        <v>-22.085</v>
      </c>
      <c r="AW239" s="38" t="n">
        <v>-59.201</v>
      </c>
      <c r="AX239" s="38" t="n">
        <v>-9.936</v>
      </c>
      <c r="AY239" s="38" t="n">
        <v>-17.832</v>
      </c>
      <c r="AZ239" s="38" t="n">
        <v>-18.672</v>
      </c>
      <c r="BA239" s="38" t="n">
        <v>-16.091</v>
      </c>
      <c r="BB239" s="38" t="n">
        <v>-62.531</v>
      </c>
      <c r="BC239" s="38" t="n">
        <v>-18.672</v>
      </c>
      <c r="BD239" s="38" t="n">
        <v>-15.93</v>
      </c>
      <c r="BE239" s="38" t="n">
        <v>-17.699</v>
      </c>
      <c r="BF239" s="38" t="n">
        <v>-19.582</v>
      </c>
      <c r="BG239" s="38" t="n">
        <v>-71.883</v>
      </c>
      <c r="BH239" s="38" t="n">
        <v>-18.787</v>
      </c>
      <c r="BI239" s="38" t="n">
        <v>-21.765</v>
      </c>
      <c r="BJ239" s="38" t="n">
        <v>-25.907</v>
      </c>
      <c r="BK239" s="38" t="n">
        <v>-24.528</v>
      </c>
      <c r="BL239" s="38" t="n">
        <v>-90.987</v>
      </c>
      <c r="BM239" s="38" t="n">
        <v>-26.256</v>
      </c>
      <c r="BN239" s="38" t="n">
        <v>-23.139</v>
      </c>
      <c r="BO239" s="38" t="n">
        <v>-35.722</v>
      </c>
      <c r="BP239" s="38" t="n">
        <v>-31.486</v>
      </c>
      <c r="BQ239" s="38" t="n">
        <v>-116.603</v>
      </c>
      <c r="BR239" s="38" t="n">
        <v>-26.949</v>
      </c>
      <c r="BS239" s="38" t="n">
        <v>-25.443</v>
      </c>
      <c r="BT239" s="38" t="n">
        <v>-31.636</v>
      </c>
      <c r="BU239" s="38" t="n">
        <v>-42.946</v>
      </c>
      <c r="BV239" s="38" t="n">
        <v>-126.974</v>
      </c>
      <c r="BW239" s="38" t="n">
        <v>-39.163</v>
      </c>
      <c r="BX239" s="38" t="n">
        <v>-31.437</v>
      </c>
      <c r="CA239" s="51" t="n">
        <f aca="false">-CHOOSE(MATCH($CF$2,{"Bull","Base","Bear"},0),$CO$18,$CP$18,$CQ$18)</f>
        <v>-120</v>
      </c>
      <c r="CB239" s="51" t="n">
        <f aca="false">-CB133*CB264</f>
        <v>-125.477451511257</v>
      </c>
      <c r="CC239" s="51" t="n">
        <f aca="false">-CC133*CC264</f>
        <v>-134.954821899969</v>
      </c>
      <c r="CD239" s="51" t="n">
        <f aca="false">-CD133*CD264</f>
        <v>-144.461125521863</v>
      </c>
      <c r="CE239" s="51" t="n">
        <f aca="false">-CE133*CE264</f>
        <v>-154.395615888293</v>
      </c>
      <c r="CF239" s="19" t="s">
        <v>374</v>
      </c>
    </row>
    <row r="240" customFormat="false" ht="15" hidden="false" customHeight="false" outlineLevel="0" collapsed="false">
      <c r="B240" s="26" t="s">
        <v>375</v>
      </c>
      <c r="C240" s="38" t="n">
        <v>-25.504</v>
      </c>
      <c r="D240" s="38" t="n">
        <v>-18.773</v>
      </c>
      <c r="E240" s="38" t="n">
        <v>-44.036</v>
      </c>
      <c r="F240" s="38" t="n">
        <v>-25.449</v>
      </c>
      <c r="G240" s="38" t="n">
        <v>-18.856</v>
      </c>
      <c r="H240" s="38" t="n">
        <v>-66.229</v>
      </c>
      <c r="I240" s="38" t="n">
        <v>-134.602</v>
      </c>
      <c r="J240" s="38" t="n">
        <v>-0.549</v>
      </c>
      <c r="K240" s="38" t="n">
        <v>-4.127</v>
      </c>
      <c r="L240" s="38" t="n">
        <v>-0.26</v>
      </c>
      <c r="M240" s="38" t="n">
        <v>-48.225</v>
      </c>
      <c r="N240" s="38" t="n">
        <v>-53.161</v>
      </c>
      <c r="O240" s="38" t="n">
        <v>-0.892</v>
      </c>
      <c r="P240" s="38" t="n">
        <v>0</v>
      </c>
      <c r="Q240" s="38" t="n">
        <v>0</v>
      </c>
      <c r="R240" s="38" t="n">
        <v>-23.338</v>
      </c>
      <c r="S240" s="38" t="n">
        <v>-24.23</v>
      </c>
      <c r="T240" s="38" t="n">
        <v>0</v>
      </c>
      <c r="U240" s="38" t="n">
        <v>0</v>
      </c>
      <c r="V240" s="38" t="n">
        <v>-33.882</v>
      </c>
      <c r="W240" s="38" t="n">
        <v>-3.194</v>
      </c>
      <c r="X240" s="38" t="n">
        <v>-37.076</v>
      </c>
      <c r="Y240" s="38" t="n">
        <v>0</v>
      </c>
      <c r="Z240" s="38" t="n">
        <v>-71.567</v>
      </c>
      <c r="AA240" s="38" t="n">
        <v>0</v>
      </c>
      <c r="AB240" s="38" t="n">
        <v>0</v>
      </c>
      <c r="AC240" s="38" t="n">
        <v>-71.567</v>
      </c>
      <c r="AD240" s="38" t="n">
        <v>0</v>
      </c>
      <c r="AE240" s="38" t="n">
        <v>0</v>
      </c>
      <c r="AF240" s="38" t="n">
        <v>-72.468</v>
      </c>
      <c r="AG240" s="38" t="n">
        <v>0</v>
      </c>
      <c r="AH240" s="38" t="n">
        <v>-72.468</v>
      </c>
      <c r="AI240" s="38" t="n">
        <v>6.235</v>
      </c>
      <c r="AJ240" s="38" t="n">
        <v>0</v>
      </c>
      <c r="AK240" s="38" t="n">
        <v>0.356</v>
      </c>
      <c r="AL240" s="38" t="n">
        <v>-108.383</v>
      </c>
      <c r="AM240" s="38" t="n">
        <v>-101.792</v>
      </c>
      <c r="AN240" s="38" t="n">
        <v>0</v>
      </c>
      <c r="AO240" s="38" t="n">
        <v>-107.843</v>
      </c>
      <c r="AP240" s="38" t="n">
        <v>-28.892</v>
      </c>
      <c r="AQ240" s="38" t="n">
        <v>2.018</v>
      </c>
      <c r="AR240" s="38" t="n">
        <v>-134.717</v>
      </c>
      <c r="AS240" s="38" t="n">
        <v>0</v>
      </c>
      <c r="AT240" s="38" t="n">
        <v>0</v>
      </c>
      <c r="AU240" s="38" t="n">
        <v>0</v>
      </c>
      <c r="AV240" s="38" t="n">
        <v>0</v>
      </c>
      <c r="AW240" s="38" t="n">
        <v>0</v>
      </c>
      <c r="AX240" s="38" t="n">
        <v>0</v>
      </c>
      <c r="AY240" s="38" t="n">
        <v>-83.723</v>
      </c>
      <c r="AZ240" s="38" t="n">
        <v>-74.882</v>
      </c>
      <c r="BA240" s="38" t="n">
        <v>2.499</v>
      </c>
      <c r="BB240" s="38" t="n">
        <v>-156.106</v>
      </c>
      <c r="BC240" s="38" t="n">
        <v>-22.013</v>
      </c>
      <c r="BD240" s="38" t="n">
        <v>-0.082</v>
      </c>
      <c r="BE240" s="38" t="n">
        <v>-0.199</v>
      </c>
      <c r="BF240" s="38" t="n">
        <v>-414.004</v>
      </c>
      <c r="BG240" s="38" t="n">
        <v>-436.298</v>
      </c>
      <c r="BH240" s="38" t="n">
        <v>0</v>
      </c>
      <c r="BI240" s="38" t="n">
        <v>-32.657</v>
      </c>
      <c r="BJ240" s="38" t="n">
        <v>-0.028</v>
      </c>
      <c r="BK240" s="38" t="n">
        <v>0</v>
      </c>
      <c r="BL240" s="38" t="n">
        <v>-32.685</v>
      </c>
      <c r="BM240" s="38" t="n">
        <v>0</v>
      </c>
      <c r="BN240" s="38" t="n">
        <v>-152.654</v>
      </c>
      <c r="BO240" s="38" t="n">
        <v>-100.092</v>
      </c>
      <c r="BP240" s="38" t="n">
        <v>0</v>
      </c>
      <c r="BQ240" s="38" t="n">
        <v>-252.746</v>
      </c>
      <c r="BR240" s="38" t="n">
        <v>0</v>
      </c>
      <c r="BS240" s="38" t="n">
        <v>-32.309</v>
      </c>
      <c r="BT240" s="38" t="n">
        <v>-104.346</v>
      </c>
      <c r="BU240" s="38" t="n">
        <v>-0.875</v>
      </c>
      <c r="BV240" s="38" t="n">
        <v>-137.53</v>
      </c>
      <c r="BW240" s="38" t="n">
        <v>0.14</v>
      </c>
      <c r="BX240" s="38" t="n">
        <v>0</v>
      </c>
      <c r="CA240" s="51" t="n">
        <f aca="false">$BW$240+$BX$240</f>
        <v>0.14</v>
      </c>
      <c r="CB240" s="51" t="n">
        <f aca="false">-CB85</f>
        <v>-200</v>
      </c>
      <c r="CC240" s="51" t="n">
        <f aca="false">-CC85</f>
        <v>-200</v>
      </c>
      <c r="CD240" s="51" t="n">
        <f aca="false">-CD85</f>
        <v>-200</v>
      </c>
      <c r="CE240" s="51" t="n">
        <f aca="false">-CE85</f>
        <v>-200</v>
      </c>
    </row>
    <row r="241" customFormat="false" ht="15" hidden="false" customHeight="false" outlineLevel="0" collapsed="false">
      <c r="B241" s="26" t="s">
        <v>376</v>
      </c>
      <c r="C241" s="48" t="n">
        <v>11.791</v>
      </c>
      <c r="D241" s="48" t="n">
        <v>0.701</v>
      </c>
      <c r="E241" s="48" t="n">
        <v>0.662</v>
      </c>
      <c r="F241" s="48" t="n">
        <v>0.557</v>
      </c>
      <c r="G241" s="48" t="n">
        <v>10.021</v>
      </c>
      <c r="H241" s="48" t="n">
        <v>1.246</v>
      </c>
      <c r="I241" s="48" t="n">
        <v>1.387</v>
      </c>
      <c r="J241" s="48" t="n">
        <v>0.105</v>
      </c>
      <c r="K241" s="48" t="n">
        <v>0.487</v>
      </c>
      <c r="L241" s="48" t="n">
        <v>0.204</v>
      </c>
      <c r="M241" s="48" t="n">
        <v>0.597</v>
      </c>
      <c r="N241" s="48" t="n">
        <v>1.393</v>
      </c>
      <c r="O241" s="48" t="n">
        <v>1.066</v>
      </c>
      <c r="P241" s="48" t="n">
        <v>4.443</v>
      </c>
      <c r="Q241" s="48" t="n">
        <v>11.537</v>
      </c>
      <c r="R241" s="48" t="n">
        <v>0.411</v>
      </c>
      <c r="S241" s="48" t="n">
        <v>17.457</v>
      </c>
      <c r="T241" s="48" t="n">
        <v>1.187</v>
      </c>
      <c r="U241" s="48" t="n">
        <v>0.234</v>
      </c>
      <c r="V241" s="48" t="n">
        <v>0.752</v>
      </c>
      <c r="W241" s="48" t="n">
        <v>0.137</v>
      </c>
      <c r="X241" s="48" t="n">
        <v>2.31</v>
      </c>
      <c r="Y241" s="48" t="n">
        <v>0.458</v>
      </c>
      <c r="Z241" s="48" t="n">
        <v>0.221</v>
      </c>
      <c r="AA241" s="48" t="n">
        <v>0.257</v>
      </c>
      <c r="AB241" s="48" t="n">
        <v>0.191</v>
      </c>
      <c r="AC241" s="48" t="n">
        <v>1.127</v>
      </c>
      <c r="AD241" s="48" t="n">
        <v>0.203</v>
      </c>
      <c r="AE241" s="48" t="n">
        <v>0.899</v>
      </c>
      <c r="AF241" s="48" t="n">
        <v>0.892</v>
      </c>
      <c r="AG241" s="48" t="n">
        <v>0.307</v>
      </c>
      <c r="AH241" s="48" t="n">
        <v>2.301</v>
      </c>
      <c r="AI241" s="48" t="n">
        <v>0.118</v>
      </c>
      <c r="AJ241" s="48" t="n">
        <v>0.109</v>
      </c>
      <c r="AK241" s="48" t="n">
        <v>10.358</v>
      </c>
      <c r="AL241" s="48" t="n">
        <v>6.17</v>
      </c>
      <c r="AM241" s="48" t="n">
        <v>16.755</v>
      </c>
      <c r="AN241" s="48" t="n">
        <v>0.302</v>
      </c>
      <c r="AO241" s="48" t="n">
        <v>8.41</v>
      </c>
      <c r="AP241" s="48" t="n">
        <v>0.779</v>
      </c>
      <c r="AQ241" s="48" t="n">
        <v>0.018</v>
      </c>
      <c r="AR241" s="48" t="n">
        <v>9.509</v>
      </c>
      <c r="AS241" s="48" t="n">
        <v>6.1</v>
      </c>
      <c r="AT241" s="48" t="n">
        <v>0.118</v>
      </c>
      <c r="AU241" s="48" t="n">
        <v>0.739</v>
      </c>
      <c r="AV241" s="48" t="n">
        <v>0.71</v>
      </c>
      <c r="AW241" s="48" t="n">
        <v>7.667</v>
      </c>
      <c r="AX241" s="48" t="n">
        <v>0.584</v>
      </c>
      <c r="AY241" s="48" t="n">
        <v>1.973</v>
      </c>
      <c r="AZ241" s="48" t="n">
        <v>1.29</v>
      </c>
      <c r="BA241" s="48" t="n">
        <v>2.934</v>
      </c>
      <c r="BB241" s="48" t="n">
        <v>6.781</v>
      </c>
      <c r="BC241" s="48" t="n">
        <v>0.569</v>
      </c>
      <c r="BD241" s="48" t="n">
        <v>1.123</v>
      </c>
      <c r="BE241" s="48" t="n">
        <v>0.646</v>
      </c>
      <c r="BF241" s="48" t="n">
        <v>0.993</v>
      </c>
      <c r="BG241" s="48" t="n">
        <v>3.331</v>
      </c>
      <c r="BH241" s="48" t="n">
        <v>3.314</v>
      </c>
      <c r="BI241" s="48" t="n">
        <v>0.578</v>
      </c>
      <c r="BJ241" s="48" t="n">
        <v>0.704</v>
      </c>
      <c r="BK241" s="48" t="n">
        <v>44.898</v>
      </c>
      <c r="BL241" s="48" t="n">
        <v>49.494</v>
      </c>
      <c r="BM241" s="48" t="n">
        <v>0.316</v>
      </c>
      <c r="BN241" s="48" t="n">
        <v>0.987</v>
      </c>
      <c r="BO241" s="48" t="n">
        <v>1.203</v>
      </c>
      <c r="BP241" s="48" t="n">
        <v>5.292</v>
      </c>
      <c r="BQ241" s="48" t="n">
        <v>7.798</v>
      </c>
      <c r="BR241" s="48" t="n">
        <v>4.646</v>
      </c>
      <c r="BS241" s="48" t="n">
        <v>0.585</v>
      </c>
      <c r="BT241" s="48" t="n">
        <v>1.177</v>
      </c>
      <c r="BU241" s="48" t="n">
        <v>0.77</v>
      </c>
      <c r="BV241" s="48" t="n">
        <v>7.178</v>
      </c>
      <c r="BW241" s="48" t="n">
        <v>0.308</v>
      </c>
      <c r="BX241" s="48" t="n">
        <v>0.948</v>
      </c>
      <c r="CA241" s="56" t="n">
        <f aca="false">$BW$241+$BX$241</f>
        <v>1.256</v>
      </c>
      <c r="CB241" s="55" t="n">
        <v>0</v>
      </c>
      <c r="CC241" s="55" t="n">
        <v>0</v>
      </c>
      <c r="CD241" s="55" t="n">
        <v>0</v>
      </c>
      <c r="CE241" s="55" t="n">
        <v>0</v>
      </c>
    </row>
    <row r="242" customFormat="false" ht="15" hidden="false" customHeight="false" outlineLevel="0" collapsed="false">
      <c r="B242" s="26" t="s">
        <v>377</v>
      </c>
      <c r="C242" s="48" t="n">
        <v>0</v>
      </c>
      <c r="D242" s="48" t="n">
        <v>0</v>
      </c>
      <c r="E242" s="48" t="n">
        <v>0</v>
      </c>
      <c r="F242" s="48" t="n">
        <v>-0.488</v>
      </c>
      <c r="G242" s="48" t="n">
        <v>0</v>
      </c>
      <c r="H242" s="48" t="n">
        <v>0</v>
      </c>
      <c r="I242" s="48" t="n">
        <v>-1.541</v>
      </c>
      <c r="J242" s="48" t="n">
        <v>0</v>
      </c>
      <c r="K242" s="48" t="n">
        <v>-4.217</v>
      </c>
      <c r="L242" s="48" t="n">
        <v>0</v>
      </c>
      <c r="M242" s="48" t="n">
        <v>2.5</v>
      </c>
      <c r="N242" s="48" t="n">
        <v>-1.717</v>
      </c>
      <c r="O242" s="48" t="n">
        <v>0.573</v>
      </c>
      <c r="P242" s="48" t="n">
        <v>0.205</v>
      </c>
      <c r="Q242" s="48" t="n">
        <v>0</v>
      </c>
      <c r="R242" s="48" t="n">
        <v>0</v>
      </c>
      <c r="S242" s="48" t="n">
        <v>0.778</v>
      </c>
      <c r="T242" s="48" t="n">
        <v>2.024</v>
      </c>
      <c r="U242" s="48" t="n">
        <v>0</v>
      </c>
      <c r="V242" s="48" t="n">
        <v>-2.103</v>
      </c>
      <c r="W242" s="48" t="n">
        <v>0</v>
      </c>
      <c r="X242" s="48" t="n">
        <v>-0.079</v>
      </c>
      <c r="Y242" s="48" t="n">
        <v>0</v>
      </c>
      <c r="Z242" s="48" t="n">
        <v>-0.283</v>
      </c>
      <c r="AA242" s="48" t="n">
        <v>0</v>
      </c>
      <c r="AB242" s="48" t="n">
        <v>-39.346</v>
      </c>
      <c r="AC242" s="48" t="n">
        <v>-39.629</v>
      </c>
      <c r="AD242" s="48" t="n">
        <v>-31.125</v>
      </c>
      <c r="AE242" s="48" t="n">
        <v>-33.819</v>
      </c>
      <c r="AF242" s="48" t="n">
        <v>-75.419</v>
      </c>
      <c r="AG242" s="48" t="n">
        <v>0.159</v>
      </c>
      <c r="AH242" s="48" t="n">
        <v>-140.204</v>
      </c>
      <c r="AI242" s="48" t="n">
        <v>42.421</v>
      </c>
      <c r="AJ242" s="48" t="n">
        <v>-1.999</v>
      </c>
      <c r="AK242" s="48" t="n">
        <v>39.421</v>
      </c>
      <c r="AL242" s="48" t="n">
        <v>97.281</v>
      </c>
      <c r="AM242" s="48" t="n">
        <v>177.124</v>
      </c>
      <c r="AN242" s="48" t="n">
        <v>2</v>
      </c>
      <c r="AO242" s="48" t="n">
        <v>0</v>
      </c>
      <c r="AP242" s="48" t="n">
        <v>0</v>
      </c>
      <c r="AQ242" s="48" t="n">
        <v>0</v>
      </c>
      <c r="AR242" s="48" t="n">
        <v>2</v>
      </c>
      <c r="AS242" s="48" t="n">
        <v>0</v>
      </c>
      <c r="AT242" s="48" t="n">
        <v>0</v>
      </c>
      <c r="AU242" s="48" t="n">
        <v>0</v>
      </c>
      <c r="AV242" s="48" t="n">
        <v>2.321</v>
      </c>
      <c r="AW242" s="48" t="n">
        <v>2.321</v>
      </c>
      <c r="AX242" s="48" t="n">
        <v>6.5</v>
      </c>
      <c r="AY242" s="48" t="n">
        <v>0</v>
      </c>
      <c r="AZ242" s="48" t="n">
        <v>0</v>
      </c>
      <c r="BA242" s="48" t="n">
        <v>0</v>
      </c>
      <c r="BB242" s="48" t="n">
        <v>6.5</v>
      </c>
      <c r="BC242" s="48" t="n">
        <v>0</v>
      </c>
      <c r="BD242" s="48" t="n">
        <v>0</v>
      </c>
      <c r="BE242" s="48" t="n">
        <v>0</v>
      </c>
      <c r="BF242" s="48" t="n">
        <v>0.159</v>
      </c>
      <c r="BG242" s="48" t="n">
        <v>0.159</v>
      </c>
      <c r="BH242" s="48" t="n">
        <v>-0.576</v>
      </c>
      <c r="BI242" s="48" t="n">
        <v>-6.453</v>
      </c>
      <c r="BJ242" s="48" t="n">
        <v>0.468</v>
      </c>
      <c r="BK242" s="48" t="n">
        <v>6.01</v>
      </c>
      <c r="BL242" s="48" t="n">
        <v>-0.551</v>
      </c>
      <c r="BM242" s="48" t="n">
        <v>0</v>
      </c>
      <c r="BN242" s="48" t="n">
        <v>0</v>
      </c>
      <c r="BO242" s="48" t="n">
        <v>0</v>
      </c>
      <c r="BP242" s="48" t="n">
        <v>0.32</v>
      </c>
      <c r="BQ242" s="48" t="n">
        <v>0.32</v>
      </c>
      <c r="BR242" s="48" t="n">
        <v>0</v>
      </c>
      <c r="BS242" s="48" t="n">
        <v>0</v>
      </c>
      <c r="BT242" s="48" t="n">
        <v>0</v>
      </c>
      <c r="BU242" s="48" t="n">
        <v>0</v>
      </c>
      <c r="BV242" s="48" t="n">
        <v>0</v>
      </c>
      <c r="BW242" s="48" t="n">
        <v>0</v>
      </c>
      <c r="BX242" s="48" t="n">
        <v>0</v>
      </c>
      <c r="CA242" s="56" t="n">
        <f aca="false">$BW$242+$BX$242</f>
        <v>0</v>
      </c>
      <c r="CB242" s="55" t="n">
        <v>0</v>
      </c>
      <c r="CC242" s="55" t="n">
        <v>0</v>
      </c>
      <c r="CD242" s="55" t="n">
        <v>0</v>
      </c>
      <c r="CE242" s="55" t="n">
        <v>0</v>
      </c>
    </row>
    <row r="243" customFormat="false" ht="15" hidden="false" customHeight="false" outlineLevel="0" collapsed="false">
      <c r="B243" s="58" t="s">
        <v>378</v>
      </c>
      <c r="C243" s="61" t="n">
        <v>-89.715</v>
      </c>
      <c r="D243" s="61" t="n">
        <v>-79.705</v>
      </c>
      <c r="E243" s="61" t="n">
        <v>-115.8</v>
      </c>
      <c r="F243" s="61" t="n">
        <v>-63.581</v>
      </c>
      <c r="G243" s="61" t="n">
        <v>-69.4</v>
      </c>
      <c r="H243" s="61" t="n">
        <v>-130.796</v>
      </c>
      <c r="I243" s="61" t="n">
        <v>-187.471</v>
      </c>
      <c r="J243" s="61" t="n">
        <v>-15.582</v>
      </c>
      <c r="K243" s="61" t="n">
        <v>-23.767</v>
      </c>
      <c r="L243" s="61" t="n">
        <v>-28.699</v>
      </c>
      <c r="M243" s="61" t="n">
        <v>-61.452</v>
      </c>
      <c r="N243" s="61" t="n">
        <v>-129.5</v>
      </c>
      <c r="O243" s="61" t="n">
        <v>-13.759</v>
      </c>
      <c r="P243" s="61" t="n">
        <v>-20.793</v>
      </c>
      <c r="Q243" s="61" t="n">
        <v>-3.946</v>
      </c>
      <c r="R243" s="61" t="n">
        <v>-40.487</v>
      </c>
      <c r="S243" s="61" t="n">
        <v>-78.985</v>
      </c>
      <c r="T243" s="61" t="n">
        <v>-9.245</v>
      </c>
      <c r="U243" s="61" t="n">
        <v>-16.527</v>
      </c>
      <c r="V243" s="61" t="n">
        <v>-46.203</v>
      </c>
      <c r="W243" s="61" t="n">
        <v>-13.377</v>
      </c>
      <c r="X243" s="61" t="n">
        <v>-85.352</v>
      </c>
      <c r="Y243" s="61" t="n">
        <v>-8.427</v>
      </c>
      <c r="Z243" s="61" t="n">
        <v>-87.523</v>
      </c>
      <c r="AA243" s="61" t="n">
        <v>-14.341</v>
      </c>
      <c r="AB243" s="61" t="n">
        <v>-49.655</v>
      </c>
      <c r="AC243" s="61" t="n">
        <v>-159.946</v>
      </c>
      <c r="AD243" s="61" t="n">
        <v>-42.959</v>
      </c>
      <c r="AE243" s="61" t="n">
        <v>-49.014</v>
      </c>
      <c r="AF243" s="61" t="n">
        <v>-157.823</v>
      </c>
      <c r="AG243" s="61" t="n">
        <v>-22.231</v>
      </c>
      <c r="AH243" s="61" t="n">
        <v>-272.027</v>
      </c>
      <c r="AI243" s="61" t="n">
        <v>34.117</v>
      </c>
      <c r="AJ243" s="61" t="n">
        <v>-18.616</v>
      </c>
      <c r="AK243" s="61" t="n">
        <v>32.772</v>
      </c>
      <c r="AL243" s="61" t="n">
        <v>-27.432</v>
      </c>
      <c r="AM243" s="61" t="n">
        <v>20.841</v>
      </c>
      <c r="AN243" s="61" t="n">
        <v>-13.949</v>
      </c>
      <c r="AO243" s="61" t="n">
        <v>-119.695</v>
      </c>
      <c r="AP243" s="61" t="n">
        <v>-45.151</v>
      </c>
      <c r="AQ243" s="61" t="n">
        <v>-14.028</v>
      </c>
      <c r="AR243" s="61" t="n">
        <v>-192.823</v>
      </c>
      <c r="AS243" s="61" t="n">
        <v>-5.728</v>
      </c>
      <c r="AT243" s="61" t="n">
        <v>-13.065</v>
      </c>
      <c r="AU243" s="61" t="n">
        <v>-11.366</v>
      </c>
      <c r="AV243" s="61" t="n">
        <v>-19.054</v>
      </c>
      <c r="AW243" s="61" t="n">
        <v>-49.213</v>
      </c>
      <c r="AX243" s="61" t="n">
        <v>-2.852</v>
      </c>
      <c r="AY243" s="61" t="n">
        <v>-99.582</v>
      </c>
      <c r="AZ243" s="61" t="n">
        <v>-92.264</v>
      </c>
      <c r="BA243" s="61" t="n">
        <v>-10.658</v>
      </c>
      <c r="BB243" s="61" t="n">
        <v>-205.356</v>
      </c>
      <c r="BC243" s="61" t="n">
        <v>-40.116</v>
      </c>
      <c r="BD243" s="61" t="n">
        <v>-14.889</v>
      </c>
      <c r="BE243" s="61" t="n">
        <v>-17.252</v>
      </c>
      <c r="BF243" s="61" t="n">
        <v>-432.434</v>
      </c>
      <c r="BG243" s="61" t="n">
        <v>-504.691</v>
      </c>
      <c r="BH243" s="61" t="n">
        <v>-16.049</v>
      </c>
      <c r="BI243" s="61" t="n">
        <v>-60.297</v>
      </c>
      <c r="BJ243" s="61" t="n">
        <v>-24.763</v>
      </c>
      <c r="BK243" s="61" t="n">
        <v>26.38</v>
      </c>
      <c r="BL243" s="61" t="n">
        <v>-74.729</v>
      </c>
      <c r="BM243" s="61" t="n">
        <v>-25.94</v>
      </c>
      <c r="BN243" s="61" t="n">
        <v>-174.806</v>
      </c>
      <c r="BO243" s="61" t="n">
        <v>-134.611</v>
      </c>
      <c r="BP243" s="61" t="n">
        <v>-25.874</v>
      </c>
      <c r="BQ243" s="61" t="n">
        <v>-361.231</v>
      </c>
      <c r="BR243" s="61" t="n">
        <v>-22.303</v>
      </c>
      <c r="BS243" s="61" t="n">
        <v>-57.167</v>
      </c>
      <c r="BT243" s="61" t="n">
        <v>-134.805</v>
      </c>
      <c r="BU243" s="61" t="n">
        <v>-43.051</v>
      </c>
      <c r="BV243" s="61" t="n">
        <v>-257.326</v>
      </c>
      <c r="BW243" s="61" t="n">
        <v>-38.715</v>
      </c>
      <c r="BX243" s="61" t="n">
        <v>-30.489</v>
      </c>
      <c r="BY243" s="16"/>
      <c r="BZ243" s="16"/>
      <c r="CA243" s="59" t="n">
        <f aca="false">SUM(CA239:CA242)</f>
        <v>-118.604</v>
      </c>
      <c r="CB243" s="59" t="n">
        <f aca="false">SUM(CB239:CB242)</f>
        <v>-325.477451511257</v>
      </c>
      <c r="CC243" s="59" t="n">
        <f aca="false">SUM(CC239:CC242)</f>
        <v>-334.954821899969</v>
      </c>
      <c r="CD243" s="59" t="n">
        <f aca="false">SUM(CD239:CD242)</f>
        <v>-344.461125521863</v>
      </c>
      <c r="CE243" s="59" t="n">
        <f aca="false">SUM(CE239:CE242)</f>
        <v>-354.395615888294</v>
      </c>
    </row>
    <row r="244" customFormat="false" ht="15" hidden="false" customHeight="false" outlineLevel="0" collapsed="false">
      <c r="B244" s="26" t="s">
        <v>379</v>
      </c>
      <c r="C244" s="38" t="n">
        <v>2.15</v>
      </c>
      <c r="D244" s="38" t="n">
        <v>6.55</v>
      </c>
      <c r="E244" s="38" t="n">
        <v>20.856</v>
      </c>
      <c r="F244" s="38" t="n">
        <v>22.772</v>
      </c>
      <c r="G244" s="38" t="n">
        <v>31.037</v>
      </c>
      <c r="H244" s="38" t="n">
        <v>25.336</v>
      </c>
      <c r="I244" s="38" t="n">
        <v>3.436</v>
      </c>
      <c r="J244" s="38" t="n">
        <v>0.39</v>
      </c>
      <c r="K244" s="38" t="n">
        <v>0.124</v>
      </c>
      <c r="L244" s="38" t="n">
        <v>0.274</v>
      </c>
      <c r="M244" s="38" t="n">
        <v>0.503</v>
      </c>
      <c r="N244" s="38" t="n">
        <v>1.291</v>
      </c>
      <c r="O244" s="38" t="n">
        <v>1.608</v>
      </c>
      <c r="P244" s="38" t="n">
        <v>-0.329</v>
      </c>
      <c r="Q244" s="38" t="n">
        <v>82.871</v>
      </c>
      <c r="R244" s="38" t="n">
        <v>-15.294</v>
      </c>
      <c r="S244" s="38" t="n">
        <v>68.856</v>
      </c>
      <c r="T244" s="38" t="n">
        <v>108.387</v>
      </c>
      <c r="U244" s="38" t="n">
        <v>48.293</v>
      </c>
      <c r="V244" s="38" t="n">
        <v>210.307</v>
      </c>
      <c r="W244" s="38" t="n">
        <v>3.298</v>
      </c>
      <c r="X244" s="38" t="n">
        <v>370.285</v>
      </c>
      <c r="Y244" s="38" t="n">
        <v>22.574</v>
      </c>
      <c r="Z244" s="38" t="n">
        <v>138.669</v>
      </c>
      <c r="AA244" s="38" t="n">
        <v>24.305</v>
      </c>
      <c r="AB244" s="38" t="n">
        <v>168.074</v>
      </c>
      <c r="AC244" s="38" t="n">
        <v>353.622</v>
      </c>
      <c r="AD244" s="38" t="n">
        <v>0.122</v>
      </c>
      <c r="AE244" s="38" t="n">
        <v>-0.107</v>
      </c>
      <c r="AF244" s="38" t="n">
        <v>0.019</v>
      </c>
      <c r="AG244" s="38" t="n">
        <v>1.441</v>
      </c>
      <c r="AH244" s="38" t="n">
        <v>1.475</v>
      </c>
      <c r="AI244" s="38" t="n">
        <v>0</v>
      </c>
      <c r="AJ244" s="38" t="n">
        <v>0.216</v>
      </c>
      <c r="AK244" s="38" t="n">
        <v>-0.216</v>
      </c>
      <c r="AL244" s="38" t="n">
        <v>0</v>
      </c>
      <c r="AM244" s="38" t="n">
        <v>0</v>
      </c>
      <c r="AN244" s="38" t="n">
        <v>0</v>
      </c>
      <c r="AO244" s="38" t="n">
        <v>29.982</v>
      </c>
      <c r="AP244" s="38" t="n">
        <v>-27.543</v>
      </c>
      <c r="AQ244" s="38" t="n">
        <v>25.49</v>
      </c>
      <c r="AR244" s="38" t="n">
        <v>27.929</v>
      </c>
      <c r="AS244" s="38" t="n">
        <v>99.526</v>
      </c>
      <c r="AT244" s="38" t="n">
        <v>-82.668</v>
      </c>
      <c r="AU244" s="38" t="n">
        <v>-16.858</v>
      </c>
      <c r="AV244" s="38" t="n">
        <v>0</v>
      </c>
      <c r="AW244" s="38" t="n">
        <v>0</v>
      </c>
      <c r="AX244" s="38" t="n">
        <v>1.307</v>
      </c>
      <c r="AY244" s="38" t="n">
        <v>-0.144</v>
      </c>
      <c r="AZ244" s="38" t="n">
        <v>31.132</v>
      </c>
      <c r="BA244" s="38" t="n">
        <v>13.673</v>
      </c>
      <c r="BB244" s="38" t="n">
        <v>45.968</v>
      </c>
      <c r="BC244" s="38" t="n">
        <v>96.308</v>
      </c>
      <c r="BD244" s="38" t="n">
        <v>-24.479</v>
      </c>
      <c r="BE244" s="38" t="n">
        <v>-56.83</v>
      </c>
      <c r="BF244" s="38" t="n">
        <v>424.796</v>
      </c>
      <c r="BG244" s="38" t="n">
        <v>439.795</v>
      </c>
      <c r="BH244" s="38" t="n">
        <v>0</v>
      </c>
      <c r="BI244" s="38" t="n">
        <v>0</v>
      </c>
      <c r="BJ244" s="38" t="n">
        <v>0</v>
      </c>
      <c r="BK244" s="38" t="n">
        <v>0</v>
      </c>
      <c r="BL244" s="38" t="n">
        <v>0</v>
      </c>
      <c r="BM244" s="38" t="n">
        <v>2.016</v>
      </c>
      <c r="BN244" s="38" t="n">
        <v>397.984</v>
      </c>
      <c r="BO244" s="38" t="n">
        <v>155.521</v>
      </c>
      <c r="BP244" s="38" t="n">
        <v>2.928</v>
      </c>
      <c r="BQ244" s="38" t="n">
        <v>558.449</v>
      </c>
      <c r="BR244" s="38" t="n">
        <v>0</v>
      </c>
      <c r="BS244" s="38" t="n">
        <v>0</v>
      </c>
      <c r="BT244" s="38" t="n">
        <v>77.678</v>
      </c>
      <c r="BU244" s="38" t="n">
        <v>55.574</v>
      </c>
      <c r="BV244" s="38" t="n">
        <v>133.252</v>
      </c>
      <c r="BW244" s="38" t="n">
        <v>19.613</v>
      </c>
      <c r="BX244" s="38" t="n">
        <v>-19.613</v>
      </c>
      <c r="CA244" s="51" t="n">
        <f aca="false">$BW$244+$BX$244+CA332+MAX(0,CA337-$BX$337)</f>
        <v>26.120617284903</v>
      </c>
      <c r="CB244" s="51" t="n">
        <f aca="false">CB332+MAX(0,CB337-CA337)</f>
        <v>110.609921274615</v>
      </c>
      <c r="CC244" s="51" t="n">
        <f aca="false">CC332+MAX(0,CC337-CB337)</f>
        <v>194.399584590692</v>
      </c>
      <c r="CD244" s="51" t="n">
        <f aca="false">CD332+MAX(0,CD337-CC337)</f>
        <v>167.240119304673</v>
      </c>
      <c r="CE244" s="51" t="n">
        <f aca="false">CE332+MAX(0,CE337-CD337)</f>
        <v>184.086698210313</v>
      </c>
    </row>
    <row r="245" customFormat="false" ht="15" hidden="false" customHeight="false" outlineLevel="0" collapsed="false">
      <c r="B245" s="26" t="s">
        <v>380</v>
      </c>
      <c r="C245" s="38" t="n">
        <v>-6.339</v>
      </c>
      <c r="D245" s="38" t="n">
        <v>-43.866</v>
      </c>
      <c r="E245" s="38" t="n">
        <v>-14.433</v>
      </c>
      <c r="F245" s="38" t="n">
        <v>-66.6</v>
      </c>
      <c r="G245" s="38" t="n">
        <v>-58.216</v>
      </c>
      <c r="H245" s="38" t="n">
        <v>-17.387</v>
      </c>
      <c r="I245" s="38" t="n">
        <v>-92.739</v>
      </c>
      <c r="J245" s="38" t="n">
        <v>-1.882</v>
      </c>
      <c r="K245" s="38" t="n">
        <v>-1.387</v>
      </c>
      <c r="L245" s="38" t="n">
        <v>0.13</v>
      </c>
      <c r="M245" s="38" t="n">
        <v>0.008</v>
      </c>
      <c r="N245" s="38" t="n">
        <v>-3.131</v>
      </c>
      <c r="O245" s="38" t="n">
        <v>-9.664</v>
      </c>
      <c r="P245" s="38" t="n">
        <v>-1.758</v>
      </c>
      <c r="Q245" s="38" t="n">
        <v>-1.614</v>
      </c>
      <c r="R245" s="38" t="n">
        <v>-2.489</v>
      </c>
      <c r="S245" s="38" t="n">
        <v>-15.525</v>
      </c>
      <c r="T245" s="38" t="n">
        <v>-6.877</v>
      </c>
      <c r="U245" s="38" t="n">
        <v>-5.753</v>
      </c>
      <c r="V245" s="38" t="n">
        <v>-39.937</v>
      </c>
      <c r="W245" s="38" t="n">
        <v>-1.112</v>
      </c>
      <c r="X245" s="38" t="n">
        <v>-53.679</v>
      </c>
      <c r="Y245" s="38" t="n">
        <v>-0.818</v>
      </c>
      <c r="Z245" s="38" t="n">
        <v>-1.155</v>
      </c>
      <c r="AA245" s="38" t="n">
        <v>-0.316</v>
      </c>
      <c r="AB245" s="38" t="n">
        <v>-0.014</v>
      </c>
      <c r="AC245" s="38" t="n">
        <v>-2.303</v>
      </c>
      <c r="AD245" s="38" t="n">
        <v>-0.012</v>
      </c>
      <c r="AE245" s="38" t="n">
        <v>-0.214</v>
      </c>
      <c r="AF245" s="38" t="n">
        <v>-0.413</v>
      </c>
      <c r="AG245" s="38" t="n">
        <v>0.109</v>
      </c>
      <c r="AH245" s="38" t="n">
        <v>-0.53</v>
      </c>
      <c r="AI245" s="38" t="n">
        <v>-0.063</v>
      </c>
      <c r="AJ245" s="38" t="n">
        <v>0.057</v>
      </c>
      <c r="AK245" s="38" t="n">
        <v>-0.64</v>
      </c>
      <c r="AL245" s="38" t="n">
        <v>-6.274</v>
      </c>
      <c r="AM245" s="38" t="n">
        <v>-6.92</v>
      </c>
      <c r="AN245" s="38" t="n">
        <v>-0.003</v>
      </c>
      <c r="AO245" s="38" t="n">
        <v>-0.002</v>
      </c>
      <c r="AP245" s="38" t="n">
        <v>-0.001</v>
      </c>
      <c r="AQ245" s="38" t="n">
        <v>-0.101</v>
      </c>
      <c r="AR245" s="38" t="n">
        <v>-0.107</v>
      </c>
      <c r="AS245" s="38" t="n">
        <v>-1.749</v>
      </c>
      <c r="AT245" s="38" t="n">
        <v>-0.014</v>
      </c>
      <c r="AU245" s="38" t="n">
        <v>-31.372</v>
      </c>
      <c r="AV245" s="38" t="n">
        <v>1.375</v>
      </c>
      <c r="AW245" s="38" t="n">
        <v>-31.76</v>
      </c>
      <c r="AX245" s="38" t="n">
        <v>0</v>
      </c>
      <c r="AY245" s="38" t="n">
        <v>0</v>
      </c>
      <c r="AZ245" s="38" t="n">
        <v>0</v>
      </c>
      <c r="BA245" s="38" t="n">
        <v>0</v>
      </c>
      <c r="BB245" s="38" t="n">
        <v>0</v>
      </c>
      <c r="BC245" s="38" t="n">
        <v>0</v>
      </c>
      <c r="BD245" s="38" t="n">
        <v>0</v>
      </c>
      <c r="BE245" s="38" t="n">
        <v>0</v>
      </c>
      <c r="BF245" s="38" t="n">
        <v>0</v>
      </c>
      <c r="BG245" s="38" t="n">
        <v>0</v>
      </c>
      <c r="BH245" s="38" t="n">
        <v>-44.051</v>
      </c>
      <c r="BI245" s="38" t="n">
        <v>-35.151</v>
      </c>
      <c r="BJ245" s="38" t="n">
        <v>-3.613</v>
      </c>
      <c r="BK245" s="38" t="n">
        <v>-5.167</v>
      </c>
      <c r="BL245" s="38" t="n">
        <v>-87.982</v>
      </c>
      <c r="BM245" s="38" t="n">
        <v>-0.169</v>
      </c>
      <c r="BN245" s="38" t="n">
        <v>-400.748</v>
      </c>
      <c r="BO245" s="38" t="n">
        <v>0.409</v>
      </c>
      <c r="BP245" s="38" t="n">
        <v>-0.169</v>
      </c>
      <c r="BQ245" s="38" t="n">
        <v>-400.677</v>
      </c>
      <c r="BR245" s="38" t="n">
        <v>-1.073</v>
      </c>
      <c r="BS245" s="38" t="n">
        <v>-4.302</v>
      </c>
      <c r="BT245" s="38" t="n">
        <v>-94.794</v>
      </c>
      <c r="BU245" s="38" t="n">
        <v>0</v>
      </c>
      <c r="BV245" s="38" t="n">
        <v>-100.169</v>
      </c>
      <c r="BW245" s="38" t="n">
        <v>0</v>
      </c>
      <c r="BX245" s="38" t="n">
        <v>-143.889</v>
      </c>
      <c r="CA245" s="51" t="n">
        <f aca="false">$BW$245+$BX$245+CA330+MIN(0,CA337-$BX$337)</f>
        <v>-143.889</v>
      </c>
      <c r="CB245" s="51" t="n">
        <f aca="false">CB330+MIN(0,CB337-CA337)</f>
        <v>0</v>
      </c>
      <c r="CC245" s="51" t="n">
        <f aca="false">CC330+MIN(0,CC337-CB337)</f>
        <v>-100</v>
      </c>
      <c r="CD245" s="51" t="n">
        <f aca="false">CD330+MIN(0,CD337-CC337)</f>
        <v>-75</v>
      </c>
      <c r="CE245" s="51" t="n">
        <f aca="false">CE330+MIN(0,CE337-CD337)</f>
        <v>-100</v>
      </c>
    </row>
    <row r="246" customFormat="false" ht="15" hidden="false" customHeight="false" outlineLevel="0" collapsed="false">
      <c r="B246" s="26" t="s">
        <v>381</v>
      </c>
      <c r="C246" s="38" t="n">
        <v>-32.275</v>
      </c>
      <c r="D246" s="38" t="n">
        <v>-37.744</v>
      </c>
      <c r="E246" s="38" t="n">
        <v>-42.756</v>
      </c>
      <c r="F246" s="38" t="n">
        <v>-45.801</v>
      </c>
      <c r="G246" s="38" t="n">
        <v>-47.364</v>
      </c>
      <c r="H246" s="38" t="n">
        <v>-51.935</v>
      </c>
      <c r="I246" s="38" t="n">
        <v>-73.112</v>
      </c>
      <c r="J246" s="38" t="n">
        <v>0</v>
      </c>
      <c r="K246" s="38" t="n">
        <v>-16.58</v>
      </c>
      <c r="L246" s="38" t="n">
        <v>-16.407</v>
      </c>
      <c r="M246" s="38" t="n">
        <v>-16.29</v>
      </c>
      <c r="N246" s="38" t="n">
        <v>-49.277</v>
      </c>
      <c r="O246" s="38" t="n">
        <v>-18.623</v>
      </c>
      <c r="P246" s="38" t="n">
        <v>-18.496</v>
      </c>
      <c r="Q246" s="38" t="n">
        <v>-18.276</v>
      </c>
      <c r="R246" s="38" t="n">
        <v>-17.866</v>
      </c>
      <c r="S246" s="38" t="n">
        <v>-73.261</v>
      </c>
      <c r="T246" s="38" t="n">
        <v>-22.329</v>
      </c>
      <c r="U246" s="38" t="n">
        <v>-21.919</v>
      </c>
      <c r="V246" s="38" t="n">
        <v>-21.694</v>
      </c>
      <c r="W246" s="38" t="n">
        <v>-21.026</v>
      </c>
      <c r="X246" s="38" t="n">
        <v>-86.968</v>
      </c>
      <c r="Y246" s="38" t="n">
        <v>-22.625</v>
      </c>
      <c r="Z246" s="38" t="n">
        <v>-22.022</v>
      </c>
      <c r="AA246" s="38" t="n">
        <v>-21.533</v>
      </c>
      <c r="AB246" s="38" t="n">
        <v>-21.15</v>
      </c>
      <c r="AC246" s="38" t="n">
        <v>-87.33</v>
      </c>
      <c r="AD246" s="38" t="n">
        <v>-22.986</v>
      </c>
      <c r="AE246" s="38" t="n">
        <v>-23.03</v>
      </c>
      <c r="AF246" s="38" t="n">
        <v>-23.067</v>
      </c>
      <c r="AG246" s="38" t="n">
        <v>-23.369</v>
      </c>
      <c r="AH246" s="38" t="n">
        <v>-92.452</v>
      </c>
      <c r="AI246" s="38" t="n">
        <v>-25.661</v>
      </c>
      <c r="AJ246" s="38" t="n">
        <v>-25.589</v>
      </c>
      <c r="AK246" s="38" t="n">
        <v>-25.424</v>
      </c>
      <c r="AL246" s="38" t="n">
        <v>-25.384</v>
      </c>
      <c r="AM246" s="38" t="n">
        <v>-102.058</v>
      </c>
      <c r="AN246" s="38" t="n">
        <v>-30.56</v>
      </c>
      <c r="AO246" s="38" t="n">
        <v>-29.541</v>
      </c>
      <c r="AP246" s="38" t="n">
        <v>-29.061</v>
      </c>
      <c r="AQ246" s="38" t="n">
        <v>-28.758</v>
      </c>
      <c r="AR246" s="38" t="n">
        <v>-117.92</v>
      </c>
      <c r="AS246" s="38" t="n">
        <v>-30.675</v>
      </c>
      <c r="AT246" s="38" t="n">
        <v>-29.139</v>
      </c>
      <c r="AU246" s="38" t="n">
        <v>-29.131</v>
      </c>
      <c r="AV246" s="38" t="n">
        <v>-29.173</v>
      </c>
      <c r="AW246" s="38" t="n">
        <v>-118.118</v>
      </c>
      <c r="AX246" s="38" t="n">
        <v>-30.999</v>
      </c>
      <c r="AY246" s="38" t="n">
        <v>-30.38</v>
      </c>
      <c r="AZ246" s="38" t="n">
        <v>-30.338</v>
      </c>
      <c r="BA246" s="38" t="n">
        <v>-30.134</v>
      </c>
      <c r="BB246" s="38" t="n">
        <v>-121.851</v>
      </c>
      <c r="BC246" s="38" t="n">
        <v>-33.361</v>
      </c>
      <c r="BD246" s="38" t="n">
        <v>-32.553</v>
      </c>
      <c r="BE246" s="38" t="n">
        <v>-32.463</v>
      </c>
      <c r="BF246" s="38" t="n">
        <v>-32.347</v>
      </c>
      <c r="BG246" s="38" t="n">
        <v>-130.724</v>
      </c>
      <c r="BH246" s="38" t="n">
        <v>-37.583</v>
      </c>
      <c r="BI246" s="38" t="n">
        <v>-36.889</v>
      </c>
      <c r="BJ246" s="38" t="n">
        <v>-36.805</v>
      </c>
      <c r="BK246" s="38" t="n">
        <v>-36.733</v>
      </c>
      <c r="BL246" s="38" t="n">
        <v>-148.01</v>
      </c>
      <c r="BM246" s="38" t="n">
        <v>-41.28</v>
      </c>
      <c r="BN246" s="38" t="n">
        <v>-40.416</v>
      </c>
      <c r="BO246" s="38" t="n">
        <v>-40.283</v>
      </c>
      <c r="BP246" s="38" t="n">
        <v>-40.164</v>
      </c>
      <c r="BQ246" s="38" t="n">
        <v>-162.143</v>
      </c>
      <c r="BR246" s="38" t="n">
        <v>-42.975</v>
      </c>
      <c r="BS246" s="38" t="n">
        <v>-41.929</v>
      </c>
      <c r="BT246" s="38" t="n">
        <v>-41.572</v>
      </c>
      <c r="BU246" s="38" t="n">
        <v>-41.764</v>
      </c>
      <c r="BV246" s="38" t="n">
        <v>-168.24</v>
      </c>
      <c r="BW246" s="38" t="n">
        <v>-44.071</v>
      </c>
      <c r="BX246" s="38" t="n">
        <v>-43.395</v>
      </c>
      <c r="CA246" s="51" t="n">
        <f aca="false">$BW$246+$BX$246-($BY$162*$BY$156+$BZ$162*$BZ$156)</f>
        <v>-173.401895399579</v>
      </c>
      <c r="CB246" s="51" t="n">
        <f aca="false">-CB162*CB272</f>
        <v>-181.083969741415</v>
      </c>
      <c r="CC246" s="51" t="n">
        <f aca="false">-CC162*CC272</f>
        <v>-188.316044852256</v>
      </c>
      <c r="CD246" s="51" t="n">
        <f aca="false">-CD162*CD272</f>
        <v>-195.813291809355</v>
      </c>
      <c r="CE246" s="51" t="n">
        <f aca="false">-CE162*CE272</f>
        <v>-203.292767617978</v>
      </c>
    </row>
    <row r="247" customFormat="false" ht="15" hidden="false" customHeight="false" outlineLevel="0" collapsed="false">
      <c r="B247" s="26" t="s">
        <v>382</v>
      </c>
      <c r="C247" s="38" t="n">
        <v>-0.126</v>
      </c>
      <c r="D247" s="38" t="n">
        <v>-15.459</v>
      </c>
      <c r="E247" s="38" t="n">
        <v>-42.337</v>
      </c>
      <c r="F247" s="38" t="n">
        <v>-0.343</v>
      </c>
      <c r="G247" s="38" t="n">
        <v>-39.682</v>
      </c>
      <c r="H247" s="38" t="n">
        <v>-36.997</v>
      </c>
      <c r="I247" s="38" t="n">
        <v>-81.018</v>
      </c>
      <c r="J247" s="38" t="n">
        <v>-12.78</v>
      </c>
      <c r="K247" s="38" t="n">
        <v>-56.897</v>
      </c>
      <c r="L247" s="38" t="n">
        <v>-43.964</v>
      </c>
      <c r="M247" s="38" t="n">
        <v>-54.238</v>
      </c>
      <c r="N247" s="38" t="n">
        <v>-167.879</v>
      </c>
      <c r="O247" s="38" t="n">
        <v>-51.021</v>
      </c>
      <c r="P247" s="38" t="n">
        <v>-68.312</v>
      </c>
      <c r="Q247" s="38" t="n">
        <v>-130.07</v>
      </c>
      <c r="R247" s="38" t="n">
        <v>-57.775</v>
      </c>
      <c r="S247" s="38" t="n">
        <v>-307.178</v>
      </c>
      <c r="T247" s="38" t="n">
        <v>-102.853</v>
      </c>
      <c r="U247" s="38" t="n">
        <v>-55.615</v>
      </c>
      <c r="V247" s="38" t="n">
        <v>-139.336</v>
      </c>
      <c r="W247" s="38" t="n">
        <v>-101.69</v>
      </c>
      <c r="X247" s="38" t="n">
        <v>-399.494</v>
      </c>
      <c r="Y247" s="38" t="n">
        <v>-102.488</v>
      </c>
      <c r="Z247" s="38" t="n">
        <v>-100.445</v>
      </c>
      <c r="AA247" s="38" t="n">
        <v>-85.661</v>
      </c>
      <c r="AB247" s="38" t="n">
        <v>-53.409</v>
      </c>
      <c r="AC247" s="38" t="n">
        <v>-342.003</v>
      </c>
      <c r="AD247" s="38" t="n">
        <v>-0.403</v>
      </c>
      <c r="AE247" s="38" t="n">
        <v>-7.345</v>
      </c>
      <c r="AF247" s="38" t="n">
        <v>-15.264</v>
      </c>
      <c r="AG247" s="38" t="n">
        <v>-20.152</v>
      </c>
      <c r="AH247" s="38" t="n">
        <v>-43.164</v>
      </c>
      <c r="AI247" s="38" t="n">
        <v>-14.724</v>
      </c>
      <c r="AJ247" s="38" t="n">
        <v>-35.508</v>
      </c>
      <c r="AK247" s="38" t="n">
        <v>-71.245</v>
      </c>
      <c r="AL247" s="38" t="n">
        <v>-80.173</v>
      </c>
      <c r="AM247" s="38" t="n">
        <v>-201.65</v>
      </c>
      <c r="AN247" s="38" t="n">
        <v>-75.584</v>
      </c>
      <c r="AO247" s="38" t="n">
        <v>-85.33</v>
      </c>
      <c r="AP247" s="38" t="n">
        <v>-61.028</v>
      </c>
      <c r="AQ247" s="38" t="n">
        <v>-70.751</v>
      </c>
      <c r="AR247" s="38" t="n">
        <v>-292.693</v>
      </c>
      <c r="AS247" s="38" t="n">
        <v>-109.762</v>
      </c>
      <c r="AT247" s="38" t="n">
        <v>-3.213</v>
      </c>
      <c r="AU247" s="38" t="n">
        <v>-0.223</v>
      </c>
      <c r="AV247" s="38" t="n">
        <v>-0.257</v>
      </c>
      <c r="AW247" s="38" t="n">
        <v>-113.455</v>
      </c>
      <c r="AX247" s="38" t="n">
        <v>-28.459</v>
      </c>
      <c r="AY247" s="38" t="n">
        <v>-25.229</v>
      </c>
      <c r="AZ247" s="38" t="n">
        <v>-50.16</v>
      </c>
      <c r="BA247" s="38" t="n">
        <v>-60.678</v>
      </c>
      <c r="BB247" s="38" t="n">
        <v>-164.526</v>
      </c>
      <c r="BC247" s="38" t="n">
        <v>-104.579</v>
      </c>
      <c r="BD247" s="38" t="n">
        <v>-25.119</v>
      </c>
      <c r="BE247" s="38" t="n">
        <v>-26.518</v>
      </c>
      <c r="BF247" s="38" t="n">
        <v>-25.077</v>
      </c>
      <c r="BG247" s="38" t="n">
        <v>-181.293</v>
      </c>
      <c r="BH247" s="38" t="n">
        <v>-32.158</v>
      </c>
      <c r="BI247" s="38" t="n">
        <v>-53.076</v>
      </c>
      <c r="BJ247" s="38" t="n">
        <v>-45.355</v>
      </c>
      <c r="BK247" s="38" t="n">
        <v>-68.176</v>
      </c>
      <c r="BL247" s="38" t="n">
        <v>-198.765</v>
      </c>
      <c r="BM247" s="38" t="n">
        <v>-110.405</v>
      </c>
      <c r="BN247" s="38" t="n">
        <v>-50.415</v>
      </c>
      <c r="BO247" s="38" t="n">
        <v>-50.392</v>
      </c>
      <c r="BP247" s="38" t="n">
        <v>-52.539</v>
      </c>
      <c r="BQ247" s="38" t="n">
        <v>-263.751</v>
      </c>
      <c r="BR247" s="38" t="n">
        <v>-106.694</v>
      </c>
      <c r="BS247" s="38" t="n">
        <v>-127.13</v>
      </c>
      <c r="BT247" s="38" t="n">
        <v>-52.664</v>
      </c>
      <c r="BU247" s="38" t="n">
        <v>-51.82</v>
      </c>
      <c r="BV247" s="38" t="n">
        <v>-338.308</v>
      </c>
      <c r="BW247" s="38" t="n">
        <v>-56.67</v>
      </c>
      <c r="BX247" s="38" t="n">
        <v>-76.122</v>
      </c>
      <c r="CA247" s="51" t="n">
        <f aca="false">$BW$247+$BX$247-CHOOSE(MATCH($CF$2,{"Bull","Base","Bear"},0),$CO$21,$CP$21,$CQ$21)</f>
        <v>-282.792</v>
      </c>
      <c r="CB247" s="51" t="n">
        <f aca="false">-CB347</f>
        <v>-378.884079348682</v>
      </c>
      <c r="CC247" s="51" t="n">
        <f aca="false">-CC347</f>
        <v>-404.991274202004</v>
      </c>
      <c r="CD247" s="51" t="n">
        <f aca="false">-CD347</f>
        <v>-458.228592477172</v>
      </c>
      <c r="CE247" s="51" t="n">
        <f aca="false">-CE347</f>
        <v>-495.563899409549</v>
      </c>
      <c r="CF247" s="19" t="s">
        <v>383</v>
      </c>
    </row>
    <row r="248" customFormat="false" ht="15" hidden="false" customHeight="false" outlineLevel="0" collapsed="false">
      <c r="B248" s="26" t="s">
        <v>384</v>
      </c>
      <c r="C248" s="48" t="n">
        <v>13.618</v>
      </c>
      <c r="D248" s="48" t="n">
        <v>12.933</v>
      </c>
      <c r="E248" s="48" t="n">
        <v>10.929</v>
      </c>
      <c r="F248" s="48" t="n">
        <v>0.9</v>
      </c>
      <c r="G248" s="48" t="n">
        <v>4.718</v>
      </c>
      <c r="H248" s="48" t="n">
        <v>14.267</v>
      </c>
      <c r="I248" s="48" t="n">
        <v>26.595</v>
      </c>
      <c r="J248" s="48" t="n">
        <v>13.647</v>
      </c>
      <c r="K248" s="48" t="n">
        <v>5.022</v>
      </c>
      <c r="L248" s="48" t="n">
        <v>4.381</v>
      </c>
      <c r="M248" s="48" t="n">
        <v>7.849</v>
      </c>
      <c r="N248" s="48" t="n">
        <v>30.899</v>
      </c>
      <c r="O248" s="48" t="n">
        <v>4.608</v>
      </c>
      <c r="P248" s="48" t="n">
        <v>1.88</v>
      </c>
      <c r="Q248" s="48" t="n">
        <v>2.818</v>
      </c>
      <c r="R248" s="48" t="n">
        <v>5.777</v>
      </c>
      <c r="S248" s="48" t="n">
        <v>15.083</v>
      </c>
      <c r="T248" s="48" t="n">
        <v>2.27</v>
      </c>
      <c r="U248" s="48" t="n">
        <v>3.059</v>
      </c>
      <c r="V248" s="48" t="n">
        <v>0.758</v>
      </c>
      <c r="W248" s="48" t="n">
        <v>1.883</v>
      </c>
      <c r="X248" s="48" t="n">
        <v>7.97</v>
      </c>
      <c r="Y248" s="48" t="n">
        <v>2.372</v>
      </c>
      <c r="Z248" s="48" t="n">
        <v>4.865</v>
      </c>
      <c r="AA248" s="48" t="n">
        <v>6.595</v>
      </c>
      <c r="AB248" s="48" t="n">
        <v>20.371</v>
      </c>
      <c r="AC248" s="48" t="n">
        <v>34.203</v>
      </c>
      <c r="AD248" s="48" t="n">
        <v>5.643</v>
      </c>
      <c r="AE248" s="48" t="n">
        <v>7.754</v>
      </c>
      <c r="AF248" s="48" t="n">
        <v>0.936</v>
      </c>
      <c r="AG248" s="48" t="n">
        <v>2.294</v>
      </c>
      <c r="AH248" s="48" t="n">
        <v>16.627</v>
      </c>
      <c r="AI248" s="48" t="n">
        <v>1.962</v>
      </c>
      <c r="AJ248" s="48" t="n">
        <v>0.637</v>
      </c>
      <c r="AK248" s="48" t="n">
        <v>1.849</v>
      </c>
      <c r="AL248" s="48" t="n">
        <v>0.242</v>
      </c>
      <c r="AM248" s="48" t="n">
        <v>4.69</v>
      </c>
      <c r="AN248" s="48" t="n">
        <v>0.637</v>
      </c>
      <c r="AO248" s="48" t="n">
        <v>0.323</v>
      </c>
      <c r="AP248" s="48" t="n">
        <v>5.25</v>
      </c>
      <c r="AQ248" s="48" t="n">
        <v>8.137</v>
      </c>
      <c r="AR248" s="48" t="n">
        <v>14.347</v>
      </c>
      <c r="AS248" s="48" t="n">
        <v>1.047</v>
      </c>
      <c r="AT248" s="48" t="n">
        <v>0.955</v>
      </c>
      <c r="AU248" s="48" t="n">
        <v>5.959</v>
      </c>
      <c r="AV248" s="48" t="n">
        <v>9.231</v>
      </c>
      <c r="AW248" s="48" t="n">
        <v>17.192</v>
      </c>
      <c r="AX248" s="48" t="n">
        <v>2.78</v>
      </c>
      <c r="AY248" s="48" t="n">
        <v>2.892</v>
      </c>
      <c r="AZ248" s="48" t="n">
        <v>2.249</v>
      </c>
      <c r="BA248" s="48" t="n">
        <v>11.311</v>
      </c>
      <c r="BB248" s="48" t="n">
        <v>19.232</v>
      </c>
      <c r="BC248" s="48" t="n">
        <v>1.035</v>
      </c>
      <c r="BD248" s="48" t="n">
        <v>0.382</v>
      </c>
      <c r="BE248" s="48" t="n">
        <v>0.751</v>
      </c>
      <c r="BF248" s="48" t="n">
        <v>4.217</v>
      </c>
      <c r="BG248" s="48" t="n">
        <v>6.385</v>
      </c>
      <c r="BH248" s="48" t="n">
        <v>2.476</v>
      </c>
      <c r="BI248" s="48" t="n">
        <v>9.534</v>
      </c>
      <c r="BJ248" s="48" t="n">
        <v>1.289</v>
      </c>
      <c r="BK248" s="48" t="n">
        <v>9.066</v>
      </c>
      <c r="BL248" s="48" t="n">
        <v>22.365</v>
      </c>
      <c r="BM248" s="48" t="n">
        <v>24.438</v>
      </c>
      <c r="BN248" s="48" t="n">
        <v>0.543</v>
      </c>
      <c r="BO248" s="48" t="n">
        <v>0.899</v>
      </c>
      <c r="BP248" s="48" t="n">
        <v>1.524</v>
      </c>
      <c r="BQ248" s="48" t="n">
        <v>27.404</v>
      </c>
      <c r="BR248" s="48" t="n">
        <v>6.254</v>
      </c>
      <c r="BS248" s="48" t="n">
        <v>0.14</v>
      </c>
      <c r="BT248" s="48" t="n">
        <v>3.667</v>
      </c>
      <c r="BU248" s="48" t="n">
        <v>1.517</v>
      </c>
      <c r="BV248" s="48" t="n">
        <v>11.578</v>
      </c>
      <c r="BW248" s="48" t="n">
        <v>8.559</v>
      </c>
      <c r="BX248" s="48" t="n">
        <v>0</v>
      </c>
      <c r="CA248" s="56" t="n">
        <f aca="false">$BW$248+$BX$248</f>
        <v>8.559</v>
      </c>
      <c r="CB248" s="55" t="n">
        <v>15</v>
      </c>
      <c r="CC248" s="55" t="n">
        <v>15</v>
      </c>
      <c r="CD248" s="55" t="n">
        <v>15</v>
      </c>
      <c r="CE248" s="55" t="n">
        <v>15</v>
      </c>
    </row>
    <row r="249" customFormat="false" ht="15" hidden="false" customHeight="false" outlineLevel="0" collapsed="false">
      <c r="B249" s="26" t="s">
        <v>385</v>
      </c>
      <c r="C249" s="48" t="n">
        <v>5.243</v>
      </c>
      <c r="D249" s="48" t="n">
        <v>0</v>
      </c>
      <c r="E249" s="48" t="n">
        <v>0</v>
      </c>
      <c r="F249" s="48" t="n">
        <v>0</v>
      </c>
      <c r="G249" s="48" t="n">
        <v>0</v>
      </c>
      <c r="H249" s="48" t="n">
        <v>3.346</v>
      </c>
      <c r="I249" s="48" t="n">
        <v>0</v>
      </c>
      <c r="J249" s="48" t="n">
        <v>0</v>
      </c>
      <c r="K249" s="48" t="n">
        <v>-2.809</v>
      </c>
      <c r="L249" s="48" t="n">
        <v>0</v>
      </c>
      <c r="M249" s="48" t="n">
        <v>-3.278</v>
      </c>
      <c r="N249" s="48" t="n">
        <v>-6.087</v>
      </c>
      <c r="O249" s="48" t="n">
        <v>-2.33</v>
      </c>
      <c r="P249" s="48" t="n">
        <v>0</v>
      </c>
      <c r="Q249" s="48" t="n">
        <v>0</v>
      </c>
      <c r="R249" s="48" t="n">
        <v>0</v>
      </c>
      <c r="S249" s="48" t="n">
        <v>-2.33</v>
      </c>
      <c r="T249" s="48" t="n">
        <v>-0.02</v>
      </c>
      <c r="U249" s="48" t="n">
        <v>-7.976</v>
      </c>
      <c r="V249" s="48" t="n">
        <v>-0.044</v>
      </c>
      <c r="W249" s="48" t="n">
        <v>0.018</v>
      </c>
      <c r="X249" s="48" t="n">
        <v>-8.022</v>
      </c>
      <c r="Y249" s="48" t="n">
        <v>-3.806</v>
      </c>
      <c r="Z249" s="48" t="n">
        <v>-14.438</v>
      </c>
      <c r="AA249" s="48" t="n">
        <v>0</v>
      </c>
      <c r="AB249" s="48" t="n">
        <v>-0.799</v>
      </c>
      <c r="AC249" s="48" t="n">
        <v>-19.043</v>
      </c>
      <c r="AD249" s="48" t="n">
        <v>-0.007</v>
      </c>
      <c r="AE249" s="48" t="n">
        <v>-15.182</v>
      </c>
      <c r="AF249" s="48" t="n">
        <v>-0.372</v>
      </c>
      <c r="AG249" s="48" t="n">
        <v>-1.432</v>
      </c>
      <c r="AH249" s="48" t="n">
        <v>-16.993</v>
      </c>
      <c r="AI249" s="48" t="n">
        <v>0</v>
      </c>
      <c r="AJ249" s="48" t="n">
        <v>0</v>
      </c>
      <c r="AK249" s="48" t="n">
        <v>-2.17</v>
      </c>
      <c r="AL249" s="48" t="n">
        <v>5.978</v>
      </c>
      <c r="AM249" s="48" t="n">
        <v>3.808</v>
      </c>
      <c r="AN249" s="48" t="n">
        <v>0</v>
      </c>
      <c r="AO249" s="48" t="n">
        <v>0</v>
      </c>
      <c r="AP249" s="48" t="n">
        <v>0</v>
      </c>
      <c r="AQ249" s="48" t="n">
        <v>-3.5</v>
      </c>
      <c r="AR249" s="48" t="n">
        <v>-3.5</v>
      </c>
      <c r="AS249" s="48" t="n">
        <v>0</v>
      </c>
      <c r="AT249" s="48" t="n">
        <v>0</v>
      </c>
      <c r="AU249" s="48" t="n">
        <v>0</v>
      </c>
      <c r="AV249" s="48" t="n">
        <v>0</v>
      </c>
      <c r="AW249" s="48" t="n">
        <v>0</v>
      </c>
      <c r="AX249" s="48" t="n">
        <v>0</v>
      </c>
      <c r="AY249" s="48" t="n">
        <v>-0.763</v>
      </c>
      <c r="AZ249" s="48" t="n">
        <v>0</v>
      </c>
      <c r="BA249" s="48" t="n">
        <v>0</v>
      </c>
      <c r="BB249" s="48" t="n">
        <v>-0.763</v>
      </c>
      <c r="BC249" s="48" t="n">
        <v>0</v>
      </c>
      <c r="BD249" s="48" t="n">
        <v>0</v>
      </c>
      <c r="BE249" s="48" t="n">
        <v>0</v>
      </c>
      <c r="BF249" s="48" t="n">
        <v>-0.438</v>
      </c>
      <c r="BG249" s="48" t="n">
        <v>-0.438</v>
      </c>
      <c r="BH249" s="48" t="n">
        <v>0</v>
      </c>
      <c r="BI249" s="48" t="n">
        <v>0</v>
      </c>
      <c r="BJ249" s="48" t="n">
        <v>0</v>
      </c>
      <c r="BK249" s="48" t="n">
        <v>0</v>
      </c>
      <c r="BL249" s="48" t="n">
        <v>0</v>
      </c>
      <c r="BM249" s="48" t="n">
        <v>0</v>
      </c>
      <c r="BN249" s="48" t="n">
        <v>0</v>
      </c>
      <c r="BO249" s="48" t="n">
        <v>0</v>
      </c>
      <c r="BP249" s="48" t="n">
        <v>-3.922</v>
      </c>
      <c r="BQ249" s="48" t="n">
        <v>-3.922</v>
      </c>
      <c r="BR249" s="48" t="n">
        <v>0</v>
      </c>
      <c r="BS249" s="48" t="n">
        <v>0</v>
      </c>
      <c r="BT249" s="48" t="n">
        <v>0</v>
      </c>
      <c r="BU249" s="48" t="n">
        <v>0</v>
      </c>
      <c r="BV249" s="48" t="n">
        <v>0</v>
      </c>
      <c r="BW249" s="48" t="n">
        <v>0</v>
      </c>
      <c r="BX249" s="48" t="n">
        <v>0</v>
      </c>
      <c r="CA249" s="56" t="n">
        <f aca="false">$BW$249+$BX$249</f>
        <v>0</v>
      </c>
      <c r="CB249" s="55" t="n">
        <v>0</v>
      </c>
      <c r="CC249" s="55" t="n">
        <v>0</v>
      </c>
      <c r="CD249" s="55" t="n">
        <v>0</v>
      </c>
      <c r="CE249" s="55" t="n">
        <v>0</v>
      </c>
    </row>
    <row r="250" customFormat="false" ht="15" hidden="false" customHeight="false" outlineLevel="0" collapsed="false">
      <c r="B250" s="58" t="s">
        <v>386</v>
      </c>
      <c r="C250" s="61" t="n">
        <v>-17.729</v>
      </c>
      <c r="D250" s="61" t="n">
        <v>-77.586</v>
      </c>
      <c r="E250" s="61" t="n">
        <v>-67.741</v>
      </c>
      <c r="F250" s="61" t="n">
        <v>-89.072</v>
      </c>
      <c r="G250" s="61" t="n">
        <v>-109.507</v>
      </c>
      <c r="H250" s="61" t="n">
        <v>-63.37</v>
      </c>
      <c r="I250" s="61" t="n">
        <v>-216.838</v>
      </c>
      <c r="J250" s="61" t="n">
        <v>-0.625</v>
      </c>
      <c r="K250" s="61" t="n">
        <v>-72.527</v>
      </c>
      <c r="L250" s="61" t="n">
        <v>-55.586</v>
      </c>
      <c r="M250" s="61" t="n">
        <v>-65.446</v>
      </c>
      <c r="N250" s="61" t="n">
        <v>-194.184</v>
      </c>
      <c r="O250" s="61" t="n">
        <v>-75.422</v>
      </c>
      <c r="P250" s="61" t="n">
        <v>-87.015</v>
      </c>
      <c r="Q250" s="61" t="n">
        <v>-64.271</v>
      </c>
      <c r="R250" s="61" t="n">
        <v>-87.647</v>
      </c>
      <c r="S250" s="61" t="n">
        <v>-314.355</v>
      </c>
      <c r="T250" s="61" t="n">
        <v>-21.422</v>
      </c>
      <c r="U250" s="61" t="n">
        <v>-39.911</v>
      </c>
      <c r="V250" s="61" t="n">
        <v>10.054</v>
      </c>
      <c r="W250" s="61" t="n">
        <v>-118.629</v>
      </c>
      <c r="X250" s="61" t="n">
        <v>-169.908</v>
      </c>
      <c r="Y250" s="61" t="n">
        <v>-104.791</v>
      </c>
      <c r="Z250" s="61" t="n">
        <v>5.474</v>
      </c>
      <c r="AA250" s="61" t="n">
        <v>-76.61</v>
      </c>
      <c r="AB250" s="61" t="n">
        <v>113.073</v>
      </c>
      <c r="AC250" s="61" t="n">
        <v>-62.854</v>
      </c>
      <c r="AD250" s="61" t="n">
        <v>-17.643</v>
      </c>
      <c r="AE250" s="61" t="n">
        <v>-38.124</v>
      </c>
      <c r="AF250" s="61" t="n">
        <v>-38.161</v>
      </c>
      <c r="AG250" s="61" t="n">
        <v>-41.109</v>
      </c>
      <c r="AH250" s="61" t="n">
        <v>-135.037</v>
      </c>
      <c r="AI250" s="61" t="n">
        <v>-38.486</v>
      </c>
      <c r="AJ250" s="61" t="n">
        <v>-60.187</v>
      </c>
      <c r="AK250" s="61" t="n">
        <v>-97.846</v>
      </c>
      <c r="AL250" s="61" t="n">
        <v>-105.611</v>
      </c>
      <c r="AM250" s="61" t="n">
        <v>-302.13</v>
      </c>
      <c r="AN250" s="61" t="n">
        <v>-105.51</v>
      </c>
      <c r="AO250" s="61" t="n">
        <v>-84.568</v>
      </c>
      <c r="AP250" s="61" t="n">
        <v>-112.383</v>
      </c>
      <c r="AQ250" s="61" t="n">
        <v>-69.483</v>
      </c>
      <c r="AR250" s="61" t="n">
        <v>-371.944</v>
      </c>
      <c r="AS250" s="61" t="n">
        <v>-41.613</v>
      </c>
      <c r="AT250" s="61" t="n">
        <v>-114.079</v>
      </c>
      <c r="AU250" s="61" t="n">
        <v>-71.625</v>
      </c>
      <c r="AV250" s="61" t="n">
        <v>-18.824</v>
      </c>
      <c r="AW250" s="61" t="n">
        <v>-246.141</v>
      </c>
      <c r="AX250" s="61" t="n">
        <v>-55.371</v>
      </c>
      <c r="AY250" s="61" t="n">
        <v>-53.624</v>
      </c>
      <c r="AZ250" s="61" t="n">
        <v>-47.117</v>
      </c>
      <c r="BA250" s="61" t="n">
        <v>-65.828</v>
      </c>
      <c r="BB250" s="61" t="n">
        <v>-221.94</v>
      </c>
      <c r="BC250" s="61" t="n">
        <v>-40.597</v>
      </c>
      <c r="BD250" s="61" t="n">
        <v>-81.769</v>
      </c>
      <c r="BE250" s="61" t="n">
        <v>-115.06</v>
      </c>
      <c r="BF250" s="61" t="n">
        <v>371.151</v>
      </c>
      <c r="BG250" s="61" t="n">
        <v>133.725</v>
      </c>
      <c r="BH250" s="61" t="n">
        <v>-111.316</v>
      </c>
      <c r="BI250" s="61" t="n">
        <v>-115.582</v>
      </c>
      <c r="BJ250" s="61" t="n">
        <v>-84.484</v>
      </c>
      <c r="BK250" s="61" t="n">
        <v>-101.01</v>
      </c>
      <c r="BL250" s="61" t="n">
        <v>-412.392</v>
      </c>
      <c r="BM250" s="61" t="n">
        <v>-125.4</v>
      </c>
      <c r="BN250" s="61" t="n">
        <v>-93.052</v>
      </c>
      <c r="BO250" s="61" t="n">
        <v>66.154</v>
      </c>
      <c r="BP250" s="61" t="n">
        <v>-92.342</v>
      </c>
      <c r="BQ250" s="61" t="n">
        <v>-244.64</v>
      </c>
      <c r="BR250" s="61" t="n">
        <v>-144.488</v>
      </c>
      <c r="BS250" s="61" t="n">
        <v>-173.221</v>
      </c>
      <c r="BT250" s="61" t="n">
        <v>-107.685</v>
      </c>
      <c r="BU250" s="61" t="n">
        <v>-36.493</v>
      </c>
      <c r="BV250" s="61" t="n">
        <v>-461.887</v>
      </c>
      <c r="BW250" s="61" t="n">
        <v>-72.569</v>
      </c>
      <c r="BX250" s="61" t="n">
        <v>-283.019</v>
      </c>
      <c r="BY250" s="16"/>
      <c r="BZ250" s="16"/>
      <c r="CA250" s="59" t="n">
        <f aca="false">SUM(CA244:CA249)</f>
        <v>-565.403278114676</v>
      </c>
      <c r="CB250" s="59" t="n">
        <f aca="false">SUM(CB244:CB249)</f>
        <v>-434.358127815482</v>
      </c>
      <c r="CC250" s="59" t="n">
        <f aca="false">SUM(CC244:CC249)</f>
        <v>-483.907734463569</v>
      </c>
      <c r="CD250" s="59" t="n">
        <f aca="false">SUM(CD244:CD249)</f>
        <v>-546.801764981855</v>
      </c>
      <c r="CE250" s="59" t="n">
        <f aca="false">SUM(CE244:CE249)</f>
        <v>-599.769968817215</v>
      </c>
    </row>
    <row r="251" customFormat="false" ht="15" hidden="false" customHeight="false" outlineLevel="0" collapsed="false">
      <c r="B251" s="26" t="s">
        <v>387</v>
      </c>
      <c r="C251" s="48" t="n">
        <v>0.969</v>
      </c>
      <c r="D251" s="48" t="n">
        <v>4.629</v>
      </c>
      <c r="E251" s="48" t="n">
        <v>-6.958</v>
      </c>
      <c r="F251" s="48" t="n">
        <v>6.107</v>
      </c>
      <c r="G251" s="48" t="n">
        <v>-0.014</v>
      </c>
      <c r="H251" s="48" t="n">
        <v>-4.444</v>
      </c>
      <c r="I251" s="48" t="n">
        <v>2.188</v>
      </c>
      <c r="J251" s="48" t="n">
        <v>-1.654</v>
      </c>
      <c r="K251" s="48" t="n">
        <v>-2.971</v>
      </c>
      <c r="L251" s="48" t="n">
        <v>3.165</v>
      </c>
      <c r="M251" s="48" t="n">
        <v>-0.389</v>
      </c>
      <c r="N251" s="48" t="n">
        <v>-1.849</v>
      </c>
      <c r="O251" s="48" t="n">
        <v>-18.888</v>
      </c>
      <c r="P251" s="48" t="n">
        <v>1.732</v>
      </c>
      <c r="Q251" s="48" t="n">
        <v>-5.993</v>
      </c>
      <c r="R251" s="48" t="n">
        <v>-6.659</v>
      </c>
      <c r="S251" s="48" t="n">
        <v>-29.808</v>
      </c>
      <c r="T251" s="48" t="n">
        <v>-11.479</v>
      </c>
      <c r="U251" s="48" t="n">
        <v>2.872</v>
      </c>
      <c r="V251" s="48" t="n">
        <v>-17.609</v>
      </c>
      <c r="W251" s="48" t="n">
        <v>-3.578</v>
      </c>
      <c r="X251" s="48" t="n">
        <v>-29.794</v>
      </c>
      <c r="Y251" s="48" t="n">
        <v>5.67</v>
      </c>
      <c r="Z251" s="48" t="n">
        <v>-2.924</v>
      </c>
      <c r="AA251" s="48" t="n">
        <v>-0.549</v>
      </c>
      <c r="AB251" s="48" t="n">
        <v>-7.804</v>
      </c>
      <c r="AC251" s="48" t="n">
        <v>-5.607</v>
      </c>
      <c r="AD251" s="48" t="n">
        <v>6.623</v>
      </c>
      <c r="AE251" s="48" t="n">
        <v>5.986</v>
      </c>
      <c r="AF251" s="48" t="n">
        <v>6.035</v>
      </c>
      <c r="AG251" s="48" t="n">
        <v>1.097</v>
      </c>
      <c r="AH251" s="48" t="n">
        <v>19.741</v>
      </c>
      <c r="AI251" s="48" t="n">
        <v>2.947</v>
      </c>
      <c r="AJ251" s="48" t="n">
        <v>-12.94</v>
      </c>
      <c r="AK251" s="48" t="n">
        <v>-0.039</v>
      </c>
      <c r="AL251" s="48" t="n">
        <v>-5.683</v>
      </c>
      <c r="AM251" s="48" t="n">
        <v>-15.715</v>
      </c>
      <c r="AN251" s="48" t="n">
        <v>1.866</v>
      </c>
      <c r="AO251" s="48" t="n">
        <v>0.883</v>
      </c>
      <c r="AP251" s="48" t="n">
        <v>-4.396</v>
      </c>
      <c r="AQ251" s="48" t="n">
        <v>3.943</v>
      </c>
      <c r="AR251" s="48" t="n">
        <v>2.296</v>
      </c>
      <c r="AS251" s="48" t="n">
        <v>-10.819</v>
      </c>
      <c r="AT251" s="48" t="n">
        <v>2.783</v>
      </c>
      <c r="AU251" s="48" t="n">
        <v>2.867</v>
      </c>
      <c r="AV251" s="48" t="n">
        <v>6.877</v>
      </c>
      <c r="AW251" s="48" t="n">
        <v>1.708</v>
      </c>
      <c r="AX251" s="48" t="n">
        <v>-2.192</v>
      </c>
      <c r="AY251" s="48" t="n">
        <v>1.992</v>
      </c>
      <c r="AZ251" s="48" t="n">
        <v>-0.835</v>
      </c>
      <c r="BA251" s="48" t="n">
        <v>-1.053</v>
      </c>
      <c r="BB251" s="48" t="n">
        <v>-2.088</v>
      </c>
      <c r="BC251" s="48" t="n">
        <v>-0.962</v>
      </c>
      <c r="BD251" s="48" t="n">
        <v>-3.13</v>
      </c>
      <c r="BE251" s="48" t="n">
        <v>-9.46</v>
      </c>
      <c r="BF251" s="48" t="n">
        <v>5.324</v>
      </c>
      <c r="BG251" s="48" t="n">
        <v>-8.228</v>
      </c>
      <c r="BH251" s="48" t="n">
        <v>5.087</v>
      </c>
      <c r="BI251" s="48" t="n">
        <v>-1.286</v>
      </c>
      <c r="BJ251" s="48" t="n">
        <v>8.327</v>
      </c>
      <c r="BK251" s="48" t="n">
        <v>4.088</v>
      </c>
      <c r="BL251" s="48" t="n">
        <v>16.216</v>
      </c>
      <c r="BM251" s="48" t="n">
        <v>-0.763</v>
      </c>
      <c r="BN251" s="48" t="n">
        <v>-5.135</v>
      </c>
      <c r="BO251" s="48" t="n">
        <v>0.802</v>
      </c>
      <c r="BP251" s="48" t="n">
        <v>-4.535</v>
      </c>
      <c r="BQ251" s="48" t="n">
        <v>-9.631</v>
      </c>
      <c r="BR251" s="48" t="n">
        <v>-1.459</v>
      </c>
      <c r="BS251" s="48" t="n">
        <v>-8.664</v>
      </c>
      <c r="BT251" s="48" t="n">
        <v>-0.681</v>
      </c>
      <c r="BU251" s="48" t="n">
        <v>0.371</v>
      </c>
      <c r="BV251" s="48" t="n">
        <v>-10.433</v>
      </c>
      <c r="BW251" s="48" t="n">
        <v>-0.772</v>
      </c>
      <c r="BX251" s="48" t="n">
        <v>3.284</v>
      </c>
      <c r="CA251" s="56" t="n">
        <f aca="false">$BW$251+$BX$251</f>
        <v>2.512</v>
      </c>
      <c r="CB251" s="55" t="n">
        <v>0</v>
      </c>
      <c r="CC251" s="55" t="n">
        <v>0</v>
      </c>
      <c r="CD251" s="55" t="n">
        <v>0</v>
      </c>
      <c r="CE251" s="55" t="n">
        <v>0</v>
      </c>
    </row>
    <row r="252" customFormat="false" ht="15" hidden="false" customHeight="false" outlineLevel="0" collapsed="false">
      <c r="B252" s="15" t="s">
        <v>388</v>
      </c>
      <c r="C252" s="62" t="n">
        <f aca="false">IF(ISNUMBER(C238),C238+C243+C250+C251,"")</f>
        <v>12.205</v>
      </c>
      <c r="D252" s="62" t="n">
        <f aca="false">IF(ISNUMBER(D238),D238+D243+D250+D251,"")</f>
        <v>97.17</v>
      </c>
      <c r="E252" s="62" t="n">
        <f aca="false">IF(ISNUMBER(E238),E238+E243+E250+E251,"")</f>
        <v>66.95</v>
      </c>
      <c r="F252" s="62" t="n">
        <f aca="false">IF(ISNUMBER(F238),F238+F243+F250+F251,"")</f>
        <v>103.804</v>
      </c>
      <c r="G252" s="62" t="n">
        <f aca="false">IF(ISNUMBER(G238),G238+G243+G250+G251,"")</f>
        <v>-21.943</v>
      </c>
      <c r="H252" s="62" t="n">
        <f aca="false">IF(ISNUMBER(H238),H238+H243+H250+H251,"")</f>
        <v>-5.09199999999999</v>
      </c>
      <c r="I252" s="62" t="n">
        <f aca="false">IF(ISNUMBER(I238),I238+I243+I250+I251,"")</f>
        <v>-74.637</v>
      </c>
      <c r="J252" s="62" t="n">
        <f aca="false">IF(ISNUMBER(J238),J238+J243+J250+J251,"")</f>
        <v>-38.009</v>
      </c>
      <c r="K252" s="62" t="n">
        <f aca="false">IF(ISNUMBER(K238),K238+K243+K250+K251,"")</f>
        <v>7.934</v>
      </c>
      <c r="L252" s="62" t="n">
        <f aca="false">IF(ISNUMBER(L238),L238+L243+L250+L251,"")</f>
        <v>73.92</v>
      </c>
      <c r="M252" s="62" t="n">
        <f aca="false">IF(ISNUMBER(M238),M238+M243+M250+M251,"")</f>
        <v>-30.484</v>
      </c>
      <c r="N252" s="62" t="n">
        <f aca="false">IF(ISNUMBER(N238),N238+N243+N250+N251,"")</f>
        <v>13.361</v>
      </c>
      <c r="O252" s="62" t="n">
        <f aca="false">IF(ISNUMBER(O238),O238+O243+O250+O251,"")</f>
        <v>-94.438</v>
      </c>
      <c r="P252" s="62" t="n">
        <f aca="false">IF(ISNUMBER(P238),P238+P243+P250+P251,"")</f>
        <v>-1.10199999999999</v>
      </c>
      <c r="Q252" s="62" t="n">
        <f aca="false">IF(ISNUMBER(Q238),Q238+Q243+Q250+Q251,"")</f>
        <v>75.238</v>
      </c>
      <c r="R252" s="62" t="n">
        <f aca="false">IF(ISNUMBER(R238),R238+R243+R250+R251,"")</f>
        <v>-1.144</v>
      </c>
      <c r="S252" s="62" t="n">
        <f aca="false">IF(ISNUMBER(S238),S238+S243+S250+S251,"")</f>
        <v>-21.446</v>
      </c>
      <c r="T252" s="62" t="n">
        <f aca="false">IF(ISNUMBER(T238),T238+T243+T250+T251,"")</f>
        <v>10.638</v>
      </c>
      <c r="U252" s="62" t="n">
        <f aca="false">IF(ISNUMBER(U238),U238+U243+U250+U251,"")</f>
        <v>23.72</v>
      </c>
      <c r="V252" s="62" t="n">
        <f aca="false">IF(ISNUMBER(V238),V238+V243+V250+V251,"")</f>
        <v>51.608</v>
      </c>
      <c r="W252" s="62" t="n">
        <f aca="false">IF(ISNUMBER(W238),W238+W243+W250+W251,"")</f>
        <v>-60.162</v>
      </c>
      <c r="X252" s="62" t="n">
        <f aca="false">IF(ISNUMBER(X238),X238+X243+X250+X251,"")</f>
        <v>25.804</v>
      </c>
      <c r="Y252" s="62" t="n">
        <f aca="false">IF(ISNUMBER(Y238),Y238+Y243+Y250+Y251,"")</f>
        <v>-83.187</v>
      </c>
      <c r="Z252" s="62" t="n">
        <f aca="false">IF(ISNUMBER(Z238),Z238+Z243+Z250+Z251,"")</f>
        <v>16.023</v>
      </c>
      <c r="AA252" s="62" t="n">
        <f aca="false">IF(ISNUMBER(AA238),AA238+AA243+AA250+AA251,"")</f>
        <v>19.909</v>
      </c>
      <c r="AB252" s="62" t="n">
        <f aca="false">IF(ISNUMBER(AB238),AB238+AB243+AB250+AB251,"")</f>
        <v>122.251</v>
      </c>
      <c r="AC252" s="62" t="n">
        <f aca="false">IF(ISNUMBER(AC238),AC238+AC243+AC250+AC251,"")</f>
        <v>74.996</v>
      </c>
      <c r="AD252" s="62" t="n">
        <f aca="false">IF(ISNUMBER(AD238),AD238+AD243+AD250+AD251,"")</f>
        <v>22.261</v>
      </c>
      <c r="AE252" s="62" t="n">
        <f aca="false">IF(ISNUMBER(AE238),AE238+AE243+AE250+AE251,"")</f>
        <v>-5.705</v>
      </c>
      <c r="AF252" s="62" t="n">
        <f aca="false">IF(ISNUMBER(AF238),AF238+AF243+AF250+AF251,"")</f>
        <v>-96.282</v>
      </c>
      <c r="AG252" s="62" t="n">
        <f aca="false">IF(ISNUMBER(AG238),AG238+AG243+AG250+AG251,"")</f>
        <v>27.248</v>
      </c>
      <c r="AH252" s="62" t="n">
        <f aca="false">IF(ISNUMBER(AH238),AH238+AH243+AH250+AH251,"")</f>
        <v>-52.478</v>
      </c>
      <c r="AI252" s="62" t="n">
        <f aca="false">IF(ISNUMBER(AI238),AI238+AI243+AI250+AI251,"")</f>
        <v>42.355</v>
      </c>
      <c r="AJ252" s="62" t="n">
        <f aca="false">IF(ISNUMBER(AJ238),AJ238+AJ243+AJ250+AJ251,"")</f>
        <v>-11.962</v>
      </c>
      <c r="AK252" s="62" t="n">
        <f aca="false">IF(ISNUMBER(AK238),AK238+AK243+AK250+AK251,"")</f>
        <v>41.106</v>
      </c>
      <c r="AL252" s="62" t="n">
        <f aca="false">IF(ISNUMBER(AL238),AL238+AL243+AL250+AL251,"")</f>
        <v>-39.351</v>
      </c>
      <c r="AM252" s="62" t="n">
        <f aca="false">IF(ISNUMBER(AM238),AM238+AM243+AM250+AM251,"")</f>
        <v>32.148</v>
      </c>
      <c r="AN252" s="62" t="n">
        <f aca="false">IF(ISNUMBER(AN238),AN238+AN243+AN250+AN251,"")</f>
        <v>-91.715</v>
      </c>
      <c r="AO252" s="62" t="n">
        <f aca="false">IF(ISNUMBER(AO238),AO238+AO243+AO250+AO251,"")</f>
        <v>-77.273</v>
      </c>
      <c r="AP252" s="62" t="n">
        <f aca="false">IF(ISNUMBER(AP238),AP238+AP243+AP250+AP251,"")</f>
        <v>-33.249</v>
      </c>
      <c r="AQ252" s="62" t="n">
        <f aca="false">IF(ISNUMBER(AQ238),AQ238+AQ243+AQ250+AQ251,"")</f>
        <v>42.951</v>
      </c>
      <c r="AR252" s="62" t="n">
        <f aca="false">IF(ISNUMBER(AR238),AR238+AR243+AR250+AR251,"")</f>
        <v>-159.286</v>
      </c>
      <c r="AS252" s="62" t="n">
        <f aca="false">IF(ISNUMBER(AS238),AS238+AS243+AS250+AS251,"")</f>
        <v>-36.188</v>
      </c>
      <c r="AT252" s="62" t="n">
        <f aca="false">IF(ISNUMBER(AT238),AT238+AT243+AT250+AT251,"")</f>
        <v>-20.32</v>
      </c>
      <c r="AU252" s="62" t="n">
        <f aca="false">IF(ISNUMBER(AU238),AU238+AU243+AU250+AU251,"")</f>
        <v>9.424</v>
      </c>
      <c r="AV252" s="62" t="n">
        <f aca="false">IF(ISNUMBER(AV238),AV238+AV243+AV250+AV251,"")</f>
        <v>104.8</v>
      </c>
      <c r="AW252" s="62" t="n">
        <f aca="false">IF(ISNUMBER(AW238),AW238+AW243+AW250+AW251,"")</f>
        <v>57.716</v>
      </c>
      <c r="AX252" s="62" t="n">
        <f aca="false">IF(ISNUMBER(AX238),AX238+AX243+AX250+AX251,"")</f>
        <v>-15.153</v>
      </c>
      <c r="AY252" s="62" t="n">
        <f aca="false">IF(ISNUMBER(AY238),AY238+AY243+AY250+AY251,"")</f>
        <v>-51.242</v>
      </c>
      <c r="AZ252" s="62" t="n">
        <f aca="false">IF(ISNUMBER(AZ238),AZ238+AZ243+AZ250+AZ251,"")</f>
        <v>-30.325</v>
      </c>
      <c r="BA252" s="62" t="n">
        <f aca="false">IF(ISNUMBER(BA238),BA238+BA243+BA250+BA251,"")</f>
        <v>32.399</v>
      </c>
      <c r="BB252" s="62" t="n">
        <f aca="false">IF(ISNUMBER(BB238),BB238+BB243+BB250+BB251,"")</f>
        <v>-64.321</v>
      </c>
      <c r="BC252" s="62" t="n">
        <f aca="false">IF(ISNUMBER(BC238),BC238+BC243+BC250+BC251,"")</f>
        <v>-38.585</v>
      </c>
      <c r="BD252" s="62" t="n">
        <f aca="false">IF(ISNUMBER(BD238),BD238+BD243+BD250+BD251,"")</f>
        <v>-1.577</v>
      </c>
      <c r="BE252" s="62" t="n">
        <f aca="false">IF(ISNUMBER(BE238),BE238+BE243+BE250+BE251,"")</f>
        <v>-11.489</v>
      </c>
      <c r="BF252" s="62" t="n">
        <f aca="false">IF(ISNUMBER(BF238),BF238+BF243+BF250+BF251,"")</f>
        <v>55.843</v>
      </c>
      <c r="BG252" s="62" t="n">
        <f aca="false">IF(ISNUMBER(BG238),BG238+BG243+BG250+BG251,"")</f>
        <v>4.19200000000005</v>
      </c>
      <c r="BH252" s="62" t="n">
        <f aca="false">IF(ISNUMBER(BH238),BH238+BH243+BH250+BH251,"")</f>
        <v>1.653</v>
      </c>
      <c r="BI252" s="62" t="n">
        <f aca="false">IF(ISNUMBER(BI238),BI238+BI243+BI250+BI251,"")</f>
        <v>21.68</v>
      </c>
      <c r="BJ252" s="62" t="n">
        <f aca="false">IF(ISNUMBER(BJ238),BJ238+BJ243+BJ250+BJ251,"")</f>
        <v>122.184</v>
      </c>
      <c r="BK252" s="62" t="n">
        <f aca="false">IF(ISNUMBER(BK238),BK238+BK243+BK250+BK251,"")</f>
        <v>51.12</v>
      </c>
      <c r="BL252" s="62" t="n">
        <f aca="false">IF(ISNUMBER(BL238),BL238+BL243+BL250+BL251,"")</f>
        <v>196.637</v>
      </c>
      <c r="BM252" s="62" t="n">
        <f aca="false">IF(ISNUMBER(BM238),BM238+BM243+BM250+BM251,"")</f>
        <v>-18.809</v>
      </c>
      <c r="BN252" s="62" t="n">
        <f aca="false">IF(ISNUMBER(BN238),BN238+BN243+BN250+BN251,"")</f>
        <v>-102.306</v>
      </c>
      <c r="BO252" s="62" t="n">
        <f aca="false">IF(ISNUMBER(BO238),BO238+BO243+BO250+BO251,"")</f>
        <v>131.546</v>
      </c>
      <c r="BP252" s="62" t="n">
        <f aca="false">IF(ISNUMBER(BP238),BP238+BP243+BP250+BP251,"")</f>
        <v>-26.956</v>
      </c>
      <c r="BQ252" s="62" t="n">
        <f aca="false">IF(ISNUMBER(BQ238),BQ238+BQ243+BQ250+BQ251,"")</f>
        <v>-16.525</v>
      </c>
      <c r="BR252" s="62" t="n">
        <f aca="false">IF(ISNUMBER(BR238),BR238+BR243+BR250+BR251,"")</f>
        <v>17.443</v>
      </c>
      <c r="BS252" s="62" t="n">
        <f aca="false">IF(ISNUMBER(BS238),BS238+BS243+BS250+BS251,"")</f>
        <v>-95.224</v>
      </c>
      <c r="BT252" s="62" t="n">
        <f aca="false">IF(ISNUMBER(BT238),BT238+BT243+BT250+BT251,"")</f>
        <v>-6.484</v>
      </c>
      <c r="BU252" s="62" t="n">
        <f aca="false">IF(ISNUMBER(BU238),BU238+BU243+BU250+BU251,"")</f>
        <v>15.792</v>
      </c>
      <c r="BV252" s="62" t="n">
        <f aca="false">IF(ISNUMBER(BV238),BV238+BV243+BV250+BV251,"")</f>
        <v>-68.473</v>
      </c>
      <c r="BW252" s="62" t="n">
        <f aca="false">IF(ISNUMBER(BW238),BW238+BW243+BW250+BW251,"")</f>
        <v>-9.88600000000001</v>
      </c>
      <c r="BX252" s="62" t="n">
        <f aca="false">IF(ISNUMBER(BX238),BX238+BX243+BX250+BX251,"")</f>
        <v>-56.46</v>
      </c>
      <c r="BY252" s="16"/>
      <c r="BZ252" s="16"/>
      <c r="CA252" s="18" t="n">
        <f aca="false">CA238+CA243+CA250+CA251</f>
        <v>-58.7890000000001</v>
      </c>
      <c r="CB252" s="18" t="n">
        <f aca="false">CB238+CB243+CB250+CB251</f>
        <v>0</v>
      </c>
      <c r="CC252" s="18" t="n">
        <f aca="false">CC238+CC243+CC250+CC251</f>
        <v>0</v>
      </c>
      <c r="CD252" s="18" t="n">
        <f aca="false">CD238+CD243+CD250+CD251</f>
        <v>0</v>
      </c>
      <c r="CE252" s="18" t="n">
        <f aca="false">CE238+CE243+CE250+CE251</f>
        <v>0</v>
      </c>
    </row>
    <row r="253" customFormat="false" ht="15" hidden="false" customHeight="false" outlineLevel="0" collapsed="false">
      <c r="B253" s="26" t="s">
        <v>389</v>
      </c>
      <c r="C253" s="38" t="n">
        <v>108.007</v>
      </c>
      <c r="D253" s="38" t="n">
        <v>120.212</v>
      </c>
      <c r="E253" s="38" t="n">
        <v>217.382</v>
      </c>
      <c r="F253" s="38" t="n">
        <v>284.332</v>
      </c>
      <c r="G253" s="38" t="n">
        <v>388.136</v>
      </c>
      <c r="H253" s="38" t="n">
        <v>366.193</v>
      </c>
      <c r="I253" s="38" t="n">
        <v>361.101</v>
      </c>
      <c r="J253" s="38" t="n">
        <v>286.464</v>
      </c>
      <c r="K253" s="38" t="n">
        <v>248.455</v>
      </c>
      <c r="L253" s="38" t="n">
        <v>256.389</v>
      </c>
      <c r="M253" s="38" t="n">
        <v>330.309</v>
      </c>
      <c r="N253" s="38" t="n">
        <v>286.464</v>
      </c>
      <c r="O253" s="38" t="n">
        <v>299.825</v>
      </c>
      <c r="P253" s="38" t="n">
        <v>205.387</v>
      </c>
      <c r="Q253" s="38" t="n">
        <v>204.285</v>
      </c>
      <c r="R253" s="38" t="n">
        <v>279.523</v>
      </c>
      <c r="S253" s="38" t="n">
        <v>299.825</v>
      </c>
      <c r="T253" s="38" t="n">
        <v>278.379</v>
      </c>
      <c r="U253" s="38" t="n">
        <v>289.017</v>
      </c>
      <c r="V253" s="38" t="n">
        <v>312.737</v>
      </c>
      <c r="W253" s="38" t="n">
        <v>364.345</v>
      </c>
      <c r="X253" s="38" t="n">
        <v>278.379</v>
      </c>
      <c r="Y253" s="38" t="n">
        <v>304.183</v>
      </c>
      <c r="Z253" s="38" t="n">
        <v>220.996</v>
      </c>
      <c r="AA253" s="38" t="n">
        <v>237.019</v>
      </c>
      <c r="AB253" s="38" t="n">
        <v>256.928</v>
      </c>
      <c r="AC253" s="38" t="n">
        <v>304.183</v>
      </c>
      <c r="AD253" s="38" t="n">
        <v>379.179</v>
      </c>
      <c r="AE253" s="38" t="n">
        <v>401.44</v>
      </c>
      <c r="AF253" s="38" t="n">
        <v>395.735</v>
      </c>
      <c r="AG253" s="38" t="n">
        <v>299.453</v>
      </c>
      <c r="AH253" s="38" t="n">
        <v>379.179</v>
      </c>
      <c r="AI253" s="38" t="n">
        <v>326.701</v>
      </c>
      <c r="AJ253" s="38" t="n">
        <v>369.056</v>
      </c>
      <c r="AK253" s="38" t="n">
        <v>357.094</v>
      </c>
      <c r="AL253" s="38" t="n">
        <v>398.2</v>
      </c>
      <c r="AM253" s="38" t="n">
        <v>326.701</v>
      </c>
      <c r="AN253" s="38" t="n">
        <v>358.849</v>
      </c>
      <c r="AO253" s="38" t="n">
        <v>267.134</v>
      </c>
      <c r="AP253" s="38" t="n">
        <v>189.861</v>
      </c>
      <c r="AQ253" s="38" t="n">
        <v>156.612</v>
      </c>
      <c r="AR253" s="38" t="n">
        <v>358.849</v>
      </c>
      <c r="AS253" s="38" t="n">
        <v>199.563</v>
      </c>
      <c r="AT253" s="38" t="n">
        <v>163.375</v>
      </c>
      <c r="AU253" s="38" t="n">
        <v>143.055</v>
      </c>
      <c r="AV253" s="38" t="n">
        <v>152.479</v>
      </c>
      <c r="AW253" s="38" t="n">
        <v>199.563</v>
      </c>
      <c r="AX253" s="38" t="n">
        <v>257.279</v>
      </c>
      <c r="AY253" s="38" t="n">
        <v>242.126</v>
      </c>
      <c r="AZ253" s="38" t="n">
        <v>190.884</v>
      </c>
      <c r="BA253" s="38" t="n">
        <v>160.559</v>
      </c>
      <c r="BB253" s="38" t="n">
        <v>257.279</v>
      </c>
      <c r="BC253" s="38" t="n">
        <v>192.958</v>
      </c>
      <c r="BD253" s="38" t="n">
        <v>154.373</v>
      </c>
      <c r="BE253" s="38" t="n">
        <v>152.796</v>
      </c>
      <c r="BF253" s="38" t="n">
        <v>141.307</v>
      </c>
      <c r="BG253" s="38" t="n">
        <v>192.958</v>
      </c>
      <c r="BH253" s="38" t="n">
        <v>197.15</v>
      </c>
      <c r="BI253" s="38" t="n">
        <v>198.803</v>
      </c>
      <c r="BJ253" s="38" t="n">
        <v>220.483</v>
      </c>
      <c r="BK253" s="38" t="n">
        <v>342.667</v>
      </c>
      <c r="BL253" s="38" t="n">
        <v>197.15</v>
      </c>
      <c r="BM253" s="38" t="n">
        <v>393.787</v>
      </c>
      <c r="BN253" s="38" t="n">
        <v>374.978</v>
      </c>
      <c r="BO253" s="38" t="n">
        <v>272.672</v>
      </c>
      <c r="BP253" s="38" t="n">
        <v>404.218</v>
      </c>
      <c r="BQ253" s="38" t="n">
        <v>393.787</v>
      </c>
      <c r="BR253" s="38" t="n">
        <v>377.262</v>
      </c>
      <c r="BS253" s="38" t="n">
        <v>394.705</v>
      </c>
      <c r="BT253" s="38" t="n">
        <v>299.481</v>
      </c>
      <c r="BU253" s="38" t="n">
        <v>292.997</v>
      </c>
      <c r="BV253" s="38" t="n">
        <v>377.262</v>
      </c>
      <c r="BW253" s="38" t="n">
        <v>308.789</v>
      </c>
      <c r="BX253" s="38" t="n">
        <v>298.903</v>
      </c>
      <c r="CA253" s="51" t="n">
        <f aca="false">BV254</f>
        <v>308.789</v>
      </c>
      <c r="CB253" s="51" t="n">
        <f aca="false">CA254</f>
        <v>250</v>
      </c>
      <c r="CC253" s="51" t="n">
        <f aca="false">CB254</f>
        <v>250</v>
      </c>
      <c r="CD253" s="51" t="n">
        <f aca="false">CC254</f>
        <v>250</v>
      </c>
      <c r="CE253" s="51" t="n">
        <f aca="false">CD254</f>
        <v>250</v>
      </c>
    </row>
    <row r="254" customFormat="false" ht="15" hidden="false" customHeight="false" outlineLevel="0" collapsed="false">
      <c r="B254" s="15" t="s">
        <v>390</v>
      </c>
      <c r="C254" s="17" t="n">
        <v>120.212</v>
      </c>
      <c r="D254" s="17" t="n">
        <v>217.382</v>
      </c>
      <c r="E254" s="17" t="n">
        <v>284.332</v>
      </c>
      <c r="F254" s="17" t="n">
        <v>388.136</v>
      </c>
      <c r="G254" s="17" t="n">
        <v>366.193</v>
      </c>
      <c r="H254" s="17" t="n">
        <v>361.101</v>
      </c>
      <c r="I254" s="17" t="n">
        <v>286.464</v>
      </c>
      <c r="J254" s="17" t="n">
        <v>248.455</v>
      </c>
      <c r="K254" s="17" t="n">
        <v>256.389</v>
      </c>
      <c r="L254" s="17" t="n">
        <v>330.309</v>
      </c>
      <c r="M254" s="17" t="n">
        <v>299.825</v>
      </c>
      <c r="N254" s="17" t="n">
        <v>299.825</v>
      </c>
      <c r="O254" s="17" t="n">
        <v>205.387</v>
      </c>
      <c r="P254" s="17" t="n">
        <v>204.285</v>
      </c>
      <c r="Q254" s="17" t="n">
        <v>279.523</v>
      </c>
      <c r="R254" s="17" t="n">
        <v>278.379</v>
      </c>
      <c r="S254" s="17" t="n">
        <v>278.379</v>
      </c>
      <c r="T254" s="17" t="n">
        <v>289.017</v>
      </c>
      <c r="U254" s="17" t="n">
        <v>312.737</v>
      </c>
      <c r="V254" s="17" t="n">
        <v>364.345</v>
      </c>
      <c r="W254" s="17" t="n">
        <v>304.183</v>
      </c>
      <c r="X254" s="17" t="n">
        <v>304.183</v>
      </c>
      <c r="Y254" s="17" t="n">
        <v>220.996</v>
      </c>
      <c r="Z254" s="17" t="n">
        <v>237.019</v>
      </c>
      <c r="AA254" s="17" t="n">
        <v>256.928</v>
      </c>
      <c r="AB254" s="17" t="n">
        <v>379.179</v>
      </c>
      <c r="AC254" s="17" t="n">
        <v>379.179</v>
      </c>
      <c r="AD254" s="17" t="n">
        <v>401.44</v>
      </c>
      <c r="AE254" s="17" t="n">
        <v>395.735</v>
      </c>
      <c r="AF254" s="17" t="n">
        <v>299.453</v>
      </c>
      <c r="AG254" s="17" t="n">
        <v>326.701</v>
      </c>
      <c r="AH254" s="17" t="n">
        <v>326.701</v>
      </c>
      <c r="AI254" s="17" t="n">
        <v>369.056</v>
      </c>
      <c r="AJ254" s="17" t="n">
        <v>357.094</v>
      </c>
      <c r="AK254" s="17" t="n">
        <v>398.2</v>
      </c>
      <c r="AL254" s="17" t="n">
        <v>358.849</v>
      </c>
      <c r="AM254" s="17" t="n">
        <v>358.849</v>
      </c>
      <c r="AN254" s="17" t="n">
        <v>267.134</v>
      </c>
      <c r="AO254" s="17" t="n">
        <v>189.861</v>
      </c>
      <c r="AP254" s="17" t="n">
        <v>156.612</v>
      </c>
      <c r="AQ254" s="17" t="n">
        <v>199.563</v>
      </c>
      <c r="AR254" s="17" t="n">
        <v>199.563</v>
      </c>
      <c r="AS254" s="17" t="n">
        <v>163.375</v>
      </c>
      <c r="AT254" s="17" t="n">
        <v>143.055</v>
      </c>
      <c r="AU254" s="17" t="n">
        <v>152.479</v>
      </c>
      <c r="AV254" s="17" t="n">
        <v>257.279</v>
      </c>
      <c r="AW254" s="17" t="n">
        <v>257.279</v>
      </c>
      <c r="AX254" s="17" t="n">
        <v>242.126</v>
      </c>
      <c r="AY254" s="17" t="n">
        <v>190.884</v>
      </c>
      <c r="AZ254" s="17" t="n">
        <v>160.559</v>
      </c>
      <c r="BA254" s="17" t="n">
        <v>192.958</v>
      </c>
      <c r="BB254" s="17" t="n">
        <v>192.958</v>
      </c>
      <c r="BC254" s="17" t="n">
        <v>154.373</v>
      </c>
      <c r="BD254" s="17" t="n">
        <v>152.796</v>
      </c>
      <c r="BE254" s="17" t="n">
        <v>141.307</v>
      </c>
      <c r="BF254" s="17" t="n">
        <v>197.15</v>
      </c>
      <c r="BG254" s="17" t="n">
        <v>197.15</v>
      </c>
      <c r="BH254" s="17" t="n">
        <v>198.803</v>
      </c>
      <c r="BI254" s="17" t="n">
        <v>220.483</v>
      </c>
      <c r="BJ254" s="17" t="n">
        <v>342.667</v>
      </c>
      <c r="BK254" s="17" t="n">
        <v>393.787</v>
      </c>
      <c r="BL254" s="17" t="n">
        <v>393.787</v>
      </c>
      <c r="BM254" s="17" t="n">
        <v>374.978</v>
      </c>
      <c r="BN254" s="17" t="n">
        <v>272.672</v>
      </c>
      <c r="BO254" s="17" t="n">
        <v>404.218</v>
      </c>
      <c r="BP254" s="17" t="n">
        <v>377.262</v>
      </c>
      <c r="BQ254" s="17" t="n">
        <v>377.262</v>
      </c>
      <c r="BR254" s="17" t="n">
        <v>394.705</v>
      </c>
      <c r="BS254" s="17" t="n">
        <v>299.481</v>
      </c>
      <c r="BT254" s="17" t="n">
        <v>292.997</v>
      </c>
      <c r="BU254" s="17" t="n">
        <v>308.789</v>
      </c>
      <c r="BV254" s="17" t="n">
        <v>308.789</v>
      </c>
      <c r="BW254" s="17" t="n">
        <v>298.903</v>
      </c>
      <c r="BX254" s="17" t="n">
        <v>242.443</v>
      </c>
      <c r="BY254" s="16"/>
      <c r="BZ254" s="16"/>
      <c r="CA254" s="18" t="n">
        <f aca="false">CA253+CA252</f>
        <v>250</v>
      </c>
      <c r="CB254" s="18" t="n">
        <f aca="false">CB253+CB252</f>
        <v>250</v>
      </c>
      <c r="CC254" s="18" t="n">
        <f aca="false">CC253+CC252</f>
        <v>250</v>
      </c>
      <c r="CD254" s="18" t="n">
        <f aca="false">CD253+CD252</f>
        <v>250</v>
      </c>
      <c r="CE254" s="18" t="n">
        <f aca="false">CE253+CE252</f>
        <v>250</v>
      </c>
    </row>
    <row r="255" customFormat="false" ht="15" hidden="false" customHeight="false" outlineLevel="0" collapsed="false">
      <c r="B255" s="36" t="s">
        <v>391</v>
      </c>
      <c r="C255" s="39" t="n">
        <f aca="false">IF(ISNUMBER(C238),ROUND(C238+C243+C250+C251-C252,1),"")</f>
        <v>0</v>
      </c>
      <c r="D255" s="39" t="n">
        <f aca="false">IF(ISNUMBER(D238),ROUND(D238+D243+D250+D251-D252,1),"")</f>
        <v>0</v>
      </c>
      <c r="E255" s="39" t="n">
        <f aca="false">IF(ISNUMBER(E238),ROUND(E238+E243+E250+E251-E252,1),"")</f>
        <v>0</v>
      </c>
      <c r="F255" s="39" t="n">
        <f aca="false">IF(ISNUMBER(F238),ROUND(F238+F243+F250+F251-F252,1),"")</f>
        <v>0</v>
      </c>
      <c r="G255" s="39" t="n">
        <f aca="false">IF(ISNUMBER(G238),ROUND(G238+G243+G250+G251-G252,1),"")</f>
        <v>0</v>
      </c>
      <c r="H255" s="39" t="n">
        <f aca="false">IF(ISNUMBER(H238),ROUND(H238+H243+H250+H251-H252,1),"")</f>
        <v>0</v>
      </c>
      <c r="I255" s="39" t="n">
        <f aca="false">IF(ISNUMBER(I238),ROUND(I238+I243+I250+I251-I252,1),"")</f>
        <v>0</v>
      </c>
      <c r="J255" s="39" t="n">
        <f aca="false">IF(ISNUMBER(J238),ROUND(J238+J243+J250+J251-J252,1),"")</f>
        <v>0</v>
      </c>
      <c r="K255" s="39" t="n">
        <f aca="false">IF(ISNUMBER(K238),ROUND(K238+K243+K250+K251-K252,1),"")</f>
        <v>0</v>
      </c>
      <c r="L255" s="39" t="n">
        <f aca="false">IF(ISNUMBER(L238),ROUND(L238+L243+L250+L251-L252,1),"")</f>
        <v>0</v>
      </c>
      <c r="M255" s="39" t="n">
        <f aca="false">IF(ISNUMBER(M238),ROUND(M238+M243+M250+M251-M252,1),"")</f>
        <v>0</v>
      </c>
      <c r="N255" s="39" t="n">
        <f aca="false">IF(ISNUMBER(N238),ROUND(N238+N243+N250+N251-N252,1),"")</f>
        <v>0</v>
      </c>
      <c r="O255" s="39" t="n">
        <f aca="false">IF(ISNUMBER(O238),ROUND(O238+O243+O250+O251-O252,1),"")</f>
        <v>0</v>
      </c>
      <c r="P255" s="39" t="n">
        <f aca="false">IF(ISNUMBER(P238),ROUND(P238+P243+P250+P251-P252,1),"")</f>
        <v>0</v>
      </c>
      <c r="Q255" s="39" t="n">
        <f aca="false">IF(ISNUMBER(Q238),ROUND(Q238+Q243+Q250+Q251-Q252,1),"")</f>
        <v>0</v>
      </c>
      <c r="R255" s="39" t="n">
        <f aca="false">IF(ISNUMBER(R238),ROUND(R238+R243+R250+R251-R252,1),"")</f>
        <v>0</v>
      </c>
      <c r="S255" s="39" t="n">
        <f aca="false">IF(ISNUMBER(S238),ROUND(S238+S243+S250+S251-S252,1),"")</f>
        <v>0</v>
      </c>
      <c r="T255" s="39" t="n">
        <f aca="false">IF(ISNUMBER(T238),ROUND(T238+T243+T250+T251-T252,1),"")</f>
        <v>0</v>
      </c>
      <c r="U255" s="39" t="n">
        <f aca="false">IF(ISNUMBER(U238),ROUND(U238+U243+U250+U251-U252,1),"")</f>
        <v>0</v>
      </c>
      <c r="V255" s="39" t="n">
        <f aca="false">IF(ISNUMBER(V238),ROUND(V238+V243+V250+V251-V252,1),"")</f>
        <v>0</v>
      </c>
      <c r="W255" s="39" t="n">
        <f aca="false">IF(ISNUMBER(W238),ROUND(W238+W243+W250+W251-W252,1),"")</f>
        <v>0</v>
      </c>
      <c r="X255" s="39" t="n">
        <f aca="false">IF(ISNUMBER(X238),ROUND(X238+X243+X250+X251-X252,1),"")</f>
        <v>0</v>
      </c>
      <c r="Y255" s="39" t="n">
        <f aca="false">IF(ISNUMBER(Y238),ROUND(Y238+Y243+Y250+Y251-Y252,1),"")</f>
        <v>0</v>
      </c>
      <c r="Z255" s="39" t="n">
        <f aca="false">IF(ISNUMBER(Z238),ROUND(Z238+Z243+Z250+Z251-Z252,1),"")</f>
        <v>0</v>
      </c>
      <c r="AA255" s="39" t="n">
        <f aca="false">IF(ISNUMBER(AA238),ROUND(AA238+AA243+AA250+AA251-AA252,1),"")</f>
        <v>0</v>
      </c>
      <c r="AB255" s="39" t="n">
        <f aca="false">IF(ISNUMBER(AB238),ROUND(AB238+AB243+AB250+AB251-AB252,1),"")</f>
        <v>0</v>
      </c>
      <c r="AC255" s="39" t="n">
        <f aca="false">IF(ISNUMBER(AC238),ROUND(AC238+AC243+AC250+AC251-AC252,1),"")</f>
        <v>0</v>
      </c>
      <c r="AD255" s="39" t="n">
        <f aca="false">IF(ISNUMBER(AD238),ROUND(AD238+AD243+AD250+AD251-AD252,1),"")</f>
        <v>0</v>
      </c>
      <c r="AE255" s="39" t="n">
        <f aca="false">IF(ISNUMBER(AE238),ROUND(AE238+AE243+AE250+AE251-AE252,1),"")</f>
        <v>0</v>
      </c>
      <c r="AF255" s="39" t="n">
        <f aca="false">IF(ISNUMBER(AF238),ROUND(AF238+AF243+AF250+AF251-AF252,1),"")</f>
        <v>0</v>
      </c>
      <c r="AG255" s="39" t="n">
        <f aca="false">IF(ISNUMBER(AG238),ROUND(AG238+AG243+AG250+AG251-AG252,1),"")</f>
        <v>0</v>
      </c>
      <c r="AH255" s="39" t="n">
        <f aca="false">IF(ISNUMBER(AH238),ROUND(AH238+AH243+AH250+AH251-AH252,1),"")</f>
        <v>0</v>
      </c>
      <c r="AI255" s="39" t="n">
        <f aca="false">IF(ISNUMBER(AI238),ROUND(AI238+AI243+AI250+AI251-AI252,1),"")</f>
        <v>0</v>
      </c>
      <c r="AJ255" s="39" t="n">
        <f aca="false">IF(ISNUMBER(AJ238),ROUND(AJ238+AJ243+AJ250+AJ251-AJ252,1),"")</f>
        <v>0</v>
      </c>
      <c r="AK255" s="39" t="n">
        <f aca="false">IF(ISNUMBER(AK238),ROUND(AK238+AK243+AK250+AK251-AK252,1),"")</f>
        <v>0</v>
      </c>
      <c r="AL255" s="39" t="n">
        <f aca="false">IF(ISNUMBER(AL238),ROUND(AL238+AL243+AL250+AL251-AL252,1),"")</f>
        <v>0</v>
      </c>
      <c r="AM255" s="39" t="n">
        <f aca="false">IF(ISNUMBER(AM238),ROUND(AM238+AM243+AM250+AM251-AM252,1),"")</f>
        <v>0</v>
      </c>
      <c r="AN255" s="39" t="n">
        <f aca="false">IF(ISNUMBER(AN238),ROUND(AN238+AN243+AN250+AN251-AN252,1),"")</f>
        <v>0</v>
      </c>
      <c r="AO255" s="39" t="n">
        <f aca="false">IF(ISNUMBER(AO238),ROUND(AO238+AO243+AO250+AO251-AO252,1),"")</f>
        <v>0</v>
      </c>
      <c r="AP255" s="39" t="n">
        <f aca="false">IF(ISNUMBER(AP238),ROUND(AP238+AP243+AP250+AP251-AP252,1),"")</f>
        <v>0</v>
      </c>
      <c r="AQ255" s="39" t="n">
        <f aca="false">IF(ISNUMBER(AQ238),ROUND(AQ238+AQ243+AQ250+AQ251-AQ252,1),"")</f>
        <v>0</v>
      </c>
      <c r="AR255" s="39" t="n">
        <f aca="false">IF(ISNUMBER(AR238),ROUND(AR238+AR243+AR250+AR251-AR252,1),"")</f>
        <v>0</v>
      </c>
      <c r="AS255" s="39" t="n">
        <f aca="false">IF(ISNUMBER(AS238),ROUND(AS238+AS243+AS250+AS251-AS252,1),"")</f>
        <v>0</v>
      </c>
      <c r="AT255" s="39" t="n">
        <f aca="false">IF(ISNUMBER(AT238),ROUND(AT238+AT243+AT250+AT251-AT252,1),"")</f>
        <v>0</v>
      </c>
      <c r="AU255" s="39" t="n">
        <f aca="false">IF(ISNUMBER(AU238),ROUND(AU238+AU243+AU250+AU251-AU252,1),"")</f>
        <v>0</v>
      </c>
      <c r="AV255" s="39" t="n">
        <f aca="false">IF(ISNUMBER(AV238),ROUND(AV238+AV243+AV250+AV251-AV252,1),"")</f>
        <v>0</v>
      </c>
      <c r="AW255" s="39" t="n">
        <f aca="false">IF(ISNUMBER(AW238),ROUND(AW238+AW243+AW250+AW251-AW252,1),"")</f>
        <v>0</v>
      </c>
      <c r="AX255" s="39" t="n">
        <f aca="false">IF(ISNUMBER(AX238),ROUND(AX238+AX243+AX250+AX251-AX252,1),"")</f>
        <v>0</v>
      </c>
      <c r="AY255" s="39" t="n">
        <f aca="false">IF(ISNUMBER(AY238),ROUND(AY238+AY243+AY250+AY251-AY252,1),"")</f>
        <v>0</v>
      </c>
      <c r="AZ255" s="39" t="n">
        <f aca="false">IF(ISNUMBER(AZ238),ROUND(AZ238+AZ243+AZ250+AZ251-AZ252,1),"")</f>
        <v>0</v>
      </c>
      <c r="BA255" s="39" t="n">
        <f aca="false">IF(ISNUMBER(BA238),ROUND(BA238+BA243+BA250+BA251-BA252,1),"")</f>
        <v>0</v>
      </c>
      <c r="BB255" s="39" t="n">
        <f aca="false">IF(ISNUMBER(BB238),ROUND(BB238+BB243+BB250+BB251-BB252,1),"")</f>
        <v>0</v>
      </c>
      <c r="BC255" s="39" t="n">
        <f aca="false">IF(ISNUMBER(BC238),ROUND(BC238+BC243+BC250+BC251-BC252,1),"")</f>
        <v>0</v>
      </c>
      <c r="BD255" s="39" t="n">
        <f aca="false">IF(ISNUMBER(BD238),ROUND(BD238+BD243+BD250+BD251-BD252,1),"")</f>
        <v>0</v>
      </c>
      <c r="BE255" s="39" t="n">
        <f aca="false">IF(ISNUMBER(BE238),ROUND(BE238+BE243+BE250+BE251-BE252,1),"")</f>
        <v>0</v>
      </c>
      <c r="BF255" s="39" t="n">
        <f aca="false">IF(ISNUMBER(BF238),ROUND(BF238+BF243+BF250+BF251-BF252,1),"")</f>
        <v>0</v>
      </c>
      <c r="BG255" s="39" t="n">
        <f aca="false">IF(ISNUMBER(BG238),ROUND(BG238+BG243+BG250+BG251-BG252,1),"")</f>
        <v>0</v>
      </c>
      <c r="BH255" s="39" t="n">
        <f aca="false">IF(ISNUMBER(BH238),ROUND(BH238+BH243+BH250+BH251-BH252,1),"")</f>
        <v>0</v>
      </c>
      <c r="BI255" s="39" t="n">
        <f aca="false">IF(ISNUMBER(BI238),ROUND(BI238+BI243+BI250+BI251-BI252,1),"")</f>
        <v>0</v>
      </c>
      <c r="BJ255" s="39" t="n">
        <f aca="false">IF(ISNUMBER(BJ238),ROUND(BJ238+BJ243+BJ250+BJ251-BJ252,1),"")</f>
        <v>0</v>
      </c>
      <c r="BK255" s="39" t="n">
        <f aca="false">IF(ISNUMBER(BK238),ROUND(BK238+BK243+BK250+BK251-BK252,1),"")</f>
        <v>0</v>
      </c>
      <c r="BL255" s="39" t="n">
        <f aca="false">IF(ISNUMBER(BL238),ROUND(BL238+BL243+BL250+BL251-BL252,1),"")</f>
        <v>0</v>
      </c>
      <c r="BM255" s="39" t="n">
        <f aca="false">IF(ISNUMBER(BM238),ROUND(BM238+BM243+BM250+BM251-BM252,1),"")</f>
        <v>0</v>
      </c>
      <c r="BN255" s="39" t="n">
        <f aca="false">IF(ISNUMBER(BN238),ROUND(BN238+BN243+BN250+BN251-BN252,1),"")</f>
        <v>0</v>
      </c>
      <c r="BO255" s="39" t="n">
        <f aca="false">IF(ISNUMBER(BO238),ROUND(BO238+BO243+BO250+BO251-BO252,1),"")</f>
        <v>0</v>
      </c>
      <c r="BP255" s="39" t="n">
        <f aca="false">IF(ISNUMBER(BP238),ROUND(BP238+BP243+BP250+BP251-BP252,1),"")</f>
        <v>0</v>
      </c>
      <c r="BQ255" s="39" t="n">
        <f aca="false">IF(ISNUMBER(BQ238),ROUND(BQ238+BQ243+BQ250+BQ251-BQ252,1),"")</f>
        <v>0</v>
      </c>
      <c r="BR255" s="39" t="n">
        <f aca="false">IF(ISNUMBER(BR238),ROUND(BR238+BR243+BR250+BR251-BR252,1),"")</f>
        <v>0</v>
      </c>
      <c r="BS255" s="39" t="n">
        <f aca="false">IF(ISNUMBER(BS238),ROUND(BS238+BS243+BS250+BS251-BS252,1),"")</f>
        <v>0</v>
      </c>
      <c r="BT255" s="39" t="n">
        <f aca="false">IF(ISNUMBER(BT238),ROUND(BT238+BT243+BT250+BT251-BT252,1),"")</f>
        <v>0</v>
      </c>
      <c r="BU255" s="39" t="n">
        <f aca="false">IF(ISNUMBER(BU238),ROUND(BU238+BU243+BU250+BU251-BU252,1),"")</f>
        <v>0</v>
      </c>
      <c r="BV255" s="39" t="n">
        <f aca="false">IF(ISNUMBER(BV238),ROUND(BV238+BV243+BV250+BV251-BV252,1),"")</f>
        <v>0</v>
      </c>
      <c r="BW255" s="39" t="n">
        <f aca="false">IF(ISNUMBER(BW238),ROUND(BW238+BW243+BW250+BW251-BW252,1),"")</f>
        <v>0</v>
      </c>
      <c r="BX255" s="39" t="n">
        <f aca="false">IF(ISNUMBER(BX238),ROUND(BX238+BX243+BX250+BX251-BX252,1),"")</f>
        <v>0</v>
      </c>
      <c r="CA255" s="56" t="n">
        <f aca="false">ROUND(CA238+CA243+CA250+CA251-CA252,1)</f>
        <v>0</v>
      </c>
      <c r="CB255" s="56" t="n">
        <f aca="false">ROUND(CB238+CB243+CB250+CB251-CB252,1)</f>
        <v>0</v>
      </c>
      <c r="CC255" s="56" t="n">
        <f aca="false">ROUND(CC238+CC243+CC250+CC251-CC252,1)</f>
        <v>0</v>
      </c>
      <c r="CD255" s="56" t="n">
        <f aca="false">ROUND(CD238+CD243+CD250+CD251-CD252,1)</f>
        <v>0</v>
      </c>
      <c r="CE255" s="56" t="n">
        <f aca="false">ROUND(CE238+CE243+CE250+CE251-CE252,1)</f>
        <v>0</v>
      </c>
    </row>
    <row r="256" customFormat="false" ht="15" hidden="false" customHeight="false" outlineLevel="0" collapsed="false">
      <c r="B256" s="36" t="s">
        <v>392</v>
      </c>
      <c r="C256" s="39" t="n">
        <f aca="false">IF(ISNUMBER(C253),ROUND(C253+C252-C254,1),"")</f>
        <v>0</v>
      </c>
      <c r="D256" s="39" t="n">
        <f aca="false">IF(ISNUMBER(D253),ROUND(D253+D252-D254,1),"")</f>
        <v>0</v>
      </c>
      <c r="E256" s="39" t="n">
        <f aca="false">IF(ISNUMBER(E253),ROUND(E253+E252-E254,1),"")</f>
        <v>0</v>
      </c>
      <c r="F256" s="39" t="n">
        <f aca="false">IF(ISNUMBER(F253),ROUND(F253+F252-F254,1),"")</f>
        <v>0</v>
      </c>
      <c r="G256" s="39" t="n">
        <f aca="false">IF(ISNUMBER(G253),ROUND(G253+G252-G254,1),"")</f>
        <v>0</v>
      </c>
      <c r="H256" s="39" t="n">
        <f aca="false">IF(ISNUMBER(H253),ROUND(H253+H252-H254,1),"")</f>
        <v>0</v>
      </c>
      <c r="I256" s="39" t="n">
        <f aca="false">IF(ISNUMBER(I253),ROUND(I253+I252-I254,1),"")</f>
        <v>0</v>
      </c>
      <c r="J256" s="39" t="n">
        <f aca="false">IF(ISNUMBER(J253),ROUND(J253+J252-J254,1),"")</f>
        <v>0</v>
      </c>
      <c r="K256" s="39" t="n">
        <f aca="false">IF(ISNUMBER(K253),ROUND(K253+K252-K254,1),"")</f>
        <v>0</v>
      </c>
      <c r="L256" s="39" t="n">
        <f aca="false">IF(ISNUMBER(L253),ROUND(L253+L252-L254,1),"")</f>
        <v>0</v>
      </c>
      <c r="M256" s="39" t="n">
        <f aca="false">IF(ISNUMBER(M253),ROUND(M253+M252-M254,1),"")</f>
        <v>0</v>
      </c>
      <c r="N256" s="39" t="n">
        <f aca="false">IF(ISNUMBER(N253),ROUND(N253+N252-N254,1),"")</f>
        <v>0</v>
      </c>
      <c r="O256" s="39" t="n">
        <f aca="false">IF(ISNUMBER(O253),ROUND(O253+O252-O254,1),"")</f>
        <v>0</v>
      </c>
      <c r="P256" s="39" t="n">
        <f aca="false">IF(ISNUMBER(P253),ROUND(P253+P252-P254,1),"")</f>
        <v>0</v>
      </c>
      <c r="Q256" s="39" t="n">
        <f aca="false">IF(ISNUMBER(Q253),ROUND(Q253+Q252-Q254,1),"")</f>
        <v>0</v>
      </c>
      <c r="R256" s="39" t="n">
        <f aca="false">IF(ISNUMBER(R253),ROUND(R253+R252-R254,1),"")</f>
        <v>0</v>
      </c>
      <c r="S256" s="39" t="n">
        <f aca="false">IF(ISNUMBER(S253),ROUND(S253+S252-S254,1),"")</f>
        <v>0</v>
      </c>
      <c r="T256" s="39" t="n">
        <f aca="false">IF(ISNUMBER(T253),ROUND(T253+T252-T254,1),"")</f>
        <v>0</v>
      </c>
      <c r="U256" s="39" t="n">
        <f aca="false">IF(ISNUMBER(U253),ROUND(U253+U252-U254,1),"")</f>
        <v>0</v>
      </c>
      <c r="V256" s="39" t="n">
        <f aca="false">IF(ISNUMBER(V253),ROUND(V253+V252-V254,1),"")</f>
        <v>0</v>
      </c>
      <c r="W256" s="39" t="n">
        <f aca="false">IF(ISNUMBER(W253),ROUND(W253+W252-W254,1),"")</f>
        <v>0</v>
      </c>
      <c r="X256" s="39" t="n">
        <f aca="false">IF(ISNUMBER(X253),ROUND(X253+X252-X254,1),"")</f>
        <v>0</v>
      </c>
      <c r="Y256" s="39" t="n">
        <f aca="false">IF(ISNUMBER(Y253),ROUND(Y253+Y252-Y254,1),"")</f>
        <v>0</v>
      </c>
      <c r="Z256" s="39" t="n">
        <f aca="false">IF(ISNUMBER(Z253),ROUND(Z253+Z252-Z254,1),"")</f>
        <v>0</v>
      </c>
      <c r="AA256" s="39" t="n">
        <f aca="false">IF(ISNUMBER(AA253),ROUND(AA253+AA252-AA254,1),"")</f>
        <v>0</v>
      </c>
      <c r="AB256" s="39" t="n">
        <f aca="false">IF(ISNUMBER(AB253),ROUND(AB253+AB252-AB254,1),"")</f>
        <v>0</v>
      </c>
      <c r="AC256" s="39" t="n">
        <f aca="false">IF(ISNUMBER(AC253),ROUND(AC253+AC252-AC254,1),"")</f>
        <v>0</v>
      </c>
      <c r="AD256" s="39" t="n">
        <f aca="false">IF(ISNUMBER(AD253),ROUND(AD253+AD252-AD254,1),"")</f>
        <v>0</v>
      </c>
      <c r="AE256" s="39" t="n">
        <f aca="false">IF(ISNUMBER(AE253),ROUND(AE253+AE252-AE254,1),"")</f>
        <v>0</v>
      </c>
      <c r="AF256" s="39" t="n">
        <f aca="false">IF(ISNUMBER(AF253),ROUND(AF253+AF252-AF254,1),"")</f>
        <v>0</v>
      </c>
      <c r="AG256" s="39" t="n">
        <f aca="false">IF(ISNUMBER(AG253),ROUND(AG253+AG252-AG254,1),"")</f>
        <v>0</v>
      </c>
      <c r="AH256" s="39" t="n">
        <f aca="false">IF(ISNUMBER(AH253),ROUND(AH253+AH252-AH254,1),"")</f>
        <v>0</v>
      </c>
      <c r="AI256" s="39" t="n">
        <f aca="false">IF(ISNUMBER(AI253),ROUND(AI253+AI252-AI254,1),"")</f>
        <v>0</v>
      </c>
      <c r="AJ256" s="39" t="n">
        <f aca="false">IF(ISNUMBER(AJ253),ROUND(AJ253+AJ252-AJ254,1),"")</f>
        <v>0</v>
      </c>
      <c r="AK256" s="39" t="n">
        <f aca="false">IF(ISNUMBER(AK253),ROUND(AK253+AK252-AK254,1),"")</f>
        <v>0</v>
      </c>
      <c r="AL256" s="39" t="n">
        <f aca="false">IF(ISNUMBER(AL253),ROUND(AL253+AL252-AL254,1),"")</f>
        <v>0</v>
      </c>
      <c r="AM256" s="39" t="n">
        <f aca="false">IF(ISNUMBER(AM253),ROUND(AM253+AM252-AM254,1),"")</f>
        <v>0</v>
      </c>
      <c r="AN256" s="39" t="n">
        <f aca="false">IF(ISNUMBER(AN253),ROUND(AN253+AN252-AN254,1),"")</f>
        <v>0</v>
      </c>
      <c r="AO256" s="39" t="n">
        <f aca="false">IF(ISNUMBER(AO253),ROUND(AO253+AO252-AO254,1),"")</f>
        <v>0</v>
      </c>
      <c r="AP256" s="39" t="n">
        <f aca="false">IF(ISNUMBER(AP253),ROUND(AP253+AP252-AP254,1),"")</f>
        <v>0</v>
      </c>
      <c r="AQ256" s="39" t="n">
        <f aca="false">IF(ISNUMBER(AQ253),ROUND(AQ253+AQ252-AQ254,1),"")</f>
        <v>0</v>
      </c>
      <c r="AR256" s="39" t="n">
        <f aca="false">IF(ISNUMBER(AR253),ROUND(AR253+AR252-AR254,1),"")</f>
        <v>0</v>
      </c>
      <c r="AS256" s="39" t="n">
        <f aca="false">IF(ISNUMBER(AS253),ROUND(AS253+AS252-AS254,1),"")</f>
        <v>0</v>
      </c>
      <c r="AT256" s="39" t="n">
        <f aca="false">IF(ISNUMBER(AT253),ROUND(AT253+AT252-AT254,1),"")</f>
        <v>0</v>
      </c>
      <c r="AU256" s="39" t="n">
        <f aca="false">IF(ISNUMBER(AU253),ROUND(AU253+AU252-AU254,1),"")</f>
        <v>0</v>
      </c>
      <c r="AV256" s="39" t="n">
        <f aca="false">IF(ISNUMBER(AV253),ROUND(AV253+AV252-AV254,1),"")</f>
        <v>0</v>
      </c>
      <c r="AW256" s="39" t="n">
        <f aca="false">IF(ISNUMBER(AW253),ROUND(AW253+AW252-AW254,1),"")</f>
        <v>0</v>
      </c>
      <c r="AX256" s="39" t="n">
        <f aca="false">IF(ISNUMBER(AX253),ROUND(AX253+AX252-AX254,1),"")</f>
        <v>0</v>
      </c>
      <c r="AY256" s="39" t="n">
        <f aca="false">IF(ISNUMBER(AY253),ROUND(AY253+AY252-AY254,1),"")</f>
        <v>0</v>
      </c>
      <c r="AZ256" s="39" t="n">
        <f aca="false">IF(ISNUMBER(AZ253),ROUND(AZ253+AZ252-AZ254,1),"")</f>
        <v>0</v>
      </c>
      <c r="BA256" s="39" t="n">
        <f aca="false">IF(ISNUMBER(BA253),ROUND(BA253+BA252-BA254,1),"")</f>
        <v>0</v>
      </c>
      <c r="BB256" s="39" t="n">
        <f aca="false">IF(ISNUMBER(BB253),ROUND(BB253+BB252-BB254,1),"")</f>
        <v>0</v>
      </c>
      <c r="BC256" s="39" t="n">
        <f aca="false">IF(ISNUMBER(BC253),ROUND(BC253+BC252-BC254,1),"")</f>
        <v>0</v>
      </c>
      <c r="BD256" s="39" t="n">
        <f aca="false">IF(ISNUMBER(BD253),ROUND(BD253+BD252-BD254,1),"")</f>
        <v>0</v>
      </c>
      <c r="BE256" s="39" t="n">
        <f aca="false">IF(ISNUMBER(BE253),ROUND(BE253+BE252-BE254,1),"")</f>
        <v>0</v>
      </c>
      <c r="BF256" s="39" t="n">
        <f aca="false">IF(ISNUMBER(BF253),ROUND(BF253+BF252-BF254,1),"")</f>
        <v>0</v>
      </c>
      <c r="BG256" s="39" t="n">
        <f aca="false">IF(ISNUMBER(BG253),ROUND(BG253+BG252-BG254,1),"")</f>
        <v>0</v>
      </c>
      <c r="BH256" s="39" t="n">
        <f aca="false">IF(ISNUMBER(BH253),ROUND(BH253+BH252-BH254,1),"")</f>
        <v>0</v>
      </c>
      <c r="BI256" s="39" t="n">
        <f aca="false">IF(ISNUMBER(BI253),ROUND(BI253+BI252-BI254,1),"")</f>
        <v>0</v>
      </c>
      <c r="BJ256" s="39" t="n">
        <f aca="false">IF(ISNUMBER(BJ253),ROUND(BJ253+BJ252-BJ254,1),"")</f>
        <v>0</v>
      </c>
      <c r="BK256" s="39" t="n">
        <f aca="false">IF(ISNUMBER(BK253),ROUND(BK253+BK252-BK254,1),"")</f>
        <v>0</v>
      </c>
      <c r="BL256" s="39" t="n">
        <f aca="false">IF(ISNUMBER(BL253),ROUND(BL253+BL252-BL254,1),"")</f>
        <v>0</v>
      </c>
      <c r="BM256" s="39" t="n">
        <f aca="false">IF(ISNUMBER(BM253),ROUND(BM253+BM252-BM254,1),"")</f>
        <v>0</v>
      </c>
      <c r="BN256" s="39" t="n">
        <f aca="false">IF(ISNUMBER(BN253),ROUND(BN253+BN252-BN254,1),"")</f>
        <v>0</v>
      </c>
      <c r="BO256" s="39" t="n">
        <f aca="false">IF(ISNUMBER(BO253),ROUND(BO253+BO252-BO254,1),"")</f>
        <v>0</v>
      </c>
      <c r="BP256" s="39" t="n">
        <f aca="false">IF(ISNUMBER(BP253),ROUND(BP253+BP252-BP254,1),"")</f>
        <v>0</v>
      </c>
      <c r="BQ256" s="39" t="n">
        <f aca="false">IF(ISNUMBER(BQ253),ROUND(BQ253+BQ252-BQ254,1),"")</f>
        <v>0</v>
      </c>
      <c r="BR256" s="39" t="n">
        <f aca="false">IF(ISNUMBER(BR253),ROUND(BR253+BR252-BR254,1),"")</f>
        <v>0</v>
      </c>
      <c r="BS256" s="39" t="n">
        <f aca="false">IF(ISNUMBER(BS253),ROUND(BS253+BS252-BS254,1),"")</f>
        <v>0</v>
      </c>
      <c r="BT256" s="39" t="n">
        <f aca="false">IF(ISNUMBER(BT253),ROUND(BT253+BT252-BT254,1),"")</f>
        <v>0</v>
      </c>
      <c r="BU256" s="39" t="n">
        <f aca="false">IF(ISNUMBER(BU253),ROUND(BU253+BU252-BU254,1),"")</f>
        <v>0</v>
      </c>
      <c r="BV256" s="39" t="n">
        <f aca="false">IF(ISNUMBER(BV253),ROUND(BV253+BV252-BV254,1),"")</f>
        <v>0</v>
      </c>
      <c r="BW256" s="39" t="n">
        <f aca="false">IF(ISNUMBER(BW253),ROUND(BW253+BW252-BW254,1),"")</f>
        <v>0</v>
      </c>
      <c r="BX256" s="39" t="n">
        <f aca="false">IF(ISNUMBER(BX253),ROUND(BX253+BX252-BX254,1),"")</f>
        <v>0</v>
      </c>
      <c r="CA256" s="56" t="n">
        <f aca="false">ROUND(CA253+CA252-CA254,1)</f>
        <v>0</v>
      </c>
      <c r="CB256" s="56" t="n">
        <f aca="false">ROUND(CB253+CB252-CB254,1)</f>
        <v>0</v>
      </c>
      <c r="CC256" s="56" t="n">
        <f aca="false">ROUND(CC253+CC252-CC254,1)</f>
        <v>0</v>
      </c>
      <c r="CD256" s="56" t="n">
        <f aca="false">ROUND(CD253+CD252-CD254,1)</f>
        <v>0</v>
      </c>
      <c r="CE256" s="56" t="n">
        <f aca="false">ROUND(CE253+CE252-CE254,1)</f>
        <v>0</v>
      </c>
    </row>
    <row r="257" customFormat="false" ht="15" hidden="false" customHeight="false" outlineLevel="0" collapsed="false">
      <c r="B257" s="37" t="s">
        <v>393</v>
      </c>
    </row>
    <row r="258" customFormat="false" ht="15" hidden="false" customHeight="false" outlineLevel="0" collapsed="false">
      <c r="B258" s="58" t="s">
        <v>394</v>
      </c>
      <c r="C258" s="59" t="n">
        <f aca="false">IF(ISNUMBER(C238),C238+C239,"")</f>
        <v>42.678</v>
      </c>
      <c r="D258" s="59" t="n">
        <f aca="false">IF(ISNUMBER(D238),D238+D239,"")</f>
        <v>188.199</v>
      </c>
      <c r="E258" s="59" t="n">
        <f aca="false">IF(ISNUMBER(E238),E238+E239,"")</f>
        <v>185.023</v>
      </c>
      <c r="F258" s="59" t="n">
        <f aca="false">IF(ISNUMBER(F238),F238+F239,"")</f>
        <v>212.149</v>
      </c>
      <c r="G258" s="59" t="n">
        <f aca="false">IF(ISNUMBER(G238),G238+G239,"")</f>
        <v>96.413</v>
      </c>
      <c r="H258" s="59" t="n">
        <f aca="false">IF(ISNUMBER(H238),H238+H239,"")</f>
        <v>127.705</v>
      </c>
      <c r="I258" s="59" t="n">
        <f aca="false">IF(ISNUMBER(I238),I238+I239,"")</f>
        <v>274.769</v>
      </c>
      <c r="J258" s="59" t="n">
        <f aca="false">IF(ISNUMBER(J238),J238+J239,"")</f>
        <v>-35.286</v>
      </c>
      <c r="K258" s="59" t="n">
        <f aca="false">IF(ISNUMBER(K238),K238+K239,"")</f>
        <v>91.289</v>
      </c>
      <c r="L258" s="59" t="n">
        <f aca="false">IF(ISNUMBER(L238),L238+L239,"")</f>
        <v>126.397</v>
      </c>
      <c r="M258" s="59" t="n">
        <f aca="false">IF(ISNUMBER(M238),M238+M239,"")</f>
        <v>80.479</v>
      </c>
      <c r="N258" s="59" t="n">
        <f aca="false">IF(ISNUMBER(N238),N238+N239,"")</f>
        <v>262.879</v>
      </c>
      <c r="O258" s="59" t="n">
        <f aca="false">IF(ISNUMBER(O238),O238+O239,"")</f>
        <v>-0.875</v>
      </c>
      <c r="P258" s="59" t="n">
        <f aca="false">IF(ISNUMBER(P238),P238+P239,"")</f>
        <v>79.533</v>
      </c>
      <c r="Q258" s="59" t="n">
        <f aca="false">IF(ISNUMBER(Q238),Q238+Q239,"")</f>
        <v>133.965</v>
      </c>
      <c r="R258" s="59" t="n">
        <f aca="false">IF(ISNUMBER(R238),R238+R239,"")</f>
        <v>116.089</v>
      </c>
      <c r="S258" s="59" t="n">
        <f aca="false">IF(ISNUMBER(S238),S238+S239,"")</f>
        <v>328.712</v>
      </c>
      <c r="T258" s="59" t="n">
        <f aca="false">IF(ISNUMBER(T238),T238+T239,"")</f>
        <v>40.328</v>
      </c>
      <c r="U258" s="59" t="n">
        <f aca="false">IF(ISNUMBER(U238),U238+U239,"")</f>
        <v>60.525</v>
      </c>
      <c r="V258" s="59" t="n">
        <f aca="false">IF(ISNUMBER(V238),V238+V239,"")</f>
        <v>94.396</v>
      </c>
      <c r="W258" s="59" t="n">
        <f aca="false">IF(ISNUMBER(W238),W238+W239,"")</f>
        <v>65.102</v>
      </c>
      <c r="X258" s="59" t="n">
        <f aca="false">IF(ISNUMBER(X238),X238+X239,"")</f>
        <v>260.351</v>
      </c>
      <c r="Y258" s="59" t="n">
        <f aca="false">IF(ISNUMBER(Y238),Y238+Y239,"")</f>
        <v>15.476</v>
      </c>
      <c r="Z258" s="59" t="n">
        <f aca="false">IF(ISNUMBER(Z238),Z238+Z239,"")</f>
        <v>85.102</v>
      </c>
      <c r="AA258" s="59" t="n">
        <f aca="false">IF(ISNUMBER(AA238),AA238+AA239,"")</f>
        <v>96.811</v>
      </c>
      <c r="AB258" s="59" t="n">
        <f aca="false">IF(ISNUMBER(AB238),AB238+AB239,"")</f>
        <v>56.137</v>
      </c>
      <c r="AC258" s="59" t="n">
        <f aca="false">IF(ISNUMBER(AC238),AC238+AC239,"")</f>
        <v>253.526</v>
      </c>
      <c r="AD258" s="59" t="n">
        <f aca="false">IF(ISNUMBER(AD238),AD238+AD239,"")</f>
        <v>64.203</v>
      </c>
      <c r="AE258" s="59" t="n">
        <f aca="false">IF(ISNUMBER(AE238),AE238+AE239,"")</f>
        <v>59.353</v>
      </c>
      <c r="AF258" s="59" t="n">
        <f aca="false">IF(ISNUMBER(AF238),AF238+AF239,"")</f>
        <v>82.839</v>
      </c>
      <c r="AG258" s="59" t="n">
        <f aca="false">IF(ISNUMBER(AG238),AG238+AG239,"")</f>
        <v>66.794</v>
      </c>
      <c r="AH258" s="59" t="n">
        <f aca="false">IF(ISNUMBER(AH238),AH238+AH239,"")</f>
        <v>273.189</v>
      </c>
      <c r="AI258" s="59" t="n">
        <f aca="false">IF(ISNUMBER(AI238),AI238+AI239,"")</f>
        <v>29.12</v>
      </c>
      <c r="AJ258" s="59" t="n">
        <f aca="false">IF(ISNUMBER(AJ238),AJ238+AJ239,"")</f>
        <v>63.055</v>
      </c>
      <c r="AK258" s="59" t="n">
        <f aca="false">IF(ISNUMBER(AK238),AK238+AK239,"")</f>
        <v>88.856</v>
      </c>
      <c r="AL258" s="59" t="n">
        <f aca="false">IF(ISNUMBER(AL238),AL238+AL239,"")</f>
        <v>76.875</v>
      </c>
      <c r="AM258" s="59" t="n">
        <f aca="false">IF(ISNUMBER(AM238),AM238+AM239,"")</f>
        <v>257.906</v>
      </c>
      <c r="AN258" s="59" t="n">
        <f aca="false">IF(ISNUMBER(AN238),AN238+AN239,"")</f>
        <v>9.627</v>
      </c>
      <c r="AO258" s="59" t="n">
        <f aca="false">IF(ISNUMBER(AO238),AO238+AO239,"")</f>
        <v>105.845</v>
      </c>
      <c r="AP258" s="59" t="n">
        <f aca="false">IF(ISNUMBER(AP238),AP238+AP239,"")</f>
        <v>111.643</v>
      </c>
      <c r="AQ258" s="59" t="n">
        <f aca="false">IF(ISNUMBER(AQ238),AQ238+AQ239,"")</f>
        <v>106.455</v>
      </c>
      <c r="AR258" s="59" t="n">
        <f aca="false">IF(ISNUMBER(AR238),AR238+AR239,"")</f>
        <v>333.57</v>
      </c>
      <c r="AS258" s="59" t="n">
        <f aca="false">IF(ISNUMBER(AS238),AS238+AS239,"")</f>
        <v>10.144</v>
      </c>
      <c r="AT258" s="59" t="n">
        <f aca="false">IF(ISNUMBER(AT238),AT238+AT239,"")</f>
        <v>90.858</v>
      </c>
      <c r="AU258" s="59" t="n">
        <f aca="false">IF(ISNUMBER(AU238),AU238+AU239,"")</f>
        <v>77.443</v>
      </c>
      <c r="AV258" s="59" t="n">
        <f aca="false">IF(ISNUMBER(AV238),AV238+AV239,"")</f>
        <v>113.716</v>
      </c>
      <c r="AW258" s="59" t="n">
        <f aca="false">IF(ISNUMBER(AW238),AW238+AW239,"")</f>
        <v>292.161</v>
      </c>
      <c r="AX258" s="59" t="n">
        <f aca="false">IF(ISNUMBER(AX238),AX238+AX239,"")</f>
        <v>35.326</v>
      </c>
      <c r="AY258" s="59" t="n">
        <f aca="false">IF(ISNUMBER(AY238),AY238+AY239,"")</f>
        <v>82.14</v>
      </c>
      <c r="AZ258" s="59" t="n">
        <f aca="false">IF(ISNUMBER(AZ238),AZ238+AZ239,"")</f>
        <v>91.219</v>
      </c>
      <c r="BA258" s="59" t="n">
        <f aca="false">IF(ISNUMBER(BA238),BA238+BA239,"")</f>
        <v>93.847</v>
      </c>
      <c r="BB258" s="59" t="n">
        <f aca="false">IF(ISNUMBER(BB238),BB238+BB239,"")</f>
        <v>302.532</v>
      </c>
      <c r="BC258" s="59" t="n">
        <f aca="false">IF(ISNUMBER(BC238),BC238+BC239,"")</f>
        <v>24.418</v>
      </c>
      <c r="BD258" s="59" t="n">
        <f aca="false">IF(ISNUMBER(BD238),BD238+BD239,"")</f>
        <v>82.281</v>
      </c>
      <c r="BE258" s="59" t="n">
        <f aca="false">IF(ISNUMBER(BE238),BE238+BE239,"")</f>
        <v>112.584</v>
      </c>
      <c r="BF258" s="59" t="n">
        <f aca="false">IF(ISNUMBER(BF238),BF238+BF239,"")</f>
        <v>92.22</v>
      </c>
      <c r="BG258" s="59" t="n">
        <f aca="false">IF(ISNUMBER(BG238),BG238+BG239,"")</f>
        <v>311.503</v>
      </c>
      <c r="BH258" s="59" t="n">
        <f aca="false">IF(ISNUMBER(BH238),BH238+BH239,"")</f>
        <v>105.144</v>
      </c>
      <c r="BI258" s="59" t="n">
        <f aca="false">IF(ISNUMBER(BI238),BI238+BI239,"")</f>
        <v>177.08</v>
      </c>
      <c r="BJ258" s="59" t="n">
        <f aca="false">IF(ISNUMBER(BJ238),BJ238+BJ239,"")</f>
        <v>197.197</v>
      </c>
      <c r="BK258" s="59" t="n">
        <f aca="false">IF(ISNUMBER(BK238),BK238+BK239,"")</f>
        <v>97.134</v>
      </c>
      <c r="BL258" s="59" t="n">
        <f aca="false">IF(ISNUMBER(BL238),BL238+BL239,"")</f>
        <v>576.555</v>
      </c>
      <c r="BM258" s="59" t="n">
        <f aca="false">IF(ISNUMBER(BM238),BM238+BM239,"")</f>
        <v>107.038</v>
      </c>
      <c r="BN258" s="59" t="n">
        <f aca="false">IF(ISNUMBER(BN238),BN238+BN239,"")</f>
        <v>147.548</v>
      </c>
      <c r="BO258" s="59" t="n">
        <f aca="false">IF(ISNUMBER(BO238),BO238+BO239,"")</f>
        <v>163.479</v>
      </c>
      <c r="BP258" s="59" t="n">
        <f aca="false">IF(ISNUMBER(BP238),BP238+BP239,"")</f>
        <v>64.309</v>
      </c>
      <c r="BQ258" s="59" t="n">
        <f aca="false">IF(ISNUMBER(BQ238),BQ238+BQ239,"")</f>
        <v>482.374</v>
      </c>
      <c r="BR258" s="59" t="n">
        <f aca="false">IF(ISNUMBER(BR238),BR238+BR239,"")</f>
        <v>158.744</v>
      </c>
      <c r="BS258" s="59" t="n">
        <f aca="false">IF(ISNUMBER(BS238),BS238+BS239,"")</f>
        <v>118.385</v>
      </c>
      <c r="BT258" s="59" t="n">
        <f aca="false">IF(ISNUMBER(BT238),BT238+BT239,"")</f>
        <v>205.051</v>
      </c>
      <c r="BU258" s="59" t="n">
        <f aca="false">IF(ISNUMBER(BU238),BU238+BU239,"")</f>
        <v>52.019</v>
      </c>
      <c r="BV258" s="59" t="n">
        <f aca="false">IF(ISNUMBER(BV238),BV238+BV239,"")</f>
        <v>534.199</v>
      </c>
      <c r="BW258" s="59" t="n">
        <f aca="false">IF(ISNUMBER(BW238),BW238+BW239,"")</f>
        <v>63.007</v>
      </c>
      <c r="BX258" s="59" t="n">
        <f aca="false">IF(ISNUMBER(BX238),BX238+BX239,"")</f>
        <v>222.327</v>
      </c>
      <c r="BY258" s="59" t="str">
        <f aca="false">IF(ISNUMBER(BY238),BY238+BY239,"")</f>
        <v/>
      </c>
      <c r="BZ258" s="59" t="str">
        <f aca="false">IF(ISNUMBER(BZ238),BZ238+BZ239,"")</f>
        <v/>
      </c>
      <c r="CA258" s="59" t="n">
        <f aca="false">IF(ISNUMBER(CA238),CA238+CA239,"")</f>
        <v>502.706278114676</v>
      </c>
      <c r="CB258" s="59" t="n">
        <f aca="false">IF(ISNUMBER(CB238),CB238+CB239,"")</f>
        <v>634.358127815482</v>
      </c>
      <c r="CC258" s="59" t="n">
        <f aca="false">IF(ISNUMBER(CC238),CC238+CC239,"")</f>
        <v>683.907734463569</v>
      </c>
      <c r="CD258" s="59" t="n">
        <f aca="false">IF(ISNUMBER(CD238),CD238+CD239,"")</f>
        <v>746.801764981855</v>
      </c>
      <c r="CE258" s="59" t="n">
        <f aca="false">IF(ISNUMBER(CE238),CE238+CE239,"")</f>
        <v>799.769968817215</v>
      </c>
      <c r="CH258" s="20" t="n">
        <f aca="false">IFERROR((CE258/BV258)^(1/5)-1,"n/m")</f>
        <v>0.0840577144635939</v>
      </c>
      <c r="CI258" s="20" t="n">
        <f aca="false">IFERROR((BV258/AW258)^(1/5)-1,"n/m")</f>
        <v>0.128278118576212</v>
      </c>
      <c r="CJ258" s="20" t="n">
        <f aca="false">IFERROR((BV258/X258)^(1/10)-1,"n/m")</f>
        <v>0.0745196997548736</v>
      </c>
      <c r="CK258" s="20" t="n">
        <f aca="false">IFERROR((BV258/C258)^(1/19)-1,"n/m")</f>
        <v>0.14225510021613</v>
      </c>
    </row>
    <row r="259" customFormat="false" ht="15" hidden="false" customHeight="false" outlineLevel="0" collapsed="false">
      <c r="B259" s="21" t="s">
        <v>395</v>
      </c>
      <c r="D259" s="22" t="n">
        <f aca="false">IF(AND(ISNUMBER(D258),ISNUMBER(C258)),IFERROR(D258/C258-1,""),"")</f>
        <v>3.40974272458878</v>
      </c>
      <c r="E259" s="22" t="n">
        <f aca="false">IF(AND(ISNUMBER(E258),ISNUMBER(D258)),IFERROR(E258/D258-1,""),"")</f>
        <v>-0.0168757538562903</v>
      </c>
      <c r="F259" s="22" t="n">
        <f aca="false">IF(AND(ISNUMBER(F258),ISNUMBER(E258)),IFERROR(F258/E258-1,""),"")</f>
        <v>0.146608799987028</v>
      </c>
      <c r="G259" s="22" t="n">
        <f aca="false">IF(AND(ISNUMBER(G258),ISNUMBER(F258)),IFERROR(G258/F258-1,""),"")</f>
        <v>-0.545541105543745</v>
      </c>
      <c r="H259" s="22" t="n">
        <f aca="false">IF(AND(ISNUMBER(H258),ISNUMBER(G258)),IFERROR(H258/G258-1,""),"")</f>
        <v>0.324562040388744</v>
      </c>
      <c r="I259" s="22" t="n">
        <f aca="false">IF(AND(ISNUMBER(I258),ISNUMBER(H258)),IFERROR(I258/H258-1,""),"")</f>
        <v>1.15159155867037</v>
      </c>
      <c r="N259" s="22" t="n">
        <f aca="false">IF(AND(ISNUMBER(N258),ISNUMBER(I258)),IFERROR(N258/I258-1,""),"")</f>
        <v>-0.0432727127150442</v>
      </c>
      <c r="O259" s="22" t="n">
        <f aca="false">IF(AND(ISNUMBER(O258),ISNUMBER(J258)),IFERROR(O258/J258-1,""),"")</f>
        <v>-0.975202629938219</v>
      </c>
      <c r="P259" s="22" t="n">
        <f aca="false">IF(AND(ISNUMBER(P258),ISNUMBER(K258)),IFERROR(P258/K258-1,""),"")</f>
        <v>-0.128777837417433</v>
      </c>
      <c r="Q259" s="22" t="n">
        <f aca="false">IF(AND(ISNUMBER(Q258),ISNUMBER(L258)),IFERROR(Q258/L258-1,""),"")</f>
        <v>0.059874838801554</v>
      </c>
      <c r="R259" s="22" t="n">
        <f aca="false">IF(AND(ISNUMBER(R258),ISNUMBER(M258)),IFERROR(R258/M258-1,""),"")</f>
        <v>0.442475676884653</v>
      </c>
      <c r="S259" s="22" t="n">
        <f aca="false">IF(AND(ISNUMBER(S258),ISNUMBER(N258)),IFERROR(S258/N258-1,""),"")</f>
        <v>0.250430806568801</v>
      </c>
      <c r="T259" s="22" t="n">
        <f aca="false">IF(AND(ISNUMBER(T258),ISNUMBER(O258)),IFERROR(T258/O258-1,""),"")</f>
        <v>-47.0891428571429</v>
      </c>
      <c r="U259" s="22" t="n">
        <f aca="false">IF(AND(ISNUMBER(U258),ISNUMBER(P258)),IFERROR(U258/P258-1,""),"")</f>
        <v>-0.238995134095281</v>
      </c>
      <c r="V259" s="22" t="n">
        <f aca="false">IF(AND(ISNUMBER(V258),ISNUMBER(Q258)),IFERROR(V258/Q258-1,""),"")</f>
        <v>-0.295368193184787</v>
      </c>
      <c r="W259" s="22" t="n">
        <f aca="false">IF(AND(ISNUMBER(W258),ISNUMBER(R258)),IFERROR(W258/R258-1,""),"")</f>
        <v>-0.439206126334106</v>
      </c>
      <c r="X259" s="22" t="n">
        <f aca="false">IF(AND(ISNUMBER(X258),ISNUMBER(S258)),IFERROR(X258/S258-1,""),"")</f>
        <v>-0.207966244006912</v>
      </c>
      <c r="Y259" s="22" t="n">
        <f aca="false">IF(AND(ISNUMBER(Y258),ISNUMBER(T258)),IFERROR(Y258/T258-1,""),"")</f>
        <v>-0.616246776433247</v>
      </c>
      <c r="Z259" s="22" t="n">
        <f aca="false">IF(AND(ISNUMBER(Z258),ISNUMBER(U258)),IFERROR(Z258/U258-1,""),"")</f>
        <v>0.40606361007848</v>
      </c>
      <c r="AA259" s="22" t="n">
        <f aca="false">IF(AND(ISNUMBER(AA258),ISNUMBER(V258)),IFERROR(AA258/V258-1,""),"")</f>
        <v>0.0255837111742023</v>
      </c>
      <c r="AB259" s="22" t="n">
        <f aca="false">IF(AND(ISNUMBER(AB258),ISNUMBER(W258)),IFERROR(AB258/W258-1,""),"")</f>
        <v>-0.137706982888391</v>
      </c>
      <c r="AC259" s="22" t="n">
        <f aca="false">IF(AND(ISNUMBER(AC258),ISNUMBER(X258)),IFERROR(AC258/X258-1,""),"")</f>
        <v>-0.0262146102761271</v>
      </c>
      <c r="AD259" s="22" t="n">
        <f aca="false">IF(AND(ISNUMBER(AD258),ISNUMBER(Y258)),IFERROR(AD258/Y258-1,""),"")</f>
        <v>3.14855259757043</v>
      </c>
      <c r="AE259" s="22" t="n">
        <f aca="false">IF(AND(ISNUMBER(AE258),ISNUMBER(Z258)),IFERROR(AE258/Z258-1,""),"")</f>
        <v>-0.302566332166106</v>
      </c>
      <c r="AF259" s="22" t="n">
        <f aca="false">IF(AND(ISNUMBER(AF258),ISNUMBER(AA258)),IFERROR(AF258/AA258-1,""),"")</f>
        <v>-0.144322442697627</v>
      </c>
      <c r="AG259" s="22" t="n">
        <f aca="false">IF(AND(ISNUMBER(AG258),ISNUMBER(AB258)),IFERROR(AG258/AB258-1,""),"")</f>
        <v>0.189839143523879</v>
      </c>
      <c r="AH259" s="22" t="n">
        <f aca="false">IF(AND(ISNUMBER(AH258),ISNUMBER(AC258)),IFERROR(AH258/AC258-1,""),"")</f>
        <v>0.0775581202716882</v>
      </c>
      <c r="AI259" s="22" t="n">
        <f aca="false">IF(AND(ISNUMBER(AI258),ISNUMBER(AD258)),IFERROR(AI258/AD258-1,""),"")</f>
        <v>-0.546438639938944</v>
      </c>
      <c r="AJ259" s="22" t="n">
        <f aca="false">IF(AND(ISNUMBER(AJ258),ISNUMBER(AE258)),IFERROR(AJ258/AE258-1,""),"")</f>
        <v>0.0623725843681029</v>
      </c>
      <c r="AK259" s="22" t="n">
        <f aca="false">IF(AND(ISNUMBER(AK258),ISNUMBER(AF258)),IFERROR(AK258/AF258-1,""),"")</f>
        <v>0.0726348700491315</v>
      </c>
      <c r="AL259" s="22" t="n">
        <f aca="false">IF(AND(ISNUMBER(AL258),ISNUMBER(AG258)),IFERROR(AL258/AG258-1,""),"")</f>
        <v>0.150926729945803</v>
      </c>
      <c r="AM259" s="22" t="n">
        <f aca="false">IF(AND(ISNUMBER(AM258),ISNUMBER(AH258)),IFERROR(AM258/AH258-1,""),"")</f>
        <v>-0.0559429552434396</v>
      </c>
      <c r="AN259" s="22" t="n">
        <f aca="false">IF(AND(ISNUMBER(AN258),ISNUMBER(AI258)),IFERROR(AN258/AI258-1,""),"")</f>
        <v>-0.669402472527473</v>
      </c>
      <c r="AO259" s="22" t="n">
        <f aca="false">IF(AND(ISNUMBER(AO258),ISNUMBER(AJ258)),IFERROR(AO258/AJ258-1,""),"")</f>
        <v>0.678613908492586</v>
      </c>
      <c r="AP259" s="22" t="n">
        <f aca="false">IF(AND(ISNUMBER(AP258),ISNUMBER(AK258)),IFERROR(AP258/AK258-1,""),"")</f>
        <v>0.256448635995318</v>
      </c>
      <c r="AQ259" s="22" t="n">
        <f aca="false">IF(AND(ISNUMBER(AQ258),ISNUMBER(AL258)),IFERROR(AQ258/AL258-1,""),"")</f>
        <v>0.384780487804878</v>
      </c>
      <c r="AR259" s="22" t="n">
        <f aca="false">IF(AND(ISNUMBER(AR258),ISNUMBER(AM258)),IFERROR(AR258/AM258-1,""),"")</f>
        <v>0.293378207563996</v>
      </c>
      <c r="AS259" s="22" t="n">
        <f aca="false">IF(AND(ISNUMBER(AS258),ISNUMBER(AN258)),IFERROR(AS258/AN258-1,""),"")</f>
        <v>0.0537031266230397</v>
      </c>
      <c r="AT259" s="22" t="n">
        <f aca="false">IF(AND(ISNUMBER(AT258),ISNUMBER(AO258)),IFERROR(AT258/AO258-1,""),"")</f>
        <v>-0.141593840049128</v>
      </c>
      <c r="AU259" s="22" t="n">
        <f aca="false">IF(AND(ISNUMBER(AU258),ISNUMBER(AP258)),IFERROR(AU258/AP258-1,""),"")</f>
        <v>-0.306333581147049</v>
      </c>
      <c r="AV259" s="22" t="n">
        <f aca="false">IF(AND(ISNUMBER(AV258),ISNUMBER(AQ258)),IFERROR(AV258/AQ258-1,""),"")</f>
        <v>0.0682072237095484</v>
      </c>
      <c r="AW259" s="22" t="n">
        <f aca="false">IF(AND(ISNUMBER(AW258),ISNUMBER(AR258)),IFERROR(AW258/AR258-1,""),"")</f>
        <v>-0.1241388614084</v>
      </c>
      <c r="AX259" s="22" t="n">
        <f aca="false">IF(AND(ISNUMBER(AX258),ISNUMBER(AS258)),IFERROR(AX258/AS258-1,""),"")</f>
        <v>2.48245268138801</v>
      </c>
      <c r="AY259" s="22" t="n">
        <f aca="false">IF(AND(ISNUMBER(AY258),ISNUMBER(AT258)),IFERROR(AY258/AT258-1,""),"")</f>
        <v>-0.09595192498184</v>
      </c>
      <c r="AZ259" s="22" t="n">
        <f aca="false">IF(AND(ISNUMBER(AZ258),ISNUMBER(AU258)),IFERROR(AZ258/AU258-1,""),"")</f>
        <v>0.177885670751391</v>
      </c>
      <c r="BA259" s="22" t="n">
        <f aca="false">IF(AND(ISNUMBER(BA258),ISNUMBER(AV258)),IFERROR(BA258/AV258-1,""),"")</f>
        <v>-0.174724752893172</v>
      </c>
      <c r="BB259" s="22" t="n">
        <f aca="false">IF(AND(ISNUMBER(BB258),ISNUMBER(AW258)),IFERROR(BB258/AW258-1,""),"")</f>
        <v>0.0354975510078346</v>
      </c>
      <c r="BC259" s="22" t="n">
        <f aca="false">IF(AND(ISNUMBER(BC258),ISNUMBER(AX258)),IFERROR(BC258/AX258-1,""),"")</f>
        <v>-0.308781067768782</v>
      </c>
      <c r="BD259" s="22" t="n">
        <f aca="false">IF(AND(ISNUMBER(BD258),ISNUMBER(AY258)),IFERROR(BD258/AY258-1,""),"")</f>
        <v>0.00171658144631137</v>
      </c>
      <c r="BE259" s="22" t="n">
        <f aca="false">IF(AND(ISNUMBER(BE258),ISNUMBER(AZ258)),IFERROR(BE258/AZ258-1,""),"")</f>
        <v>0.234216555761409</v>
      </c>
      <c r="BF259" s="22" t="n">
        <f aca="false">IF(AND(ISNUMBER(BF258),ISNUMBER(BA258)),IFERROR(BF258/BA258-1,""),"")</f>
        <v>-0.0173367289311327</v>
      </c>
      <c r="BG259" s="22" t="n">
        <f aca="false">IF(AND(ISNUMBER(BG258),ISNUMBER(BB258)),IFERROR(BG258/BB258-1,""),"")</f>
        <v>0.0296530614943216</v>
      </c>
      <c r="BH259" s="22" t="n">
        <f aca="false">IF(AND(ISNUMBER(BH258),ISNUMBER(BC258)),IFERROR(BH258/BC258-1,""),"")</f>
        <v>3.30600376771234</v>
      </c>
      <c r="BI259" s="22" t="n">
        <f aca="false">IF(AND(ISNUMBER(BI258),ISNUMBER(BD258)),IFERROR(BI258/BD258-1,""),"")</f>
        <v>1.15213718841531</v>
      </c>
      <c r="BJ259" s="22" t="n">
        <f aca="false">IF(AND(ISNUMBER(BJ258),ISNUMBER(BE258)),IFERROR(BJ258/BE258-1,""),"")</f>
        <v>0.751554394940667</v>
      </c>
      <c r="BK259" s="22" t="n">
        <f aca="false">IF(AND(ISNUMBER(BK258),ISNUMBER(BF258)),IFERROR(BK258/BF258-1,""),"")</f>
        <v>0.0532856213402735</v>
      </c>
      <c r="BL259" s="22" t="n">
        <f aca="false">IF(AND(ISNUMBER(BL258),ISNUMBER(BG258)),IFERROR(BL258/BG258-1,""),"")</f>
        <v>0.850881050904807</v>
      </c>
      <c r="BM259" s="22" t="n">
        <f aca="false">IF(AND(ISNUMBER(BM258),ISNUMBER(BH258)),IFERROR(BM258/BH258-1,""),"")</f>
        <v>0.0180133911587919</v>
      </c>
      <c r="BN259" s="22" t="n">
        <f aca="false">IF(AND(ISNUMBER(BN258),ISNUMBER(BI258)),IFERROR(BN258/BI258-1,""),"")</f>
        <v>-0.166772080415631</v>
      </c>
      <c r="BO259" s="22" t="n">
        <f aca="false">IF(AND(ISNUMBER(BO258),ISNUMBER(BJ258)),IFERROR(BO258/BJ258-1,""),"")</f>
        <v>-0.170986374032059</v>
      </c>
      <c r="BP259" s="22" t="n">
        <f aca="false">IF(AND(ISNUMBER(BP258),ISNUMBER(BK258)),IFERROR(BP258/BK258-1,""),"")</f>
        <v>-0.337935223505673</v>
      </c>
      <c r="BQ259" s="22" t="n">
        <f aca="false">IF(AND(ISNUMBER(BQ258),ISNUMBER(BL258)),IFERROR(BQ258/BL258-1,""),"")</f>
        <v>-0.163351284786361</v>
      </c>
      <c r="BR259" s="22" t="n">
        <f aca="false">IF(AND(ISNUMBER(BR258),ISNUMBER(BM258)),IFERROR(BR258/BM258-1,""),"")</f>
        <v>0.483062090098843</v>
      </c>
      <c r="BS259" s="22" t="n">
        <f aca="false">IF(AND(ISNUMBER(BS258),ISNUMBER(BN258)),IFERROR(BS258/BN258-1,""),"")</f>
        <v>-0.197650933933364</v>
      </c>
      <c r="BT259" s="22" t="n">
        <f aca="false">IF(AND(ISNUMBER(BT258),ISNUMBER(BO258)),IFERROR(BT258/BO258-1,""),"")</f>
        <v>0.254295658769628</v>
      </c>
      <c r="BU259" s="22" t="n">
        <f aca="false">IF(AND(ISNUMBER(BU258),ISNUMBER(BP258)),IFERROR(BU258/BP258-1,""),"")</f>
        <v>-0.191108554012657</v>
      </c>
      <c r="BV259" s="22" t="n">
        <f aca="false">IF(AND(ISNUMBER(BV258),ISNUMBER(BQ258)),IFERROR(BV258/BQ258-1,""),"")</f>
        <v>0.107437382611832</v>
      </c>
      <c r="BW259" s="22" t="n">
        <f aca="false">IF(AND(ISNUMBER(BW258),ISNUMBER(BR258)),IFERROR(BW258/BR258-1,""),"")</f>
        <v>-0.603090510507484</v>
      </c>
      <c r="BX259" s="22" t="n">
        <f aca="false">IF(AND(ISNUMBER(BX258),ISNUMBER(BS258)),IFERROR(BX258/BS258-1,""),"")</f>
        <v>0.877999746589517</v>
      </c>
      <c r="BY259" s="23" t="str">
        <f aca="false">IF(AND(ISNUMBER(BY258),ISNUMBER(BT258)),IFERROR(BY258/BT258-1,""),"")</f>
        <v/>
      </c>
      <c r="BZ259" s="23" t="str">
        <f aca="false">IF(AND(ISNUMBER(BZ258),ISNUMBER(BU258)),IFERROR(BZ258/BU258-1,""),"")</f>
        <v/>
      </c>
      <c r="CA259" s="23" t="n">
        <f aca="false">IF(AND(ISNUMBER(CA258),ISNUMBER(BV258)),IFERROR(CA258/BV258-1,""),"")</f>
        <v>-0.0589531651787516</v>
      </c>
      <c r="CB259" s="23" t="n">
        <f aca="false">IF(AND(ISNUMBER(CB258),ISNUMBER(CA258)),IFERROR(CB258/CA258-1,""),"")</f>
        <v>0.261886225480506</v>
      </c>
      <c r="CC259" s="23" t="n">
        <f aca="false">IF(AND(ISNUMBER(CC258),ISNUMBER(CB258)),IFERROR(CC258/CB258-1,""),"")</f>
        <v>0.0781098317739219</v>
      </c>
      <c r="CD259" s="23" t="n">
        <f aca="false">IF(AND(ISNUMBER(CD258),ISNUMBER(CC258)),IFERROR(CD258/CC258-1,""),"")</f>
        <v>0.0919627419736915</v>
      </c>
      <c r="CE259" s="23" t="n">
        <f aca="false">IF(AND(ISNUMBER(CE258),ISNUMBER(CD258)),IFERROR(CE258/CD258-1,""),"")</f>
        <v>0.0709267255637072</v>
      </c>
    </row>
    <row r="260" customFormat="false" ht="15" hidden="false" customHeight="false" outlineLevel="0" collapsed="false">
      <c r="B260" s="21" t="s">
        <v>396</v>
      </c>
      <c r="C260" s="22" t="n">
        <f aca="false">IF(AND(ISNUMBER(C258),ISNUMBER(C133)),IFERROR(C258/C133,""),"")</f>
        <v>0.0216429207141282</v>
      </c>
      <c r="D260" s="22" t="n">
        <f aca="false">IF(AND(ISNUMBER(D258),ISNUMBER(D133)),IFERROR(D258/D133,""),"")</f>
        <v>0.0825150474573655</v>
      </c>
      <c r="E260" s="22" t="n">
        <f aca="false">IF(AND(ISNUMBER(E258),ISNUMBER(E133)),IFERROR(E258/E133,""),"")</f>
        <v>0.0746321997506385</v>
      </c>
      <c r="F260" s="22" t="n">
        <f aca="false">IF(AND(ISNUMBER(F258),ISNUMBER(F133)),IFERROR(F258/F133,""),"")</f>
        <v>0.122680182850137</v>
      </c>
      <c r="G260" s="22" t="n">
        <f aca="false">IF(AND(ISNUMBER(G258),ISNUMBER(G133)),IFERROR(G258/G133,""),"")</f>
        <v>0.0465724587135755</v>
      </c>
      <c r="H260" s="22" t="n">
        <f aca="false">IF(AND(ISNUMBER(H258),ISNUMBER(H133)),IFERROR(H258/H133,""),"")</f>
        <v>0.0473927757236764</v>
      </c>
      <c r="I260" s="22" t="n">
        <f aca="false">IF(AND(ISNUMBER(I258),ISNUMBER(I133)),IFERROR(I258/I133,""),"")</f>
        <v>0.0962964105213245</v>
      </c>
      <c r="J260" s="22" t="n">
        <f aca="false">IF(AND(ISNUMBER(J258),ISNUMBER(J133)),IFERROR(J258/J133,""),"")</f>
        <v>-0.0491056580194358</v>
      </c>
      <c r="K260" s="22" t="n">
        <f aca="false">IF(AND(ISNUMBER(K258),ISNUMBER(K133)),IFERROR(K258/K133,""),"")</f>
        <v>0.125494891618736</v>
      </c>
      <c r="L260" s="22" t="n">
        <f aca="false">IF(AND(ISNUMBER(L258),ISNUMBER(L133)),IFERROR(L258/L133,""),"")</f>
        <v>0.182687624209575</v>
      </c>
      <c r="M260" s="22" t="n">
        <f aca="false">IF(AND(ISNUMBER(M258),ISNUMBER(M133)),IFERROR(M258/M133,""),"")</f>
        <v>0.112590953159735</v>
      </c>
      <c r="N260" s="22" t="n">
        <f aca="false">IF(AND(ISNUMBER(N258),ISNUMBER(N133)),IFERROR(N258/N133,""),"")</f>
        <v>0.0921518815173569</v>
      </c>
      <c r="O260" s="22" t="n">
        <f aca="false">IF(AND(ISNUMBER(O258),ISNUMBER(O133)),IFERROR(O258/O133,""),"")</f>
        <v>-0.0012772566570617</v>
      </c>
      <c r="P260" s="22" t="n">
        <f aca="false">IF(AND(ISNUMBER(P258),ISNUMBER(P133)),IFERROR(P258/P133,""),"")</f>
        <v>0.10916899898563</v>
      </c>
      <c r="Q260" s="22" t="n">
        <f aca="false">IF(AND(ISNUMBER(Q258),ISNUMBER(Q133)),IFERROR(Q258/Q133,""),"")</f>
        <v>0.187160246836654</v>
      </c>
      <c r="R260" s="22" t="n">
        <f aca="false">IF(AND(ISNUMBER(R258),ISNUMBER(R133)),IFERROR(R258/R133,""),"")</f>
        <v>0.169732174970831</v>
      </c>
      <c r="S260" s="22" t="n">
        <f aca="false">IF(AND(ISNUMBER(S258),ISNUMBER(S133)),IFERROR(S258/S133,""),"")</f>
        <v>0.116841145918494</v>
      </c>
      <c r="T260" s="22" t="n">
        <f aca="false">IF(AND(ISNUMBER(T258),ISNUMBER(T133)),IFERROR(T258/T133,""),"")</f>
        <v>0.0612980696154431</v>
      </c>
      <c r="U260" s="22" t="n">
        <f aca="false">IF(AND(ISNUMBER(U258),ISNUMBER(U133)),IFERROR(U258/U133,""),"")</f>
        <v>0.0910506363390198</v>
      </c>
      <c r="V260" s="22" t="n">
        <f aca="false">IF(AND(ISNUMBER(V258),ISNUMBER(V133)),IFERROR(V258/V133,""),"")</f>
        <v>0.146312731917057</v>
      </c>
      <c r="W260" s="22" t="n">
        <f aca="false">IF(AND(ISNUMBER(W258),ISNUMBER(W133)),IFERROR(W258/W133,""),"")</f>
        <v>0.114619224099228</v>
      </c>
      <c r="X260" s="22" t="n">
        <f aca="false">IF(AND(ISNUMBER(X258),ISNUMBER(X133)),IFERROR(X258/X133,""),"")</f>
        <v>0.102670527657839</v>
      </c>
      <c r="Y260" s="22" t="n">
        <f aca="false">IF(AND(ISNUMBER(Y258),ISNUMBER(Y133)),IFERROR(Y258/Y133,""),"")</f>
        <v>0.0281012924851377</v>
      </c>
      <c r="Z260" s="22" t="n">
        <f aca="false">IF(AND(ISNUMBER(Z258),ISNUMBER(Z133)),IFERROR(Z258/Z133,""),"")</f>
        <v>0.143651948455314</v>
      </c>
      <c r="AA260" s="22" t="n">
        <f aca="false">IF(AND(ISNUMBER(AA258),ISNUMBER(AA133)),IFERROR(AA258/AA133,""),"")</f>
        <v>0.170548193768652</v>
      </c>
      <c r="AB260" s="22" t="n">
        <f aca="false">IF(AND(ISNUMBER(AB258),ISNUMBER(AB133)),IFERROR(AB258/AB133,""),"")</f>
        <v>0.099564051448314</v>
      </c>
      <c r="AC260" s="22" t="n">
        <f aca="false">IF(AND(ISNUMBER(AC258),ISNUMBER(AC133)),IFERROR(AC258/AC133,""),"")</f>
        <v>0.11145891127022</v>
      </c>
      <c r="AD260" s="22" t="n">
        <f aca="false">IF(AND(ISNUMBER(AD258),ISNUMBER(AD133)),IFERROR(AD258/AD133,""),"")</f>
        <v>0.110523896663264</v>
      </c>
      <c r="AE260" s="22" t="n">
        <f aca="false">IF(AND(ISNUMBER(AE258),ISNUMBER(AE133)),IFERROR(AE258/AE133,""),"")</f>
        <v>0.0946833254102205</v>
      </c>
      <c r="AF260" s="22" t="n">
        <f aca="false">IF(AND(ISNUMBER(AF258),ISNUMBER(AF133)),IFERROR(AF258/AF133,""),"")</f>
        <v>0.123734299639577</v>
      </c>
      <c r="AG260" s="22" t="n">
        <f aca="false">IF(AND(ISNUMBER(AG258),ISNUMBER(AG133)),IFERROR(AG258/AG133,""),"")</f>
        <v>0.0893941928705742</v>
      </c>
      <c r="AH260" s="22" t="n">
        <f aca="false">IF(AND(ISNUMBER(AH258),ISNUMBER(AH133)),IFERROR(AH258/AH133,""),"")</f>
        <v>0.104094563735911</v>
      </c>
      <c r="AI260" s="22" t="n">
        <f aca="false">IF(AND(ISNUMBER(AI258),ISNUMBER(AI133)),IFERROR(AI258/AI133,""),"")</f>
        <v>0.03843230002534</v>
      </c>
      <c r="AJ260" s="22" t="n">
        <f aca="false">IF(AND(ISNUMBER(AJ258),ISNUMBER(AJ133)),IFERROR(AJ258/AJ133,""),"")</f>
        <v>0.0798112023006081</v>
      </c>
      <c r="AK260" s="22" t="n">
        <f aca="false">IF(AND(ISNUMBER(AK258),ISNUMBER(AK133)),IFERROR(AK258/AK133,""),"")</f>
        <v>0.120548257425393</v>
      </c>
      <c r="AL260" s="22" t="n">
        <f aca="false">IF(AND(ISNUMBER(AL258),ISNUMBER(AL133)),IFERROR(AL258/AL133,""),"")</f>
        <v>0.103350644706363</v>
      </c>
      <c r="AM260" s="22" t="n">
        <f aca="false">IF(AND(ISNUMBER(AM258),ISNUMBER(AM133)),IFERROR(AM258/AM133,""),"")</f>
        <v>0.0851547574945339</v>
      </c>
      <c r="AN260" s="22" t="n">
        <f aca="false">IF(AND(ISNUMBER(AN258),ISNUMBER(AN133)),IFERROR(AN258/AN133,""),"")</f>
        <v>0.0126808873855006</v>
      </c>
      <c r="AO260" s="22" t="n">
        <f aca="false">IF(AND(ISNUMBER(AO258),ISNUMBER(AO133)),IFERROR(AO258/AO133,""),"")</f>
        <v>0.136221248687272</v>
      </c>
      <c r="AP260" s="22" t="n">
        <f aca="false">IF(AND(ISNUMBER(AP258),ISNUMBER(AP133)),IFERROR(AP258/AP133,""),"")</f>
        <v>0.152771753037495</v>
      </c>
      <c r="AQ260" s="22" t="n">
        <f aca="false">IF(AND(ISNUMBER(AQ258),ISNUMBER(AQ133)),IFERROR(AQ258/AQ133,""),"")</f>
        <v>0.144579638656158</v>
      </c>
      <c r="AR260" s="22" t="n">
        <f aca="false">IF(AND(ISNUMBER(AR258),ISNUMBER(AR133)),IFERROR(AR258/AR133,""),"")</f>
        <v>0.111068860895716</v>
      </c>
      <c r="AS260" s="22" t="n">
        <f aca="false">IF(AND(ISNUMBER(AS258),ISNUMBER(AS133)),IFERROR(AS258/AS133,""),"")</f>
        <v>0.0144503277107541</v>
      </c>
      <c r="AT260" s="22" t="n">
        <f aca="false">IF(AND(ISNUMBER(AT258),ISNUMBER(AT133)),IFERROR(AT258/AT133,""),"")</f>
        <v>0.153807088553596</v>
      </c>
      <c r="AU260" s="22" t="n">
        <f aca="false">IF(AND(ISNUMBER(AU258),ISNUMBER(AU133)),IFERROR(AU258/AU133,""),"")</f>
        <v>0.115778725287343</v>
      </c>
      <c r="AV260" s="22" t="n">
        <f aca="false">IF(AND(ISNUMBER(AV258),ISNUMBER(AV133)),IFERROR(AV258/AV133,""),"")</f>
        <v>0.163904559566673</v>
      </c>
      <c r="AW260" s="22" t="n">
        <f aca="false">IF(AND(ISNUMBER(AW258),ISNUMBER(AW133)),IFERROR(AW258/AW133,""),"")</f>
        <v>0.110025231603525</v>
      </c>
      <c r="AX260" s="22" t="n">
        <f aca="false">IF(AND(ISNUMBER(AX258),ISNUMBER(AX133)),IFERROR(AX258/AX133,""),"")</f>
        <v>0.0466644914738165</v>
      </c>
      <c r="AY260" s="22" t="n">
        <f aca="false">IF(AND(ISNUMBER(AY258),ISNUMBER(AY133)),IFERROR(AY258/AY133,""),"")</f>
        <v>0.0993884717116742</v>
      </c>
      <c r="AZ260" s="22" t="n">
        <f aca="false">IF(AND(ISNUMBER(AZ258),ISNUMBER(AZ133)),IFERROR(AZ258/AZ133,""),"")</f>
        <v>0.113111225190773</v>
      </c>
      <c r="BA260" s="22" t="n">
        <f aca="false">IF(AND(ISNUMBER(BA258),ISNUMBER(BA133)),IFERROR(BA258/BA133,""),"")</f>
        <v>0.111160069694913</v>
      </c>
      <c r="BB260" s="22" t="n">
        <f aca="false">IF(AND(ISNUMBER(BB258),ISNUMBER(BB133)),IFERROR(BB258/BB133,""),"")</f>
        <v>0.0935421034079736</v>
      </c>
      <c r="BC260" s="22" t="n">
        <f aca="false">IF(AND(ISNUMBER(BC258),ISNUMBER(BC133)),IFERROR(BC258/BC133,""),"")</f>
        <v>0.026385058912008</v>
      </c>
      <c r="BD260" s="22" t="n">
        <f aca="false">IF(AND(ISNUMBER(BD258),ISNUMBER(BD133)),IFERROR(BD258/BD133,""),"")</f>
        <v>0.0848617300732578</v>
      </c>
      <c r="BE260" s="22" t="n">
        <f aca="false">IF(AND(ISNUMBER(BE258),ISNUMBER(BE133)),IFERROR(BE258/BE133,""),"")</f>
        <v>0.120379795560498</v>
      </c>
      <c r="BF260" s="22" t="n">
        <f aca="false">IF(AND(ISNUMBER(BF258),ISNUMBER(BF133)),IFERROR(BF258/BF133,""),"")</f>
        <v>0.0990618024478642</v>
      </c>
      <c r="BG260" s="22" t="n">
        <f aca="false">IF(AND(ISNUMBER(BG258),ISNUMBER(BG133)),IFERROR(BG258/BG133,""),"")</f>
        <v>0.0828198683881335</v>
      </c>
      <c r="BH260" s="22" t="n">
        <f aca="false">IF(AND(ISNUMBER(BH258),ISNUMBER(BH133)),IFERROR(BH258/BH133,""),"")</f>
        <v>0.101163908353643</v>
      </c>
      <c r="BI260" s="22" t="n">
        <f aca="false">IF(AND(ISNUMBER(BI258),ISNUMBER(BI133)),IFERROR(BI258/BI133,""),"")</f>
        <v>0.166967606888781</v>
      </c>
      <c r="BJ260" s="22" t="n">
        <f aca="false">IF(AND(ISNUMBER(BJ258),ISNUMBER(BJ133)),IFERROR(BJ258/BJ133,""),"")</f>
        <v>0.190857847454642</v>
      </c>
      <c r="BK260" s="22" t="n">
        <f aca="false">IF(AND(ISNUMBER(BK258),ISNUMBER(BK133)),IFERROR(BK258/BK133,""),"")</f>
        <v>0.091764492486637</v>
      </c>
      <c r="BL260" s="22" t="n">
        <f aca="false">IF(AND(ISNUMBER(BL258),ISNUMBER(BL133)),IFERROR(BL258/BL133,""),"")</f>
        <v>0.137548918846961</v>
      </c>
      <c r="BM260" s="22" t="n">
        <f aca="false">IF(AND(ISNUMBER(BM258),ISNUMBER(BM133)),IFERROR(BM258/BM133,""),"")</f>
        <v>0.109089204308615</v>
      </c>
      <c r="BN260" s="22" t="n">
        <f aca="false">IF(AND(ISNUMBER(BN258),ISNUMBER(BN133)),IFERROR(BN258/BN133,""),"")</f>
        <v>0.144416614546782</v>
      </c>
      <c r="BO260" s="22" t="n">
        <f aca="false">IF(AND(ISNUMBER(BO258),ISNUMBER(BO133)),IFERROR(BO258/BO133,""),"")</f>
        <v>0.166177895195876</v>
      </c>
      <c r="BP260" s="22" t="n">
        <f aca="false">IF(AND(ISNUMBER(BP258),ISNUMBER(BP133)),IFERROR(BP258/BP133,""),"")</f>
        <v>0.0629227489185749</v>
      </c>
      <c r="BQ260" s="22" t="n">
        <f aca="false">IF(AND(ISNUMBER(BQ258),ISNUMBER(BQ133)),IFERROR(BQ258/BQ133,""),"")</f>
        <v>0.120332678918444</v>
      </c>
      <c r="BR260" s="22" t="n">
        <f aca="false">IF(AND(ISNUMBER(BR258),ISNUMBER(BR133)),IFERROR(BR258/BR133,""),"")</f>
        <v>0.158050474517816</v>
      </c>
      <c r="BS260" s="22" t="n">
        <f aca="false">IF(AND(ISNUMBER(BS258),ISNUMBER(BS133)),IFERROR(BS258/BS133,""),"")</f>
        <v>0.108742478228081</v>
      </c>
      <c r="BT260" s="22" t="n">
        <f aca="false">IF(AND(ISNUMBER(BT258),ISNUMBER(BT133)),IFERROR(BT258/BT133,""),"")</f>
        <v>0.193220677574167</v>
      </c>
      <c r="BU260" s="22" t="n">
        <f aca="false">IF(AND(ISNUMBER(BU258),ISNUMBER(BU133)),IFERROR(BU258/BU133,""),"")</f>
        <v>0.0482231173201448</v>
      </c>
      <c r="BV260" s="22" t="n">
        <f aca="false">IF(AND(ISNUMBER(BV258),ISNUMBER(BV133)),IFERROR(BV258/BV133,""),"")</f>
        <v>0.126198587622074</v>
      </c>
      <c r="BW260" s="22" t="n">
        <f aca="false">IF(AND(ISNUMBER(BW258),ISNUMBER(BW133)),IFERROR(BW258/BW133,""),"")</f>
        <v>0.0561843140122379</v>
      </c>
      <c r="BX260" s="22" t="n">
        <f aca="false">IF(AND(ISNUMBER(BX258),ISNUMBER(BX133)),IFERROR(BX258/BX133,""),"")</f>
        <v>0.182285598562882</v>
      </c>
      <c r="BY260" s="23" t="str">
        <f aca="false">IF(AND(ISNUMBER(BY258),ISNUMBER(BY133)),IFERROR(BY258/BY133,""),"")</f>
        <v/>
      </c>
      <c r="BZ260" s="23" t="str">
        <f aca="false">IF(AND(ISNUMBER(BZ258),ISNUMBER(BZ133)),IFERROR(BZ258/BZ133,""),"")</f>
        <v/>
      </c>
      <c r="CA260" s="23" t="n">
        <f aca="false">IF(AND(ISNUMBER(CA258),ISNUMBER(CA133)),IFERROR(CA258/CA133,""),"")</f>
        <v>0.106510117884004</v>
      </c>
      <c r="CB260" s="23" t="n">
        <f aca="false">IF(AND(ISNUMBER(CB258),ISNUMBER(CB133)),IFERROR(CB258/CB133,""),"")</f>
        <v>0.126388869110593</v>
      </c>
      <c r="CC260" s="23" t="n">
        <f aca="false">IF(AND(ISNUMBER(CC258),ISNUMBER(CC133)),IFERROR(CC258/CC133,""),"")</f>
        <v>0.126691978255229</v>
      </c>
      <c r="CD260" s="23" t="n">
        <f aca="false">IF(AND(ISNUMBER(CD258),ISNUMBER(CD133)),IFERROR(CD258/CD133,""),"")</f>
        <v>0.129239226519253</v>
      </c>
      <c r="CE260" s="23" t="n">
        <f aca="false">IF(AND(ISNUMBER(CE258),ISNUMBER(CE133)),IFERROR(CE258/CE133,""),"")</f>
        <v>0.129500109866438</v>
      </c>
      <c r="CH260" s="41" t="n">
        <f aca="false">IFERROR(AVERAGE(CA260,CB260,CC260,CD260,CE260),"n/m")</f>
        <v>0.123666060327103</v>
      </c>
      <c r="CI260" s="41" t="n">
        <f aca="false">IFERROR(AVERAGE(BB260,BG260,BL260,BQ260,BV260),"n/m")</f>
        <v>0.112088431436717</v>
      </c>
      <c r="CJ260" s="41" t="n">
        <f aca="false">IFERROR(AVERAGE(AC260,AH260,AM260,AR260,AW260,BB260,BG260,BL260,BQ260,BV260),"n/m")</f>
        <v>0.108224448218349</v>
      </c>
      <c r="CK260" s="41" t="n">
        <f aca="false">IFERROR(AVERAGE(C260,D260,E260,F260,G260,H260,I260,N260,S260,X260,AC260,AH260,AM260,AR260,AW260,BB260,BG260,BL260,BQ260,BV260),"n/m")</f>
        <v>0.0942820016504014</v>
      </c>
    </row>
    <row r="261" customFormat="false" ht="15" hidden="false" customHeight="false" outlineLevel="0" collapsed="false">
      <c r="B261" s="21" t="s">
        <v>397</v>
      </c>
      <c r="C261" s="22" t="n">
        <f aca="false">IF(AND(ISNUMBER(C258),ISNUMBER(C202)),IFERROR(C258/C202,""),"")</f>
        <v>0.249130221589184</v>
      </c>
      <c r="D261" s="22" t="n">
        <f aca="false">IF(AND(ISNUMBER(D258),ISNUMBER(D202)),IFERROR(D258/D202,""),"")</f>
        <v>0.92878610662837</v>
      </c>
      <c r="E261" s="22" t="n">
        <f aca="false">IF(AND(ISNUMBER(E258),ISNUMBER(E202)),IFERROR(E258/E202,""),"")</f>
        <v>0.802358206236801</v>
      </c>
      <c r="F261" s="22" t="n">
        <f aca="false">IF(AND(ISNUMBER(F258),ISNUMBER(F202)),IFERROR(F258/F202,""),"")</f>
        <v>2.90225450764727</v>
      </c>
      <c r="G261" s="22" t="n">
        <f aca="false">IF(AND(ISNUMBER(G258),ISNUMBER(G202)),IFERROR(G258/G202,""),"")</f>
        <v>0.743927469135803</v>
      </c>
      <c r="H261" s="22" t="n">
        <f aca="false">IF(AND(ISNUMBER(H258),ISNUMBER(H202)),IFERROR(H258/H202,""),"")</f>
        <v>0.600741371443087</v>
      </c>
      <c r="I261" s="22" t="n">
        <f aca="false">IF(AND(ISNUMBER(I258),ISNUMBER(I202)),IFERROR(I258/I202,""),"")</f>
        <v>1.03390289698561</v>
      </c>
      <c r="J261" s="22" t="n">
        <f aca="false">IF(AND(ISNUMBER(J258),ISNUMBER(J202)),IFERROR(J258/J202,""),"")</f>
        <v>-0.457433982810252</v>
      </c>
      <c r="K261" s="22" t="n">
        <f aca="false">IF(AND(ISNUMBER(K258),ISNUMBER(K202)),IFERROR(K258/K202,""),"")</f>
        <v>1.20556501987507</v>
      </c>
      <c r="L261" s="22" t="n">
        <f aca="false">IF(AND(ISNUMBER(L258),ISNUMBER(L202)),IFERROR(L258/L202,""),"")</f>
        <v>1.77721066914132</v>
      </c>
      <c r="M261" s="22" t="n">
        <f aca="false">IF(AND(ISNUMBER(M258),ISNUMBER(M202)),IFERROR(M258/M202,""),"")</f>
        <v>0.902180371055434</v>
      </c>
      <c r="N261" s="22" t="n">
        <f aca="false">IF(AND(ISNUMBER(N258),ISNUMBER(N202)),IFERROR(N258/N202,""),"")</f>
        <v>0.839364854336693</v>
      </c>
      <c r="O261" s="22" t="n">
        <f aca="false">IF(AND(ISNUMBER(O258),ISNUMBER(O202)),IFERROR(O258/O202,""),"")</f>
        <v>-0.0118066144027202</v>
      </c>
      <c r="P261" s="22" t="n">
        <f aca="false">IF(AND(ISNUMBER(P258),ISNUMBER(P202)),IFERROR(P258/P202,""),"")</f>
        <v>0.975888978870648</v>
      </c>
      <c r="Q261" s="22" t="n">
        <f aca="false">IF(AND(ISNUMBER(Q258),ISNUMBER(Q202)),IFERROR(Q258/Q202,""),"")</f>
        <v>1.78763010408327</v>
      </c>
      <c r="R261" s="22" t="n">
        <f aca="false">IF(AND(ISNUMBER(R258),ISNUMBER(R202)),IFERROR(R258/R202,""),"")</f>
        <v>1.5400708420117</v>
      </c>
      <c r="S261" s="22" t="n">
        <f aca="false">IF(AND(ISNUMBER(S258),ISNUMBER(S202)),IFERROR(S258/S202,""),"")</f>
        <v>1.07447503987866</v>
      </c>
      <c r="T261" s="22" t="n">
        <f aca="false">IF(AND(ISNUMBER(T258),ISNUMBER(T202)),IFERROR(T258/T202,""),"")</f>
        <v>0.589987418439301</v>
      </c>
      <c r="U261" s="22" t="n">
        <f aca="false">IF(AND(ISNUMBER(U258),ISNUMBER(U202)),IFERROR(U258/U202,""),"")</f>
        <v>0.842990055433299</v>
      </c>
      <c r="V261" s="22" t="n">
        <f aca="false">IF(AND(ISNUMBER(V258),ISNUMBER(V202)),IFERROR(V258/V202,""),"")</f>
        <v>1.42564149034177</v>
      </c>
      <c r="W261" s="22" t="n">
        <f aca="false">IF(AND(ISNUMBER(W258),ISNUMBER(W202)),IFERROR(W258/W202,""),"")</f>
        <v>1.20964715063453</v>
      </c>
      <c r="X261" s="22" t="n">
        <f aca="false">IF(AND(ISNUMBER(X258),ISNUMBER(X202)),IFERROR(X258/X202,""),"")</f>
        <v>1.00064185345755</v>
      </c>
      <c r="Y261" s="22" t="n">
        <f aca="false">IF(AND(ISNUMBER(Y258),ISNUMBER(Y202)),IFERROR(Y258/Y202,""),"")</f>
        <v>0.28852679070808</v>
      </c>
      <c r="Z261" s="22" t="n">
        <f aca="false">IF(AND(ISNUMBER(Z258),ISNUMBER(Z202)),IFERROR(Z258/Z202,""),"")</f>
        <v>1.48333681935439</v>
      </c>
      <c r="AA261" s="22" t="n">
        <f aca="false">IF(AND(ISNUMBER(AA258),ISNUMBER(AA202)),IFERROR(AA258/AA202,""),"")</f>
        <v>1.61220003663675</v>
      </c>
      <c r="AB261" s="22" t="n">
        <f aca="false">IF(AND(ISNUMBER(AB258),ISNUMBER(AB202)),IFERROR(AB258/AB202,""),"")</f>
        <v>1.05135312295159</v>
      </c>
      <c r="AC261" s="22" t="n">
        <f aca="false">IF(AND(ISNUMBER(AC258),ISNUMBER(AC202)),IFERROR(AC258/AC202,""),"")</f>
        <v>1.12952319851729</v>
      </c>
      <c r="AD261" s="22" t="n">
        <f aca="false">IF(AND(ISNUMBER(AD258),ISNUMBER(AD202)),IFERROR(AD258/AD202,""),"")</f>
        <v>1.09602581173819</v>
      </c>
      <c r="AE261" s="22" t="n">
        <f aca="false">IF(AND(ISNUMBER(AE258),ISNUMBER(AE202)),IFERROR(AE258/AE202,""),"")</f>
        <v>0.915291613977733</v>
      </c>
      <c r="AF261" s="22" t="n">
        <f aca="false">IF(AND(ISNUMBER(AF258),ISNUMBER(AF202)),IFERROR(AF258/AF202,""),"")</f>
        <v>1.34097936058276</v>
      </c>
      <c r="AG261" s="22" t="n">
        <f aca="false">IF(AND(ISNUMBER(AG258),ISNUMBER(AG202)),IFERROR(AG258/AG202,""),"")</f>
        <v>0.989394163827582</v>
      </c>
      <c r="AH261" s="22" t="n">
        <f aca="false">IF(AND(ISNUMBER(AH258),ISNUMBER(AH202)),IFERROR(AH258/AH202,""),"")</f>
        <v>1.08104183072229</v>
      </c>
      <c r="AI261" s="22" t="n">
        <f aca="false">IF(AND(ISNUMBER(AI258),ISNUMBER(AI202)),IFERROR(AI258/AI202,""),"")</f>
        <v>0.397363645047282</v>
      </c>
      <c r="AJ261" s="22" t="n">
        <f aca="false">IF(AND(ISNUMBER(AJ258),ISNUMBER(AJ202)),IFERROR(AJ258/AJ202,""),"")</f>
        <v>0.784168635741823</v>
      </c>
      <c r="AK261" s="22" t="n">
        <f aca="false">IF(AND(ISNUMBER(AK258),ISNUMBER(AK202)),IFERROR(AK258/AK202,""),"")</f>
        <v>1.11895227301347</v>
      </c>
      <c r="AL261" s="22" t="n">
        <f aca="false">IF(AND(ISNUMBER(AL258),ISNUMBER(AL202)),IFERROR(AL258/AL202,""),"")</f>
        <v>0.920261923003257</v>
      </c>
      <c r="AM261" s="22" t="n">
        <f aca="false">IF(AND(ISNUMBER(AM258),ISNUMBER(AM202)),IFERROR(AM258/AM202,""),"")</f>
        <v>0.814511162554202</v>
      </c>
      <c r="AN261" s="22" t="n">
        <f aca="false">IF(AND(ISNUMBER(AN258),ISNUMBER(AN202)),IFERROR(AN258/AN202,""),"")</f>
        <v>0.128373693193941</v>
      </c>
      <c r="AO261" s="22" t="n">
        <f aca="false">IF(AND(ISNUMBER(AO258),ISNUMBER(AO202)),IFERROR(AO258/AO202,""),"")</f>
        <v>1.30887753966389</v>
      </c>
      <c r="AP261" s="22" t="n">
        <f aca="false">IF(AND(ISNUMBER(AP258),ISNUMBER(AP202)),IFERROR(AP258/AP202,""),"")</f>
        <v>1.64886499579081</v>
      </c>
      <c r="AQ261" s="22" t="n">
        <f aca="false">IF(AND(ISNUMBER(AQ258),ISNUMBER(AQ202)),IFERROR(AQ258/AQ202,""),"")</f>
        <v>1.4993661971831</v>
      </c>
      <c r="AR261" s="22" t="n">
        <f aca="false">IF(AND(ISNUMBER(AR258),ISNUMBER(AR202)),IFERROR(AR258/AR202,""),"")</f>
        <v>1.13240406289889</v>
      </c>
      <c r="AS261" s="22" t="n">
        <f aca="false">IF(AND(ISNUMBER(AS258),ISNUMBER(AS202)),IFERROR(AS258/AS202,""),"")</f>
        <v>0.166532595669233</v>
      </c>
      <c r="AT261" s="22" t="n">
        <f aca="false">IF(AND(ISNUMBER(AT258),ISNUMBER(AT202)),IFERROR(AT258/AT202,""),"")</f>
        <v>1.89319053175529</v>
      </c>
      <c r="AU261" s="22" t="n">
        <f aca="false">IF(AND(ISNUMBER(AU258),ISNUMBER(AU202)),IFERROR(AU258/AU202,""),"")</f>
        <v>1.17314771332919</v>
      </c>
      <c r="AV261" s="22" t="n">
        <f aca="false">IF(AND(ISNUMBER(AV258),ISNUMBER(AV202)),IFERROR(AV258/AV202,""),"")</f>
        <v>1.51629420235746</v>
      </c>
      <c r="AW261" s="22" t="n">
        <f aca="false">IF(AND(ISNUMBER(AW258),ISNUMBER(AW202)),IFERROR(AW258/AW202,""),"")</f>
        <v>1.16904615187625</v>
      </c>
      <c r="AX261" s="22" t="n">
        <f aca="false">IF(AND(ISNUMBER(AX258),ISNUMBER(AX202)),IFERROR(AX258/AX202,""),"")</f>
        <v>0.42675590132644</v>
      </c>
      <c r="AY261" s="22" t="n">
        <f aca="false">IF(AND(ISNUMBER(AY258),ISNUMBER(AY202)),IFERROR(AY258/AY202,""),"")</f>
        <v>0.816476645825672</v>
      </c>
      <c r="AZ261" s="22" t="n">
        <f aca="false">IF(AND(ISNUMBER(AZ258),ISNUMBER(AZ202)),IFERROR(AZ258/AZ202,""),"")</f>
        <v>0.973002666666668</v>
      </c>
      <c r="BA261" s="22" t="n">
        <f aca="false">IF(AND(ISNUMBER(BA258),ISNUMBER(BA202)),IFERROR(BA258/BA202,""),"")</f>
        <v>0.975510119227052</v>
      </c>
      <c r="BB261" s="22" t="n">
        <f aca="false">IF(AND(ISNUMBER(BB258),ISNUMBER(BB202)),IFERROR(BB258/BB202,""),"")</f>
        <v>0.810352124371206</v>
      </c>
      <c r="BC261" s="22" t="n">
        <f aca="false">IF(AND(ISNUMBER(BC258),ISNUMBER(BC202)),IFERROR(BC258/BC202,""),"")</f>
        <v>0.195840651893201</v>
      </c>
      <c r="BD261" s="22" t="n">
        <f aca="false">IF(AND(ISNUMBER(BD258),ISNUMBER(BD202)),IFERROR(BD258/BD202,""),"")</f>
        <v>0.641887569625388</v>
      </c>
      <c r="BE261" s="22" t="n">
        <f aca="false">IF(AND(ISNUMBER(BE258),ISNUMBER(BE202)),IFERROR(BE258/BE202,""),"")</f>
        <v>0.9415503499954</v>
      </c>
      <c r="BF261" s="22" t="n">
        <f aca="false">IF(AND(ISNUMBER(BF258),ISNUMBER(BF202)),IFERROR(BF258/BF202,""),"")</f>
        <v>0.814563569876518</v>
      </c>
      <c r="BG261" s="22" t="n">
        <f aca="false">IF(AND(ISNUMBER(BG258),ISNUMBER(BG202)),IFERROR(BG258/BG202,""),"")</f>
        <v>0.641406674683315</v>
      </c>
      <c r="BH261" s="22" t="n">
        <f aca="false">IF(AND(ISNUMBER(BH258),ISNUMBER(BH202)),IFERROR(BH258/BH202,""),"")</f>
        <v>0.846570048309178</v>
      </c>
      <c r="BI261" s="22" t="n">
        <f aca="false">IF(AND(ISNUMBER(BI258),ISNUMBER(BI202)),IFERROR(BI258/BI202,""),"")</f>
        <v>1.2450081556893</v>
      </c>
      <c r="BJ261" s="22" t="n">
        <f aca="false">IF(AND(ISNUMBER(BJ258),ISNUMBER(BJ202)),IFERROR(BJ258/BJ202,""),"")</f>
        <v>1.41371004165203</v>
      </c>
      <c r="BK261" s="22" t="n">
        <f aca="false">IF(AND(ISNUMBER(BK258),ISNUMBER(BK202)),IFERROR(BK258/BK202,""),"")</f>
        <v>0.684032619258885</v>
      </c>
      <c r="BL261" s="22" t="n">
        <f aca="false">IF(AND(ISNUMBER(BL258),ISNUMBER(BL202)),IFERROR(BL258/BL202,""),"")</f>
        <v>1.0522574381025</v>
      </c>
      <c r="BM261" s="22" t="n">
        <f aca="false">IF(AND(ISNUMBER(BM258),ISNUMBER(BM202)),IFERROR(BM258/BM202,""),"")</f>
        <v>0.831970526053974</v>
      </c>
      <c r="BN261" s="22" t="n">
        <f aca="false">IF(AND(ISNUMBER(BN258),ISNUMBER(BN202)),IFERROR(BN258/BN202,""),"")</f>
        <v>1.09897214360197</v>
      </c>
      <c r="BO261" s="22" t="n">
        <f aca="false">IF(AND(ISNUMBER(BO258),ISNUMBER(BO202)),IFERROR(BO258/BO202,""),"")</f>
        <v>1.33596201621339</v>
      </c>
      <c r="BP261" s="22" t="n">
        <f aca="false">IF(AND(ISNUMBER(BP258),ISNUMBER(BP202)),IFERROR(BP258/BP202,""),"")</f>
        <v>0.440529931977449</v>
      </c>
      <c r="BQ261" s="22" t="n">
        <f aca="false">IF(AND(ISNUMBER(BQ258),ISNUMBER(BQ202)),IFERROR(BQ258/BQ202,""),"")</f>
        <v>0.907972480777013</v>
      </c>
      <c r="BR261" s="22" t="n">
        <f aca="false">IF(AND(ISNUMBER(BR258),ISNUMBER(BR202)),IFERROR(BR258/BR202,""),"")</f>
        <v>1.30271796218487</v>
      </c>
      <c r="BS261" s="22" t="n">
        <f aca="false">IF(AND(ISNUMBER(BS258),ISNUMBER(BS202)),IFERROR(BS258/BS202,""),"")</f>
        <v>0.813016784330962</v>
      </c>
      <c r="BT261" s="22" t="n">
        <f aca="false">IF(AND(ISNUMBER(BT258),ISNUMBER(BT202)),IFERROR(BT258/BT202,""),"")</f>
        <v>1.49434476526403</v>
      </c>
      <c r="BU261" s="22" t="n">
        <f aca="false">IF(AND(ISNUMBER(BU258),ISNUMBER(BU202)),IFERROR(BU258/BU202,""),"")</f>
        <v>0.354727402911794</v>
      </c>
      <c r="BV261" s="22" t="n">
        <f aca="false">IF(AND(ISNUMBER(BV258),ISNUMBER(BV202)),IFERROR(BV258/BV202,""),"")</f>
        <v>0.968926107909768</v>
      </c>
      <c r="BW261" s="22" t="n">
        <f aca="false">IF(AND(ISNUMBER(BW258),ISNUMBER(BW202)),IFERROR(BW258/BW202,""),"")</f>
        <v>0.455062184922504</v>
      </c>
      <c r="BX261" s="22" t="n">
        <f aca="false">IF(AND(ISNUMBER(BX258),ISNUMBER(BX202)),IFERROR(BX258/BX202,""),"")</f>
        <v>1.37902865649423</v>
      </c>
      <c r="BY261" s="23" t="str">
        <f aca="false">IF(AND(ISNUMBER(BY258),ISNUMBER(BY202)),IFERROR(BY258/BY202,""),"")</f>
        <v/>
      </c>
      <c r="BZ261" s="23" t="str">
        <f aca="false">IF(AND(ISNUMBER(BZ258),ISNUMBER(BZ202)),IFERROR(BZ258/BZ202,""),"")</f>
        <v/>
      </c>
      <c r="CA261" s="23" t="n">
        <f aca="false">IF(AND(ISNUMBER(CA258),ISNUMBER(CA202)),IFERROR(CA258/CA202,""),"")</f>
        <v>0.812253311901174</v>
      </c>
      <c r="CB261" s="23" t="n">
        <f aca="false">IF(AND(ISNUMBER(CB258),ISNUMBER(CB202)),IFERROR(CB258/CB202,""),"")</f>
        <v>0.944946717118574</v>
      </c>
      <c r="CC261" s="23" t="n">
        <f aca="false">IF(AND(ISNUMBER(CC258),ISNUMBER(CC202)),IFERROR(CC258/CC202,""),"")</f>
        <v>0.939399218764788</v>
      </c>
      <c r="CD261" s="23" t="n">
        <f aca="false">IF(AND(ISNUMBER(CD258),ISNUMBER(CD202)),IFERROR(CD258/CD202,""),"")</f>
        <v>0.953188205660191</v>
      </c>
      <c r="CE261" s="23" t="n">
        <f aca="false">IF(AND(ISNUMBER(CE258),ISNUMBER(CE202)),IFERROR(CE258/CE202,""),"")</f>
        <v>0.9610052396848</v>
      </c>
      <c r="CF261" s="19" t="s">
        <v>398</v>
      </c>
      <c r="CH261" s="41" t="n">
        <f aca="false">IFERROR(AVERAGE(CA261,CB261,CC261,CD261,CE261),"n/m")</f>
        <v>0.922158538625906</v>
      </c>
      <c r="CI261" s="41" t="n">
        <f aca="false">IFERROR(AVERAGE(BB261,BG261,BL261,BQ261,BV261),"n/m")</f>
        <v>0.876182965168761</v>
      </c>
      <c r="CJ261" s="41" t="n">
        <f aca="false">IFERROR(AVERAGE(AC261,AH261,AM261,AR261,AW261,BB261,BG261,BL261,BQ261,BV261),"n/m")</f>
        <v>0.970744123241273</v>
      </c>
      <c r="CK261" s="41" t="n">
        <f aca="false">IFERROR(AVERAGE(C261,D261,E261,F261,G261,H261,I261,N261,S261,X261,AC261,AH261,AM261,AR261,AW261,BB261,BG261,BL261,BQ261,BV261),"n/m")</f>
        <v>0.994151187987588</v>
      </c>
    </row>
    <row r="262" customFormat="false" ht="15" hidden="false" customHeight="false" outlineLevel="0" collapsed="false">
      <c r="B262" s="26" t="s">
        <v>399</v>
      </c>
      <c r="C262" s="66" t="n">
        <f aca="false">IF(AND(ISNUMBER(C258),ISNUMBER(C157)),IFERROR(C258/C157,""),"")</f>
        <v>0.495886781929727</v>
      </c>
      <c r="D262" s="66" t="n">
        <f aca="false">IF(AND(ISNUMBER(D258),ISNUMBER(D157)),IFERROR(D258/D157,""),"")</f>
        <v>2.16859098451327</v>
      </c>
      <c r="E262" s="66" t="n">
        <f aca="false">IF(AND(ISNUMBER(E258),ISNUMBER(E157)),IFERROR(E258/E157,""),"")</f>
        <v>2.14873182514981</v>
      </c>
      <c r="F262" s="66" t="n">
        <f aca="false">IF(AND(ISNUMBER(F258),ISNUMBER(F157)),IFERROR(F258/F157,""),"")</f>
        <v>2.48802598864756</v>
      </c>
      <c r="G262" s="66" t="n">
        <f aca="false">IF(AND(ISNUMBER(G258),ISNUMBER(G157)),IFERROR(G258/G157,""),"")</f>
        <v>1.1312893081761</v>
      </c>
      <c r="H262" s="66" t="n">
        <f aca="false">IF(AND(ISNUMBER(H258),ISNUMBER(H157)),IFERROR(H258/H157,""),"")</f>
        <v>1.50759078245266</v>
      </c>
      <c r="I262" s="66" t="n">
        <f aca="false">IF(AND(ISNUMBER(I258),ISNUMBER(I157)),IFERROR(I258/I157,""),"")</f>
        <v>3.26425898425898</v>
      </c>
      <c r="J262" s="66" t="n">
        <f aca="false">IF(AND(ISNUMBER(J258),ISNUMBER(J157)),IFERROR(J258/J157,""),"")</f>
        <v>-0.421144343923806</v>
      </c>
      <c r="K262" s="66" t="n">
        <f aca="false">IF(AND(ISNUMBER(K258),ISNUMBER(K157)),IFERROR(K258/K157,""),"")</f>
        <v>1.09444797448778</v>
      </c>
      <c r="L262" s="66" t="n">
        <f aca="false">IF(AND(ISNUMBER(L258),ISNUMBER(L157)),IFERROR(L258/L157,""),"")</f>
        <v>1.52825032947634</v>
      </c>
      <c r="M262" s="66" t="n">
        <f aca="false">IF(AND(ISNUMBER(M258),ISNUMBER(M157)),IFERROR(M258/M157,""),"")</f>
        <v>0.9792538693663</v>
      </c>
      <c r="N262" s="66" t="n">
        <f aca="false">IF(AND(ISNUMBER(N258),ISNUMBER(N157)),IFERROR(N258/N157,""),"")</f>
        <v>3.16561499000506</v>
      </c>
      <c r="O262" s="66" t="n">
        <f aca="false">IF(AND(ISNUMBER(O258),ISNUMBER(O157)),IFERROR(O258/O157,""),"")</f>
        <v>-0.0107209370711625</v>
      </c>
      <c r="P262" s="66" t="n">
        <f aca="false">IF(AND(ISNUMBER(P258),ISNUMBER(P157)),IFERROR(P258/P157,""),"")</f>
        <v>0.984648335458631</v>
      </c>
      <c r="Q262" s="66" t="n">
        <f aca="false">IF(AND(ISNUMBER(Q258),ISNUMBER(Q157)),IFERROR(Q258/Q157,""),"")</f>
        <v>1.68033866415804</v>
      </c>
      <c r="R262" s="66" t="n">
        <f aca="false">IF(AND(ISNUMBER(R258),ISNUMBER(R157)),IFERROR(R258/R157,""),"")</f>
        <v>1.48299693408278</v>
      </c>
      <c r="S262" s="66" t="n">
        <f aca="false">IF(AND(ISNUMBER(S258),ISNUMBER(S157)),IFERROR(S258/S157,""),"")</f>
        <v>4.10397522972433</v>
      </c>
      <c r="T262" s="66" t="n">
        <f aca="false">IF(AND(ISNUMBER(T258),ISNUMBER(T157)),IFERROR(T258/T157,""),"")</f>
        <v>0.523339259528413</v>
      </c>
      <c r="U262" s="66" t="n">
        <f aca="false">IF(AND(ISNUMBER(U258),ISNUMBER(U157)),IFERROR(U258/U157,""),"")</f>
        <v>0.798767370963272</v>
      </c>
      <c r="V262" s="66" t="n">
        <f aca="false">IF(AND(ISNUMBER(V258),ISNUMBER(V157)),IFERROR(V258/V157,""),"")</f>
        <v>1.27987634568973</v>
      </c>
      <c r="W262" s="66" t="n">
        <f aca="false">IF(AND(ISNUMBER(W258),ISNUMBER(W157)),IFERROR(W258/W157,""),"")</f>
        <v>0.902677444849628</v>
      </c>
      <c r="X262" s="66" t="n">
        <f aca="false">IF(AND(ISNUMBER(X258),ISNUMBER(X157)),IFERROR(X258/X157,""),"")</f>
        <v>3.47811740187565</v>
      </c>
      <c r="Y262" s="66" t="n">
        <f aca="false">IF(AND(ISNUMBER(Y258),ISNUMBER(Y157)),IFERROR(Y258/Y157,""),"")</f>
        <v>0.220311476810068</v>
      </c>
      <c r="Z262" s="66" t="n">
        <f aca="false">IF(AND(ISNUMBER(Z258),ISNUMBER(Z157)),IFERROR(Z258/Z157,""),"")</f>
        <v>1.23533168819858</v>
      </c>
      <c r="AA262" s="66" t="n">
        <f aca="false">IF(AND(ISNUMBER(AA258),ISNUMBER(AA157)),IFERROR(AA258/AA157,""),"")</f>
        <v>1.44102587002471</v>
      </c>
      <c r="AB262" s="66" t="n">
        <f aca="false">IF(AND(ISNUMBER(AB258),ISNUMBER(AB157)),IFERROR(AB258/AB157,""),"")</f>
        <v>0.846673604512616</v>
      </c>
      <c r="AC262" s="66" t="n">
        <f aca="false">IF(AND(ISNUMBER(AC258),ISNUMBER(AC157)),IFERROR(AC258/AC157,""),"")</f>
        <v>3.71978989377311</v>
      </c>
      <c r="AD262" s="66" t="n">
        <f aca="false">IF(AND(ISNUMBER(AD258),ISNUMBER(AD157)),IFERROR(AD258/AD157,""),"")</f>
        <v>0.964255140200952</v>
      </c>
      <c r="AE262" s="66" t="n">
        <f aca="false">IF(AND(ISNUMBER(AE258),ISNUMBER(AE157)),IFERROR(AE258/AE157,""),"")</f>
        <v>0.889276778089088</v>
      </c>
      <c r="AF262" s="66" t="n">
        <f aca="false">IF(AND(ISNUMBER(AF258),ISNUMBER(AF157)),IFERROR(AF258/AF157,""),"")</f>
        <v>1.24192677880723</v>
      </c>
      <c r="AG262" s="66" t="n">
        <f aca="false">IF(AND(ISNUMBER(AG258),ISNUMBER(AG157)),IFERROR(AG258/AG157,""),"")</f>
        <v>1.00396813467609</v>
      </c>
      <c r="AH262" s="66" t="n">
        <f aca="false">IF(AND(ISNUMBER(AH258),ISNUMBER(AH157)),IFERROR(AH258/AH157,""),"")</f>
        <v>4.09929024803805</v>
      </c>
      <c r="AI262" s="66" t="n">
        <f aca="false">IF(AND(ISNUMBER(AI258),ISNUMBER(AI157)),IFERROR(AI258/AI157,""),"")</f>
        <v>0.438270397182547</v>
      </c>
      <c r="AJ262" s="66" t="n">
        <f aca="false">IF(AND(ISNUMBER(AJ258),ISNUMBER(AJ157)),IFERROR(AJ258/AJ157,""),"")</f>
        <v>0.953630465358963</v>
      </c>
      <c r="AK262" s="66" t="n">
        <f aca="false">IF(AND(ISNUMBER(AK258),ISNUMBER(AK157)),IFERROR(AK258/AK157,""),"")</f>
        <v>1.3534393468592</v>
      </c>
      <c r="AL262" s="66" t="n">
        <f aca="false">IF(AND(ISNUMBER(AL258),ISNUMBER(AL157)),IFERROR(AL258/AL157,""),"")</f>
        <v>1.19077123251599</v>
      </c>
      <c r="AM262" s="66" t="n">
        <f aca="false">IF(AND(ISNUMBER(AM258),ISNUMBER(AM157)),IFERROR(AM258/AM157,""),"")</f>
        <v>3.92658567035109</v>
      </c>
      <c r="AN262" s="66" t="n">
        <f aca="false">IF(AND(ISNUMBER(AN258),ISNUMBER(AN157)),IFERROR(AN258/AN157,""),"")</f>
        <v>0.150659634736068</v>
      </c>
      <c r="AO262" s="66" t="n">
        <f aca="false">IF(AND(ISNUMBER(AO258),ISNUMBER(AO157)),IFERROR(AO258/AO157,""),"")</f>
        <v>1.68087978402414</v>
      </c>
      <c r="AP262" s="66" t="n">
        <f aca="false">IF(AND(ISNUMBER(AP258),ISNUMBER(AP157)),IFERROR(AP258/AP157,""),"")</f>
        <v>1.79892363964487</v>
      </c>
      <c r="AQ262" s="66" t="n">
        <f aca="false">IF(AND(ISNUMBER(AQ258),ISNUMBER(AQ157)),IFERROR(AQ258/AQ157,""),"")</f>
        <v>1.72508507535246</v>
      </c>
      <c r="AR262" s="66" t="n">
        <f aca="false">IF(AND(ISNUMBER(AR258),ISNUMBER(AR157)),IFERROR(AR258/AR157,""),"")</f>
        <v>5.32366178301254</v>
      </c>
      <c r="AS262" s="66" t="n">
        <f aca="false">IF(AND(ISNUMBER(AS258),ISNUMBER(AS157)),IFERROR(AS258/AS157,""),"")</f>
        <v>0.166844849421866</v>
      </c>
      <c r="AT262" s="66" t="n">
        <f aca="false">IF(AND(ISNUMBER(AT258),ISNUMBER(AT157)),IFERROR(AT258/AT157,""),"")</f>
        <v>1.51857732613528</v>
      </c>
      <c r="AU262" s="66" t="n">
        <f aca="false">IF(AND(ISNUMBER(AU258),ISNUMBER(AU157)),IFERROR(AU258/AU157,""),"")</f>
        <v>1.29032956779633</v>
      </c>
      <c r="AV262" s="66" t="n">
        <f aca="false">IF(AND(ISNUMBER(AV258),ISNUMBER(AV157)),IFERROR(AV258/AV157,""),"")</f>
        <v>1.88580620553556</v>
      </c>
      <c r="AW262" s="66" t="n">
        <f aca="false">IF(AND(ISNUMBER(AW258),ISNUMBER(AW157)),IFERROR(AW258/AW157,""),"")</f>
        <v>4.84930620103572</v>
      </c>
      <c r="AX262" s="66" t="n">
        <f aca="false">IF(AND(ISNUMBER(AX258),ISNUMBER(AX157)),IFERROR(AX258/AX157,""),"")</f>
        <v>0.585847194812518</v>
      </c>
      <c r="AY262" s="66" t="n">
        <f aca="false">IF(AND(ISNUMBER(AY258),ISNUMBER(AY157)),IFERROR(AY258/AY157,""),"")</f>
        <v>1.36526826673758</v>
      </c>
      <c r="AZ262" s="66" t="n">
        <f aca="false">IF(AND(ISNUMBER(AZ258),ISNUMBER(AZ157)),IFERROR(AZ258/AZ157,""),"")</f>
        <v>1.51892431937391</v>
      </c>
      <c r="BA262" s="66" t="n">
        <f aca="false">IF(AND(ISNUMBER(BA258),ISNUMBER(BA157)),IFERROR(BA258/BA157,""),"")</f>
        <v>1.57363717155457</v>
      </c>
      <c r="BB262" s="66" t="n">
        <f aca="false">IF(AND(ISNUMBER(BB258),ISNUMBER(BB157)),IFERROR(BB258/BB157,""),"")</f>
        <v>5.03699510505811</v>
      </c>
      <c r="BC262" s="66" t="n">
        <f aca="false">IF(AND(ISNUMBER(BC258),ISNUMBER(BC157)),IFERROR(BC258/BC157,""),"")</f>
        <v>0.41196517748684</v>
      </c>
      <c r="BD262" s="66" t="n">
        <f aca="false">IF(AND(ISNUMBER(BD258),ISNUMBER(BD157)),IFERROR(BD258/BD157,""),"")</f>
        <v>1.40200722464558</v>
      </c>
      <c r="BE262" s="66" t="n">
        <f aca="false">IF(AND(ISNUMBER(BE258),ISNUMBER(BE157)),IFERROR(BE258/BE157,""),"")</f>
        <v>1.92365786146328</v>
      </c>
      <c r="BF262" s="66" t="n">
        <f aca="false">IF(AND(ISNUMBER(BF258),ISNUMBER(BF157)),IFERROR(BF258/BF157,""),"")</f>
        <v>1.57751586582049</v>
      </c>
      <c r="BG262" s="66" t="n">
        <f aca="false">IF(AND(ISNUMBER(BG258),ISNUMBER(BG157)),IFERROR(BG258/BG157,""),"")</f>
        <v>5.30226897479106</v>
      </c>
      <c r="BH262" s="66" t="n">
        <f aca="false">IF(AND(ISNUMBER(BH258),ISNUMBER(BH157)),IFERROR(BH258/BH157,""),"")</f>
        <v>1.79988701918962</v>
      </c>
      <c r="BI262" s="66" t="n">
        <f aca="false">IF(AND(ISNUMBER(BI258),ISNUMBER(BI157)),IFERROR(BI258/BI157,""),"")</f>
        <v>3.03723650584018</v>
      </c>
      <c r="BJ262" s="66" t="n">
        <f aca="false">IF(AND(ISNUMBER(BJ258),ISNUMBER(BJ157)),IFERROR(BJ258/BJ157,""),"")</f>
        <v>3.3919946332737</v>
      </c>
      <c r="BK262" s="66" t="n">
        <f aca="false">IF(AND(ISNUMBER(BK258),ISNUMBER(BK157)),IFERROR(BK258/BK157,""),"")</f>
        <v>1.67729792267445</v>
      </c>
      <c r="BL262" s="66" t="n">
        <f aca="false">IF(AND(ISNUMBER(BL258),ISNUMBER(BL157)),IFERROR(BL258/BL157,""),"")</f>
        <v>9.9028700984181</v>
      </c>
      <c r="BM262" s="66" t="n">
        <f aca="false">IF(AND(ISNUMBER(BM258),ISNUMBER(BM157)),IFERROR(BM258/BM157,""),"")</f>
        <v>1.85697680470498</v>
      </c>
      <c r="BN262" s="66" t="n">
        <f aca="false">IF(AND(ISNUMBER(BN258),ISNUMBER(BN157)),IFERROR(BN258/BN157,""),"")</f>
        <v>2.57204615974619</v>
      </c>
      <c r="BO262" s="66" t="n">
        <f aca="false">IF(AND(ISNUMBER(BO258),ISNUMBER(BO157)),IFERROR(BO258/BO157,""),"")</f>
        <v>2.86473556934076</v>
      </c>
      <c r="BP262" s="66" t="n">
        <f aca="false">IF(AND(ISNUMBER(BP258),ISNUMBER(BP157)),IFERROR(BP258/BP157,""),"")</f>
        <v>1.13184202189447</v>
      </c>
      <c r="BQ262" s="66" t="n">
        <f aca="false">IF(AND(ISNUMBER(BQ258),ISNUMBER(BQ157)),IFERROR(BQ258/BQ157,""),"")</f>
        <v>8.4339965730671</v>
      </c>
      <c r="BR262" s="66" t="n">
        <f aca="false">IF(AND(ISNUMBER(BR258),ISNUMBER(BR157)),IFERROR(BR258/BR157,""),"")</f>
        <v>2.80828630565924</v>
      </c>
      <c r="BS262" s="66" t="n">
        <f aca="false">IF(AND(ISNUMBER(BS258),ISNUMBER(BS157)),IFERROR(BS258/BS157,""),"")</f>
        <v>2.11522655803316</v>
      </c>
      <c r="BT262" s="66" t="n">
        <f aca="false">IF(AND(ISNUMBER(BT258),ISNUMBER(BT157)),IFERROR(BT258/BT157,""),"")</f>
        <v>3.68969302191672</v>
      </c>
      <c r="BU262" s="66" t="n">
        <f aca="false">IF(AND(ISNUMBER(BU258),ISNUMBER(BU157)),IFERROR(BU258/BU157,""),"")</f>
        <v>0.938767775933011</v>
      </c>
      <c r="BV262" s="66" t="n">
        <f aca="false">IF(AND(ISNUMBER(BV258),ISNUMBER(BV157)),IFERROR(BV258/BV157,""),"")</f>
        <v>9.56060850111857</v>
      </c>
      <c r="BW262" s="66" t="n">
        <f aca="false">IF(AND(ISNUMBER(BW258),ISNUMBER(BW157)),IFERROR(BW258/BW157,""),"")</f>
        <v>1.13901693873493</v>
      </c>
      <c r="BX262" s="66" t="n">
        <f aca="false">IF(AND(ISNUMBER(BX258),ISNUMBER(BX157)),IFERROR(BX258/BX157,""),"")</f>
        <v>4.03482632209357</v>
      </c>
      <c r="BY262" s="67" t="str">
        <f aca="false">IF(AND(ISNUMBER(BY258),ISNUMBER(BY157)),IFERROR(BY258/BY157,""),"")</f>
        <v/>
      </c>
      <c r="BZ262" s="67" t="str">
        <f aca="false">IF(AND(ISNUMBER(BZ258),ISNUMBER(BZ157)),IFERROR(BZ258/BZ157,""),"")</f>
        <v/>
      </c>
      <c r="CA262" s="67" t="n">
        <f aca="false">IF(AND(ISNUMBER(CA258),ISNUMBER(CA157)),IFERROR(CA258/CA157,""),"")</f>
        <v>9.13684920121888</v>
      </c>
      <c r="CB262" s="67" t="n">
        <f aca="false">IF(AND(ISNUMBER(CB258),ISNUMBER(CB157)),IFERROR(CB258/CB157,""),"")</f>
        <v>11.7474228816091</v>
      </c>
      <c r="CC262" s="67" t="n">
        <f aca="false">IF(AND(ISNUMBER(CC258),ISNUMBER(CC157)),IFERROR(CC258/CC157,""),"")</f>
        <v>12.9080341971187</v>
      </c>
      <c r="CD262" s="67" t="n">
        <f aca="false">IF(AND(ISNUMBER(CD258),ISNUMBER(CD157)),IFERROR(CD258/CD157,""),"")</f>
        <v>14.377342301931</v>
      </c>
      <c r="CE262" s="67" t="n">
        <f aca="false">IF(AND(ISNUMBER(CE258),ISNUMBER(CE157)),IFERROR(CE258/CE157,""),"")</f>
        <v>15.7212517725085</v>
      </c>
    </row>
    <row r="263" customFormat="false" ht="15" hidden="false" customHeight="false" outlineLevel="0" collapsed="false">
      <c r="B263" s="37" t="s">
        <v>400</v>
      </c>
    </row>
    <row r="264" customFormat="false" ht="15" hidden="false" customHeight="false" outlineLevel="0" collapsed="false">
      <c r="B264" s="21" t="s">
        <v>401</v>
      </c>
      <c r="C264" s="22" t="n">
        <f aca="false">IFERROR(-N(C239)/C133,"")</f>
        <v>0.0385422292543036</v>
      </c>
      <c r="D264" s="22" t="n">
        <f aca="false">IFERROR(-N(D239)/D133,"")</f>
        <v>0.0270227255189444</v>
      </c>
      <c r="E264" s="22" t="n">
        <f aca="false">IFERROR(-N(E239)/E133,"")</f>
        <v>0.029214269032173</v>
      </c>
      <c r="F264" s="22" t="n">
        <f aca="false">IFERROR(-N(F239)/F133,"")</f>
        <v>0.0220906328338013</v>
      </c>
      <c r="G264" s="22" t="n">
        <f aca="false">IFERROR(-N(G239)/G133,"")</f>
        <v>0.0292560231710215</v>
      </c>
      <c r="H264" s="22" t="n">
        <f aca="false">IFERROR(-N(H239)/H133,"")</f>
        <v>0.0244239516753637</v>
      </c>
      <c r="I264" s="22" t="n">
        <f aca="false">IFERROR(-N(I239)/I133,"")</f>
        <v>0.0184746651937869</v>
      </c>
      <c r="J264" s="22" t="n">
        <f aca="false">IFERROR(-N(J239)/J133,"")</f>
        <v>0.0210667531343371</v>
      </c>
      <c r="K264" s="22" t="n">
        <f aca="false">IFERROR(-N(K239)/K133,"")</f>
        <v>0.0218714601502271</v>
      </c>
      <c r="L264" s="22" t="n">
        <f aca="false">IFERROR(-N(L239)/L133,"")</f>
        <v>0.0413990966576332</v>
      </c>
      <c r="M264" s="22" t="n">
        <f aca="false">IFERROR(-N(M239)/M133,"")</f>
        <v>0.0228374447915545</v>
      </c>
      <c r="N264" s="22" t="n">
        <f aca="false">IFERROR(-N(N239)/N133,"")</f>
        <v>0.0266469564839408</v>
      </c>
      <c r="O264" s="22" t="n">
        <f aca="false">IFERROR(-N(O239)/O133,"")</f>
        <v>0.0211747257912423</v>
      </c>
      <c r="P264" s="22" t="n">
        <f aca="false">IFERROR(-N(P239)/P133,"")</f>
        <v>0.0349209573786153</v>
      </c>
      <c r="Q264" s="22" t="n">
        <f aca="false">IFERROR(-N(Q239)/Q133,"")</f>
        <v>0.0216310387173659</v>
      </c>
      <c r="R264" s="22" t="n">
        <f aca="false">IFERROR(-N(R239)/R133,"")</f>
        <v>0.0256742412501426</v>
      </c>
      <c r="S264" s="22" t="n">
        <f aca="false">IFERROR(-N(S239)/S133,"")</f>
        <v>0.025944398867674</v>
      </c>
      <c r="T264" s="22" t="n">
        <f aca="false">IFERROR(-N(T239)/T133,"")</f>
        <v>0.0189329685362517</v>
      </c>
      <c r="U264" s="22" t="n">
        <f aca="false">IFERROR(-N(U239)/U133,"")</f>
        <v>0.0252143695279357</v>
      </c>
      <c r="V264" s="22" t="n">
        <f aca="false">IFERROR(-N(V239)/V133,"")</f>
        <v>0.0170033758753561</v>
      </c>
      <c r="W264" s="22" t="n">
        <f aca="false">IFERROR(-N(W239)/W133,"")</f>
        <v>0.0181694939126914</v>
      </c>
      <c r="X264" s="22" t="n">
        <f aca="false">IFERROR(-N(X239)/X133,"")</f>
        <v>0.0199176509420532</v>
      </c>
      <c r="Y264" s="22" t="n">
        <f aca="false">IFERROR(-N(Y239)/Y133,"")</f>
        <v>0.0161333667440197</v>
      </c>
      <c r="Z264" s="22" t="n">
        <f aca="false">IFERROR(-N(Z239)/Z133,"")</f>
        <v>0.0268290295028173</v>
      </c>
      <c r="AA264" s="22" t="n">
        <f aca="false">IFERROR(-N(AA239)/AA133,"")</f>
        <v>0.0257167319068574</v>
      </c>
      <c r="AB264" s="22" t="n">
        <f aca="false">IFERROR(-N(AB239)/AB133,"")</f>
        <v>0.018622700539881</v>
      </c>
      <c r="AC264" s="22" t="n">
        <f aca="false">IFERROR(-N(AC239)/AC133,"")</f>
        <v>0.0219276765200601</v>
      </c>
      <c r="AD264" s="22" t="n">
        <f aca="false">IFERROR(-N(AD239)/AD133,"")</f>
        <v>0.0207214015565582</v>
      </c>
      <c r="AE264" s="22" t="n">
        <f aca="false">IFERROR(-N(AE239)/AE133,"")</f>
        <v>0.0256740761065505</v>
      </c>
      <c r="AF264" s="22" t="n">
        <f aca="false">IFERROR(-N(AF239)/AF133,"")</f>
        <v>0.0161734810475421</v>
      </c>
      <c r="AG264" s="22" t="n">
        <f aca="false">IFERROR(-N(AG239)/AG133,"")</f>
        <v>0.0303766804740459</v>
      </c>
      <c r="AH264" s="22" t="n">
        <f aca="false">IFERROR(-N(AH239)/AH133,"")</f>
        <v>0.023493092407459</v>
      </c>
      <c r="AI264" s="22" t="n">
        <f aca="false">IFERROR(-N(AI239)/AI133,"")</f>
        <v>0.0193441696933863</v>
      </c>
      <c r="AJ264" s="22" t="n">
        <f aca="false">IFERROR(-N(AJ239)/AJ133,"")</f>
        <v>0.021170758380461</v>
      </c>
      <c r="AK264" s="22" t="n">
        <f aca="false">IFERROR(-N(AK239)/AK133,"")</f>
        <v>0.0235558588466407</v>
      </c>
      <c r="AL264" s="22" t="n">
        <f aca="false">IFERROR(-N(AL239)/AL133,"")</f>
        <v>0.0302489691823502</v>
      </c>
      <c r="AM264" s="22" t="n">
        <f aca="false">IFERROR(-N(AM239)/AM133,"")</f>
        <v>0.0235238259383479</v>
      </c>
      <c r="AN264" s="22" t="n">
        <f aca="false">IFERROR(-N(AN239)/AN133,"")</f>
        <v>0.021406159852682</v>
      </c>
      <c r="AO264" s="22" t="n">
        <f aca="false">IFERROR(-N(AO239)/AO133,"")</f>
        <v>0.026076951588658</v>
      </c>
      <c r="AP264" s="22" t="n">
        <f aca="false">IFERROR(-N(AP239)/AP133,"")</f>
        <v>0.0233147185963549</v>
      </c>
      <c r="AQ264" s="22" t="n">
        <f aca="false">IFERROR(-N(AQ239)/AQ133,"")</f>
        <v>0.0218169866645299</v>
      </c>
      <c r="AR264" s="22" t="n">
        <f aca="false">IFERROR(-N(AR239)/AR133,"")</f>
        <v>0.0231797186535219</v>
      </c>
      <c r="AS264" s="22" t="n">
        <f aca="false">IFERROR(-N(AS239)/AS133,"")</f>
        <v>0.0168492188646293</v>
      </c>
      <c r="AT264" s="22" t="n">
        <f aca="false">IFERROR(-N(AT239)/AT133,"")</f>
        <v>0.0223165692443379</v>
      </c>
      <c r="AU264" s="22" t="n">
        <f aca="false">IFERROR(-N(AU239)/AU133,"")</f>
        <v>0.0180972001291696</v>
      </c>
      <c r="AV264" s="22" t="n">
        <f aca="false">IFERROR(-N(AV239)/AV133,"")</f>
        <v>0.0318322153261631</v>
      </c>
      <c r="AW264" s="22" t="n">
        <f aca="false">IFERROR(-N(AW239)/AW133,"")</f>
        <v>0.0222945695563757</v>
      </c>
      <c r="AX264" s="22" t="n">
        <f aca="false">IFERROR(-N(AX239)/AX133,"")</f>
        <v>0.0131251312711272</v>
      </c>
      <c r="AY264" s="22" t="n">
        <f aca="false">IFERROR(-N(AY239)/AY133,"")</f>
        <v>0.0215765184753174</v>
      </c>
      <c r="AZ264" s="22" t="n">
        <f aca="false">IFERROR(-N(AZ239)/AZ133,"")</f>
        <v>0.0231532114664941</v>
      </c>
      <c r="BA264" s="22" t="n">
        <f aca="false">IFERROR(-N(BA239)/BA133,"")</f>
        <v>0.0190594977086198</v>
      </c>
      <c r="BB264" s="22" t="n">
        <f aca="false">IFERROR(-N(BB239)/BB133,"")</f>
        <v>0.01933442170813</v>
      </c>
      <c r="BC264" s="22" t="n">
        <f aca="false">IFERROR(-N(BC239)/BC133,"")</f>
        <v>0.020176174134041</v>
      </c>
      <c r="BD264" s="22" t="n">
        <f aca="false">IFERROR(-N(BD239)/BD133,"")</f>
        <v>0.0164296418379334</v>
      </c>
      <c r="BE264" s="22" t="n">
        <f aca="false">IFERROR(-N(BE239)/BE133,"")</f>
        <v>0.0189245541251444</v>
      </c>
      <c r="BF264" s="22" t="n">
        <f aca="false">IFERROR(-N(BF239)/BF133,"")</f>
        <v>0.0210347887175675</v>
      </c>
      <c r="BG264" s="22" t="n">
        <f aca="false">IFERROR(-N(BG239)/BG133,"")</f>
        <v>0.0191116637699932</v>
      </c>
      <c r="BH264" s="22" t="n">
        <f aca="false">IFERROR(-N(BH239)/BH133,"")</f>
        <v>0.0180758421425843</v>
      </c>
      <c r="BI264" s="22" t="n">
        <f aca="false">IFERROR(-N(BI239)/BI133,"")</f>
        <v>0.0205220802119625</v>
      </c>
      <c r="BJ264" s="22" t="n">
        <f aca="false">IFERROR(-N(BJ239)/BJ133,"")</f>
        <v>0.0250741859866397</v>
      </c>
      <c r="BK264" s="22" t="n">
        <f aca="false">IFERROR(-N(BK239)/BK133,"")</f>
        <v>0.0231721073127044</v>
      </c>
      <c r="BL264" s="22" t="n">
        <f aca="false">IFERROR(-N(BL239)/BL133,"")</f>
        <v>0.021706798968231</v>
      </c>
      <c r="BM264" s="22" t="n">
        <f aca="false">IFERROR(-N(BM239)/BM133,"")</f>
        <v>0.0267591523414768</v>
      </c>
      <c r="BN264" s="22" t="n">
        <f aca="false">IFERROR(-N(BN239)/BN133,"")</f>
        <v>0.0226479250413289</v>
      </c>
      <c r="BO264" s="22" t="n">
        <f aca="false">IFERROR(-N(BO239)/BO133,"")</f>
        <v>0.0363117389523247</v>
      </c>
      <c r="BP264" s="22" t="n">
        <f aca="false">IFERROR(-N(BP239)/BP133,"")</f>
        <v>0.0308072847105421</v>
      </c>
      <c r="BQ264" s="22" t="n">
        <f aca="false">IFERROR(-N(BQ239)/BQ133,"")</f>
        <v>0.0290877024050371</v>
      </c>
      <c r="BR264" s="22" t="n">
        <f aca="false">IFERROR(-N(BR239)/BR133,"")</f>
        <v>0.0268312644117612</v>
      </c>
      <c r="BS264" s="22" t="n">
        <f aca="false">IFERROR(-N(BS239)/BS133,"")</f>
        <v>0.0233706539980325</v>
      </c>
      <c r="BT264" s="22" t="n">
        <f aca="false">IFERROR(-N(BT239)/BT133,"")</f>
        <v>0.0298107756398961</v>
      </c>
      <c r="BU264" s="22" t="n">
        <f aca="false">IFERROR(-N(BU239)/BU133,"")</f>
        <v>0.039812183941078</v>
      </c>
      <c r="BV264" s="22" t="n">
        <f aca="false">IFERROR(-N(BV239)/BV133,"")</f>
        <v>0.0299961989159942</v>
      </c>
      <c r="BW264" s="22" t="n">
        <f aca="false">IFERROR(-N(BW239)/BW133,"")</f>
        <v>0.034922251331777</v>
      </c>
      <c r="BX264" s="22" t="n">
        <f aca="false">IFERROR(-N(BX239)/BX133,"")</f>
        <v>0.025775152644624</v>
      </c>
      <c r="BY264" s="23" t="n">
        <f aca="false">IFERROR(-N(BY239)/BY133,"")</f>
        <v>-0</v>
      </c>
      <c r="BZ264" s="23" t="n">
        <f aca="false">IFERROR(-N(BZ239)/BZ133,"")</f>
        <v>-0</v>
      </c>
      <c r="CA264" s="23" t="n">
        <f aca="false">IFERROR(-N(CA239)/CA133,"")</f>
        <v>0.0254248150510761</v>
      </c>
      <c r="CB264" s="30" t="n">
        <v>0.025</v>
      </c>
      <c r="CC264" s="30" t="n">
        <v>0.025</v>
      </c>
      <c r="CD264" s="30" t="n">
        <v>0.025</v>
      </c>
      <c r="CE264" s="30" t="n">
        <v>0.025</v>
      </c>
      <c r="CF264" s="19" t="s">
        <v>402</v>
      </c>
      <c r="CH264" s="41" t="n">
        <f aca="false">IFERROR(AVERAGE(CA264,CB264,CC264,CD264,CE264),"n/m")</f>
        <v>0.0250849630102152</v>
      </c>
      <c r="CI264" s="41" t="n">
        <f aca="false">IFERROR(AVERAGE(BB264,BG264,BL264,BQ264,BV264),"n/m")</f>
        <v>0.0238473571534771</v>
      </c>
      <c r="CJ264" s="41" t="n">
        <f aca="false">IFERROR(AVERAGE(AC264,AH264,AM264,AR264,AW264,BB264,BG264,BL264,BQ264,BV264),"n/m")</f>
        <v>0.023365566884315</v>
      </c>
      <c r="CK264" s="41" t="n">
        <f aca="false">IFERROR(AVERAGE(C264,D264,E264,F264,G264,H264,I264,N264,S264,X264,AC264,AH264,AM264,AR264,AW264,BB264,BG264,BL264,BQ264,BV264),"n/m")</f>
        <v>0.0247594585908106</v>
      </c>
    </row>
    <row r="265" customFormat="false" ht="15" hidden="false" customHeight="false" outlineLevel="0" collapsed="false">
      <c r="B265" s="26" t="s">
        <v>403</v>
      </c>
      <c r="C265" s="73" t="n">
        <f aca="false">IFERROR(-N(C239)/C152,"")</f>
        <v>1.58916884474647</v>
      </c>
      <c r="D265" s="73" t="n">
        <f aca="false">IFERROR(-N(D239)/D152,"")</f>
        <v>1.17150731800038</v>
      </c>
      <c r="E265" s="73" t="n">
        <f aca="false">IFERROR(-N(E239)/E152,"")</f>
        <v>1.27230566534914</v>
      </c>
      <c r="F265" s="73" t="n">
        <f aca="false">IFERROR(-N(F239)/F152,"")</f>
        <v>0.674953178557546</v>
      </c>
      <c r="G265" s="73" t="n">
        <f aca="false">IFERROR(-N(G239)/G152,"")</f>
        <v>1.05593040082292</v>
      </c>
      <c r="H265" s="73" t="n">
        <f aca="false">IFERROR(-N(H239)/H152,"")</f>
        <v>1.06062754830704</v>
      </c>
      <c r="I265" s="73" t="n">
        <f aca="false">IFERROR(-N(I239)/I152,"")</f>
        <v>0.806854011693758</v>
      </c>
      <c r="J265" s="73" t="n">
        <f aca="false">IFERROR(-N(J239)/J152,"")</f>
        <v>0.870150025866529</v>
      </c>
      <c r="K265" s="73" t="n">
        <f aca="false">IFERROR(-N(K239)/K152,"")</f>
        <v>0.927264249912577</v>
      </c>
      <c r="L265" s="73" t="n">
        <f aca="false">IFERROR(-N(L239)/L152,"")</f>
        <v>1.65318019161953</v>
      </c>
      <c r="M265" s="73" t="n">
        <f aca="false">IFERROR(-N(M239)/M152,"")</f>
        <v>0.960122338548406</v>
      </c>
      <c r="N265" s="73" t="n">
        <f aca="false">IFERROR(-N(N239)/N152,"")</f>
        <v>1.1035378830771</v>
      </c>
      <c r="O265" s="73" t="n">
        <f aca="false">IFERROR(-N(O239)/O152,"")</f>
        <v>0.808990017288495</v>
      </c>
      <c r="P265" s="73" t="n">
        <f aca="false">IFERROR(-N(P239)/P152,"")</f>
        <v>1.41582725805554</v>
      </c>
      <c r="Q265" s="73" t="n">
        <f aca="false">IFERROR(-N(Q239)/Q152,"")</f>
        <v>0.904539346848163</v>
      </c>
      <c r="R265" s="73" t="n">
        <f aca="false">IFERROR(-N(R239)/R152,"")</f>
        <v>1.05846895720313</v>
      </c>
      <c r="S265" s="73" t="n">
        <f aca="false">IFERROR(-N(S239)/S152,"")</f>
        <v>1.04860143376385</v>
      </c>
      <c r="T265" s="73" t="n">
        <f aca="false">IFERROR(-N(T239)/T152,"")</f>
        <v>0.776946107784431</v>
      </c>
      <c r="U265" s="73" t="n">
        <f aca="false">IFERROR(-N(U239)/U152,"")</f>
        <v>1.06853244931786</v>
      </c>
      <c r="V265" s="73" t="n">
        <f aca="false">IFERROR(-N(V239)/V152,"")</f>
        <v>0.678039433833983</v>
      </c>
      <c r="W265" s="73" t="n">
        <f aca="false">IFERROR(-N(W239)/W152,"")</f>
        <v>0.640595903165736</v>
      </c>
      <c r="X265" s="73" t="n">
        <f aca="false">IFERROR(-N(X239)/X152,"")</f>
        <v>0.789085568765916</v>
      </c>
      <c r="Y265" s="73" t="n">
        <f aca="false">IFERROR(-N(Y239)/Y152,"")</f>
        <v>0.56864</v>
      </c>
      <c r="Z265" s="73" t="n">
        <f aca="false">IFERROR(-N(Z239)/Z152,"")</f>
        <v>0.957066297344493</v>
      </c>
      <c r="AA265" s="73" t="n">
        <f aca="false">IFERROR(-N(AA239)/AA152,"")</f>
        <v>0.897620365246264</v>
      </c>
      <c r="AB265" s="73" t="n">
        <f aca="false">IFERROR(-N(AB239)/AB152,"")</f>
        <v>0.633369525877669</v>
      </c>
      <c r="AC265" s="73" t="n">
        <f aca="false">IFERROR(-N(AC239)/AC152,"")</f>
        <v>0.766477648179737</v>
      </c>
      <c r="AD265" s="73" t="n">
        <f aca="false">IFERROR(-N(AD239)/AD152,"")</f>
        <v>0.744587405666213</v>
      </c>
      <c r="AE265" s="73" t="n">
        <f aca="false">IFERROR(-N(AE239)/AE152,"")</f>
        <v>1.01603535353535</v>
      </c>
      <c r="AF265" s="73" t="n">
        <f aca="false">IFERROR(-N(AF239)/AF152,"")</f>
        <v>0.586851661156577</v>
      </c>
      <c r="AG265" s="73" t="n">
        <f aca="false">IFERROR(-N(AG239)/AG152,"")</f>
        <v>1.28536640616151</v>
      </c>
      <c r="AH265" s="73" t="n">
        <f aca="false">IFERROR(-N(AH239)/AH152,"")</f>
        <v>0.905175071570139</v>
      </c>
      <c r="AI265" s="73" t="n">
        <f aca="false">IFERROR(-N(AI239)/AI152,"")</f>
        <v>0.808260725708614</v>
      </c>
      <c r="AJ265" s="73" t="n">
        <f aca="false">IFERROR(-N(AJ239)/AJ152,"")</f>
        <v>0.919566771125405</v>
      </c>
      <c r="AK265" s="73" t="n">
        <f aca="false">IFERROR(-N(AK239)/AK152,"")</f>
        <v>0.985246552800318</v>
      </c>
      <c r="AL265" s="73" t="n">
        <f aca="false">IFERROR(-N(AL239)/AL152,"")</f>
        <v>1.22282608695652</v>
      </c>
      <c r="AM265" s="73" t="n">
        <f aca="false">IFERROR(-N(AM239)/AM152,"")</f>
        <v>0.984795289304177</v>
      </c>
      <c r="AN265" s="73" t="n">
        <f aca="false">IFERROR(-N(AN239)/AN152,"")</f>
        <v>0.859795778001164</v>
      </c>
      <c r="AO265" s="73" t="n">
        <f aca="false">IFERROR(-N(AO239)/AO152,"")</f>
        <v>0.99562675052823</v>
      </c>
      <c r="AP265" s="73" t="n">
        <f aca="false">IFERROR(-N(AP239)/AP152,"")</f>
        <v>0.805655381123511</v>
      </c>
      <c r="AQ265" s="73" t="n">
        <f aca="false">IFERROR(-N(AQ239)/AQ152,"")</f>
        <v>0.76179636743017</v>
      </c>
      <c r="AR265" s="73" t="n">
        <f aca="false">IFERROR(-N(AR239)/AR152,"")</f>
        <v>0.854308049136672</v>
      </c>
      <c r="AS265" s="73" t="n">
        <f aca="false">IFERROR(-N(AS239)/AS152,"")</f>
        <v>0.562488111089975</v>
      </c>
      <c r="AT265" s="73" t="n">
        <f aca="false">IFERROR(-N(AT239)/AT152,"")</f>
        <v>0.657506234413965</v>
      </c>
      <c r="AU265" s="73" t="n">
        <f aca="false">IFERROR(-N(AU239)/AU152,"")</f>
        <v>0.621151477832512</v>
      </c>
      <c r="AV265" s="73" t="n">
        <f aca="false">IFERROR(-N(AV239)/AV152,"")</f>
        <v>1.1083508983238</v>
      </c>
      <c r="AW265" s="73" t="n">
        <f aca="false">IFERROR(-N(AW239)/AW152,"")</f>
        <v>0.735489241166824</v>
      </c>
      <c r="AX265" s="73" t="n">
        <f aca="false">IFERROR(-N(AX239)/AX152,"")</f>
        <v>0.519719635945183</v>
      </c>
      <c r="AY265" s="73" t="n">
        <f aca="false">IFERROR(-N(AY239)/AY152,"")</f>
        <v>0.919649303764827</v>
      </c>
      <c r="AZ265" s="73" t="n">
        <f aca="false">IFERROR(-N(AZ239)/AZ152,"")</f>
        <v>0.846802721088435</v>
      </c>
      <c r="BA265" s="73" t="n">
        <f aca="false">IFERROR(-N(BA239)/BA152,"")</f>
        <v>0.781571789391879</v>
      </c>
      <c r="BB265" s="73" t="n">
        <f aca="false">IFERROR(-N(BB239)/BB152,"")</f>
        <v>0.770598673995021</v>
      </c>
      <c r="BC265" s="73" t="n">
        <f aca="false">IFERROR(-N(BC239)/BC152,"")</f>
        <v>0.938716002212056</v>
      </c>
      <c r="BD265" s="73" t="n">
        <f aca="false">IFERROR(-N(BD239)/BD152,"")</f>
        <v>0.801791826051943</v>
      </c>
      <c r="BE265" s="73" t="n">
        <f aca="false">IFERROR(-N(BE239)/BE152,"")</f>
        <v>0.919428571428572</v>
      </c>
      <c r="BF265" s="73" t="n">
        <f aca="false">IFERROR(-N(BF239)/BF152,"")</f>
        <v>1.02792650918635</v>
      </c>
      <c r="BG265" s="73" t="n">
        <f aca="false">IFERROR(-N(BG239)/BG152,"")</f>
        <v>0.920880359727898</v>
      </c>
      <c r="BH265" s="73" t="n">
        <f aca="false">IFERROR(-N(BH239)/BH152,"")</f>
        <v>0.882225874618455</v>
      </c>
      <c r="BI265" s="73" t="n">
        <f aca="false">IFERROR(-N(BI239)/BI152,"")</f>
        <v>0.993064744262445</v>
      </c>
      <c r="BJ265" s="73" t="n">
        <f aca="false">IFERROR(-N(BJ239)/BJ152,"")</f>
        <v>1.20559355949556</v>
      </c>
      <c r="BK265" s="73" t="n">
        <f aca="false">IFERROR(-N(BK239)/BK152,"")</f>
        <v>1.11648231599071</v>
      </c>
      <c r="BL265" s="73" t="n">
        <f aca="false">IFERROR(-N(BL239)/BL152,"")</f>
        <v>1.04980962270682</v>
      </c>
      <c r="BM265" s="73" t="n">
        <f aca="false">IFERROR(-N(BM239)/BM152,"")</f>
        <v>1.21634392661911</v>
      </c>
      <c r="BN265" s="73" t="n">
        <f aca="false">IFERROR(-N(BN239)/BN152,"")</f>
        <v>1.10898634076204</v>
      </c>
      <c r="BO265" s="73" t="n">
        <f aca="false">IFERROR(-N(BO239)/BO152,"")</f>
        <v>1.57754813637167</v>
      </c>
      <c r="BP265" s="73" t="n">
        <f aca="false">IFERROR(-N(BP239)/BP152,"")</f>
        <v>1.36049777470509</v>
      </c>
      <c r="BQ265" s="73" t="n">
        <f aca="false">IFERROR(-N(BQ239)/BQ152,"")</f>
        <v>1.32146014188898</v>
      </c>
      <c r="BR265" s="73" t="n">
        <f aca="false">IFERROR(-N(BR239)/BR152,"")</f>
        <v>1.13307265388496</v>
      </c>
      <c r="BS265" s="73" t="n">
        <f aca="false">IFERROR(-N(BS239)/BS152,"")</f>
        <v>1.04010301692421</v>
      </c>
      <c r="BT265" s="73" t="n">
        <f aca="false">IFERROR(-N(BT239)/BT152,"")</f>
        <v>1.27853216941481</v>
      </c>
      <c r="BU265" s="73" t="n">
        <f aca="false">IFERROR(-N(BU239)/BU152,"")</f>
        <v>1.68046642667084</v>
      </c>
      <c r="BV265" s="73" t="n">
        <f aca="false">IFERROR(-N(BV239)/BV152,"")</f>
        <v>1.28847441803828</v>
      </c>
      <c r="BW265" s="73" t="n">
        <f aca="false">IFERROR(-N(BW239)/BW152,"")</f>
        <v>1.50574801030413</v>
      </c>
      <c r="BX265" s="73" t="n">
        <f aca="false">IFERROR(-N(BX239)/BX152,"")</f>
        <v>1.21055874311679</v>
      </c>
      <c r="BY265" s="74" t="n">
        <f aca="false">IFERROR(-N(BY239)/BY152,"")</f>
        <v>-0</v>
      </c>
      <c r="BZ265" s="74" t="n">
        <f aca="false">IFERROR(-N(BZ239)/BZ152,"")</f>
        <v>-0</v>
      </c>
      <c r="CA265" s="74" t="n">
        <f aca="false">IFERROR(-N(CA239)/CA152,"")</f>
        <v>1.16930363898958</v>
      </c>
      <c r="CB265" s="74" t="n">
        <f aca="false">IFERROR(-N(CB239)/CB152,"")</f>
        <v>1.05830759108755</v>
      </c>
      <c r="CC265" s="74" t="n">
        <f aca="false">IFERROR(-N(CC239)/CC152,"")</f>
        <v>1.00875583544365</v>
      </c>
      <c r="CD265" s="74" t="n">
        <f aca="false">IFERROR(-N(CD239)/CD152,"")</f>
        <v>0.967659356398178</v>
      </c>
      <c r="CE265" s="74" t="n">
        <f aca="false">IFERROR(-N(CE239)/CE152,"")</f>
        <v>0.933133125339884</v>
      </c>
    </row>
    <row r="267" customFormat="false" ht="15" hidden="false" customHeight="false" outlineLevel="0" collapsed="false">
      <c r="B267" s="10" t="s">
        <v>404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</row>
    <row r="268" customFormat="false" ht="15" hidden="false" customHeight="false" outlineLevel="0" collapsed="false">
      <c r="B268" s="26" t="s">
        <v>405</v>
      </c>
      <c r="CA268" s="65" t="n">
        <f aca="false">CA382</f>
        <v>275.54</v>
      </c>
      <c r="CB268" s="65" t="n">
        <f aca="false">CA268*(1+CB326)</f>
        <v>297.5832</v>
      </c>
      <c r="CC268" s="65" t="n">
        <f aca="false">CB268*(1+CC326)</f>
        <v>321.389856</v>
      </c>
      <c r="CD268" s="65" t="n">
        <f aca="false">CC268*(1+CD326)</f>
        <v>347.10104448</v>
      </c>
      <c r="CE268" s="65" t="n">
        <f aca="false">CD268*(1+CE326)</f>
        <v>374.8691280384</v>
      </c>
    </row>
    <row r="269" customFormat="false" ht="15" hidden="false" customHeight="false" outlineLevel="0" collapsed="false">
      <c r="B269" s="26" t="s">
        <v>406</v>
      </c>
      <c r="CA269" s="51" t="n">
        <f aca="false">CHOOSE(MATCH($CF$2,{"Bull","Base","Bear"},0),$CO$21,$CP$21,$CQ$21)</f>
        <v>150</v>
      </c>
      <c r="CB269" s="51" t="n">
        <f aca="false">-CB247</f>
        <v>378.884079348682</v>
      </c>
      <c r="CC269" s="51" t="n">
        <f aca="false">-CC247</f>
        <v>404.991274202004</v>
      </c>
      <c r="CD269" s="51" t="n">
        <f aca="false">-CD247</f>
        <v>458.228592477172</v>
      </c>
      <c r="CE269" s="51" t="n">
        <f aca="false">-CE247</f>
        <v>495.563899409549</v>
      </c>
    </row>
    <row r="270" customFormat="false" ht="15" hidden="false" customHeight="false" outlineLevel="0" collapsed="false">
      <c r="B270" s="26" t="s">
        <v>407</v>
      </c>
      <c r="CA270" s="65" t="n">
        <f aca="false">IFERROR(CA269/CA268,0)</f>
        <v>0.544385570153154</v>
      </c>
      <c r="CB270" s="65" t="n">
        <f aca="false">IFERROR(CB269/CB268,0)</f>
        <v>1.27320386147028</v>
      </c>
      <c r="CC270" s="65" t="n">
        <f aca="false">IFERROR(CC269/CC268,0)</f>
        <v>1.26012463256465</v>
      </c>
      <c r="CD270" s="65" t="n">
        <f aca="false">IFERROR(CD269/CD268,0)</f>
        <v>1.32015907115363</v>
      </c>
      <c r="CE270" s="65" t="n">
        <f aca="false">IFERROR(CE269/CE268,0)</f>
        <v>1.32196508686302</v>
      </c>
    </row>
    <row r="271" customFormat="false" ht="15" hidden="false" customHeight="false" outlineLevel="0" collapsed="false">
      <c r="B271" s="26" t="s">
        <v>408</v>
      </c>
      <c r="CA271" s="75" t="n">
        <v>0.1</v>
      </c>
      <c r="CB271" s="75" t="n">
        <v>0.25</v>
      </c>
      <c r="CC271" s="75" t="n">
        <v>0.25</v>
      </c>
      <c r="CD271" s="75" t="n">
        <v>0.25</v>
      </c>
      <c r="CE271" s="75" t="n">
        <v>0.25</v>
      </c>
    </row>
    <row r="272" customFormat="false" ht="15" hidden="false" customHeight="false" outlineLevel="0" collapsed="false">
      <c r="B272" s="26" t="s">
        <v>409</v>
      </c>
      <c r="CA272" s="65" t="n">
        <f aca="false">$BX$313</f>
        <v>54.505757</v>
      </c>
      <c r="CB272" s="65" t="n">
        <f aca="false">CA273</f>
        <v>54.0613714298469</v>
      </c>
      <c r="CC272" s="65" t="n">
        <f aca="false">CB273</f>
        <v>53.0381675683766</v>
      </c>
      <c r="CD272" s="65" t="n">
        <f aca="false">CC273</f>
        <v>52.0280429358119</v>
      </c>
      <c r="CE272" s="65" t="n">
        <f aca="false">CD273</f>
        <v>50.9578838646583</v>
      </c>
    </row>
    <row r="273" customFormat="false" ht="15" hidden="false" customHeight="false" outlineLevel="0" collapsed="false">
      <c r="B273" s="15" t="s">
        <v>410</v>
      </c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76" t="n">
        <f aca="false">CA272-CA270+CA271</f>
        <v>54.0613714298469</v>
      </c>
      <c r="CB273" s="76" t="n">
        <f aca="false">CB272-CB270+CB271</f>
        <v>53.0381675683766</v>
      </c>
      <c r="CC273" s="76" t="n">
        <f aca="false">CC272-CC270+CC271</f>
        <v>52.0280429358119</v>
      </c>
      <c r="CD273" s="76" t="n">
        <f aca="false">CD272-CD270+CD271</f>
        <v>50.9578838646583</v>
      </c>
      <c r="CE273" s="76" t="n">
        <f aca="false">CE272-CE270+CE271</f>
        <v>49.8859187777953</v>
      </c>
    </row>
    <row r="274" customFormat="false" ht="15" hidden="false" customHeight="false" outlineLevel="0" collapsed="false">
      <c r="B274" s="21" t="s">
        <v>411</v>
      </c>
      <c r="CA274" s="23" t="n">
        <f aca="false">IFERROR(CA270/CA272,"")</f>
        <v>0.00998767102992724</v>
      </c>
      <c r="CB274" s="23" t="n">
        <f aca="false">IFERROR(CB270/CB272,"")</f>
        <v>0.0235510832928547</v>
      </c>
      <c r="CC274" s="23" t="n">
        <f aca="false">IFERROR(CC270/CC272,"")</f>
        <v>0.0237588267154988</v>
      </c>
      <c r="CD274" s="23" t="n">
        <f aca="false">IFERROR(CD270/CD272,"")</f>
        <v>0.0253739905762425</v>
      </c>
      <c r="CE274" s="23" t="n">
        <f aca="false">IFERROR(CE270/CE272,"")</f>
        <v>0.0259423073841547</v>
      </c>
    </row>
    <row r="275" customFormat="false" ht="15" hidden="false" customHeight="false" outlineLevel="0" collapsed="false">
      <c r="B275" s="37" t="s">
        <v>412</v>
      </c>
      <c r="CA275" s="65" t="n">
        <f aca="false">CA270</f>
        <v>0.544385570153154</v>
      </c>
      <c r="CB275" s="65" t="n">
        <f aca="false">CA275+CB270</f>
        <v>1.81758943162343</v>
      </c>
      <c r="CC275" s="65" t="n">
        <f aca="false">CB275+CC270</f>
        <v>3.07771406418808</v>
      </c>
      <c r="CD275" s="65" t="n">
        <f aca="false">CC275+CD270</f>
        <v>4.39787313534171</v>
      </c>
      <c r="CE275" s="65" t="n">
        <f aca="false">CD275+CE270</f>
        <v>5.71983822220473</v>
      </c>
    </row>
    <row r="277" customFormat="false" ht="15" hidden="false" customHeight="false" outlineLevel="0" collapsed="false">
      <c r="B277" s="10" t="s">
        <v>413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 t="s">
        <v>414</v>
      </c>
    </row>
    <row r="278" customFormat="false" ht="15" hidden="false" customHeight="false" outlineLevel="0" collapsed="false">
      <c r="B278" s="37" t="s">
        <v>415</v>
      </c>
    </row>
    <row r="279" customFormat="false" ht="15" hidden="false" customHeight="false" outlineLevel="0" collapsed="false">
      <c r="B279" s="26" t="s">
        <v>416</v>
      </c>
      <c r="C279" s="38" t="n">
        <v>120.212</v>
      </c>
      <c r="D279" s="38" t="n">
        <v>217.382</v>
      </c>
      <c r="E279" s="38" t="n">
        <v>284.332</v>
      </c>
      <c r="F279" s="38" t="n">
        <v>388.136</v>
      </c>
      <c r="G279" s="38" t="n">
        <v>366.193</v>
      </c>
      <c r="H279" s="38" t="n">
        <v>361.101</v>
      </c>
      <c r="I279" s="38" t="n">
        <v>286.464</v>
      </c>
      <c r="J279" s="38" t="n">
        <v>248.455</v>
      </c>
      <c r="K279" s="38" t="n">
        <v>256.389</v>
      </c>
      <c r="L279" s="38" t="n">
        <v>330.309</v>
      </c>
      <c r="M279" s="38" t="n">
        <v>299.825</v>
      </c>
      <c r="N279" s="38" t="n">
        <v>299.825</v>
      </c>
      <c r="O279" s="38" t="n">
        <v>205.387</v>
      </c>
      <c r="P279" s="38" t="n">
        <v>204.285</v>
      </c>
      <c r="Q279" s="38" t="n">
        <v>279.523</v>
      </c>
      <c r="R279" s="38" t="n">
        <v>278.379</v>
      </c>
      <c r="S279" s="38" t="n">
        <v>278.379</v>
      </c>
      <c r="T279" s="38" t="n">
        <v>289.017</v>
      </c>
      <c r="U279" s="38" t="n">
        <v>312.737</v>
      </c>
      <c r="V279" s="38" t="n">
        <v>364.345</v>
      </c>
      <c r="W279" s="38" t="n">
        <v>304.183</v>
      </c>
      <c r="X279" s="38" t="n">
        <v>304.183</v>
      </c>
      <c r="Y279" s="38" t="n">
        <v>220.996</v>
      </c>
      <c r="Z279" s="38" t="n">
        <v>237.019</v>
      </c>
      <c r="AA279" s="38" t="n">
        <v>256.928</v>
      </c>
      <c r="AB279" s="38" t="n">
        <v>379.179</v>
      </c>
      <c r="AC279" s="38" t="n">
        <v>379.179</v>
      </c>
      <c r="AD279" s="38" t="n">
        <v>401.44</v>
      </c>
      <c r="AE279" s="38" t="n">
        <v>395.735</v>
      </c>
      <c r="AF279" s="38" t="n">
        <v>299.453</v>
      </c>
      <c r="AG279" s="38" t="n">
        <v>326.701</v>
      </c>
      <c r="AH279" s="38" t="n">
        <v>326.701</v>
      </c>
      <c r="AI279" s="38" t="n">
        <v>369.056</v>
      </c>
      <c r="AJ279" s="38" t="n">
        <v>357.094</v>
      </c>
      <c r="AK279" s="38" t="n">
        <v>398.2</v>
      </c>
      <c r="AL279" s="38" t="n">
        <v>358.849</v>
      </c>
      <c r="AM279" s="38" t="n">
        <v>358.849</v>
      </c>
      <c r="AN279" s="38" t="n">
        <v>267.134</v>
      </c>
      <c r="AO279" s="38" t="n">
        <v>189.861</v>
      </c>
      <c r="AP279" s="38" t="n">
        <v>156.612</v>
      </c>
      <c r="AQ279" s="38" t="n">
        <v>199.563</v>
      </c>
      <c r="AR279" s="38" t="n">
        <v>199.563</v>
      </c>
      <c r="AS279" s="38" t="n">
        <v>163.375</v>
      </c>
      <c r="AT279" s="38" t="n">
        <v>143.055</v>
      </c>
      <c r="AU279" s="38" t="n">
        <v>152.479</v>
      </c>
      <c r="AV279" s="38" t="n">
        <v>257.279</v>
      </c>
      <c r="AW279" s="38" t="n">
        <v>257.279</v>
      </c>
      <c r="AX279" s="38" t="n">
        <v>242.126</v>
      </c>
      <c r="AY279" s="38" t="n">
        <v>190.884</v>
      </c>
      <c r="AZ279" s="38" t="n">
        <v>160.559</v>
      </c>
      <c r="BA279" s="38" t="n">
        <v>192.958</v>
      </c>
      <c r="BB279" s="38" t="n">
        <v>192.958</v>
      </c>
      <c r="BC279" s="38" t="n">
        <v>154.373</v>
      </c>
      <c r="BD279" s="38" t="n">
        <v>152.796</v>
      </c>
      <c r="BE279" s="38" t="n">
        <v>141.307</v>
      </c>
      <c r="BF279" s="38" t="n">
        <v>197.15</v>
      </c>
      <c r="BG279" s="38" t="n">
        <v>197.15</v>
      </c>
      <c r="BH279" s="38" t="n">
        <v>198.803</v>
      </c>
      <c r="BI279" s="38" t="n">
        <v>220.483</v>
      </c>
      <c r="BJ279" s="38" t="n">
        <v>342.667</v>
      </c>
      <c r="BK279" s="38" t="n">
        <v>393.787</v>
      </c>
      <c r="BL279" s="38" t="n">
        <v>393.787</v>
      </c>
      <c r="BM279" s="38" t="n">
        <v>374.978</v>
      </c>
      <c r="BN279" s="38" t="n">
        <v>272.672</v>
      </c>
      <c r="BO279" s="38" t="n">
        <v>404.218</v>
      </c>
      <c r="BP279" s="38" t="n">
        <v>377.262</v>
      </c>
      <c r="BQ279" s="38" t="n">
        <v>377.262</v>
      </c>
      <c r="BR279" s="38" t="n">
        <v>394.705</v>
      </c>
      <c r="BS279" s="38" t="n">
        <v>299.481</v>
      </c>
      <c r="BT279" s="38" t="n">
        <v>292.997</v>
      </c>
      <c r="BU279" s="38" t="n">
        <v>308.789</v>
      </c>
      <c r="BV279" s="38" t="n">
        <v>308.789</v>
      </c>
      <c r="BW279" s="38" t="n">
        <v>298.903</v>
      </c>
      <c r="BX279" s="38" t="n">
        <v>242.443</v>
      </c>
      <c r="CA279" s="51" t="n">
        <f aca="false">CA254</f>
        <v>250</v>
      </c>
      <c r="CB279" s="51" t="n">
        <f aca="false">CB254</f>
        <v>250</v>
      </c>
      <c r="CC279" s="51" t="n">
        <f aca="false">CC254</f>
        <v>250</v>
      </c>
      <c r="CD279" s="51" t="n">
        <f aca="false">CD254</f>
        <v>250</v>
      </c>
      <c r="CE279" s="51" t="n">
        <f aca="false">CE254</f>
        <v>250</v>
      </c>
    </row>
    <row r="280" customFormat="false" ht="15" hidden="false" customHeight="false" outlineLevel="0" collapsed="false">
      <c r="B280" s="26" t="s">
        <v>417</v>
      </c>
      <c r="C280" s="38" t="n">
        <v>298.993</v>
      </c>
      <c r="D280" s="38" t="n">
        <v>344.058</v>
      </c>
      <c r="E280" s="38" t="n">
        <v>299.171</v>
      </c>
      <c r="F280" s="38" t="n">
        <v>273.7</v>
      </c>
      <c r="G280" s="38" t="n">
        <v>321.948</v>
      </c>
      <c r="H280" s="38" t="n">
        <v>386.197</v>
      </c>
      <c r="I280" s="38" t="n">
        <v>360.662</v>
      </c>
      <c r="J280" s="38" t="n">
        <v>423.767</v>
      </c>
      <c r="K280" s="38" t="n">
        <v>396.383</v>
      </c>
      <c r="L280" s="38" t="n">
        <v>375.224</v>
      </c>
      <c r="M280" s="38" t="n">
        <v>367.134</v>
      </c>
      <c r="N280" s="38" t="n">
        <v>367.134</v>
      </c>
      <c r="O280" s="38" t="n">
        <v>405.675</v>
      </c>
      <c r="P280" s="38" t="n">
        <v>407.223</v>
      </c>
      <c r="Q280" s="38" t="n">
        <v>354.376</v>
      </c>
      <c r="R280" s="38" t="n">
        <v>321.862</v>
      </c>
      <c r="S280" s="38" t="n">
        <v>321.862</v>
      </c>
      <c r="T280" s="38" t="n">
        <v>334.928</v>
      </c>
      <c r="U280" s="38" t="n">
        <v>329.223</v>
      </c>
      <c r="V280" s="38" t="n">
        <v>310.824</v>
      </c>
      <c r="W280" s="38" t="n">
        <v>264.715</v>
      </c>
      <c r="X280" s="38" t="n">
        <v>264.715</v>
      </c>
      <c r="Y280" s="38" t="n">
        <v>286.12</v>
      </c>
      <c r="Z280" s="38" t="n">
        <v>291.645</v>
      </c>
      <c r="AA280" s="38" t="n">
        <v>281.039</v>
      </c>
      <c r="AB280" s="38" t="n">
        <v>273.993</v>
      </c>
      <c r="AC280" s="38" t="n">
        <v>273.993</v>
      </c>
      <c r="AD280" s="38" t="n">
        <v>302.599</v>
      </c>
      <c r="AE280" s="38" t="n">
        <v>323.185</v>
      </c>
      <c r="AF280" s="38" t="n">
        <v>401.231</v>
      </c>
      <c r="AG280" s="38" t="n">
        <v>395.279</v>
      </c>
      <c r="AH280" s="38" t="n">
        <v>395.279</v>
      </c>
      <c r="AI280" s="38" t="n">
        <v>442.74</v>
      </c>
      <c r="AJ280" s="38" t="n">
        <v>425.806</v>
      </c>
      <c r="AK280" s="38" t="n">
        <v>409.594</v>
      </c>
      <c r="AL280" s="38" t="n">
        <v>396.885</v>
      </c>
      <c r="AM280" s="38" t="n">
        <v>396.885</v>
      </c>
      <c r="AN280" s="38" t="n">
        <v>423.187</v>
      </c>
      <c r="AO280" s="38" t="n">
        <v>428.353</v>
      </c>
      <c r="AP280" s="38" t="n">
        <v>395.355</v>
      </c>
      <c r="AQ280" s="38" t="n">
        <v>374.649</v>
      </c>
      <c r="AR280" s="38" t="n">
        <v>374.649</v>
      </c>
      <c r="AS280" s="38" t="n">
        <v>385.673</v>
      </c>
      <c r="AT280" s="38" t="n">
        <v>339.102</v>
      </c>
      <c r="AU280" s="38" t="n">
        <v>373.044</v>
      </c>
      <c r="AV280" s="38" t="n">
        <v>373.487</v>
      </c>
      <c r="AW280" s="38" t="n">
        <v>373.487</v>
      </c>
      <c r="AX280" s="38" t="n">
        <v>431.35</v>
      </c>
      <c r="AY280" s="38" t="n">
        <v>457.454</v>
      </c>
      <c r="AZ280" s="38" t="n">
        <v>443.054</v>
      </c>
      <c r="BA280" s="38" t="n">
        <v>429.074</v>
      </c>
      <c r="BB280" s="38" t="n">
        <v>429.074</v>
      </c>
      <c r="BC280" s="38" t="n">
        <v>516.231</v>
      </c>
      <c r="BD280" s="38" t="n">
        <v>518.371</v>
      </c>
      <c r="BE280" s="38" t="n">
        <v>463.106</v>
      </c>
      <c r="BF280" s="38" t="n">
        <v>541.529</v>
      </c>
      <c r="BG280" s="38" t="n">
        <v>541.529</v>
      </c>
      <c r="BH280" s="38" t="n">
        <v>573.467</v>
      </c>
      <c r="BI280" s="38" t="n">
        <v>570.294</v>
      </c>
      <c r="BJ280" s="38" t="n">
        <v>537.637</v>
      </c>
      <c r="BK280" s="38" t="n">
        <v>538.83</v>
      </c>
      <c r="BL280" s="38" t="n">
        <v>538.83</v>
      </c>
      <c r="BM280" s="38" t="n">
        <v>544.514</v>
      </c>
      <c r="BN280" s="38" t="n">
        <v>549.237</v>
      </c>
      <c r="BO280" s="38" t="n">
        <v>517.035</v>
      </c>
      <c r="BP280" s="38" t="n">
        <v>481.979</v>
      </c>
      <c r="BQ280" s="38" t="n">
        <v>481.979</v>
      </c>
      <c r="BR280" s="38" t="n">
        <v>522.721</v>
      </c>
      <c r="BS280" s="38" t="n">
        <v>554.277</v>
      </c>
      <c r="BT280" s="38" t="n">
        <v>501.538</v>
      </c>
      <c r="BU280" s="38" t="n">
        <v>538.791</v>
      </c>
      <c r="BV280" s="38" t="n">
        <v>538.791</v>
      </c>
      <c r="BW280" s="38" t="n">
        <v>598.315</v>
      </c>
      <c r="BX280" s="38" t="n">
        <v>586.348</v>
      </c>
      <c r="CA280" s="51" t="n">
        <f aca="false">CA133*CA316/365</f>
        <v>594.823901013699</v>
      </c>
      <c r="CB280" s="51" t="n">
        <f aca="false">CB133*CB316/365</f>
        <v>632.543865152639</v>
      </c>
      <c r="CC280" s="51" t="n">
        <f aca="false">CC133*CC316/365</f>
        <v>680.320198071077</v>
      </c>
      <c r="CD280" s="51" t="n">
        <f aca="false">CD133*CD316/365</f>
        <v>728.242386192407</v>
      </c>
      <c r="CE280" s="51" t="n">
        <f aca="false">CE133*CE316/365</f>
        <v>778.323104751945</v>
      </c>
    </row>
    <row r="281" customFormat="false" ht="15" hidden="false" customHeight="false" outlineLevel="0" collapsed="false">
      <c r="B281" s="26" t="s">
        <v>418</v>
      </c>
      <c r="C281" s="38" t="n">
        <v>351.144</v>
      </c>
      <c r="D281" s="38" t="n">
        <v>343.849</v>
      </c>
      <c r="E281" s="38" t="n">
        <v>346.932</v>
      </c>
      <c r="F281" s="38" t="n">
        <v>255.743</v>
      </c>
      <c r="G281" s="38" t="n">
        <v>291.73</v>
      </c>
      <c r="H281" s="38" t="n">
        <v>373.238</v>
      </c>
      <c r="I281" s="38" t="n">
        <v>364.89</v>
      </c>
      <c r="J281" s="38" t="n">
        <v>377.26</v>
      </c>
      <c r="K281" s="38" t="n">
        <v>367.631</v>
      </c>
      <c r="L281" s="38" t="n">
        <v>369.863</v>
      </c>
      <c r="M281" s="38" t="n">
        <v>349.963</v>
      </c>
      <c r="N281" s="38" t="n">
        <v>349.963</v>
      </c>
      <c r="O281" s="38" t="n">
        <v>363.554</v>
      </c>
      <c r="P281" s="38" t="n">
        <v>368.027</v>
      </c>
      <c r="Q281" s="38" t="n">
        <v>337.197</v>
      </c>
      <c r="R281" s="38" t="n">
        <v>330.84</v>
      </c>
      <c r="S281" s="38" t="n">
        <v>330.84</v>
      </c>
      <c r="T281" s="38" t="n">
        <v>332.892</v>
      </c>
      <c r="U281" s="38" t="n">
        <v>321.723</v>
      </c>
      <c r="V281" s="38" t="n">
        <v>308.625</v>
      </c>
      <c r="W281" s="38" t="n">
        <v>275.93</v>
      </c>
      <c r="X281" s="38" t="n">
        <v>275.93</v>
      </c>
      <c r="Y281" s="38" t="n">
        <v>292.709</v>
      </c>
      <c r="Z281" s="38" t="n">
        <v>292.587</v>
      </c>
      <c r="AA281" s="38" t="n">
        <v>285.199</v>
      </c>
      <c r="AB281" s="38" t="n">
        <v>255.406</v>
      </c>
      <c r="AC281" s="38" t="n">
        <v>255.406</v>
      </c>
      <c r="AD281" s="38" t="n">
        <v>281.25</v>
      </c>
      <c r="AE281" s="38" t="n">
        <v>289.635</v>
      </c>
      <c r="AF281" s="38" t="n">
        <v>389.722</v>
      </c>
      <c r="AG281" s="38" t="n">
        <v>348.667</v>
      </c>
      <c r="AH281" s="38" t="n">
        <v>348.667</v>
      </c>
      <c r="AI281" s="38" t="n">
        <v>381.53</v>
      </c>
      <c r="AJ281" s="38" t="n">
        <v>365.634</v>
      </c>
      <c r="AK281" s="38" t="n">
        <v>377.431</v>
      </c>
      <c r="AL281" s="38" t="n">
        <v>361.829</v>
      </c>
      <c r="AM281" s="38" t="n">
        <v>361.829</v>
      </c>
      <c r="AN281" s="38" t="n">
        <v>375.737</v>
      </c>
      <c r="AO281" s="38" t="n">
        <v>397.752</v>
      </c>
      <c r="AP281" s="38" t="n">
        <v>411.12</v>
      </c>
      <c r="AQ281" s="38" t="n">
        <v>393.748</v>
      </c>
      <c r="AR281" s="38" t="n">
        <v>393.748</v>
      </c>
      <c r="AS281" s="38" t="n">
        <v>398.248</v>
      </c>
      <c r="AT281" s="38" t="n">
        <v>417.525</v>
      </c>
      <c r="AU281" s="38" t="n">
        <v>396.214</v>
      </c>
      <c r="AV281" s="38" t="n">
        <v>381.258</v>
      </c>
      <c r="AW281" s="38" t="n">
        <v>381.258</v>
      </c>
      <c r="AX281" s="38" t="n">
        <v>415.901</v>
      </c>
      <c r="AY281" s="38" t="n">
        <v>477.677</v>
      </c>
      <c r="AZ281" s="38" t="n">
        <v>524.433</v>
      </c>
      <c r="BA281" s="38" t="n">
        <v>539.919</v>
      </c>
      <c r="BB281" s="38" t="n">
        <v>539.919</v>
      </c>
      <c r="BC281" s="38" t="n">
        <v>599.781</v>
      </c>
      <c r="BD281" s="38" t="n">
        <v>639.393</v>
      </c>
      <c r="BE281" s="38" t="n">
        <v>632.376</v>
      </c>
      <c r="BF281" s="38" t="n">
        <v>665.451</v>
      </c>
      <c r="BG281" s="38" t="n">
        <v>665.451</v>
      </c>
      <c r="BH281" s="38" t="n">
        <v>664.599</v>
      </c>
      <c r="BI281" s="38" t="n">
        <v>674.754</v>
      </c>
      <c r="BJ281" s="38" t="n">
        <v>612.338</v>
      </c>
      <c r="BK281" s="38" t="n">
        <v>562.864</v>
      </c>
      <c r="BL281" s="38" t="n">
        <v>562.864</v>
      </c>
      <c r="BM281" s="38" t="n">
        <v>567.279</v>
      </c>
      <c r="BN281" s="38" t="n">
        <v>582.73</v>
      </c>
      <c r="BO281" s="38" t="n">
        <v>612.412</v>
      </c>
      <c r="BP281" s="38" t="n">
        <v>544.037</v>
      </c>
      <c r="BQ281" s="38" t="n">
        <v>544.037</v>
      </c>
      <c r="BR281" s="38" t="n">
        <v>574.329</v>
      </c>
      <c r="BS281" s="38" t="n">
        <v>621.44</v>
      </c>
      <c r="BT281" s="38" t="n">
        <v>671.515</v>
      </c>
      <c r="BU281" s="38" t="n">
        <v>633.364</v>
      </c>
      <c r="BV281" s="38" t="n">
        <v>633.364</v>
      </c>
      <c r="BW281" s="38" t="n">
        <v>693.938</v>
      </c>
      <c r="BX281" s="38" t="n">
        <v>690.543</v>
      </c>
      <c r="CA281" s="51" t="n">
        <f aca="false">CA134*CA317/365</f>
        <v>706.678008759212</v>
      </c>
      <c r="CB281" s="51" t="n">
        <f aca="false">CB134*CB317/365</f>
        <v>744.475213708333</v>
      </c>
      <c r="CC281" s="51" t="n">
        <f aca="false">CC134*CC317/365</f>
        <v>798.301437321055</v>
      </c>
      <c r="CD281" s="51" t="n">
        <f aca="false">CD134*CD317/365</f>
        <v>852.925278340695</v>
      </c>
      <c r="CE281" s="51" t="n">
        <f aca="false">CE134*CE317/365</f>
        <v>912.901476507806</v>
      </c>
    </row>
    <row r="282" customFormat="false" ht="15" hidden="false" customHeight="false" outlineLevel="0" collapsed="false">
      <c r="B282" s="26" t="s">
        <v>419</v>
      </c>
      <c r="C282" s="38" t="n">
        <v>59.061</v>
      </c>
      <c r="D282" s="38" t="n">
        <v>64.359</v>
      </c>
      <c r="E282" s="38" t="n">
        <v>94.291</v>
      </c>
      <c r="F282" s="38" t="n">
        <v>105.967</v>
      </c>
      <c r="G282" s="38" t="n">
        <v>102.641</v>
      </c>
      <c r="H282" s="38" t="n">
        <v>98.734</v>
      </c>
      <c r="I282" s="38" t="n">
        <v>120.8</v>
      </c>
      <c r="J282" s="38" t="n">
        <v>115.178</v>
      </c>
      <c r="K282" s="38" t="n">
        <v>113.821</v>
      </c>
      <c r="L282" s="38" t="n">
        <v>107.253</v>
      </c>
      <c r="M282" s="38" t="n">
        <v>113.853</v>
      </c>
      <c r="N282" s="38" t="n">
        <v>113.853</v>
      </c>
      <c r="O282" s="38" t="n">
        <v>110.329</v>
      </c>
      <c r="P282" s="38" t="n">
        <v>126.204</v>
      </c>
      <c r="Q282" s="38" t="n">
        <v>238.74</v>
      </c>
      <c r="R282" s="38" t="n">
        <v>167.596</v>
      </c>
      <c r="S282" s="38" t="n">
        <v>167.596</v>
      </c>
      <c r="T282" s="38" t="n">
        <v>138.165</v>
      </c>
      <c r="U282" s="38" t="n">
        <v>125.553</v>
      </c>
      <c r="V282" s="38" t="n">
        <v>85.064</v>
      </c>
      <c r="W282" s="38" t="n">
        <v>91.167</v>
      </c>
      <c r="X282" s="38" t="n">
        <v>91.167</v>
      </c>
      <c r="Y282" s="38" t="n">
        <v>102.522</v>
      </c>
      <c r="Z282" s="38" t="n">
        <v>100.367</v>
      </c>
      <c r="AA282" s="38" t="n">
        <v>97.312</v>
      </c>
      <c r="AB282" s="38" t="n">
        <v>135.135</v>
      </c>
      <c r="AC282" s="38" t="n">
        <v>135.135</v>
      </c>
      <c r="AD282" s="38" t="n">
        <v>162.781</v>
      </c>
      <c r="AE282" s="38" t="n">
        <v>199.277</v>
      </c>
      <c r="AF282" s="38" t="n">
        <v>288.275</v>
      </c>
      <c r="AG282" s="38" t="n">
        <v>302.961</v>
      </c>
      <c r="AH282" s="38" t="n">
        <v>302.961</v>
      </c>
      <c r="AI282" s="38" t="n">
        <v>252.519</v>
      </c>
      <c r="AJ282" s="38" t="n">
        <v>263.033</v>
      </c>
      <c r="AK282" s="38" t="n">
        <v>220.347</v>
      </c>
      <c r="AL282" s="38" t="n">
        <v>120.236</v>
      </c>
      <c r="AM282" s="38" t="n">
        <v>120.236</v>
      </c>
      <c r="AN282" s="38" t="n">
        <v>127.112</v>
      </c>
      <c r="AO282" s="38" t="n">
        <v>111.897</v>
      </c>
      <c r="AP282" s="38" t="n">
        <v>119.347</v>
      </c>
      <c r="AQ282" s="38" t="n">
        <v>107.621</v>
      </c>
      <c r="AR282" s="38" t="n">
        <v>107.621</v>
      </c>
      <c r="AS282" s="38" t="n">
        <v>112.048</v>
      </c>
      <c r="AT282" s="38" t="n">
        <v>108.097</v>
      </c>
      <c r="AU282" s="38" t="n">
        <v>104.474</v>
      </c>
      <c r="AV282" s="38" t="n">
        <v>100.319</v>
      </c>
      <c r="AW282" s="38" t="n">
        <v>100.319</v>
      </c>
      <c r="AX282" s="38" t="n">
        <v>106.91</v>
      </c>
      <c r="AY282" s="38" t="n">
        <v>111.925</v>
      </c>
      <c r="AZ282" s="38" t="n">
        <v>107.912</v>
      </c>
      <c r="BA282" s="38" t="n">
        <v>127.642</v>
      </c>
      <c r="BB282" s="38" t="n">
        <v>127.642</v>
      </c>
      <c r="BC282" s="38" t="n">
        <v>157.448</v>
      </c>
      <c r="BD282" s="38" t="n">
        <v>154.643</v>
      </c>
      <c r="BE282" s="38" t="n">
        <v>158.609</v>
      </c>
      <c r="BF282" s="38" t="n">
        <v>153.66</v>
      </c>
      <c r="BG282" s="38" t="n">
        <v>153.66</v>
      </c>
      <c r="BH282" s="38" t="n">
        <v>173.622</v>
      </c>
      <c r="BI282" s="38" t="n">
        <v>180.647</v>
      </c>
      <c r="BJ282" s="38" t="n">
        <v>179.652</v>
      </c>
      <c r="BK282" s="38" t="n">
        <v>197.63</v>
      </c>
      <c r="BL282" s="38" t="n">
        <v>197.63</v>
      </c>
      <c r="BM282" s="38" t="n">
        <v>192.979</v>
      </c>
      <c r="BN282" s="38" t="n">
        <v>208.467</v>
      </c>
      <c r="BO282" s="38" t="n">
        <v>223.436</v>
      </c>
      <c r="BP282" s="38" t="n">
        <v>242.003</v>
      </c>
      <c r="BQ282" s="38" t="n">
        <v>242.003</v>
      </c>
      <c r="BR282" s="38" t="n">
        <v>237.872</v>
      </c>
      <c r="BS282" s="38" t="n">
        <v>250.028</v>
      </c>
      <c r="BT282" s="38" t="n">
        <v>313.922</v>
      </c>
      <c r="BU282" s="38" t="n">
        <v>258.568</v>
      </c>
      <c r="BV282" s="38" t="n">
        <v>258.568</v>
      </c>
      <c r="BW282" s="38" t="n">
        <v>272.288</v>
      </c>
      <c r="BX282" s="38" t="n">
        <v>241.216</v>
      </c>
      <c r="CA282" s="51" t="n">
        <f aca="false">$BX$282</f>
        <v>241.216</v>
      </c>
      <c r="CB282" s="51" t="n">
        <f aca="false">CA282</f>
        <v>241.216</v>
      </c>
      <c r="CC282" s="51" t="n">
        <f aca="false">CB282</f>
        <v>241.216</v>
      </c>
      <c r="CD282" s="51" t="n">
        <f aca="false">CC282</f>
        <v>241.216</v>
      </c>
      <c r="CE282" s="51" t="n">
        <f aca="false">CD282</f>
        <v>241.216</v>
      </c>
    </row>
    <row r="283" customFormat="false" ht="15" hidden="false" customHeight="false" outlineLevel="0" collapsed="false">
      <c r="B283" s="15" t="s">
        <v>420</v>
      </c>
      <c r="C283" s="62" t="n">
        <f aca="false">IF(ISNUMBER(C279),SUM(C279:C282),"")</f>
        <v>829.41</v>
      </c>
      <c r="D283" s="62" t="n">
        <f aca="false">IF(ISNUMBER(D279),SUM(D279:D282),"")</f>
        <v>969.648</v>
      </c>
      <c r="E283" s="62" t="n">
        <f aca="false">IF(ISNUMBER(E279),SUM(E279:E282),"")</f>
        <v>1024.726</v>
      </c>
      <c r="F283" s="62" t="n">
        <f aca="false">IF(ISNUMBER(F279),SUM(F279:F282),"")</f>
        <v>1023.546</v>
      </c>
      <c r="G283" s="62" t="n">
        <f aca="false">IF(ISNUMBER(G279),SUM(G279:G282),"")</f>
        <v>1082.512</v>
      </c>
      <c r="H283" s="62" t="n">
        <f aca="false">IF(ISNUMBER(H279),SUM(H279:H282),"")</f>
        <v>1219.27</v>
      </c>
      <c r="I283" s="62" t="n">
        <f aca="false">IF(ISNUMBER(I279),SUM(I279:I282),"")</f>
        <v>1132.816</v>
      </c>
      <c r="J283" s="62" t="n">
        <f aca="false">IF(ISNUMBER(J279),SUM(J279:J282),"")</f>
        <v>1164.66</v>
      </c>
      <c r="K283" s="62" t="n">
        <f aca="false">IF(ISNUMBER(K279),SUM(K279:K282),"")</f>
        <v>1134.224</v>
      </c>
      <c r="L283" s="62" t="n">
        <f aca="false">IF(ISNUMBER(L279),SUM(L279:L282),"")</f>
        <v>1182.649</v>
      </c>
      <c r="M283" s="62" t="n">
        <f aca="false">IF(ISNUMBER(M279),SUM(M279:M282),"")</f>
        <v>1130.775</v>
      </c>
      <c r="N283" s="62" t="n">
        <f aca="false">IF(ISNUMBER(N279),SUM(N279:N282),"")</f>
        <v>1130.775</v>
      </c>
      <c r="O283" s="62" t="n">
        <f aca="false">IF(ISNUMBER(O279),SUM(O279:O282),"")</f>
        <v>1084.945</v>
      </c>
      <c r="P283" s="62" t="n">
        <f aca="false">IF(ISNUMBER(P279),SUM(P279:P282),"")</f>
        <v>1105.739</v>
      </c>
      <c r="Q283" s="62" t="n">
        <f aca="false">IF(ISNUMBER(Q279),SUM(Q279:Q282),"")</f>
        <v>1209.836</v>
      </c>
      <c r="R283" s="62" t="n">
        <f aca="false">IF(ISNUMBER(R279),SUM(R279:R282),"")</f>
        <v>1098.677</v>
      </c>
      <c r="S283" s="62" t="n">
        <f aca="false">IF(ISNUMBER(S279),SUM(S279:S282),"")</f>
        <v>1098.677</v>
      </c>
      <c r="T283" s="62" t="n">
        <f aca="false">IF(ISNUMBER(T279),SUM(T279:T282),"")</f>
        <v>1095.002</v>
      </c>
      <c r="U283" s="62" t="n">
        <f aca="false">IF(ISNUMBER(U279),SUM(U279:U282),"")</f>
        <v>1089.236</v>
      </c>
      <c r="V283" s="62" t="n">
        <f aca="false">IF(ISNUMBER(V279),SUM(V279:V282),"")</f>
        <v>1068.858</v>
      </c>
      <c r="W283" s="62" t="n">
        <f aca="false">IF(ISNUMBER(W279),SUM(W279:W282),"")</f>
        <v>935.995</v>
      </c>
      <c r="X283" s="62" t="n">
        <f aca="false">IF(ISNUMBER(X279),SUM(X279:X282),"")</f>
        <v>935.995</v>
      </c>
      <c r="Y283" s="62" t="n">
        <f aca="false">IF(ISNUMBER(Y279),SUM(Y279:Y282),"")</f>
        <v>902.347</v>
      </c>
      <c r="Z283" s="62" t="n">
        <f aca="false">IF(ISNUMBER(Z279),SUM(Z279:Z282),"")</f>
        <v>921.618</v>
      </c>
      <c r="AA283" s="62" t="n">
        <f aca="false">IF(ISNUMBER(AA279),SUM(AA279:AA282),"")</f>
        <v>920.478</v>
      </c>
      <c r="AB283" s="62" t="n">
        <f aca="false">IF(ISNUMBER(AB279),SUM(AB279:AB282),"")</f>
        <v>1043.713</v>
      </c>
      <c r="AC283" s="62" t="n">
        <f aca="false">IF(ISNUMBER(AC279),SUM(AC279:AC282),"")</f>
        <v>1043.713</v>
      </c>
      <c r="AD283" s="62" t="n">
        <f aca="false">IF(ISNUMBER(AD279),SUM(AD279:AD282),"")</f>
        <v>1148.07</v>
      </c>
      <c r="AE283" s="62" t="n">
        <f aca="false">IF(ISNUMBER(AE279),SUM(AE279:AE282),"")</f>
        <v>1207.832</v>
      </c>
      <c r="AF283" s="62" t="n">
        <f aca="false">IF(ISNUMBER(AF279),SUM(AF279:AF282),"")</f>
        <v>1378.681</v>
      </c>
      <c r="AG283" s="62" t="n">
        <f aca="false">IF(ISNUMBER(AG279),SUM(AG279:AG282),"")</f>
        <v>1373.608</v>
      </c>
      <c r="AH283" s="62" t="n">
        <f aca="false">IF(ISNUMBER(AH279),SUM(AH279:AH282),"")</f>
        <v>1373.608</v>
      </c>
      <c r="AI283" s="62" t="n">
        <f aca="false">IF(ISNUMBER(AI279),SUM(AI279:AI282),"")</f>
        <v>1445.845</v>
      </c>
      <c r="AJ283" s="62" t="n">
        <f aca="false">IF(ISNUMBER(AJ279),SUM(AJ279:AJ282),"")</f>
        <v>1411.567</v>
      </c>
      <c r="AK283" s="62" t="n">
        <f aca="false">IF(ISNUMBER(AK279),SUM(AK279:AK282),"")</f>
        <v>1405.572</v>
      </c>
      <c r="AL283" s="62" t="n">
        <f aca="false">IF(ISNUMBER(AL279),SUM(AL279:AL282),"")</f>
        <v>1237.799</v>
      </c>
      <c r="AM283" s="62" t="n">
        <f aca="false">IF(ISNUMBER(AM279),SUM(AM279:AM282),"")</f>
        <v>1237.799</v>
      </c>
      <c r="AN283" s="62" t="n">
        <f aca="false">IF(ISNUMBER(AN279),SUM(AN279:AN282),"")</f>
        <v>1193.17</v>
      </c>
      <c r="AO283" s="62" t="n">
        <f aca="false">IF(ISNUMBER(AO279),SUM(AO279:AO282),"")</f>
        <v>1127.863</v>
      </c>
      <c r="AP283" s="62" t="n">
        <f aca="false">IF(ISNUMBER(AP279),SUM(AP279:AP282),"")</f>
        <v>1082.434</v>
      </c>
      <c r="AQ283" s="62" t="n">
        <f aca="false">IF(ISNUMBER(AQ279),SUM(AQ279:AQ282),"")</f>
        <v>1075.581</v>
      </c>
      <c r="AR283" s="62" t="n">
        <f aca="false">IF(ISNUMBER(AR279),SUM(AR279:AR282),"")</f>
        <v>1075.581</v>
      </c>
      <c r="AS283" s="62" t="n">
        <f aca="false">IF(ISNUMBER(AS279),SUM(AS279:AS282),"")</f>
        <v>1059.344</v>
      </c>
      <c r="AT283" s="62" t="n">
        <f aca="false">IF(ISNUMBER(AT279),SUM(AT279:AT282),"")</f>
        <v>1007.779</v>
      </c>
      <c r="AU283" s="62" t="n">
        <f aca="false">IF(ISNUMBER(AU279),SUM(AU279:AU282),"")</f>
        <v>1026.211</v>
      </c>
      <c r="AV283" s="62" t="n">
        <f aca="false">IF(ISNUMBER(AV279),SUM(AV279:AV282),"")</f>
        <v>1112.343</v>
      </c>
      <c r="AW283" s="62" t="n">
        <f aca="false">IF(ISNUMBER(AW279),SUM(AW279:AW282),"")</f>
        <v>1112.343</v>
      </c>
      <c r="AX283" s="62" t="n">
        <f aca="false">IF(ISNUMBER(AX279),SUM(AX279:AX282),"")</f>
        <v>1196.287</v>
      </c>
      <c r="AY283" s="62" t="n">
        <f aca="false">IF(ISNUMBER(AY279),SUM(AY279:AY282),"")</f>
        <v>1237.94</v>
      </c>
      <c r="AZ283" s="62" t="n">
        <f aca="false">IF(ISNUMBER(AZ279),SUM(AZ279:AZ282),"")</f>
        <v>1235.958</v>
      </c>
      <c r="BA283" s="62" t="n">
        <f aca="false">IF(ISNUMBER(BA279),SUM(BA279:BA282),"")</f>
        <v>1289.593</v>
      </c>
      <c r="BB283" s="62" t="n">
        <f aca="false">IF(ISNUMBER(BB279),SUM(BB279:BB282),"")</f>
        <v>1289.593</v>
      </c>
      <c r="BC283" s="62" t="n">
        <f aca="false">IF(ISNUMBER(BC279),SUM(BC279:BC282),"")</f>
        <v>1427.833</v>
      </c>
      <c r="BD283" s="62" t="n">
        <f aca="false">IF(ISNUMBER(BD279),SUM(BD279:BD282),"")</f>
        <v>1465.203</v>
      </c>
      <c r="BE283" s="62" t="n">
        <f aca="false">IF(ISNUMBER(BE279),SUM(BE279:BE282),"")</f>
        <v>1395.398</v>
      </c>
      <c r="BF283" s="62" t="n">
        <f aca="false">IF(ISNUMBER(BF279),SUM(BF279:BF282),"")</f>
        <v>1557.79</v>
      </c>
      <c r="BG283" s="62" t="n">
        <f aca="false">IF(ISNUMBER(BG279),SUM(BG279:BG282),"")</f>
        <v>1557.79</v>
      </c>
      <c r="BH283" s="62" t="n">
        <f aca="false">IF(ISNUMBER(BH279),SUM(BH279:BH282),"")</f>
        <v>1610.491</v>
      </c>
      <c r="BI283" s="62" t="n">
        <f aca="false">IF(ISNUMBER(BI279),SUM(BI279:BI282),"")</f>
        <v>1646.178</v>
      </c>
      <c r="BJ283" s="62" t="n">
        <f aca="false">IF(ISNUMBER(BJ279),SUM(BJ279:BJ282),"")</f>
        <v>1672.294</v>
      </c>
      <c r="BK283" s="62" t="n">
        <f aca="false">IF(ISNUMBER(BK279),SUM(BK279:BK282),"")</f>
        <v>1693.111</v>
      </c>
      <c r="BL283" s="62" t="n">
        <f aca="false">IF(ISNUMBER(BL279),SUM(BL279:BL282),"")</f>
        <v>1693.111</v>
      </c>
      <c r="BM283" s="62" t="n">
        <f aca="false">IF(ISNUMBER(BM279),SUM(BM279:BM282),"")</f>
        <v>1679.75</v>
      </c>
      <c r="BN283" s="62" t="n">
        <f aca="false">IF(ISNUMBER(BN279),SUM(BN279:BN282),"")</f>
        <v>1613.106</v>
      </c>
      <c r="BO283" s="62" t="n">
        <f aca="false">IF(ISNUMBER(BO279),SUM(BO279:BO282),"")</f>
        <v>1757.101</v>
      </c>
      <c r="BP283" s="62" t="n">
        <f aca="false">IF(ISNUMBER(BP279),SUM(BP279:BP282),"")</f>
        <v>1645.281</v>
      </c>
      <c r="BQ283" s="62" t="n">
        <f aca="false">IF(ISNUMBER(BQ279),SUM(BQ279:BQ282),"")</f>
        <v>1645.281</v>
      </c>
      <c r="BR283" s="62" t="n">
        <f aca="false">IF(ISNUMBER(BR279),SUM(BR279:BR282),"")</f>
        <v>1729.627</v>
      </c>
      <c r="BS283" s="62" t="n">
        <f aca="false">IF(ISNUMBER(BS279),SUM(BS279:BS282),"")</f>
        <v>1725.226</v>
      </c>
      <c r="BT283" s="62" t="n">
        <f aca="false">IF(ISNUMBER(BT279),SUM(BT279:BT282),"")</f>
        <v>1779.972</v>
      </c>
      <c r="BU283" s="62" t="n">
        <f aca="false">IF(ISNUMBER(BU279),SUM(BU279:BU282),"")</f>
        <v>1739.512</v>
      </c>
      <c r="BV283" s="62" t="n">
        <f aca="false">IF(ISNUMBER(BV279),SUM(BV279:BV282),"")</f>
        <v>1739.512</v>
      </c>
      <c r="BW283" s="62" t="n">
        <f aca="false">IF(ISNUMBER(BW279),SUM(BW279:BW282),"")</f>
        <v>1863.444</v>
      </c>
      <c r="BX283" s="62" t="n">
        <f aca="false">IF(ISNUMBER(BX279),SUM(BX279:BX282),"")</f>
        <v>1760.55</v>
      </c>
      <c r="BY283" s="18" t="str">
        <f aca="false">IF(ISNUMBER(BY279),SUM(BY279:BY282),"")</f>
        <v/>
      </c>
      <c r="BZ283" s="18" t="str">
        <f aca="false">IF(ISNUMBER(BZ279),SUM(BZ279:BZ282),"")</f>
        <v/>
      </c>
      <c r="CA283" s="18" t="n">
        <f aca="false">IF(ISNUMBER(CA279),SUM(CA279:CA282),"")</f>
        <v>1792.71790977291</v>
      </c>
      <c r="CB283" s="18" t="n">
        <f aca="false">IF(ISNUMBER(CB279),SUM(CB279:CB282),"")</f>
        <v>1868.23507886097</v>
      </c>
      <c r="CC283" s="18" t="n">
        <f aca="false">IF(ISNUMBER(CC279),SUM(CC279:CC282),"")</f>
        <v>1969.83763539213</v>
      </c>
      <c r="CD283" s="18" t="n">
        <f aca="false">IF(ISNUMBER(CD279),SUM(CD279:CD282),"")</f>
        <v>2072.3836645331</v>
      </c>
      <c r="CE283" s="18" t="n">
        <f aca="false">IF(ISNUMBER(CE279),SUM(CE279:CE282),"")</f>
        <v>2182.44058125975</v>
      </c>
    </row>
    <row r="284" customFormat="false" ht="15" hidden="false" customHeight="false" outlineLevel="0" collapsed="false">
      <c r="B284" s="26" t="s">
        <v>421</v>
      </c>
      <c r="C284" s="38" t="n">
        <v>389.518</v>
      </c>
      <c r="D284" s="38" t="n">
        <v>429.944</v>
      </c>
      <c r="E284" s="38" t="n">
        <v>427.902</v>
      </c>
      <c r="F284" s="38" t="n">
        <v>460.061</v>
      </c>
      <c r="G284" s="38" t="n">
        <v>478.566</v>
      </c>
      <c r="H284" s="38" t="n">
        <v>470.451</v>
      </c>
      <c r="I284" s="38" t="n">
        <v>486.236</v>
      </c>
      <c r="J284" s="38" t="n">
        <v>481.074</v>
      </c>
      <c r="K284" s="38" t="n">
        <v>476.152</v>
      </c>
      <c r="L284" s="38" t="n">
        <v>478.673</v>
      </c>
      <c r="M284" s="38" t="n">
        <v>484.005</v>
      </c>
      <c r="N284" s="38" t="n">
        <v>484.005</v>
      </c>
      <c r="O284" s="38" t="n">
        <v>479.287</v>
      </c>
      <c r="P284" s="38" t="n">
        <v>481.861</v>
      </c>
      <c r="Q284" s="38" t="n">
        <v>450.016</v>
      </c>
      <c r="R284" s="38" t="n">
        <v>437.209</v>
      </c>
      <c r="S284" s="38" t="n">
        <v>437.209</v>
      </c>
      <c r="T284" s="38" t="n">
        <v>423.02</v>
      </c>
      <c r="U284" s="38" t="n">
        <v>429.329</v>
      </c>
      <c r="V284" s="38" t="n">
        <v>421.94</v>
      </c>
      <c r="W284" s="38" t="n">
        <v>411.323</v>
      </c>
      <c r="X284" s="38" t="n">
        <v>411.323</v>
      </c>
      <c r="Y284" s="38" t="n">
        <v>413.826</v>
      </c>
      <c r="Z284" s="38" t="n">
        <v>383.867</v>
      </c>
      <c r="AA284" s="38" t="n">
        <v>384.817</v>
      </c>
      <c r="AB284" s="38" t="n">
        <v>372.377</v>
      </c>
      <c r="AC284" s="38" t="n">
        <v>372.377</v>
      </c>
      <c r="AD284" s="38" t="n">
        <v>376.12</v>
      </c>
      <c r="AE284" s="38" t="n">
        <v>384.947</v>
      </c>
      <c r="AF284" s="38" t="n">
        <v>475.071</v>
      </c>
      <c r="AG284" s="38" t="n">
        <v>477.031</v>
      </c>
      <c r="AH284" s="38" t="n">
        <v>477.031</v>
      </c>
      <c r="AI284" s="38" t="n">
        <v>482.805</v>
      </c>
      <c r="AJ284" s="38" t="n">
        <v>468.205</v>
      </c>
      <c r="AK284" s="38" t="n">
        <v>461.828</v>
      </c>
      <c r="AL284" s="38" t="n">
        <v>478.801</v>
      </c>
      <c r="AM284" s="38" t="n">
        <v>478.801</v>
      </c>
      <c r="AN284" s="38" t="n">
        <v>476.876</v>
      </c>
      <c r="AO284" s="38" t="n">
        <v>512.364</v>
      </c>
      <c r="AP284" s="38" t="n">
        <v>523.229</v>
      </c>
      <c r="AQ284" s="38" t="n">
        <v>529.344</v>
      </c>
      <c r="AR284" s="38" t="n">
        <v>529.344</v>
      </c>
      <c r="AS284" s="38" t="n">
        <v>503.179</v>
      </c>
      <c r="AT284" s="38" t="n">
        <v>502.249</v>
      </c>
      <c r="AU284" s="38" t="n">
        <v>504.52</v>
      </c>
      <c r="AV284" s="38" t="n">
        <v>522.092</v>
      </c>
      <c r="AW284" s="38" t="n">
        <v>522.092</v>
      </c>
      <c r="AX284" s="38" t="n">
        <v>500.449</v>
      </c>
      <c r="AY284" s="38" t="n">
        <v>513.686</v>
      </c>
      <c r="AZ284" s="38" t="n">
        <v>520.081</v>
      </c>
      <c r="BA284" s="38" t="n">
        <v>511.744</v>
      </c>
      <c r="BB284" s="38" t="n">
        <v>511.744</v>
      </c>
      <c r="BC284" s="38" t="n">
        <v>511.873</v>
      </c>
      <c r="BD284" s="38" t="n">
        <v>503.088</v>
      </c>
      <c r="BE284" s="38" t="n">
        <v>489.961</v>
      </c>
      <c r="BF284" s="38" t="n">
        <v>544.871</v>
      </c>
      <c r="BG284" s="38" t="n">
        <v>544.871</v>
      </c>
      <c r="BH284" s="38" t="n">
        <v>553.409</v>
      </c>
      <c r="BI284" s="38" t="n">
        <v>563.18</v>
      </c>
      <c r="BJ284" s="38" t="n">
        <v>565.875</v>
      </c>
      <c r="BK284" s="38" t="n">
        <v>575.316</v>
      </c>
      <c r="BL284" s="38" t="n">
        <v>575.316</v>
      </c>
      <c r="BM284" s="38" t="n">
        <v>582.178</v>
      </c>
      <c r="BN284" s="38" t="n">
        <v>583.832</v>
      </c>
      <c r="BO284" s="38" t="n">
        <v>624.403</v>
      </c>
      <c r="BP284" s="38" t="n">
        <v>619.181</v>
      </c>
      <c r="BQ284" s="38" t="n">
        <v>619.181</v>
      </c>
      <c r="BR284" s="38" t="n">
        <v>636.158</v>
      </c>
      <c r="BS284" s="38" t="n">
        <v>660.672</v>
      </c>
      <c r="BT284" s="38" t="n">
        <v>677.257</v>
      </c>
      <c r="BU284" s="38" t="n">
        <v>702.762</v>
      </c>
      <c r="BV284" s="38" t="n">
        <v>702.762</v>
      </c>
      <c r="BW284" s="38" t="n">
        <v>720.836</v>
      </c>
      <c r="BX284" s="38" t="n">
        <v>731.762</v>
      </c>
      <c r="CA284" s="51" t="n">
        <f aca="false">$BX$284-(CA239-$BW$239-$BX$239)-(($BY$152+$BZ$152)-CA130/2)</f>
        <v>745.514816943447</v>
      </c>
      <c r="CB284" s="51" t="n">
        <f aca="false">CA284-CB239-(CB152-CB130-CB99)+CB85*CB95</f>
        <v>813.344679731014</v>
      </c>
      <c r="CC284" s="51" t="n">
        <f aca="false">CB284-CC239-(CC152-CC130-CC99)+CC85*CC95</f>
        <v>881.266065483011</v>
      </c>
      <c r="CD284" s="51" t="n">
        <f aca="false">CC284-CD239-(CD152-CD130-CD99)+CD85*CD95</f>
        <v>949.021288858094</v>
      </c>
      <c r="CE284" s="51" t="n">
        <f aca="false">CD284-CE239-(CE152-CE130-CE99)+CE85*CE95</f>
        <v>1016.37420479582</v>
      </c>
      <c r="CF284" s="19" t="s">
        <v>422</v>
      </c>
    </row>
    <row r="285" customFormat="false" ht="15" hidden="false" customHeight="false" outlineLevel="0" collapsed="false">
      <c r="B285" s="26" t="s">
        <v>423</v>
      </c>
      <c r="C285" s="38" t="n">
        <v>35.208</v>
      </c>
      <c r="D285" s="38" t="n">
        <v>42.727</v>
      </c>
      <c r="E285" s="38" t="n">
        <v>36.187</v>
      </c>
      <c r="F285" s="38" t="n">
        <v>39.554</v>
      </c>
      <c r="G285" s="38" t="n">
        <v>45.952</v>
      </c>
      <c r="H285" s="38" t="n">
        <v>65.101</v>
      </c>
      <c r="I285" s="38" t="n">
        <v>132.903</v>
      </c>
      <c r="M285" s="38" t="n">
        <v>174.715</v>
      </c>
      <c r="N285" s="38" t="n">
        <v>174.715</v>
      </c>
      <c r="R285" s="38" t="n">
        <v>179.517</v>
      </c>
      <c r="S285" s="38" t="n">
        <v>179.517</v>
      </c>
      <c r="W285" s="38" t="n">
        <v>187.504</v>
      </c>
      <c r="X285" s="38" t="n">
        <v>187.504</v>
      </c>
      <c r="Y285" s="38" t="n">
        <v>190.596</v>
      </c>
      <c r="Z285" s="38" t="n">
        <v>237.457</v>
      </c>
      <c r="AA285" s="38" t="n">
        <v>236.588</v>
      </c>
      <c r="AB285" s="38" t="n">
        <v>231.919</v>
      </c>
      <c r="AC285" s="38" t="n">
        <v>231.919</v>
      </c>
      <c r="AD285" s="38" t="n">
        <v>233.474</v>
      </c>
      <c r="AE285" s="38" t="n">
        <v>234.109</v>
      </c>
      <c r="AF285" s="38" t="n">
        <v>235.899</v>
      </c>
      <c r="AG285" s="38" t="n">
        <v>234.582</v>
      </c>
      <c r="AH285" s="38" t="n">
        <v>234.582</v>
      </c>
      <c r="AI285" s="38" t="n">
        <v>236.569</v>
      </c>
      <c r="AJ285" s="38" t="n">
        <v>233.982</v>
      </c>
      <c r="AK285" s="38" t="n">
        <v>233.741</v>
      </c>
      <c r="AL285" s="38" t="n">
        <v>281.294</v>
      </c>
      <c r="AM285" s="38" t="n">
        <v>281.294</v>
      </c>
      <c r="AN285" s="38" t="n">
        <v>282.512</v>
      </c>
      <c r="AO285" s="38" t="n">
        <v>323.016</v>
      </c>
      <c r="AP285" s="38" t="n">
        <v>331.311</v>
      </c>
      <c r="AQ285" s="38" t="n">
        <v>337.107</v>
      </c>
      <c r="AR285" s="38" t="n">
        <v>337.107</v>
      </c>
      <c r="AS285" s="38" t="n">
        <v>326.584</v>
      </c>
      <c r="AT285" s="38" t="n">
        <v>328.622</v>
      </c>
      <c r="AU285" s="38" t="n">
        <v>331.473</v>
      </c>
      <c r="AV285" s="38" t="n">
        <v>335.593</v>
      </c>
      <c r="AW285" s="38" t="n">
        <v>335.593</v>
      </c>
      <c r="AX285" s="38" t="n">
        <v>334.194</v>
      </c>
      <c r="AY285" s="38" t="n">
        <v>412.803</v>
      </c>
      <c r="AZ285" s="38" t="n">
        <v>436.039</v>
      </c>
      <c r="BA285" s="38" t="n">
        <v>430.162</v>
      </c>
      <c r="BB285" s="38" t="n">
        <v>430.162</v>
      </c>
      <c r="BC285" s="38" t="n">
        <v>437.141</v>
      </c>
      <c r="BD285" s="38" t="n">
        <v>431.615</v>
      </c>
      <c r="BE285" s="38" t="n">
        <v>424.505</v>
      </c>
      <c r="BF285" s="38" t="n">
        <v>665.257</v>
      </c>
      <c r="BG285" s="38" t="n">
        <v>665.257</v>
      </c>
      <c r="BH285" s="38" t="n">
        <v>679.385</v>
      </c>
      <c r="BI285" s="38" t="n">
        <v>692.457</v>
      </c>
      <c r="BJ285" s="38" t="n">
        <v>686.625</v>
      </c>
      <c r="BK285" s="38" t="n">
        <v>694.452</v>
      </c>
      <c r="BL285" s="38" t="n">
        <v>694.452</v>
      </c>
      <c r="BM285" s="38" t="n">
        <v>689.868</v>
      </c>
      <c r="BN285" s="38" t="n">
        <v>791.991</v>
      </c>
      <c r="BO285" s="38" t="n">
        <v>818.828</v>
      </c>
      <c r="BP285" s="38" t="n">
        <v>804.927</v>
      </c>
      <c r="BQ285" s="38" t="n">
        <v>804.927</v>
      </c>
      <c r="BR285" s="38" t="n">
        <v>813.698</v>
      </c>
      <c r="BS285" s="38" t="n">
        <v>829.483</v>
      </c>
      <c r="BT285" s="38" t="n">
        <v>887.885</v>
      </c>
      <c r="BU285" s="38" t="n">
        <v>886.686</v>
      </c>
      <c r="BV285" s="38" t="n">
        <v>886.686</v>
      </c>
      <c r="BW285" s="38" t="n">
        <v>886.373</v>
      </c>
      <c r="BX285" s="38" t="n">
        <v>885.232</v>
      </c>
      <c r="CA285" s="51" t="n">
        <f aca="false">$BX$285</f>
        <v>885.232</v>
      </c>
      <c r="CB285" s="51" t="n">
        <f aca="false">CA285+CB85*(1-CB95-CB96)</f>
        <v>985.232</v>
      </c>
      <c r="CC285" s="51" t="n">
        <f aca="false">CB285+CC85*(1-CC95-CC96)</f>
        <v>1085.232</v>
      </c>
      <c r="CD285" s="51" t="n">
        <f aca="false">CC285+CD85*(1-CD95-CD96)</f>
        <v>1185.232</v>
      </c>
      <c r="CE285" s="51" t="n">
        <f aca="false">CD285+CE85*(1-CE95-CE96)</f>
        <v>1285.232</v>
      </c>
      <c r="CF285" s="19" t="s">
        <v>424</v>
      </c>
    </row>
    <row r="286" customFormat="false" ht="15" hidden="false" customHeight="false" outlineLevel="0" collapsed="false">
      <c r="B286" s="26" t="s">
        <v>425</v>
      </c>
      <c r="C286" s="38" t="n">
        <v>41.504</v>
      </c>
      <c r="D286" s="38" t="n">
        <v>51.194</v>
      </c>
      <c r="E286" s="38" t="n">
        <v>65.262</v>
      </c>
      <c r="F286" s="38" t="n">
        <v>81.774</v>
      </c>
      <c r="G286" s="38" t="n">
        <v>81.258</v>
      </c>
      <c r="H286" s="38" t="n">
        <v>94.471</v>
      </c>
      <c r="I286" s="38" t="n">
        <v>132.902</v>
      </c>
      <c r="M286" s="38" t="n">
        <v>147.012</v>
      </c>
      <c r="N286" s="38" t="n">
        <v>147.012</v>
      </c>
      <c r="R286" s="38" t="n">
        <v>132.361</v>
      </c>
      <c r="S286" s="38" t="n">
        <v>132.361</v>
      </c>
      <c r="W286" s="38" t="n">
        <v>120.719</v>
      </c>
      <c r="X286" s="38" t="n">
        <v>120.719</v>
      </c>
      <c r="AB286" s="38" t="n">
        <v>130.088</v>
      </c>
      <c r="AC286" s="38" t="n">
        <v>130.088</v>
      </c>
      <c r="AG286" s="38" t="n">
        <v>127.452</v>
      </c>
      <c r="AH286" s="38" t="n">
        <v>127.452</v>
      </c>
      <c r="AL286" s="38" t="n">
        <v>147.946</v>
      </c>
      <c r="AM286" s="38" t="n">
        <v>147.946</v>
      </c>
      <c r="AQ286" s="38" t="n">
        <v>177.798</v>
      </c>
      <c r="AR286" s="38" t="n">
        <v>177.798</v>
      </c>
      <c r="AV286" s="38" t="n">
        <v>134.451</v>
      </c>
      <c r="AW286" s="38" t="n">
        <v>134.451</v>
      </c>
      <c r="BA286" s="38" t="n">
        <v>149.393</v>
      </c>
      <c r="BB286" s="38" t="n">
        <v>149.393</v>
      </c>
      <c r="BF286" s="38" t="n">
        <v>202.706</v>
      </c>
      <c r="BG286" s="38" t="n">
        <v>202.706</v>
      </c>
      <c r="BK286" s="38" t="n">
        <v>186.667</v>
      </c>
      <c r="BL286" s="38" t="n">
        <v>186.667</v>
      </c>
      <c r="BP286" s="38" t="n">
        <v>221.005</v>
      </c>
      <c r="BQ286" s="38" t="n">
        <v>221.005</v>
      </c>
      <c r="BU286" s="38" t="n">
        <v>250.424</v>
      </c>
      <c r="BV286" s="38" t="n">
        <v>250.424</v>
      </c>
      <c r="CA286" s="51" t="n">
        <f aca="false">$BX$286-CA130/2</f>
        <v>-15</v>
      </c>
      <c r="CB286" s="51" t="n">
        <f aca="false">CA286+CB85*CB96-CB130-CB99</f>
        <v>24.0833333333333</v>
      </c>
      <c r="CC286" s="51" t="n">
        <f aca="false">CB286+CC85*CC96-CC130-CC99</f>
        <v>57.3333333333333</v>
      </c>
      <c r="CD286" s="51" t="n">
        <f aca="false">CC286+CD85*CD96-CD130-CD99</f>
        <v>84.75</v>
      </c>
      <c r="CE286" s="51" t="n">
        <f aca="false">CD286+CE85*CE96-CE130-CE99</f>
        <v>106.333333333333</v>
      </c>
    </row>
    <row r="287" customFormat="false" ht="15" hidden="false" customHeight="false" outlineLevel="0" collapsed="false">
      <c r="B287" s="26" t="s">
        <v>426</v>
      </c>
      <c r="C287" s="38" t="n">
        <v>98.939</v>
      </c>
      <c r="D287" s="38" t="n">
        <v>151.783</v>
      </c>
      <c r="E287" s="38" t="n">
        <v>164.728</v>
      </c>
      <c r="F287" s="38" t="n">
        <v>100.357</v>
      </c>
      <c r="G287" s="38" t="n">
        <v>95.5</v>
      </c>
      <c r="H287" s="38" t="n">
        <v>127.483</v>
      </c>
      <c r="I287" s="38" t="n">
        <v>205.006</v>
      </c>
      <c r="J287" s="38" t="n">
        <v>457.793</v>
      </c>
      <c r="K287" s="38" t="n">
        <v>449.741</v>
      </c>
      <c r="L287" s="38" t="n">
        <v>458.319</v>
      </c>
      <c r="M287" s="38" t="n">
        <v>215.36</v>
      </c>
      <c r="N287" s="38" t="n">
        <v>215.36</v>
      </c>
      <c r="O287" s="38" t="n">
        <v>549.744</v>
      </c>
      <c r="P287" s="38" t="n">
        <v>557.239</v>
      </c>
      <c r="Q287" s="38" t="n">
        <v>452.667</v>
      </c>
      <c r="R287" s="38" t="n">
        <v>91.451</v>
      </c>
      <c r="S287" s="38" t="n">
        <v>91.451</v>
      </c>
      <c r="T287" s="38" t="n">
        <v>403.486</v>
      </c>
      <c r="U287" s="38" t="n">
        <v>431.601</v>
      </c>
      <c r="V287" s="38" t="n">
        <v>437.293</v>
      </c>
      <c r="W287" s="38" t="n">
        <v>128.63</v>
      </c>
      <c r="X287" s="38" t="n">
        <v>128.63</v>
      </c>
      <c r="Y287" s="38" t="n">
        <v>270.326</v>
      </c>
      <c r="Z287" s="38" t="n">
        <v>294.459</v>
      </c>
      <c r="AA287" s="38" t="n">
        <v>291.938</v>
      </c>
      <c r="AB287" s="38" t="n">
        <v>165.34</v>
      </c>
      <c r="AC287" s="38" t="n">
        <v>165.34</v>
      </c>
      <c r="AD287" s="38" t="n">
        <v>295.013</v>
      </c>
      <c r="AE287" s="38" t="n">
        <v>294.785</v>
      </c>
      <c r="AF287" s="38" t="n">
        <v>321.452</v>
      </c>
      <c r="AG287" s="38" t="n">
        <v>193.874</v>
      </c>
      <c r="AH287" s="38" t="n">
        <v>193.874</v>
      </c>
      <c r="AI287" s="38" t="n">
        <v>323.281</v>
      </c>
      <c r="AJ287" s="38" t="n">
        <v>319.977</v>
      </c>
      <c r="AK287" s="38" t="n">
        <v>318.504</v>
      </c>
      <c r="AL287" s="38" t="n">
        <v>203.985</v>
      </c>
      <c r="AM287" s="38" t="n">
        <v>203.985</v>
      </c>
      <c r="AN287" s="38" t="n">
        <v>402.293</v>
      </c>
      <c r="AO287" s="38" t="n">
        <v>431.09</v>
      </c>
      <c r="AP287" s="38" t="n">
        <v>424.186</v>
      </c>
      <c r="AQ287" s="38" t="n">
        <v>251.383</v>
      </c>
      <c r="AR287" s="38" t="n">
        <v>251.383</v>
      </c>
      <c r="AS287" s="38" t="n">
        <v>416.793</v>
      </c>
      <c r="AT287" s="38" t="n">
        <v>360.389</v>
      </c>
      <c r="AU287" s="38" t="n">
        <v>355.295</v>
      </c>
      <c r="AV287" s="38" t="n">
        <v>209.974</v>
      </c>
      <c r="AW287" s="38" t="n">
        <v>209.974</v>
      </c>
      <c r="AX287" s="38" t="n">
        <v>330.819</v>
      </c>
      <c r="AY287" s="38" t="n">
        <v>348.297</v>
      </c>
      <c r="AZ287" s="38" t="n">
        <v>376.719</v>
      </c>
      <c r="BA287" s="38" t="n">
        <v>211.415</v>
      </c>
      <c r="BB287" s="38" t="n">
        <v>211.415</v>
      </c>
      <c r="BC287" s="38" t="n">
        <v>359.497</v>
      </c>
      <c r="BD287" s="38" t="n">
        <v>341.907</v>
      </c>
      <c r="BE287" s="38" t="n">
        <v>342.101</v>
      </c>
      <c r="BF287" s="38" t="n">
        <v>209.922</v>
      </c>
      <c r="BG287" s="38" t="n">
        <v>209.922</v>
      </c>
      <c r="BH287" s="38" t="n">
        <v>409.916</v>
      </c>
      <c r="BI287" s="38" t="n">
        <v>409.373</v>
      </c>
      <c r="BJ287" s="38" t="n">
        <v>401.101</v>
      </c>
      <c r="BK287" s="38" t="n">
        <v>227.751</v>
      </c>
      <c r="BL287" s="38" t="n">
        <v>227.751</v>
      </c>
      <c r="BM287" s="38" t="n">
        <v>427.921</v>
      </c>
      <c r="BN287" s="38" t="n">
        <v>426.32</v>
      </c>
      <c r="BO287" s="38" t="n">
        <v>464.213</v>
      </c>
      <c r="BP287" s="38" t="n">
        <v>229.748</v>
      </c>
      <c r="BQ287" s="38" t="n">
        <v>229.748</v>
      </c>
      <c r="BR287" s="38" t="n">
        <v>445.591</v>
      </c>
      <c r="BS287" s="38" t="n">
        <v>511.988</v>
      </c>
      <c r="BT287" s="38" t="n">
        <v>469.991</v>
      </c>
      <c r="BU287" s="38" t="n">
        <v>198.193</v>
      </c>
      <c r="BV287" s="38" t="n">
        <v>198.193</v>
      </c>
      <c r="BW287" s="38" t="n">
        <v>429.742</v>
      </c>
      <c r="BX287" s="38" t="n">
        <v>435.766</v>
      </c>
      <c r="CA287" s="51" t="n">
        <f aca="false">$BX$287</f>
        <v>435.766</v>
      </c>
      <c r="CB287" s="51" t="n">
        <f aca="false">CA287</f>
        <v>435.766</v>
      </c>
      <c r="CC287" s="51" t="n">
        <f aca="false">CB287</f>
        <v>435.766</v>
      </c>
      <c r="CD287" s="51" t="n">
        <f aca="false">CC287</f>
        <v>435.766</v>
      </c>
      <c r="CE287" s="51" t="n">
        <f aca="false">CD287</f>
        <v>435.766</v>
      </c>
    </row>
    <row r="288" customFormat="false" ht="15" hidden="false" customHeight="false" outlineLevel="0" collapsed="false">
      <c r="B288" s="58" t="s">
        <v>427</v>
      </c>
      <c r="C288" s="59" t="n">
        <f aca="false">IF(ISNUMBER(C279),C283+SUM(C284:C287),"")</f>
        <v>1394.579</v>
      </c>
      <c r="D288" s="59" t="n">
        <f aca="false">IF(ISNUMBER(D279),D283+SUM(D284:D287),"")</f>
        <v>1645.296</v>
      </c>
      <c r="E288" s="59" t="n">
        <f aca="false">IF(ISNUMBER(E279),E283+SUM(E284:E287),"")</f>
        <v>1718.805</v>
      </c>
      <c r="F288" s="59" t="n">
        <f aca="false">IF(ISNUMBER(F279),F283+SUM(F284:F287),"")</f>
        <v>1705.292</v>
      </c>
      <c r="G288" s="59" t="n">
        <f aca="false">IF(ISNUMBER(G279),G283+SUM(G284:G287),"")</f>
        <v>1783.788</v>
      </c>
      <c r="H288" s="59" t="n">
        <f aca="false">IF(ISNUMBER(H279),H283+SUM(H284:H287),"")</f>
        <v>1976.776</v>
      </c>
      <c r="I288" s="59" t="n">
        <f aca="false">IF(ISNUMBER(I279),I283+SUM(I284:I287),"")</f>
        <v>2089.863</v>
      </c>
      <c r="J288" s="59" t="n">
        <f aca="false">IF(ISNUMBER(J279),J283+SUM(J284:J287),"")</f>
        <v>2103.527</v>
      </c>
      <c r="K288" s="59" t="n">
        <f aca="false">IF(ISNUMBER(K279),K283+SUM(K284:K287),"")</f>
        <v>2060.117</v>
      </c>
      <c r="L288" s="59" t="n">
        <f aca="false">IF(ISNUMBER(L279),L283+SUM(L284:L287),"")</f>
        <v>2119.641</v>
      </c>
      <c r="M288" s="59" t="n">
        <f aca="false">IF(ISNUMBER(M279),M283+SUM(M284:M287),"")</f>
        <v>2151.867</v>
      </c>
      <c r="N288" s="59" t="n">
        <f aca="false">IF(ISNUMBER(N279),N283+SUM(N284:N287),"")</f>
        <v>2151.867</v>
      </c>
      <c r="O288" s="59" t="n">
        <f aca="false">IF(ISNUMBER(O279),O283+SUM(O284:O287),"")</f>
        <v>2113.976</v>
      </c>
      <c r="P288" s="59" t="n">
        <f aca="false">IF(ISNUMBER(P279),P283+SUM(P284:P287),"")</f>
        <v>2144.839</v>
      </c>
      <c r="Q288" s="59" t="n">
        <f aca="false">IF(ISNUMBER(Q279),Q283+SUM(Q284:Q287),"")</f>
        <v>2112.519</v>
      </c>
      <c r="R288" s="59" t="n">
        <f aca="false">IF(ISNUMBER(R279),R283+SUM(R284:R287),"")</f>
        <v>1939.215</v>
      </c>
      <c r="S288" s="59" t="n">
        <f aca="false">IF(ISNUMBER(S279),S283+SUM(S284:S287),"")</f>
        <v>1939.215</v>
      </c>
      <c r="T288" s="59" t="n">
        <f aca="false">IF(ISNUMBER(T279),T283+SUM(T284:T287),"")</f>
        <v>1921.508</v>
      </c>
      <c r="U288" s="59" t="n">
        <f aca="false">IF(ISNUMBER(U279),U283+SUM(U284:U287),"")</f>
        <v>1950.166</v>
      </c>
      <c r="V288" s="59" t="n">
        <f aca="false">IF(ISNUMBER(V279),V283+SUM(V284:V287),"")</f>
        <v>1928.091</v>
      </c>
      <c r="W288" s="59" t="n">
        <f aca="false">IF(ISNUMBER(W279),W283+SUM(W284:W287),"")</f>
        <v>1784.171</v>
      </c>
      <c r="X288" s="59" t="n">
        <f aca="false">IF(ISNUMBER(X279),X283+SUM(X284:X287),"")</f>
        <v>1784.171</v>
      </c>
      <c r="Y288" s="59" t="n">
        <f aca="false">IF(ISNUMBER(Y279),Y283+SUM(Y284:Y287),"")</f>
        <v>1777.095</v>
      </c>
      <c r="Z288" s="59" t="n">
        <f aca="false">IF(ISNUMBER(Z279),Z283+SUM(Z284:Z287),"")</f>
        <v>1837.401</v>
      </c>
      <c r="AA288" s="59" t="n">
        <f aca="false">IF(ISNUMBER(AA279),AA283+SUM(AA284:AA287),"")</f>
        <v>1833.821</v>
      </c>
      <c r="AB288" s="59" t="n">
        <f aca="false">IF(ISNUMBER(AB279),AB283+SUM(AB284:AB287),"")</f>
        <v>1943.437</v>
      </c>
      <c r="AC288" s="59" t="n">
        <f aca="false">IF(ISNUMBER(AC279),AC283+SUM(AC284:AC287),"")</f>
        <v>1943.437</v>
      </c>
      <c r="AD288" s="59" t="n">
        <f aca="false">IF(ISNUMBER(AD279),AD283+SUM(AD284:AD287),"")</f>
        <v>2052.677</v>
      </c>
      <c r="AE288" s="59" t="n">
        <f aca="false">IF(ISNUMBER(AE279),AE283+SUM(AE284:AE287),"")</f>
        <v>2121.673</v>
      </c>
      <c r="AF288" s="59" t="n">
        <f aca="false">IF(ISNUMBER(AF279),AF283+SUM(AF284:AF287),"")</f>
        <v>2411.103</v>
      </c>
      <c r="AG288" s="59" t="n">
        <f aca="false">IF(ISNUMBER(AG279),AG283+SUM(AG284:AG287),"")</f>
        <v>2406.547</v>
      </c>
      <c r="AH288" s="59" t="n">
        <f aca="false">IF(ISNUMBER(AH279),AH283+SUM(AH284:AH287),"")</f>
        <v>2406.547</v>
      </c>
      <c r="AI288" s="59" t="n">
        <f aca="false">IF(ISNUMBER(AI279),AI283+SUM(AI284:AI287),"")</f>
        <v>2488.5</v>
      </c>
      <c r="AJ288" s="59" t="n">
        <f aca="false">IF(ISNUMBER(AJ279),AJ283+SUM(AJ284:AJ287),"")</f>
        <v>2433.731</v>
      </c>
      <c r="AK288" s="59" t="n">
        <f aca="false">IF(ISNUMBER(AK279),AK283+SUM(AK284:AK287),"")</f>
        <v>2419.645</v>
      </c>
      <c r="AL288" s="59" t="n">
        <f aca="false">IF(ISNUMBER(AL279),AL283+SUM(AL284:AL287),"")</f>
        <v>2349.825</v>
      </c>
      <c r="AM288" s="59" t="n">
        <f aca="false">IF(ISNUMBER(AM279),AM283+SUM(AM284:AM287),"")</f>
        <v>2349.825</v>
      </c>
      <c r="AN288" s="59" t="n">
        <f aca="false">IF(ISNUMBER(AN279),AN283+SUM(AN284:AN287),"")</f>
        <v>2354.851</v>
      </c>
      <c r="AO288" s="59" t="n">
        <f aca="false">IF(ISNUMBER(AO279),AO283+SUM(AO284:AO287),"")</f>
        <v>2394.333</v>
      </c>
      <c r="AP288" s="59" t="n">
        <f aca="false">IF(ISNUMBER(AP279),AP283+SUM(AP284:AP287),"")</f>
        <v>2361.16</v>
      </c>
      <c r="AQ288" s="59" t="n">
        <f aca="false">IF(ISNUMBER(AQ279),AQ283+SUM(AQ284:AQ287),"")</f>
        <v>2371.213</v>
      </c>
      <c r="AR288" s="59" t="n">
        <f aca="false">IF(ISNUMBER(AR279),AR283+SUM(AR284:AR287),"")</f>
        <v>2371.213</v>
      </c>
      <c r="AS288" s="59" t="n">
        <f aca="false">IF(ISNUMBER(AS279),AS283+SUM(AS284:AS287),"")</f>
        <v>2305.9</v>
      </c>
      <c r="AT288" s="59" t="n">
        <f aca="false">IF(ISNUMBER(AT279),AT283+SUM(AT284:AT287),"")</f>
        <v>2199.039</v>
      </c>
      <c r="AU288" s="59" t="n">
        <f aca="false">IF(ISNUMBER(AU279),AU283+SUM(AU284:AU287),"")</f>
        <v>2217.499</v>
      </c>
      <c r="AV288" s="59" t="n">
        <f aca="false">IF(ISNUMBER(AV279),AV283+SUM(AV284:AV287),"")</f>
        <v>2314.453</v>
      </c>
      <c r="AW288" s="59" t="n">
        <f aca="false">IF(ISNUMBER(AW279),AW283+SUM(AW284:AW287),"")</f>
        <v>2314.453</v>
      </c>
      <c r="AX288" s="59" t="n">
        <f aca="false">IF(ISNUMBER(AX279),AX283+SUM(AX284:AX287),"")</f>
        <v>2361.749</v>
      </c>
      <c r="AY288" s="59" t="n">
        <f aca="false">IF(ISNUMBER(AY279),AY283+SUM(AY284:AY287),"")</f>
        <v>2512.726</v>
      </c>
      <c r="AZ288" s="59" t="n">
        <f aca="false">IF(ISNUMBER(AZ279),AZ283+SUM(AZ284:AZ287),"")</f>
        <v>2568.797</v>
      </c>
      <c r="BA288" s="59" t="n">
        <f aca="false">IF(ISNUMBER(BA279),BA283+SUM(BA284:BA287),"")</f>
        <v>2592.307</v>
      </c>
      <c r="BB288" s="59" t="n">
        <f aca="false">IF(ISNUMBER(BB279),BB283+SUM(BB284:BB287),"")</f>
        <v>2592.307</v>
      </c>
      <c r="BC288" s="59" t="n">
        <f aca="false">IF(ISNUMBER(BC279),BC283+SUM(BC284:BC287),"")</f>
        <v>2736.344</v>
      </c>
      <c r="BD288" s="59" t="n">
        <f aca="false">IF(ISNUMBER(BD279),BD283+SUM(BD284:BD287),"")</f>
        <v>2741.813</v>
      </c>
      <c r="BE288" s="59" t="n">
        <f aca="false">IF(ISNUMBER(BE279),BE283+SUM(BE284:BE287),"")</f>
        <v>2651.965</v>
      </c>
      <c r="BF288" s="59" t="n">
        <f aca="false">IF(ISNUMBER(BF279),BF283+SUM(BF284:BF287),"")</f>
        <v>3180.546</v>
      </c>
      <c r="BG288" s="59" t="n">
        <f aca="false">IF(ISNUMBER(BG279),BG283+SUM(BG284:BG287),"")</f>
        <v>3180.546</v>
      </c>
      <c r="BH288" s="59" t="n">
        <f aca="false">IF(ISNUMBER(BH279),BH283+SUM(BH284:BH287),"")</f>
        <v>3253.201</v>
      </c>
      <c r="BI288" s="59" t="n">
        <f aca="false">IF(ISNUMBER(BI279),BI283+SUM(BI284:BI287),"")</f>
        <v>3311.188</v>
      </c>
      <c r="BJ288" s="59" t="n">
        <f aca="false">IF(ISNUMBER(BJ279),BJ283+SUM(BJ284:BJ287),"")</f>
        <v>3325.895</v>
      </c>
      <c r="BK288" s="59" t="n">
        <f aca="false">IF(ISNUMBER(BK279),BK283+SUM(BK284:BK287),"")</f>
        <v>3377.297</v>
      </c>
      <c r="BL288" s="59" t="n">
        <f aca="false">IF(ISNUMBER(BL279),BL283+SUM(BL284:BL287),"")</f>
        <v>3377.297</v>
      </c>
      <c r="BM288" s="59" t="n">
        <f aca="false">IF(ISNUMBER(BM279),BM283+SUM(BM284:BM287),"")</f>
        <v>3379.717</v>
      </c>
      <c r="BN288" s="59" t="n">
        <f aca="false">IF(ISNUMBER(BN279),BN283+SUM(BN284:BN287),"")</f>
        <v>3415.249</v>
      </c>
      <c r="BO288" s="59" t="n">
        <f aca="false">IF(ISNUMBER(BO279),BO283+SUM(BO284:BO287),"")</f>
        <v>3664.545</v>
      </c>
      <c r="BP288" s="59" t="n">
        <f aca="false">IF(ISNUMBER(BP279),BP283+SUM(BP284:BP287),"")</f>
        <v>3520.142</v>
      </c>
      <c r="BQ288" s="59" t="n">
        <f aca="false">IF(ISNUMBER(BQ279),BQ283+SUM(BQ284:BQ287),"")</f>
        <v>3520.142</v>
      </c>
      <c r="BR288" s="59" t="n">
        <f aca="false">IF(ISNUMBER(BR279),BR283+SUM(BR284:BR287),"")</f>
        <v>3625.074</v>
      </c>
      <c r="BS288" s="59" t="n">
        <f aca="false">IF(ISNUMBER(BS279),BS283+SUM(BS284:BS287),"")</f>
        <v>3727.369</v>
      </c>
      <c r="BT288" s="59" t="n">
        <f aca="false">IF(ISNUMBER(BT279),BT283+SUM(BT284:BT287),"")</f>
        <v>3815.105</v>
      </c>
      <c r="BU288" s="59" t="n">
        <f aca="false">IF(ISNUMBER(BU279),BU283+SUM(BU284:BU287),"")</f>
        <v>3777.577</v>
      </c>
      <c r="BV288" s="59" t="n">
        <f aca="false">IF(ISNUMBER(BV279),BV283+SUM(BV284:BV287),"")</f>
        <v>3777.577</v>
      </c>
      <c r="BW288" s="59" t="n">
        <f aca="false">IF(ISNUMBER(BW279),BW283+SUM(BW284:BW287),"")</f>
        <v>3900.395</v>
      </c>
      <c r="BX288" s="59" t="n">
        <f aca="false">IF(ISNUMBER(BX279),BX283+SUM(BX284:BX287),"")</f>
        <v>3813.31</v>
      </c>
      <c r="BY288" s="59" t="str">
        <f aca="false">IF(ISNUMBER(BY279),BY283+SUM(BY284:BY287),"")</f>
        <v/>
      </c>
      <c r="BZ288" s="59" t="str">
        <f aca="false">IF(ISNUMBER(BZ279),BZ283+SUM(BZ284:BZ287),"")</f>
        <v/>
      </c>
      <c r="CA288" s="59" t="n">
        <f aca="false">IF(ISNUMBER(CA279),CA283+SUM(CA284:CA287),"")</f>
        <v>3844.23072671636</v>
      </c>
      <c r="CB288" s="59" t="n">
        <f aca="false">IF(ISNUMBER(CB279),CB283+SUM(CB284:CB287),"")</f>
        <v>4126.66109192532</v>
      </c>
      <c r="CC288" s="59" t="n">
        <f aca="false">IF(ISNUMBER(CC279),CC283+SUM(CC284:CC287),"")</f>
        <v>4429.43503420848</v>
      </c>
      <c r="CD288" s="59" t="n">
        <f aca="false">IF(ISNUMBER(CD279),CD283+SUM(CD284:CD287),"")</f>
        <v>4727.15295339119</v>
      </c>
      <c r="CE288" s="59" t="n">
        <f aca="false">IF(ISNUMBER(CE279),CE283+SUM(CE284:CE287),"")</f>
        <v>5026.14611938891</v>
      </c>
    </row>
    <row r="289" customFormat="false" ht="15" hidden="false" customHeight="false" outlineLevel="0" collapsed="false">
      <c r="B289" s="37" t="s">
        <v>428</v>
      </c>
    </row>
    <row r="290" customFormat="false" ht="15" hidden="false" customHeight="false" outlineLevel="0" collapsed="false">
      <c r="B290" s="26" t="s">
        <v>429</v>
      </c>
      <c r="C290" s="38" t="n">
        <v>47.134</v>
      </c>
      <c r="D290" s="38" t="n">
        <v>12.486</v>
      </c>
      <c r="E290" s="38" t="n">
        <v>50.693</v>
      </c>
      <c r="F290" s="38" t="n">
        <v>35.867</v>
      </c>
      <c r="G290" s="38" t="n">
        <v>13.078</v>
      </c>
      <c r="H290" s="38" t="n">
        <v>101.418</v>
      </c>
      <c r="I290" s="38" t="n">
        <v>18.676</v>
      </c>
      <c r="J290" s="38" t="n">
        <v>17.035</v>
      </c>
      <c r="K290" s="38" t="n">
        <v>14.776</v>
      </c>
      <c r="L290" s="38" t="n">
        <v>14.892</v>
      </c>
      <c r="M290" s="38" t="n">
        <v>15.296</v>
      </c>
      <c r="N290" s="38" t="n">
        <v>15.296</v>
      </c>
      <c r="O290" s="38" t="n">
        <v>7.303</v>
      </c>
      <c r="P290" s="38" t="n">
        <v>6.908</v>
      </c>
      <c r="Q290" s="38" t="n">
        <v>87.501</v>
      </c>
      <c r="R290" s="38" t="n">
        <v>68.166</v>
      </c>
      <c r="S290" s="38" t="n">
        <v>68.166</v>
      </c>
      <c r="T290" s="38" t="n">
        <v>167.985</v>
      </c>
      <c r="U290" s="38" t="n">
        <v>62.595</v>
      </c>
      <c r="V290" s="38" t="n">
        <v>2.453</v>
      </c>
      <c r="W290" s="38" t="n">
        <v>4.278</v>
      </c>
      <c r="X290" s="38" t="n">
        <v>4.278</v>
      </c>
      <c r="Y290" s="38" t="n">
        <v>24.844</v>
      </c>
      <c r="Z290" s="38" t="n">
        <v>159.908</v>
      </c>
      <c r="AA290" s="38" t="n">
        <v>183.827</v>
      </c>
      <c r="AB290" s="38" t="n">
        <v>1.889</v>
      </c>
      <c r="AC290" s="38" t="n">
        <v>1.889</v>
      </c>
      <c r="AD290" s="38" t="n">
        <v>2.136</v>
      </c>
      <c r="AE290" s="38" t="n">
        <v>1.953</v>
      </c>
      <c r="AF290" s="38" t="n">
        <v>2.135</v>
      </c>
      <c r="AG290" s="38" t="n">
        <v>2.131</v>
      </c>
      <c r="AH290" s="38" t="n">
        <v>2.131</v>
      </c>
      <c r="AI290" s="38" t="n">
        <v>1.981</v>
      </c>
      <c r="AJ290" s="38" t="n">
        <v>1.889</v>
      </c>
      <c r="AK290" s="38" t="n">
        <v>0.794</v>
      </c>
      <c r="AL290" s="38" t="n">
        <v>0.111</v>
      </c>
      <c r="AM290" s="38" t="n">
        <v>0.111</v>
      </c>
      <c r="AN290" s="38" t="n">
        <v>0.11</v>
      </c>
      <c r="AO290" s="38" t="n">
        <v>30.11</v>
      </c>
      <c r="AP290" s="38" t="n">
        <v>13.293</v>
      </c>
      <c r="AQ290" s="38" t="n">
        <v>34.969</v>
      </c>
      <c r="AR290" s="38" t="n">
        <v>34.969</v>
      </c>
      <c r="AS290" s="38" t="n">
        <v>132.378</v>
      </c>
      <c r="AT290" s="38" t="n">
        <v>49.597</v>
      </c>
      <c r="AU290" s="38" t="n">
        <v>1.147</v>
      </c>
      <c r="AV290" s="38" t="n">
        <v>2.734</v>
      </c>
      <c r="AW290" s="38" t="n">
        <v>2.734</v>
      </c>
      <c r="AX290" s="38" t="n">
        <v>3.607</v>
      </c>
      <c r="AY290" s="38" t="n">
        <v>10.435</v>
      </c>
      <c r="AZ290" s="38" t="n">
        <v>41.404</v>
      </c>
      <c r="BA290" s="38" t="n">
        <v>52.73</v>
      </c>
      <c r="BB290" s="38" t="n">
        <v>52.73</v>
      </c>
      <c r="BC290" s="38" t="n">
        <v>150.56</v>
      </c>
      <c r="BD290" s="38" t="n">
        <v>125.458</v>
      </c>
      <c r="BE290" s="38" t="n">
        <v>68.375</v>
      </c>
      <c r="BF290" s="38" t="n">
        <v>93.483</v>
      </c>
      <c r="BG290" s="38" t="n">
        <v>93.483</v>
      </c>
      <c r="BH290" s="38" t="n">
        <v>49.34</v>
      </c>
      <c r="BI290" s="38" t="n">
        <v>10.406</v>
      </c>
      <c r="BJ290" s="38" t="n">
        <v>7.7</v>
      </c>
      <c r="BK290" s="38" t="n">
        <v>2.439</v>
      </c>
      <c r="BL290" s="38" t="n">
        <v>2.439</v>
      </c>
      <c r="BM290" s="38" t="n">
        <v>4.72</v>
      </c>
      <c r="BN290" s="38" t="n">
        <v>6.254</v>
      </c>
      <c r="BO290" s="38" t="n">
        <v>111.993</v>
      </c>
      <c r="BP290" s="38" t="n">
        <v>110.524</v>
      </c>
      <c r="BQ290" s="38" t="n">
        <v>110.524</v>
      </c>
      <c r="BR290" s="38" t="n">
        <v>109.62</v>
      </c>
      <c r="BS290" s="38" t="n">
        <v>105.323</v>
      </c>
      <c r="BT290" s="38" t="n">
        <v>88.203</v>
      </c>
      <c r="BU290" s="38" t="n">
        <v>143.78</v>
      </c>
      <c r="BV290" s="38" t="n">
        <v>143.78</v>
      </c>
      <c r="BW290" s="38" t="n">
        <v>163.502</v>
      </c>
      <c r="BX290" s="38" t="n">
        <v>0</v>
      </c>
      <c r="CA290" s="51" t="n">
        <f aca="false">CA337+MIN(CA333,-CB330)</f>
        <v>26.120617284903</v>
      </c>
      <c r="CB290" s="51" t="n">
        <f aca="false">CB337+MIN(CB333,-CC330)</f>
        <v>236.730538559518</v>
      </c>
      <c r="CC290" s="51" t="n">
        <f aca="false">CC337+MIN(CC333,-CD330)</f>
        <v>306.130123150209</v>
      </c>
      <c r="CD290" s="51" t="n">
        <f aca="false">CD337+MIN(CD333,-CE330)</f>
        <v>423.370242454883</v>
      </c>
      <c r="CE290" s="51" t="n">
        <f aca="false">CE337</f>
        <v>407.456940665195</v>
      </c>
      <c r="CF290" s="19" t="s">
        <v>430</v>
      </c>
    </row>
    <row r="291" customFormat="false" ht="15" hidden="false" customHeight="false" outlineLevel="0" collapsed="false">
      <c r="B291" s="26" t="s">
        <v>431</v>
      </c>
      <c r="C291" s="38" t="n">
        <v>142.264</v>
      </c>
      <c r="D291" s="38" t="n">
        <v>152.301</v>
      </c>
      <c r="E291" s="38" t="n">
        <v>124.388</v>
      </c>
      <c r="F291" s="38" t="n">
        <v>100.052</v>
      </c>
      <c r="G291" s="38" t="n">
        <v>147.111</v>
      </c>
      <c r="H291" s="38" t="n">
        <v>176.312</v>
      </c>
      <c r="I291" s="38" t="n">
        <v>209.647</v>
      </c>
      <c r="J291" s="38" t="n">
        <v>216.256</v>
      </c>
      <c r="K291" s="38" t="n">
        <v>195.459</v>
      </c>
      <c r="L291" s="38" t="n">
        <v>177.006</v>
      </c>
      <c r="M291" s="38" t="n">
        <v>212.799</v>
      </c>
      <c r="N291" s="38" t="n">
        <v>212.799</v>
      </c>
      <c r="O291" s="38" t="n">
        <v>199.739</v>
      </c>
      <c r="P291" s="38" t="n">
        <v>196.929</v>
      </c>
      <c r="Q291" s="38" t="n">
        <v>186.751</v>
      </c>
      <c r="R291" s="38" t="n">
        <v>202.482</v>
      </c>
      <c r="S291" s="38" t="n">
        <v>202.482</v>
      </c>
      <c r="T291" s="38" t="n">
        <v>185.944</v>
      </c>
      <c r="U291" s="38" t="n">
        <v>172.114</v>
      </c>
      <c r="V291" s="38" t="n">
        <v>166.858</v>
      </c>
      <c r="W291" s="38" t="n">
        <v>152.62</v>
      </c>
      <c r="X291" s="38" t="n">
        <v>152.62</v>
      </c>
      <c r="Y291" s="38" t="n">
        <v>159.59</v>
      </c>
      <c r="Z291" s="38" t="n">
        <v>173.037</v>
      </c>
      <c r="AA291" s="38" t="n">
        <v>164.783</v>
      </c>
      <c r="AB291" s="38" t="n">
        <v>176.757</v>
      </c>
      <c r="AC291" s="38" t="n">
        <v>176.757</v>
      </c>
      <c r="AD291" s="38" t="n">
        <v>186.253</v>
      </c>
      <c r="AE291" s="38" t="n">
        <v>194.758</v>
      </c>
      <c r="AF291" s="38" t="n">
        <v>242.253</v>
      </c>
      <c r="AG291" s="38" t="n">
        <v>269.763</v>
      </c>
      <c r="AH291" s="38" t="n">
        <v>269.763</v>
      </c>
      <c r="AI291" s="38" t="n">
        <v>277.122</v>
      </c>
      <c r="AJ291" s="38" t="n">
        <v>269.824</v>
      </c>
      <c r="AK291" s="38" t="n">
        <v>246.783</v>
      </c>
      <c r="AL291" s="38" t="n">
        <v>268.6</v>
      </c>
      <c r="AM291" s="38" t="n">
        <v>268.6</v>
      </c>
      <c r="AN291" s="38" t="n">
        <v>252.84</v>
      </c>
      <c r="AO291" s="38" t="n">
        <v>254.814</v>
      </c>
      <c r="AP291" s="38" t="n">
        <v>243.837</v>
      </c>
      <c r="AQ291" s="38" t="n">
        <v>273.002</v>
      </c>
      <c r="AR291" s="38" t="n">
        <v>273.002</v>
      </c>
      <c r="AS291" s="38" t="n">
        <v>248.335</v>
      </c>
      <c r="AT291" s="38" t="n">
        <v>226.799</v>
      </c>
      <c r="AU291" s="38" t="n">
        <v>226.494</v>
      </c>
      <c r="AV291" s="38" t="n">
        <v>256.53</v>
      </c>
      <c r="AW291" s="38" t="n">
        <v>256.53</v>
      </c>
      <c r="AX291" s="38" t="n">
        <v>294.062</v>
      </c>
      <c r="AY291" s="38" t="n">
        <v>317.771</v>
      </c>
      <c r="AZ291" s="38" t="n">
        <v>309.202</v>
      </c>
      <c r="BA291" s="38" t="n">
        <v>330.23</v>
      </c>
      <c r="BB291" s="38" t="n">
        <v>330.23</v>
      </c>
      <c r="BC291" s="38" t="n">
        <v>369.415</v>
      </c>
      <c r="BD291" s="38" t="n">
        <v>364.495</v>
      </c>
      <c r="BE291" s="38" t="n">
        <v>329.89</v>
      </c>
      <c r="BF291" s="38" t="n">
        <v>352.079</v>
      </c>
      <c r="BG291" s="38" t="n">
        <v>352.079</v>
      </c>
      <c r="BH291" s="38" t="n">
        <v>361.236</v>
      </c>
      <c r="BI291" s="38" t="n">
        <v>358.16</v>
      </c>
      <c r="BJ291" s="38" t="n">
        <v>328.46</v>
      </c>
      <c r="BK291" s="38" t="n">
        <v>325.435</v>
      </c>
      <c r="BL291" s="38" t="n">
        <v>325.435</v>
      </c>
      <c r="BM291" s="38" t="n">
        <v>327.798</v>
      </c>
      <c r="BN291" s="38" t="n">
        <v>351.445</v>
      </c>
      <c r="BO291" s="38" t="n">
        <v>323.584</v>
      </c>
      <c r="BP291" s="38" t="n">
        <v>296.59</v>
      </c>
      <c r="BQ291" s="38" t="n">
        <v>296.59</v>
      </c>
      <c r="BR291" s="38" t="n">
        <v>365.267</v>
      </c>
      <c r="BS291" s="38" t="n">
        <v>375.833</v>
      </c>
      <c r="BT291" s="38" t="n">
        <v>398.721</v>
      </c>
      <c r="BU291" s="38" t="n">
        <v>364.934</v>
      </c>
      <c r="BV291" s="38" t="n">
        <v>364.934</v>
      </c>
      <c r="BW291" s="38" t="n">
        <v>448.138</v>
      </c>
      <c r="BX291" s="38" t="n">
        <v>447.437</v>
      </c>
      <c r="CA291" s="51" t="n">
        <f aca="false">CA134*CA318/365</f>
        <v>402.642121269784</v>
      </c>
      <c r="CB291" s="51" t="n">
        <f aca="false">CB134*CB318/365</f>
        <v>424.17773804312</v>
      </c>
      <c r="CC291" s="51" t="n">
        <f aca="false">CC134*CC318/365</f>
        <v>454.84616777595</v>
      </c>
      <c r="CD291" s="51" t="n">
        <f aca="false">CD134*CD318/365</f>
        <v>485.969053938303</v>
      </c>
      <c r="CE291" s="51" t="n">
        <f aca="false">CE134*CE318/365</f>
        <v>520.141538940494</v>
      </c>
    </row>
    <row r="292" customFormat="false" ht="15" hidden="false" customHeight="false" outlineLevel="0" collapsed="false">
      <c r="B292" s="26" t="s">
        <v>432</v>
      </c>
      <c r="C292" s="38" t="n">
        <v>45.059</v>
      </c>
      <c r="D292" s="38" t="n">
        <v>48.486</v>
      </c>
      <c r="E292" s="38" t="n">
        <v>47.405</v>
      </c>
      <c r="F292" s="38" t="n">
        <v>36.486</v>
      </c>
      <c r="G292" s="38" t="n">
        <v>48.976</v>
      </c>
      <c r="H292" s="38" t="n">
        <v>55.67</v>
      </c>
      <c r="I292" s="38" t="n">
        <v>68.698</v>
      </c>
      <c r="M292" s="38" t="n">
        <v>68.263</v>
      </c>
      <c r="N292" s="38" t="n">
        <v>68.263</v>
      </c>
      <c r="R292" s="38" t="n">
        <v>64.718</v>
      </c>
      <c r="S292" s="38" t="n">
        <v>64.718</v>
      </c>
      <c r="W292" s="38" t="n">
        <v>65.571</v>
      </c>
      <c r="X292" s="38" t="n">
        <v>65.571</v>
      </c>
      <c r="AB292" s="38" t="n">
        <v>67.431</v>
      </c>
      <c r="AC292" s="38" t="n">
        <v>67.431</v>
      </c>
      <c r="AG292" s="38" t="n">
        <v>91.902</v>
      </c>
      <c r="AH292" s="38" t="n">
        <v>91.902</v>
      </c>
      <c r="AK292" s="38" t="n">
        <v>138.622</v>
      </c>
      <c r="AL292" s="38" t="n">
        <v>94.202</v>
      </c>
      <c r="AM292" s="38" t="n">
        <v>94.202</v>
      </c>
      <c r="AN292" s="38" t="n">
        <v>87.126</v>
      </c>
      <c r="AO292" s="38" t="n">
        <v>115.891</v>
      </c>
      <c r="AP292" s="38" t="n">
        <v>133.361</v>
      </c>
      <c r="AQ292" s="38" t="n">
        <v>83.033</v>
      </c>
      <c r="AR292" s="38" t="n">
        <v>83.033</v>
      </c>
      <c r="AS292" s="38" t="n">
        <v>82.63</v>
      </c>
      <c r="AT292" s="38" t="n">
        <v>99.543</v>
      </c>
      <c r="AU292" s="38" t="n">
        <v>121.967</v>
      </c>
      <c r="AV292" s="38" t="n">
        <v>98.437</v>
      </c>
      <c r="AW292" s="38" t="n">
        <v>98.437</v>
      </c>
      <c r="AX292" s="38" t="n">
        <v>92.769</v>
      </c>
      <c r="AY292" s="38" t="n">
        <v>124.606</v>
      </c>
      <c r="AZ292" s="38" t="n">
        <v>156.128</v>
      </c>
      <c r="BA292" s="38" t="n">
        <v>108.562</v>
      </c>
      <c r="BB292" s="38" t="n">
        <v>108.562</v>
      </c>
      <c r="BC292" s="38" t="n">
        <v>109.797</v>
      </c>
      <c r="BD292" s="38" t="n">
        <v>144.253</v>
      </c>
      <c r="BE292" s="38" t="n">
        <v>183.638</v>
      </c>
      <c r="BF292" s="38" t="n">
        <v>109.369</v>
      </c>
      <c r="BG292" s="38" t="n">
        <v>109.369</v>
      </c>
      <c r="BH292" s="38" t="n">
        <v>109.525</v>
      </c>
      <c r="BI292" s="38" t="n">
        <v>159.173</v>
      </c>
      <c r="BJ292" s="38" t="n">
        <v>207.116</v>
      </c>
      <c r="BK292" s="38" t="n">
        <v>112.373</v>
      </c>
      <c r="BL292" s="38" t="n">
        <v>112.373</v>
      </c>
      <c r="BM292" s="38" t="n">
        <v>114.77</v>
      </c>
      <c r="BN292" s="38" t="n">
        <v>159.265</v>
      </c>
      <c r="BO292" s="38" t="n">
        <v>194.434</v>
      </c>
      <c r="BP292" s="38" t="n">
        <v>104.374</v>
      </c>
      <c r="BQ292" s="38" t="n">
        <v>104.374</v>
      </c>
      <c r="BR292" s="38" t="n">
        <v>113.767</v>
      </c>
      <c r="BS292" s="38" t="n">
        <v>167.471</v>
      </c>
      <c r="BT292" s="38" t="n">
        <v>212.626</v>
      </c>
      <c r="BU292" s="38" t="n">
        <v>116.158</v>
      </c>
      <c r="BV292" s="38" t="n">
        <v>116.158</v>
      </c>
      <c r="BW292" s="38" t="n">
        <v>110.861</v>
      </c>
      <c r="BX292" s="38" t="n">
        <v>156.479</v>
      </c>
      <c r="CA292" s="51" t="n">
        <f aca="false">CA133*CA319</f>
        <v>127.434555315</v>
      </c>
      <c r="CB292" s="51" t="n">
        <f aca="false">CB133*CB319</f>
        <v>135.515647632158</v>
      </c>
      <c r="CC292" s="51" t="n">
        <f aca="false">CC133*CC319</f>
        <v>145.751207651967</v>
      </c>
      <c r="CD292" s="51" t="n">
        <f aca="false">CD133*CD319</f>
        <v>156.018015563612</v>
      </c>
      <c r="CE292" s="51" t="n">
        <f aca="false">CE133*CE319</f>
        <v>166.747265159357</v>
      </c>
    </row>
    <row r="293" customFormat="false" ht="15" hidden="false" customHeight="false" outlineLevel="0" collapsed="false">
      <c r="B293" s="26" t="s">
        <v>433</v>
      </c>
      <c r="C293" s="38" t="n">
        <v>103.831</v>
      </c>
      <c r="D293" s="38" t="n">
        <v>98.648</v>
      </c>
      <c r="E293" s="38" t="n">
        <v>134.156</v>
      </c>
      <c r="F293" s="38" t="n">
        <v>125.566</v>
      </c>
      <c r="G293" s="38" t="n">
        <v>126.427</v>
      </c>
      <c r="H293" s="38" t="n">
        <v>137.642</v>
      </c>
      <c r="I293" s="38" t="n">
        <v>143.246</v>
      </c>
      <c r="J293" s="38" t="n">
        <v>225.69</v>
      </c>
      <c r="K293" s="38" t="n">
        <v>242.45</v>
      </c>
      <c r="L293" s="38" t="n">
        <v>289.297</v>
      </c>
      <c r="M293" s="38" t="n">
        <v>160.559</v>
      </c>
      <c r="N293" s="38" t="n">
        <v>160.559</v>
      </c>
      <c r="O293" s="38" t="n">
        <v>224.87</v>
      </c>
      <c r="P293" s="38" t="n">
        <v>260.652</v>
      </c>
      <c r="Q293" s="38" t="n">
        <v>297.449</v>
      </c>
      <c r="R293" s="38" t="n">
        <v>157.053</v>
      </c>
      <c r="S293" s="38" t="n">
        <v>157.053</v>
      </c>
      <c r="T293" s="38" t="n">
        <v>254.496</v>
      </c>
      <c r="U293" s="38" t="n">
        <v>235.847</v>
      </c>
      <c r="V293" s="38" t="n">
        <v>268.118</v>
      </c>
      <c r="W293" s="38" t="n">
        <v>147.653</v>
      </c>
      <c r="X293" s="38" t="n">
        <v>147.653</v>
      </c>
      <c r="Y293" s="38" t="n">
        <v>217.021</v>
      </c>
      <c r="Z293" s="38" t="n">
        <v>226.845</v>
      </c>
      <c r="AA293" s="38" t="n">
        <v>247.449</v>
      </c>
      <c r="AB293" s="38" t="n">
        <v>142.03</v>
      </c>
      <c r="AC293" s="38" t="n">
        <v>142.03</v>
      </c>
      <c r="AD293" s="38" t="n">
        <v>233.874</v>
      </c>
      <c r="AE293" s="38" t="n">
        <v>218.932</v>
      </c>
      <c r="AF293" s="38" t="n">
        <v>295.468</v>
      </c>
      <c r="AG293" s="38" t="n">
        <v>164.946</v>
      </c>
      <c r="AH293" s="38" t="n">
        <v>164.946</v>
      </c>
      <c r="AI293" s="38" t="n">
        <v>271.097</v>
      </c>
      <c r="AJ293" s="38" t="n">
        <v>268.045</v>
      </c>
      <c r="AK293" s="38" t="n">
        <v>159.352</v>
      </c>
      <c r="AL293" s="38" t="n">
        <v>175.269</v>
      </c>
      <c r="AM293" s="38" t="n">
        <v>175.269</v>
      </c>
      <c r="AN293" s="38" t="n">
        <v>185.451</v>
      </c>
      <c r="AO293" s="38" t="n">
        <v>170.196</v>
      </c>
      <c r="AP293" s="38" t="n">
        <v>181.946</v>
      </c>
      <c r="AQ293" s="38" t="n">
        <v>172.131</v>
      </c>
      <c r="AR293" s="38" t="n">
        <v>172.131</v>
      </c>
      <c r="AS293" s="38" t="n">
        <v>191.479</v>
      </c>
      <c r="AT293" s="38" t="n">
        <v>192.632</v>
      </c>
      <c r="AU293" s="38" t="n">
        <v>183.553</v>
      </c>
      <c r="AV293" s="38" t="n">
        <v>191.748</v>
      </c>
      <c r="AW293" s="38" t="n">
        <v>191.748</v>
      </c>
      <c r="AX293" s="38" t="n">
        <v>224.023</v>
      </c>
      <c r="AY293" s="38" t="n">
        <v>243.208</v>
      </c>
      <c r="AZ293" s="38" t="n">
        <v>238.686</v>
      </c>
      <c r="BA293" s="38" t="n">
        <v>264.383</v>
      </c>
      <c r="BB293" s="38" t="n">
        <v>264.383</v>
      </c>
      <c r="BC293" s="38" t="n">
        <v>297.88</v>
      </c>
      <c r="BD293" s="38" t="n">
        <v>269.477</v>
      </c>
      <c r="BE293" s="38" t="n">
        <v>238.425</v>
      </c>
      <c r="BF293" s="38" t="n">
        <v>297.966</v>
      </c>
      <c r="BG293" s="38" t="n">
        <v>297.966</v>
      </c>
      <c r="BH293" s="38" t="n">
        <v>315.838</v>
      </c>
      <c r="BI293" s="38" t="n">
        <v>283.023</v>
      </c>
      <c r="BJ293" s="38" t="n">
        <v>264.866</v>
      </c>
      <c r="BK293" s="38" t="n">
        <v>314.363</v>
      </c>
      <c r="BL293" s="38" t="n">
        <v>314.363</v>
      </c>
      <c r="BM293" s="38" t="n">
        <v>301.585</v>
      </c>
      <c r="BN293" s="38" t="n">
        <v>266.603</v>
      </c>
      <c r="BO293" s="38" t="n">
        <v>321.325</v>
      </c>
      <c r="BP293" s="38" t="n">
        <v>367.314</v>
      </c>
      <c r="BQ293" s="38" t="n">
        <v>367.314</v>
      </c>
      <c r="BR293" s="38" t="n">
        <v>381.2</v>
      </c>
      <c r="BS293" s="38" t="n">
        <v>376.612</v>
      </c>
      <c r="BT293" s="38" t="n">
        <v>339.874</v>
      </c>
      <c r="BU293" s="38" t="n">
        <v>331.819</v>
      </c>
      <c r="BV293" s="38" t="n">
        <v>331.819</v>
      </c>
      <c r="BW293" s="38" t="n">
        <v>297.856</v>
      </c>
      <c r="BX293" s="38" t="n">
        <v>284.167</v>
      </c>
      <c r="CA293" s="51" t="n">
        <f aca="false">$BX$293</f>
        <v>284.167</v>
      </c>
      <c r="CB293" s="51" t="n">
        <f aca="false">CA293</f>
        <v>284.167</v>
      </c>
      <c r="CC293" s="51" t="n">
        <f aca="false">CB293</f>
        <v>284.167</v>
      </c>
      <c r="CD293" s="51" t="n">
        <f aca="false">CC293</f>
        <v>284.167</v>
      </c>
      <c r="CE293" s="51" t="n">
        <f aca="false">CD293</f>
        <v>284.167</v>
      </c>
    </row>
    <row r="294" customFormat="false" ht="15" hidden="false" customHeight="false" outlineLevel="0" collapsed="false">
      <c r="B294" s="15" t="s">
        <v>434</v>
      </c>
      <c r="C294" s="62" t="n">
        <f aca="false">IF(ISNUMBER(C290),SUM(C290:C293),"")</f>
        <v>338.288</v>
      </c>
      <c r="D294" s="62" t="n">
        <f aca="false">IF(ISNUMBER(D290),SUM(D290:D293),"")</f>
        <v>311.921</v>
      </c>
      <c r="E294" s="62" t="n">
        <f aca="false">IF(ISNUMBER(E290),SUM(E290:E293),"")</f>
        <v>356.642</v>
      </c>
      <c r="F294" s="62" t="n">
        <f aca="false">IF(ISNUMBER(F290),SUM(F290:F293),"")</f>
        <v>297.971</v>
      </c>
      <c r="G294" s="62" t="n">
        <f aca="false">IF(ISNUMBER(G290),SUM(G290:G293),"")</f>
        <v>335.592</v>
      </c>
      <c r="H294" s="62" t="n">
        <f aca="false">IF(ISNUMBER(H290),SUM(H290:H293),"")</f>
        <v>471.042</v>
      </c>
      <c r="I294" s="62" t="n">
        <f aca="false">IF(ISNUMBER(I290),SUM(I290:I293),"")</f>
        <v>440.267</v>
      </c>
      <c r="J294" s="62" t="n">
        <f aca="false">IF(ISNUMBER(J290),SUM(J290:J293),"")</f>
        <v>458.981</v>
      </c>
      <c r="K294" s="62" t="n">
        <f aca="false">IF(ISNUMBER(K290),SUM(K290:K293),"")</f>
        <v>452.685</v>
      </c>
      <c r="L294" s="62" t="n">
        <f aca="false">IF(ISNUMBER(L290),SUM(L290:L293),"")</f>
        <v>481.195</v>
      </c>
      <c r="M294" s="62" t="n">
        <f aca="false">IF(ISNUMBER(M290),SUM(M290:M293),"")</f>
        <v>456.917</v>
      </c>
      <c r="N294" s="62" t="n">
        <f aca="false">IF(ISNUMBER(N290),SUM(N290:N293),"")</f>
        <v>456.917</v>
      </c>
      <c r="O294" s="62" t="n">
        <f aca="false">IF(ISNUMBER(O290),SUM(O290:O293),"")</f>
        <v>431.912</v>
      </c>
      <c r="P294" s="62" t="n">
        <f aca="false">IF(ISNUMBER(P290),SUM(P290:P293),"")</f>
        <v>464.489</v>
      </c>
      <c r="Q294" s="62" t="n">
        <f aca="false">IF(ISNUMBER(Q290),SUM(Q290:Q293),"")</f>
        <v>571.701</v>
      </c>
      <c r="R294" s="62" t="n">
        <f aca="false">IF(ISNUMBER(R290),SUM(R290:R293),"")</f>
        <v>492.419</v>
      </c>
      <c r="S294" s="62" t="n">
        <f aca="false">IF(ISNUMBER(S290),SUM(S290:S293),"")</f>
        <v>492.419</v>
      </c>
      <c r="T294" s="62" t="n">
        <f aca="false">IF(ISNUMBER(T290),SUM(T290:T293),"")</f>
        <v>608.425</v>
      </c>
      <c r="U294" s="62" t="n">
        <f aca="false">IF(ISNUMBER(U290),SUM(U290:U293),"")</f>
        <v>470.556</v>
      </c>
      <c r="V294" s="62" t="n">
        <f aca="false">IF(ISNUMBER(V290),SUM(V290:V293),"")</f>
        <v>437.429</v>
      </c>
      <c r="W294" s="62" t="n">
        <f aca="false">IF(ISNUMBER(W290),SUM(W290:W293),"")</f>
        <v>370.122</v>
      </c>
      <c r="X294" s="62" t="n">
        <f aca="false">IF(ISNUMBER(X290),SUM(X290:X293),"")</f>
        <v>370.122</v>
      </c>
      <c r="Y294" s="62" t="n">
        <f aca="false">IF(ISNUMBER(Y290),SUM(Y290:Y293),"")</f>
        <v>401.455</v>
      </c>
      <c r="Z294" s="62" t="n">
        <f aca="false">IF(ISNUMBER(Z290),SUM(Z290:Z293),"")</f>
        <v>559.79</v>
      </c>
      <c r="AA294" s="62" t="n">
        <f aca="false">IF(ISNUMBER(AA290),SUM(AA290:AA293),"")</f>
        <v>596.059</v>
      </c>
      <c r="AB294" s="62" t="n">
        <f aca="false">IF(ISNUMBER(AB290),SUM(AB290:AB293),"")</f>
        <v>388.107</v>
      </c>
      <c r="AC294" s="62" t="n">
        <f aca="false">IF(ISNUMBER(AC290),SUM(AC290:AC293),"")</f>
        <v>388.107</v>
      </c>
      <c r="AD294" s="62" t="n">
        <f aca="false">IF(ISNUMBER(AD290),SUM(AD290:AD293),"")</f>
        <v>422.263</v>
      </c>
      <c r="AE294" s="62" t="n">
        <f aca="false">IF(ISNUMBER(AE290),SUM(AE290:AE293),"")</f>
        <v>415.643</v>
      </c>
      <c r="AF294" s="62" t="n">
        <f aca="false">IF(ISNUMBER(AF290),SUM(AF290:AF293),"")</f>
        <v>539.856</v>
      </c>
      <c r="AG294" s="62" t="n">
        <f aca="false">IF(ISNUMBER(AG290),SUM(AG290:AG293),"")</f>
        <v>528.742</v>
      </c>
      <c r="AH294" s="62" t="n">
        <f aca="false">IF(ISNUMBER(AH290),SUM(AH290:AH293),"")</f>
        <v>528.742</v>
      </c>
      <c r="AI294" s="62" t="n">
        <f aca="false">IF(ISNUMBER(AI290),SUM(AI290:AI293),"")</f>
        <v>550.2</v>
      </c>
      <c r="AJ294" s="62" t="n">
        <f aca="false">IF(ISNUMBER(AJ290),SUM(AJ290:AJ293),"")</f>
        <v>539.758</v>
      </c>
      <c r="AK294" s="62" t="n">
        <f aca="false">IF(ISNUMBER(AK290),SUM(AK290:AK293),"")</f>
        <v>545.551</v>
      </c>
      <c r="AL294" s="62" t="n">
        <f aca="false">IF(ISNUMBER(AL290),SUM(AL290:AL293),"")</f>
        <v>538.182</v>
      </c>
      <c r="AM294" s="62" t="n">
        <f aca="false">IF(ISNUMBER(AM290),SUM(AM290:AM293),"")</f>
        <v>538.182</v>
      </c>
      <c r="AN294" s="62" t="n">
        <f aca="false">IF(ISNUMBER(AN290),SUM(AN290:AN293),"")</f>
        <v>525.527</v>
      </c>
      <c r="AO294" s="62" t="n">
        <f aca="false">IF(ISNUMBER(AO290),SUM(AO290:AO293),"")</f>
        <v>571.011</v>
      </c>
      <c r="AP294" s="62" t="n">
        <f aca="false">IF(ISNUMBER(AP290),SUM(AP290:AP293),"")</f>
        <v>572.437</v>
      </c>
      <c r="AQ294" s="62" t="n">
        <f aca="false">IF(ISNUMBER(AQ290),SUM(AQ290:AQ293),"")</f>
        <v>563.135</v>
      </c>
      <c r="AR294" s="62" t="n">
        <f aca="false">IF(ISNUMBER(AR290),SUM(AR290:AR293),"")</f>
        <v>563.135</v>
      </c>
      <c r="AS294" s="62" t="n">
        <f aca="false">IF(ISNUMBER(AS290),SUM(AS290:AS293),"")</f>
        <v>654.822</v>
      </c>
      <c r="AT294" s="62" t="n">
        <f aca="false">IF(ISNUMBER(AT290),SUM(AT290:AT293),"")</f>
        <v>568.571</v>
      </c>
      <c r="AU294" s="62" t="n">
        <f aca="false">IF(ISNUMBER(AU290),SUM(AU290:AU293),"")</f>
        <v>533.161</v>
      </c>
      <c r="AV294" s="62" t="n">
        <f aca="false">IF(ISNUMBER(AV290),SUM(AV290:AV293),"")</f>
        <v>549.449</v>
      </c>
      <c r="AW294" s="62" t="n">
        <f aca="false">IF(ISNUMBER(AW290),SUM(AW290:AW293),"")</f>
        <v>549.449</v>
      </c>
      <c r="AX294" s="62" t="n">
        <f aca="false">IF(ISNUMBER(AX290),SUM(AX290:AX293),"")</f>
        <v>614.461</v>
      </c>
      <c r="AY294" s="62" t="n">
        <f aca="false">IF(ISNUMBER(AY290),SUM(AY290:AY293),"")</f>
        <v>696.02</v>
      </c>
      <c r="AZ294" s="62" t="n">
        <f aca="false">IF(ISNUMBER(AZ290),SUM(AZ290:AZ293),"")</f>
        <v>745.42</v>
      </c>
      <c r="BA294" s="62" t="n">
        <f aca="false">IF(ISNUMBER(BA290),SUM(BA290:BA293),"")</f>
        <v>755.905</v>
      </c>
      <c r="BB294" s="62" t="n">
        <f aca="false">IF(ISNUMBER(BB290),SUM(BB290:BB293),"")</f>
        <v>755.905</v>
      </c>
      <c r="BC294" s="62" t="n">
        <f aca="false">IF(ISNUMBER(BC290),SUM(BC290:BC293),"")</f>
        <v>927.652</v>
      </c>
      <c r="BD294" s="62" t="n">
        <f aca="false">IF(ISNUMBER(BD290),SUM(BD290:BD293),"")</f>
        <v>903.683</v>
      </c>
      <c r="BE294" s="62" t="n">
        <f aca="false">IF(ISNUMBER(BE290),SUM(BE290:BE293),"")</f>
        <v>820.328</v>
      </c>
      <c r="BF294" s="62" t="n">
        <f aca="false">IF(ISNUMBER(BF290),SUM(BF290:BF293),"")</f>
        <v>852.897</v>
      </c>
      <c r="BG294" s="62" t="n">
        <f aca="false">IF(ISNUMBER(BG290),SUM(BG290:BG293),"")</f>
        <v>852.897</v>
      </c>
      <c r="BH294" s="62" t="n">
        <f aca="false">IF(ISNUMBER(BH290),SUM(BH290:BH293),"")</f>
        <v>835.939</v>
      </c>
      <c r="BI294" s="62" t="n">
        <f aca="false">IF(ISNUMBER(BI290),SUM(BI290:BI293),"")</f>
        <v>810.762</v>
      </c>
      <c r="BJ294" s="62" t="n">
        <f aca="false">IF(ISNUMBER(BJ290),SUM(BJ290:BJ293),"")</f>
        <v>808.142</v>
      </c>
      <c r="BK294" s="62" t="n">
        <f aca="false">IF(ISNUMBER(BK290),SUM(BK290:BK293),"")</f>
        <v>754.61</v>
      </c>
      <c r="BL294" s="62" t="n">
        <f aca="false">IF(ISNUMBER(BL290),SUM(BL290:BL293),"")</f>
        <v>754.61</v>
      </c>
      <c r="BM294" s="62" t="n">
        <f aca="false">IF(ISNUMBER(BM290),SUM(BM290:BM293),"")</f>
        <v>748.873</v>
      </c>
      <c r="BN294" s="62" t="n">
        <f aca="false">IF(ISNUMBER(BN290),SUM(BN290:BN293),"")</f>
        <v>783.567</v>
      </c>
      <c r="BO294" s="62" t="n">
        <f aca="false">IF(ISNUMBER(BO290),SUM(BO290:BO293),"")</f>
        <v>951.336</v>
      </c>
      <c r="BP294" s="62" t="n">
        <f aca="false">IF(ISNUMBER(BP290),SUM(BP290:BP293),"")</f>
        <v>878.802</v>
      </c>
      <c r="BQ294" s="62" t="n">
        <f aca="false">IF(ISNUMBER(BQ290),SUM(BQ290:BQ293),"")</f>
        <v>878.802</v>
      </c>
      <c r="BR294" s="62" t="n">
        <f aca="false">IF(ISNUMBER(BR290),SUM(BR290:BR293),"")</f>
        <v>969.854</v>
      </c>
      <c r="BS294" s="62" t="n">
        <f aca="false">IF(ISNUMBER(BS290),SUM(BS290:BS293),"")</f>
        <v>1025.239</v>
      </c>
      <c r="BT294" s="62" t="n">
        <f aca="false">IF(ISNUMBER(BT290),SUM(BT290:BT293),"")</f>
        <v>1039.424</v>
      </c>
      <c r="BU294" s="62" t="n">
        <f aca="false">IF(ISNUMBER(BU290),SUM(BU290:BU293),"")</f>
        <v>956.691</v>
      </c>
      <c r="BV294" s="62" t="n">
        <f aca="false">IF(ISNUMBER(BV290),SUM(BV290:BV293),"")</f>
        <v>956.691</v>
      </c>
      <c r="BW294" s="62" t="n">
        <f aca="false">IF(ISNUMBER(BW290),SUM(BW290:BW293),"")</f>
        <v>1020.357</v>
      </c>
      <c r="BX294" s="62" t="n">
        <f aca="false">IF(ISNUMBER(BX290),SUM(BX290:BX293),"")</f>
        <v>888.083</v>
      </c>
      <c r="BY294" s="18" t="str">
        <f aca="false">IF(ISNUMBER(BY290),SUM(BY290:BY293),"")</f>
        <v/>
      </c>
      <c r="BZ294" s="18" t="str">
        <f aca="false">IF(ISNUMBER(BZ290),SUM(BZ290:BZ293),"")</f>
        <v/>
      </c>
      <c r="CA294" s="18" t="n">
        <f aca="false">IF(ISNUMBER(CA290),SUM(CA290:CA293),"")</f>
        <v>840.364293869687</v>
      </c>
      <c r="CB294" s="18" t="n">
        <f aca="false">IF(ISNUMBER(CB290),SUM(CB290:CB293),"")</f>
        <v>1080.5909242348</v>
      </c>
      <c r="CC294" s="18" t="n">
        <f aca="false">IF(ISNUMBER(CC290),SUM(CC290:CC293),"")</f>
        <v>1190.89449857813</v>
      </c>
      <c r="CD294" s="18" t="n">
        <f aca="false">IF(ISNUMBER(CD290),SUM(CD290:CD293),"")</f>
        <v>1349.5243119568</v>
      </c>
      <c r="CE294" s="18" t="n">
        <f aca="false">IF(ISNUMBER(CE290),SUM(CE290:CE293),"")</f>
        <v>1378.51274476505</v>
      </c>
    </row>
    <row r="295" customFormat="false" ht="15" hidden="false" customHeight="false" outlineLevel="0" collapsed="false">
      <c r="B295" s="26" t="s">
        <v>435</v>
      </c>
      <c r="C295" s="38" t="n">
        <v>113.965</v>
      </c>
      <c r="D295" s="38" t="n">
        <v>117.329</v>
      </c>
      <c r="E295" s="38" t="n">
        <v>91.537</v>
      </c>
      <c r="F295" s="38" t="n">
        <v>87.85</v>
      </c>
      <c r="G295" s="38" t="n">
        <v>84.627</v>
      </c>
      <c r="H295" s="38" t="n">
        <v>1.96</v>
      </c>
      <c r="I295" s="38" t="n">
        <v>1.599</v>
      </c>
      <c r="J295" s="38" t="n">
        <v>1.448</v>
      </c>
      <c r="K295" s="38" t="n">
        <v>1.388</v>
      </c>
      <c r="L295" s="38" t="n">
        <v>1.251</v>
      </c>
      <c r="M295" s="38" t="n">
        <v>3.791</v>
      </c>
      <c r="N295" s="38" t="n">
        <v>3.791</v>
      </c>
      <c r="O295" s="38" t="n">
        <v>2.678</v>
      </c>
      <c r="P295" s="38" t="n">
        <v>1.159</v>
      </c>
      <c r="Q295" s="38" t="n">
        <v>1.041</v>
      </c>
      <c r="R295" s="38" t="n">
        <v>2.488</v>
      </c>
      <c r="S295" s="38" t="n">
        <v>2.488</v>
      </c>
      <c r="T295" s="38" t="n">
        <v>3.882</v>
      </c>
      <c r="U295" s="38" t="n">
        <v>151.563</v>
      </c>
      <c r="V295" s="38" t="n">
        <v>350.899</v>
      </c>
      <c r="W295" s="38" t="n">
        <v>350.347</v>
      </c>
      <c r="X295" s="38" t="n">
        <v>350.347</v>
      </c>
      <c r="Y295" s="38" t="n">
        <v>350.106</v>
      </c>
      <c r="Z295" s="38" t="n">
        <v>360.931</v>
      </c>
      <c r="AA295" s="38" t="n">
        <v>359.831</v>
      </c>
      <c r="AB295" s="38" t="n">
        <v>703.704</v>
      </c>
      <c r="AC295" s="38" t="n">
        <v>703.704</v>
      </c>
      <c r="AD295" s="38" t="n">
        <v>703.378</v>
      </c>
      <c r="AE295" s="38" t="n">
        <v>704.732</v>
      </c>
      <c r="AF295" s="38" t="n">
        <v>704.804</v>
      </c>
      <c r="AG295" s="38" t="n">
        <v>704.136</v>
      </c>
      <c r="AH295" s="38" t="n">
        <v>704.136</v>
      </c>
      <c r="AI295" s="38" t="n">
        <v>700.869</v>
      </c>
      <c r="AJ295" s="38" t="n">
        <v>700.194</v>
      </c>
      <c r="AK295" s="38" t="n">
        <v>698.468</v>
      </c>
      <c r="AL295" s="38" t="n">
        <v>702.549</v>
      </c>
      <c r="AM295" s="38" t="n">
        <v>702.549</v>
      </c>
      <c r="AN295" s="38" t="n">
        <v>705.725</v>
      </c>
      <c r="AO295" s="38" t="n">
        <v>710.458</v>
      </c>
      <c r="AP295" s="38" t="n">
        <v>713.884</v>
      </c>
      <c r="AQ295" s="38" t="n">
        <v>712.302</v>
      </c>
      <c r="AR295" s="38" t="n">
        <v>712.302</v>
      </c>
      <c r="AS295" s="38" t="n">
        <v>715.95</v>
      </c>
      <c r="AT295" s="38" t="n">
        <v>715.817</v>
      </c>
      <c r="AU295" s="38" t="n">
        <v>715.687</v>
      </c>
      <c r="AV295" s="38" t="n">
        <v>715.456</v>
      </c>
      <c r="AW295" s="38" t="n">
        <v>715.456</v>
      </c>
      <c r="AX295" s="38" t="n">
        <v>715.328</v>
      </c>
      <c r="AY295" s="38" t="n">
        <v>718.137</v>
      </c>
      <c r="AZ295" s="38" t="n">
        <v>717.787</v>
      </c>
      <c r="BA295" s="38" t="n">
        <v>717.089</v>
      </c>
      <c r="BB295" s="38" t="n">
        <v>717.089</v>
      </c>
      <c r="BC295" s="38" t="n">
        <v>715.032</v>
      </c>
      <c r="BD295" s="38" t="n">
        <v>712.908</v>
      </c>
      <c r="BE295" s="38" t="n">
        <v>711.25</v>
      </c>
      <c r="BF295" s="38" t="n">
        <v>1110.396</v>
      </c>
      <c r="BG295" s="38" t="n">
        <v>1110.396</v>
      </c>
      <c r="BH295" s="38" t="n">
        <v>1110.626</v>
      </c>
      <c r="BI295" s="38" t="n">
        <v>1103.898</v>
      </c>
      <c r="BJ295" s="38" t="n">
        <v>1102.858</v>
      </c>
      <c r="BK295" s="38" t="n">
        <v>1102.771</v>
      </c>
      <c r="BL295" s="38" t="n">
        <v>1102.771</v>
      </c>
      <c r="BM295" s="38" t="n">
        <v>1102.677</v>
      </c>
      <c r="BN295" s="38" t="n">
        <v>1098.43</v>
      </c>
      <c r="BO295" s="38" t="n">
        <v>1150.616</v>
      </c>
      <c r="BP295" s="38" t="n">
        <v>1150.551</v>
      </c>
      <c r="BQ295" s="38" t="n">
        <v>1150.551</v>
      </c>
      <c r="BR295" s="38" t="n">
        <v>1150.473</v>
      </c>
      <c r="BS295" s="38" t="n">
        <v>1150.395</v>
      </c>
      <c r="BT295" s="38" t="n">
        <v>1150.315</v>
      </c>
      <c r="BU295" s="38" t="n">
        <v>1150.228</v>
      </c>
      <c r="BV295" s="38" t="n">
        <v>1150.228</v>
      </c>
      <c r="BW295" s="38" t="n">
        <v>1150.138</v>
      </c>
      <c r="BX295" s="38" t="n">
        <v>1150.054</v>
      </c>
      <c r="CA295" s="51" t="n">
        <f aca="false">CA329-CA290</f>
        <v>1150.054</v>
      </c>
      <c r="CB295" s="51" t="n">
        <f aca="false">CB329-CB290</f>
        <v>1050.054</v>
      </c>
      <c r="CC295" s="51" t="n">
        <f aca="false">CC329-CC290</f>
        <v>1075.054</v>
      </c>
      <c r="CD295" s="51" t="n">
        <f aca="false">CD329-CD290</f>
        <v>1050.054</v>
      </c>
      <c r="CE295" s="51" t="n">
        <f aca="false">CE329-CE290</f>
        <v>1150.054</v>
      </c>
    </row>
    <row r="296" customFormat="false" ht="15" hidden="false" customHeight="false" outlineLevel="0" collapsed="false">
      <c r="B296" s="26" t="s">
        <v>436</v>
      </c>
      <c r="C296" s="38" t="n">
        <v>33.417</v>
      </c>
      <c r="D296" s="38" t="n">
        <v>29.164</v>
      </c>
      <c r="E296" s="38" t="n">
        <v>188.16</v>
      </c>
      <c r="F296" s="38" t="n">
        <v>139.67</v>
      </c>
      <c r="G296" s="38" t="n">
        <v>121.994</v>
      </c>
      <c r="H296" s="38" t="n">
        <v>232.175</v>
      </c>
      <c r="I296" s="38" t="n">
        <v>216.189</v>
      </c>
      <c r="J296" s="38" t="n">
        <v>158.311</v>
      </c>
      <c r="K296" s="38" t="n">
        <v>130.982</v>
      </c>
      <c r="L296" s="38" t="n">
        <v>127.085</v>
      </c>
      <c r="M296" s="38" t="n">
        <v>26.999</v>
      </c>
      <c r="N296" s="38" t="n">
        <v>26.999</v>
      </c>
      <c r="O296" s="38" t="n">
        <v>24.26</v>
      </c>
      <c r="P296" s="38" t="n">
        <v>22.901</v>
      </c>
      <c r="Q296" s="38" t="n">
        <v>23.166</v>
      </c>
      <c r="R296" s="38" t="n">
        <v>32.803</v>
      </c>
      <c r="S296" s="38" t="n">
        <v>32.803</v>
      </c>
      <c r="T296" s="38" t="n">
        <v>25.694</v>
      </c>
      <c r="U296" s="38" t="n">
        <v>24.032</v>
      </c>
      <c r="V296" s="38" t="n">
        <v>18.304</v>
      </c>
      <c r="W296" s="38" t="n">
        <v>15.243</v>
      </c>
      <c r="X296" s="38" t="n">
        <v>15.243</v>
      </c>
    </row>
    <row r="297" customFormat="false" ht="15" hidden="false" customHeight="false" outlineLevel="0" collapsed="false">
      <c r="B297" s="26" t="s">
        <v>369</v>
      </c>
      <c r="C297" s="38" t="n">
        <v>27.061</v>
      </c>
      <c r="D297" s="38" t="n">
        <v>36.874</v>
      </c>
      <c r="E297" s="38" t="n">
        <v>8.553</v>
      </c>
      <c r="F297" s="38" t="n">
        <v>16.679</v>
      </c>
      <c r="G297" s="38" t="n">
        <v>19.766</v>
      </c>
      <c r="H297" s="38" t="n">
        <v>17.606</v>
      </c>
      <c r="I297" s="38" t="n">
        <v>8.349</v>
      </c>
      <c r="M297" s="38" t="n">
        <v>48.103</v>
      </c>
      <c r="N297" s="38" t="n">
        <v>48.103</v>
      </c>
      <c r="R297" s="38" t="n">
        <v>40.761</v>
      </c>
      <c r="S297" s="38" t="n">
        <v>40.761</v>
      </c>
      <c r="W297" s="38" t="n">
        <v>46.662</v>
      </c>
      <c r="X297" s="38" t="n">
        <v>46.662</v>
      </c>
      <c r="AB297" s="38" t="n">
        <v>41.617</v>
      </c>
      <c r="AC297" s="38" t="n">
        <v>41.617</v>
      </c>
      <c r="AG297" s="38" t="n">
        <v>40.716</v>
      </c>
      <c r="AH297" s="38" t="n">
        <v>40.716</v>
      </c>
      <c r="AL297" s="38" t="n">
        <v>45.985</v>
      </c>
      <c r="AM297" s="38" t="n">
        <v>45.985</v>
      </c>
      <c r="AQ297" s="38" t="n">
        <v>64.286</v>
      </c>
      <c r="AR297" s="38" t="n">
        <v>64.286</v>
      </c>
      <c r="AV297" s="38" t="n">
        <v>46.742</v>
      </c>
      <c r="AW297" s="38" t="n">
        <v>46.742</v>
      </c>
      <c r="BA297" s="38" t="n">
        <v>56.718</v>
      </c>
      <c r="BB297" s="38" t="n">
        <v>56.718</v>
      </c>
      <c r="BF297" s="38" t="n">
        <v>17.022</v>
      </c>
      <c r="BG297" s="38" t="n">
        <v>17.022</v>
      </c>
      <c r="BK297" s="38" t="n">
        <v>13.146</v>
      </c>
      <c r="BL297" s="38" t="n">
        <v>13.146</v>
      </c>
      <c r="BP297" s="38" t="n">
        <v>10.464</v>
      </c>
      <c r="BQ297" s="38" t="n">
        <v>10.464</v>
      </c>
      <c r="BU297" s="38" t="n">
        <v>52.104</v>
      </c>
      <c r="BV297" s="38" t="n">
        <v>52.104</v>
      </c>
      <c r="CA297" s="51" t="n">
        <f aca="false">$BX$297</f>
        <v>0</v>
      </c>
      <c r="CB297" s="51" t="n">
        <f aca="false">CA297</f>
        <v>0</v>
      </c>
      <c r="CC297" s="51" t="n">
        <f aca="false">CB297</f>
        <v>0</v>
      </c>
      <c r="CD297" s="51" t="n">
        <f aca="false">CC297</f>
        <v>0</v>
      </c>
      <c r="CE297" s="51" t="n">
        <f aca="false">CD297</f>
        <v>0</v>
      </c>
    </row>
    <row r="298" customFormat="false" ht="15" hidden="false" customHeight="false" outlineLevel="0" collapsed="false">
      <c r="B298" s="26" t="s">
        <v>437</v>
      </c>
      <c r="C298" s="38" t="n">
        <v>28.872</v>
      </c>
      <c r="D298" s="38" t="n">
        <v>62.788</v>
      </c>
      <c r="E298" s="38" t="n">
        <v>78.601</v>
      </c>
      <c r="F298" s="38" t="n">
        <v>77.447</v>
      </c>
      <c r="G298" s="38" t="n">
        <v>72.331</v>
      </c>
      <c r="H298" s="38" t="n">
        <v>60.751</v>
      </c>
      <c r="I298" s="38" t="n">
        <v>65.138</v>
      </c>
      <c r="J298" s="38" t="n">
        <v>81.242</v>
      </c>
      <c r="K298" s="38" t="n">
        <v>80.607</v>
      </c>
      <c r="L298" s="38" t="n">
        <v>81.291</v>
      </c>
      <c r="M298" s="38" t="n">
        <v>85.369</v>
      </c>
      <c r="N298" s="38" t="n">
        <v>85.369</v>
      </c>
      <c r="O298" s="38" t="n">
        <v>143.013</v>
      </c>
      <c r="P298" s="38" t="n">
        <v>134.817</v>
      </c>
      <c r="Q298" s="38" t="n">
        <v>140.132</v>
      </c>
      <c r="R298" s="38" t="n">
        <v>84.963</v>
      </c>
      <c r="S298" s="38" t="n">
        <v>84.963</v>
      </c>
      <c r="T298" s="38" t="n">
        <v>103.552</v>
      </c>
      <c r="U298" s="38" t="n">
        <v>107.357</v>
      </c>
      <c r="V298" s="38" t="n">
        <v>109.49</v>
      </c>
      <c r="W298" s="38" t="n">
        <v>69.349</v>
      </c>
      <c r="X298" s="38" t="n">
        <v>69.349</v>
      </c>
      <c r="Y298" s="38" t="n">
        <v>132.865</v>
      </c>
      <c r="Z298" s="38" t="n">
        <v>124.266</v>
      </c>
      <c r="AA298" s="38" t="n">
        <v>125.014</v>
      </c>
      <c r="AB298" s="38" t="n">
        <v>97.803</v>
      </c>
      <c r="AC298" s="38" t="n">
        <v>97.803</v>
      </c>
      <c r="AD298" s="38" t="n">
        <v>142.912</v>
      </c>
      <c r="AE298" s="38" t="n">
        <v>149.522</v>
      </c>
      <c r="AF298" s="38" t="n">
        <v>220.515</v>
      </c>
      <c r="AG298" s="38" t="n">
        <v>200.5</v>
      </c>
      <c r="AH298" s="38" t="n">
        <v>200.5</v>
      </c>
      <c r="AI298" s="38" t="n">
        <v>256.759</v>
      </c>
      <c r="AJ298" s="38" t="n">
        <v>250.271</v>
      </c>
      <c r="AK298" s="38" t="n">
        <v>247.758</v>
      </c>
      <c r="AL298" s="38" t="n">
        <v>175.517</v>
      </c>
      <c r="AM298" s="38" t="n">
        <v>175.517</v>
      </c>
      <c r="AN298" s="38" t="n">
        <v>258.934</v>
      </c>
      <c r="AO298" s="38" t="n">
        <v>266.806</v>
      </c>
      <c r="AP298" s="38" t="n">
        <v>261.031</v>
      </c>
      <c r="AQ298" s="38" t="n">
        <v>212.413</v>
      </c>
      <c r="AR298" s="38" t="n">
        <v>212.413</v>
      </c>
      <c r="AS298" s="38" t="n">
        <v>267.168</v>
      </c>
      <c r="AT298" s="38" t="n">
        <v>254.54</v>
      </c>
      <c r="AU298" s="38" t="n">
        <v>257.907</v>
      </c>
      <c r="AV298" s="38" t="n">
        <v>212.556</v>
      </c>
      <c r="AW298" s="38" t="n">
        <v>212.556</v>
      </c>
      <c r="AX298" s="38" t="n">
        <v>228.552</v>
      </c>
      <c r="AY298" s="38" t="n">
        <v>238.946</v>
      </c>
      <c r="AZ298" s="38" t="n">
        <v>247.697</v>
      </c>
      <c r="BA298" s="38" t="n">
        <v>198.686</v>
      </c>
      <c r="BB298" s="38" t="n">
        <v>198.686</v>
      </c>
      <c r="BC298" s="38" t="n">
        <v>230.6</v>
      </c>
      <c r="BD298" s="38" t="n">
        <v>212.239</v>
      </c>
      <c r="BE298" s="38" t="n">
        <v>196.159</v>
      </c>
      <c r="BF298" s="38" t="n">
        <v>166.19</v>
      </c>
      <c r="BG298" s="38" t="n">
        <v>166.19</v>
      </c>
      <c r="BH298" s="38" t="n">
        <v>181.4</v>
      </c>
      <c r="BI298" s="38" t="n">
        <v>195.104</v>
      </c>
      <c r="BJ298" s="38" t="n">
        <v>189.313</v>
      </c>
      <c r="BK298" s="38" t="n">
        <v>197.918</v>
      </c>
      <c r="BL298" s="38" t="n">
        <v>197.918</v>
      </c>
      <c r="BM298" s="38" t="n">
        <v>220.339</v>
      </c>
      <c r="BN298" s="38" t="n">
        <v>220.346</v>
      </c>
      <c r="BO298" s="38" t="n">
        <v>223.403</v>
      </c>
      <c r="BP298" s="38" t="n">
        <v>152.892</v>
      </c>
      <c r="BQ298" s="38" t="n">
        <v>152.892</v>
      </c>
      <c r="BR298" s="38" t="n">
        <v>164.577</v>
      </c>
      <c r="BS298" s="38" t="n">
        <v>172.122</v>
      </c>
      <c r="BT298" s="38" t="n">
        <v>210.733</v>
      </c>
      <c r="BU298" s="38" t="n">
        <v>148.76</v>
      </c>
      <c r="BV298" s="38" t="n">
        <v>148.76</v>
      </c>
      <c r="BW298" s="38" t="n">
        <v>218.64</v>
      </c>
      <c r="BX298" s="38" t="n">
        <v>220.993</v>
      </c>
      <c r="CA298" s="51" t="n">
        <f aca="false">$BX$298+N($BX$296)</f>
        <v>220.993</v>
      </c>
      <c r="CB298" s="51" t="n">
        <f aca="false">CA298</f>
        <v>220.993</v>
      </c>
      <c r="CC298" s="51" t="n">
        <f aca="false">CB298</f>
        <v>220.993</v>
      </c>
      <c r="CD298" s="51" t="n">
        <f aca="false">CC298</f>
        <v>220.993</v>
      </c>
      <c r="CE298" s="51" t="n">
        <f aca="false">CD298</f>
        <v>220.993</v>
      </c>
    </row>
    <row r="299" customFormat="false" ht="15" hidden="false" customHeight="false" outlineLevel="0" collapsed="false">
      <c r="B299" s="15" t="s">
        <v>438</v>
      </c>
      <c r="C299" s="62" t="n">
        <f aca="false">IF(ISNUMBER(C290),C294+SUM(C295:C298),"")</f>
        <v>541.603</v>
      </c>
      <c r="D299" s="62" t="n">
        <f aca="false">IF(ISNUMBER(D290),D294+SUM(D295:D298),"")</f>
        <v>558.076</v>
      </c>
      <c r="E299" s="62" t="n">
        <f aca="false">IF(ISNUMBER(E290),E294+SUM(E295:E298),"")</f>
        <v>723.493</v>
      </c>
      <c r="F299" s="62" t="n">
        <f aca="false">IF(ISNUMBER(F290),F294+SUM(F295:F298),"")</f>
        <v>619.617</v>
      </c>
      <c r="G299" s="62" t="n">
        <f aca="false">IF(ISNUMBER(G290),G294+SUM(G295:G298),"")</f>
        <v>634.31</v>
      </c>
      <c r="H299" s="62" t="n">
        <f aca="false">IF(ISNUMBER(H290),H294+SUM(H295:H298),"")</f>
        <v>783.534</v>
      </c>
      <c r="I299" s="62" t="n">
        <f aca="false">IF(ISNUMBER(I290),I294+SUM(I295:I298),"")</f>
        <v>731.542</v>
      </c>
      <c r="J299" s="62" t="n">
        <f aca="false">IF(ISNUMBER(J290),J294+SUM(J295:J298),"")</f>
        <v>699.982</v>
      </c>
      <c r="K299" s="62" t="n">
        <f aca="false">IF(ISNUMBER(K290),K294+SUM(K295:K298),"")</f>
        <v>665.662</v>
      </c>
      <c r="L299" s="62" t="n">
        <f aca="false">IF(ISNUMBER(L290),L294+SUM(L295:L298),"")</f>
        <v>690.822</v>
      </c>
      <c r="M299" s="62" t="n">
        <f aca="false">IF(ISNUMBER(M290),M294+SUM(M295:M298),"")</f>
        <v>621.179</v>
      </c>
      <c r="N299" s="62" t="n">
        <f aca="false">IF(ISNUMBER(N290),N294+SUM(N295:N298),"")</f>
        <v>621.179</v>
      </c>
      <c r="O299" s="62" t="n">
        <f aca="false">IF(ISNUMBER(O290),O294+SUM(O295:O298),"")</f>
        <v>601.863</v>
      </c>
      <c r="P299" s="62" t="n">
        <f aca="false">IF(ISNUMBER(P290),P294+SUM(P295:P298),"")</f>
        <v>623.366</v>
      </c>
      <c r="Q299" s="62" t="n">
        <f aca="false">IF(ISNUMBER(Q290),Q294+SUM(Q295:Q298),"")</f>
        <v>736.04</v>
      </c>
      <c r="R299" s="62" t="n">
        <f aca="false">IF(ISNUMBER(R290),R294+SUM(R295:R298),"")</f>
        <v>653.434</v>
      </c>
      <c r="S299" s="62" t="n">
        <f aca="false">IF(ISNUMBER(S290),S294+SUM(S295:S298),"")</f>
        <v>653.434</v>
      </c>
      <c r="T299" s="62" t="n">
        <f aca="false">IF(ISNUMBER(T290),T294+SUM(T295:T298),"")</f>
        <v>741.553</v>
      </c>
      <c r="U299" s="62" t="n">
        <f aca="false">IF(ISNUMBER(U290),U294+SUM(U295:U298),"")</f>
        <v>753.508</v>
      </c>
      <c r="V299" s="62" t="n">
        <f aca="false">IF(ISNUMBER(V290),V294+SUM(V295:V298),"")</f>
        <v>916.122</v>
      </c>
      <c r="W299" s="62" t="n">
        <f aca="false">IF(ISNUMBER(W290),W294+SUM(W295:W298),"")</f>
        <v>851.723</v>
      </c>
      <c r="X299" s="62" t="n">
        <f aca="false">IF(ISNUMBER(X290),X294+SUM(X295:X298),"")</f>
        <v>851.723</v>
      </c>
      <c r="Y299" s="62" t="n">
        <f aca="false">IF(ISNUMBER(Y290),Y294+SUM(Y295:Y298),"")</f>
        <v>884.426</v>
      </c>
      <c r="Z299" s="62" t="n">
        <f aca="false">IF(ISNUMBER(Z290),Z294+SUM(Z295:Z298),"")</f>
        <v>1044.987</v>
      </c>
      <c r="AA299" s="62" t="n">
        <f aca="false">IF(ISNUMBER(AA290),AA294+SUM(AA295:AA298),"")</f>
        <v>1080.904</v>
      </c>
      <c r="AB299" s="62" t="n">
        <f aca="false">IF(ISNUMBER(AB290),AB294+SUM(AB295:AB298),"")</f>
        <v>1231.231</v>
      </c>
      <c r="AC299" s="62" t="n">
        <f aca="false">IF(ISNUMBER(AC290),AC294+SUM(AC295:AC298),"")</f>
        <v>1231.231</v>
      </c>
      <c r="AD299" s="62" t="n">
        <f aca="false">IF(ISNUMBER(AD290),AD294+SUM(AD295:AD298),"")</f>
        <v>1268.553</v>
      </c>
      <c r="AE299" s="62" t="n">
        <f aca="false">IF(ISNUMBER(AE290),AE294+SUM(AE295:AE298),"")</f>
        <v>1269.897</v>
      </c>
      <c r="AF299" s="62" t="n">
        <f aca="false">IF(ISNUMBER(AF290),AF294+SUM(AF295:AF298),"")</f>
        <v>1465.175</v>
      </c>
      <c r="AG299" s="62" t="n">
        <f aca="false">IF(ISNUMBER(AG290),AG294+SUM(AG295:AG298),"")</f>
        <v>1474.094</v>
      </c>
      <c r="AH299" s="62" t="n">
        <f aca="false">IF(ISNUMBER(AH290),AH294+SUM(AH295:AH298),"")</f>
        <v>1474.094</v>
      </c>
      <c r="AI299" s="62" t="n">
        <f aca="false">IF(ISNUMBER(AI290),AI294+SUM(AI295:AI298),"")</f>
        <v>1507.828</v>
      </c>
      <c r="AJ299" s="62" t="n">
        <f aca="false">IF(ISNUMBER(AJ290),AJ294+SUM(AJ295:AJ298),"")</f>
        <v>1490.223</v>
      </c>
      <c r="AK299" s="62" t="n">
        <f aca="false">IF(ISNUMBER(AK290),AK294+SUM(AK295:AK298),"")</f>
        <v>1491.777</v>
      </c>
      <c r="AL299" s="62" t="n">
        <f aca="false">IF(ISNUMBER(AL290),AL294+SUM(AL295:AL298),"")</f>
        <v>1462.233</v>
      </c>
      <c r="AM299" s="62" t="n">
        <f aca="false">IF(ISNUMBER(AM290),AM294+SUM(AM295:AM298),"")</f>
        <v>1462.233</v>
      </c>
      <c r="AN299" s="62" t="n">
        <f aca="false">IF(ISNUMBER(AN290),AN294+SUM(AN295:AN298),"")</f>
        <v>1490.186</v>
      </c>
      <c r="AO299" s="62" t="n">
        <f aca="false">IF(ISNUMBER(AO290),AO294+SUM(AO295:AO298),"")</f>
        <v>1548.275</v>
      </c>
      <c r="AP299" s="62" t="n">
        <f aca="false">IF(ISNUMBER(AP290),AP294+SUM(AP295:AP298),"")</f>
        <v>1547.352</v>
      </c>
      <c r="AQ299" s="62" t="n">
        <f aca="false">IF(ISNUMBER(AQ290),AQ294+SUM(AQ295:AQ298),"")</f>
        <v>1552.136</v>
      </c>
      <c r="AR299" s="62" t="n">
        <f aca="false">IF(ISNUMBER(AR290),AR294+SUM(AR295:AR298),"")</f>
        <v>1552.136</v>
      </c>
      <c r="AS299" s="62" t="n">
        <f aca="false">IF(ISNUMBER(AS290),AS294+SUM(AS295:AS298),"")</f>
        <v>1637.94</v>
      </c>
      <c r="AT299" s="62" t="n">
        <f aca="false">IF(ISNUMBER(AT290),AT294+SUM(AT295:AT298),"")</f>
        <v>1538.928</v>
      </c>
      <c r="AU299" s="62" t="n">
        <f aca="false">IF(ISNUMBER(AU290),AU294+SUM(AU295:AU298),"")</f>
        <v>1506.755</v>
      </c>
      <c r="AV299" s="62" t="n">
        <f aca="false">IF(ISNUMBER(AV290),AV294+SUM(AV295:AV298),"")</f>
        <v>1524.203</v>
      </c>
      <c r="AW299" s="62" t="n">
        <f aca="false">IF(ISNUMBER(AW290),AW294+SUM(AW295:AW298),"")</f>
        <v>1524.203</v>
      </c>
      <c r="AX299" s="62" t="n">
        <f aca="false">IF(ISNUMBER(AX290),AX294+SUM(AX295:AX298),"")</f>
        <v>1558.341</v>
      </c>
      <c r="AY299" s="62" t="n">
        <f aca="false">IF(ISNUMBER(AY290),AY294+SUM(AY295:AY298),"")</f>
        <v>1653.103</v>
      </c>
      <c r="AZ299" s="62" t="n">
        <f aca="false">IF(ISNUMBER(AZ290),AZ294+SUM(AZ295:AZ298),"")</f>
        <v>1710.904</v>
      </c>
      <c r="BA299" s="62" t="n">
        <f aca="false">IF(ISNUMBER(BA290),BA294+SUM(BA295:BA298),"")</f>
        <v>1728.398</v>
      </c>
      <c r="BB299" s="62" t="n">
        <f aca="false">IF(ISNUMBER(BB290),BB294+SUM(BB295:BB298),"")</f>
        <v>1728.398</v>
      </c>
      <c r="BC299" s="62" t="n">
        <f aca="false">IF(ISNUMBER(BC290),BC294+SUM(BC295:BC298),"")</f>
        <v>1873.284</v>
      </c>
      <c r="BD299" s="62" t="n">
        <f aca="false">IF(ISNUMBER(BD290),BD294+SUM(BD295:BD298),"")</f>
        <v>1828.83</v>
      </c>
      <c r="BE299" s="62" t="n">
        <f aca="false">IF(ISNUMBER(BE290),BE294+SUM(BE295:BE298),"")</f>
        <v>1727.737</v>
      </c>
      <c r="BF299" s="62" t="n">
        <f aca="false">IF(ISNUMBER(BF290),BF294+SUM(BF295:BF298),"")</f>
        <v>2146.505</v>
      </c>
      <c r="BG299" s="62" t="n">
        <f aca="false">IF(ISNUMBER(BG290),BG294+SUM(BG295:BG298),"")</f>
        <v>2146.505</v>
      </c>
      <c r="BH299" s="62" t="n">
        <f aca="false">IF(ISNUMBER(BH290),BH294+SUM(BH295:BH298),"")</f>
        <v>2127.965</v>
      </c>
      <c r="BI299" s="62" t="n">
        <f aca="false">IF(ISNUMBER(BI290),BI294+SUM(BI295:BI298),"")</f>
        <v>2109.764</v>
      </c>
      <c r="BJ299" s="62" t="n">
        <f aca="false">IF(ISNUMBER(BJ290),BJ294+SUM(BJ295:BJ298),"")</f>
        <v>2100.313</v>
      </c>
      <c r="BK299" s="62" t="n">
        <f aca="false">IF(ISNUMBER(BK290),BK294+SUM(BK295:BK298),"")</f>
        <v>2068.445</v>
      </c>
      <c r="BL299" s="62" t="n">
        <f aca="false">IF(ISNUMBER(BL290),BL294+SUM(BL295:BL298),"")</f>
        <v>2068.445</v>
      </c>
      <c r="BM299" s="62" t="n">
        <f aca="false">IF(ISNUMBER(BM290),BM294+SUM(BM295:BM298),"")</f>
        <v>2071.889</v>
      </c>
      <c r="BN299" s="62" t="n">
        <f aca="false">IF(ISNUMBER(BN290),BN294+SUM(BN295:BN298),"")</f>
        <v>2102.343</v>
      </c>
      <c r="BO299" s="62" t="n">
        <f aca="false">IF(ISNUMBER(BO290),BO294+SUM(BO295:BO298),"")</f>
        <v>2325.355</v>
      </c>
      <c r="BP299" s="62" t="n">
        <f aca="false">IF(ISNUMBER(BP290),BP294+SUM(BP295:BP298),"")</f>
        <v>2192.709</v>
      </c>
      <c r="BQ299" s="62" t="n">
        <f aca="false">IF(ISNUMBER(BQ290),BQ294+SUM(BQ295:BQ298),"")</f>
        <v>2192.709</v>
      </c>
      <c r="BR299" s="62" t="n">
        <f aca="false">IF(ISNUMBER(BR290),BR294+SUM(BR295:BR298),"")</f>
        <v>2284.904</v>
      </c>
      <c r="BS299" s="62" t="n">
        <f aca="false">IF(ISNUMBER(BS290),BS294+SUM(BS295:BS298),"")</f>
        <v>2347.756</v>
      </c>
      <c r="BT299" s="62" t="n">
        <f aca="false">IF(ISNUMBER(BT290),BT294+SUM(BT295:BT298),"")</f>
        <v>2400.472</v>
      </c>
      <c r="BU299" s="62" t="n">
        <f aca="false">IF(ISNUMBER(BU290),BU294+SUM(BU295:BU298),"")</f>
        <v>2307.783</v>
      </c>
      <c r="BV299" s="62" t="n">
        <f aca="false">IF(ISNUMBER(BV290),BV294+SUM(BV295:BV298),"")</f>
        <v>2307.783</v>
      </c>
      <c r="BW299" s="62" t="n">
        <f aca="false">IF(ISNUMBER(BW290),BW294+SUM(BW295:BW298),"")</f>
        <v>2389.135</v>
      </c>
      <c r="BX299" s="62" t="n">
        <f aca="false">IF(ISNUMBER(BX290),BX294+SUM(BX295:BX298),"")</f>
        <v>2259.13</v>
      </c>
      <c r="BY299" s="18" t="str">
        <f aca="false">IF(ISNUMBER(BY290),BY294+SUM(BY295:BY298),"")</f>
        <v/>
      </c>
      <c r="BZ299" s="18" t="str">
        <f aca="false">IF(ISNUMBER(BZ290),BZ294+SUM(BZ295:BZ298),"")</f>
        <v/>
      </c>
      <c r="CA299" s="18" t="n">
        <f aca="false">IF(ISNUMBER(CA290),CA294+SUM(CA295:CA298),"")</f>
        <v>2211.41129386969</v>
      </c>
      <c r="CB299" s="18" t="n">
        <f aca="false">IF(ISNUMBER(CB290),CB294+SUM(CB295:CB298),"")</f>
        <v>2351.6379242348</v>
      </c>
      <c r="CC299" s="18" t="n">
        <f aca="false">IF(ISNUMBER(CC290),CC294+SUM(CC295:CC298),"")</f>
        <v>2486.94149857813</v>
      </c>
      <c r="CD299" s="18" t="n">
        <f aca="false">IF(ISNUMBER(CD290),CD294+SUM(CD295:CD298),"")</f>
        <v>2620.5713119568</v>
      </c>
      <c r="CE299" s="18" t="n">
        <f aca="false">IF(ISNUMBER(CE290),CE294+SUM(CE295:CE298),"")</f>
        <v>2749.55974476505</v>
      </c>
    </row>
    <row r="300" customFormat="false" ht="15" hidden="false" customHeight="false" outlineLevel="0" collapsed="false">
      <c r="B300" s="37" t="s">
        <v>439</v>
      </c>
    </row>
    <row r="301" customFormat="false" ht="15" hidden="false" customHeight="false" outlineLevel="0" collapsed="false">
      <c r="B301" s="26" t="s">
        <v>440</v>
      </c>
      <c r="C301" s="38" t="n">
        <v>142.244</v>
      </c>
      <c r="D301" s="38" t="n">
        <v>150.754</v>
      </c>
      <c r="E301" s="38" t="n">
        <v>160.467</v>
      </c>
      <c r="F301" s="38" t="n">
        <v>164.369</v>
      </c>
      <c r="G301" s="38" t="n">
        <v>172.305</v>
      </c>
      <c r="H301" s="38" t="n">
        <v>188.962</v>
      </c>
      <c r="I301" s="38" t="n">
        <v>214.982</v>
      </c>
      <c r="J301" s="38" t="n">
        <v>227.973</v>
      </c>
      <c r="K301" s="38" t="n">
        <v>234.185</v>
      </c>
      <c r="L301" s="38" t="n">
        <v>239.944</v>
      </c>
      <c r="M301" s="38" t="n">
        <v>250.377</v>
      </c>
      <c r="N301" s="38" t="n">
        <v>250.377</v>
      </c>
      <c r="O301" s="38" t="n">
        <v>254.682</v>
      </c>
      <c r="P301" s="38" t="n">
        <v>258.357</v>
      </c>
      <c r="Q301" s="38" t="n">
        <v>261.996</v>
      </c>
      <c r="R301" s="38" t="n">
        <v>268.674</v>
      </c>
      <c r="S301" s="38" t="n">
        <v>268.674</v>
      </c>
      <c r="T301" s="38" t="n">
        <v>271.846</v>
      </c>
      <c r="U301" s="38" t="n">
        <v>276.434</v>
      </c>
      <c r="V301" s="38" t="n">
        <v>279.037</v>
      </c>
      <c r="W301" s="38" t="n">
        <v>282.766</v>
      </c>
      <c r="X301" s="38" t="n">
        <v>282.766</v>
      </c>
      <c r="Y301" s="38" t="n">
        <v>286.711</v>
      </c>
      <c r="Z301" s="38" t="n">
        <v>293.024</v>
      </c>
      <c r="AA301" s="38" t="n">
        <v>300.643</v>
      </c>
      <c r="AB301" s="38" t="n">
        <v>319.275</v>
      </c>
      <c r="AC301" s="38" t="n">
        <v>319.275</v>
      </c>
      <c r="AD301" s="38" t="n">
        <v>327</v>
      </c>
      <c r="AE301" s="38" t="n">
        <v>336.322</v>
      </c>
      <c r="AF301" s="38" t="n">
        <v>340.38</v>
      </c>
      <c r="AG301" s="38" t="n">
        <v>344.167</v>
      </c>
      <c r="AH301" s="38" t="n">
        <v>344.167</v>
      </c>
      <c r="AI301" s="38" t="n">
        <v>355.469</v>
      </c>
      <c r="AJ301" s="38" t="n">
        <v>361.49</v>
      </c>
      <c r="AK301" s="38" t="n">
        <v>367.607</v>
      </c>
      <c r="AL301" s="38" t="n">
        <v>370.166</v>
      </c>
      <c r="AM301" s="38" t="n">
        <v>370.166</v>
      </c>
      <c r="AN301" s="38" t="n">
        <v>374.276</v>
      </c>
      <c r="AO301" s="38" t="n">
        <v>378.777</v>
      </c>
      <c r="AP301" s="38" t="n">
        <v>387.442</v>
      </c>
      <c r="AQ301" s="38" t="n">
        <v>399.304</v>
      </c>
      <c r="AR301" s="38" t="n">
        <v>399.304</v>
      </c>
      <c r="AS301" s="38" t="n">
        <v>396.954</v>
      </c>
      <c r="AT301" s="38" t="n">
        <v>404.55</v>
      </c>
      <c r="AU301" s="38" t="n">
        <v>413.944</v>
      </c>
      <c r="AV301" s="38" t="n">
        <v>419.816</v>
      </c>
      <c r="AW301" s="38" t="n">
        <v>419.816</v>
      </c>
      <c r="AX301" s="38" t="n">
        <v>428.387</v>
      </c>
      <c r="AY301" s="38" t="n">
        <v>437.434</v>
      </c>
      <c r="AZ301" s="38" t="n">
        <v>444.644</v>
      </c>
      <c r="BA301" s="38" t="n">
        <v>461.126</v>
      </c>
      <c r="BB301" s="38" t="n">
        <v>461.126</v>
      </c>
      <c r="BC301" s="38" t="n">
        <v>472.075</v>
      </c>
      <c r="BD301" s="38" t="n">
        <v>475.482</v>
      </c>
      <c r="BE301" s="38" t="n">
        <v>481.03</v>
      </c>
      <c r="BF301" s="38" t="n">
        <v>491.715</v>
      </c>
      <c r="BG301" s="38" t="n">
        <v>491.715</v>
      </c>
      <c r="BH301" s="38" t="n">
        <v>507.881</v>
      </c>
      <c r="BI301" s="38" t="n">
        <v>525.161</v>
      </c>
      <c r="BJ301" s="38" t="n">
        <v>529.009</v>
      </c>
      <c r="BK301" s="38" t="n">
        <v>533.215</v>
      </c>
      <c r="BL301" s="38" t="n">
        <v>533.215</v>
      </c>
      <c r="BM301" s="38" t="n">
        <v>570.297</v>
      </c>
      <c r="BN301" s="38" t="n">
        <v>569.185</v>
      </c>
      <c r="BO301" s="38" t="n">
        <v>571.006</v>
      </c>
      <c r="BP301" s="38" t="n">
        <v>576.598</v>
      </c>
      <c r="BQ301" s="38" t="n">
        <v>576.598</v>
      </c>
      <c r="BR301" s="38" t="n">
        <v>591.108</v>
      </c>
      <c r="BS301" s="38" t="n">
        <v>596.092</v>
      </c>
      <c r="BT301" s="38" t="n">
        <v>605.502</v>
      </c>
      <c r="BU301" s="38" t="n">
        <v>611.424</v>
      </c>
      <c r="BV301" s="38" t="n">
        <v>611.424</v>
      </c>
      <c r="BW301" s="38" t="n">
        <v>622.249</v>
      </c>
      <c r="BX301" s="38" t="n">
        <v>627.737</v>
      </c>
      <c r="CA301" s="51" t="n">
        <f aca="false">$BX$301+(CA233-$BW$233-$BX$233)+(CA248-$BW$248-$BX$248)</f>
        <v>627.737</v>
      </c>
      <c r="CB301" s="51" t="n">
        <f aca="false">CA301+CB233+CB248</f>
        <v>667.832490302251</v>
      </c>
      <c r="CC301" s="51" t="n">
        <f aca="false">CB301+CC233+CC248</f>
        <v>709.823454682245</v>
      </c>
      <c r="CD301" s="51" t="n">
        <f aca="false">CC301+CD233+CD248</f>
        <v>753.715679786618</v>
      </c>
      <c r="CE301" s="51" t="n">
        <f aca="false">CD301+CE233+CE248</f>
        <v>799.594802964277</v>
      </c>
    </row>
    <row r="302" customFormat="false" ht="15" hidden="false" customHeight="false" outlineLevel="0" collapsed="false">
      <c r="B302" s="26" t="s">
        <v>441</v>
      </c>
      <c r="C302" s="38" t="n">
        <v>906.074</v>
      </c>
      <c r="D302" s="38" t="n">
        <v>1068.1</v>
      </c>
      <c r="E302" s="38" t="n">
        <v>1236.81</v>
      </c>
      <c r="F302" s="38" t="n">
        <v>1239.004</v>
      </c>
      <c r="G302" s="38" t="n">
        <v>1320.552</v>
      </c>
      <c r="H302" s="38" t="n">
        <v>1484.393</v>
      </c>
      <c r="I302" s="38" t="n">
        <v>1682.668</v>
      </c>
      <c r="J302" s="38" t="n">
        <v>1732.884</v>
      </c>
      <c r="K302" s="38" t="n">
        <v>1789.049</v>
      </c>
      <c r="L302" s="38" t="n">
        <v>1838.77</v>
      </c>
      <c r="M302" s="38" t="n">
        <v>1908.462</v>
      </c>
      <c r="N302" s="38" t="n">
        <v>1908.462</v>
      </c>
      <c r="O302" s="38" t="n">
        <v>1946.414</v>
      </c>
      <c r="P302" s="38" t="n">
        <v>2005.468</v>
      </c>
      <c r="Q302" s="38" t="n">
        <v>2033.29</v>
      </c>
      <c r="R302" s="38" t="n">
        <v>2086.174</v>
      </c>
      <c r="S302" s="38" t="n">
        <v>2086.174</v>
      </c>
      <c r="T302" s="38" t="n">
        <v>2132.608</v>
      </c>
      <c r="U302" s="38" t="n">
        <v>2181.813</v>
      </c>
      <c r="V302" s="38" t="n">
        <v>2100.334</v>
      </c>
      <c r="W302" s="38" t="n">
        <v>2125.838</v>
      </c>
      <c r="X302" s="38" t="n">
        <v>2125.838</v>
      </c>
      <c r="Y302" s="38" t="n">
        <v>2157.33</v>
      </c>
      <c r="Z302" s="38" t="n">
        <v>2167</v>
      </c>
      <c r="AA302" s="38" t="n">
        <v>2205.798</v>
      </c>
      <c r="AB302" s="38" t="n">
        <v>2236.071</v>
      </c>
      <c r="AC302" s="38" t="n">
        <v>2236.071</v>
      </c>
      <c r="AD302" s="38" t="n">
        <v>2268.707</v>
      </c>
      <c r="AE302" s="38" t="n">
        <v>2306.814</v>
      </c>
      <c r="AF302" s="38" t="n">
        <v>2389.771</v>
      </c>
      <c r="AG302" s="38" t="n">
        <v>2388.219</v>
      </c>
      <c r="AH302" s="38" t="n">
        <v>2388.219</v>
      </c>
      <c r="AI302" s="38" t="n">
        <v>2417.773</v>
      </c>
      <c r="AJ302" s="38" t="n">
        <v>2461.13</v>
      </c>
      <c r="AK302" s="38" t="n">
        <v>2505.396</v>
      </c>
      <c r="AL302" s="38" t="n">
        <v>2564.44</v>
      </c>
      <c r="AM302" s="38" t="n">
        <v>2564.44</v>
      </c>
      <c r="AN302" s="38" t="n">
        <v>2605.265</v>
      </c>
      <c r="AO302" s="38" t="n">
        <v>2661.72</v>
      </c>
      <c r="AP302" s="38" t="n">
        <v>2704.486</v>
      </c>
      <c r="AQ302" s="38" t="n">
        <v>2736.481</v>
      </c>
      <c r="AR302" s="38" t="n">
        <v>2736.481</v>
      </c>
      <c r="AS302" s="38" t="n">
        <v>2767.939</v>
      </c>
      <c r="AT302" s="38" t="n">
        <v>2762.833</v>
      </c>
      <c r="AU302" s="38" t="n">
        <v>2790.579</v>
      </c>
      <c r="AV302" s="38" t="n">
        <v>2821.359</v>
      </c>
      <c r="AW302" s="38" t="n">
        <v>2821.359</v>
      </c>
      <c r="AX302" s="38" t="n">
        <v>2864.223</v>
      </c>
      <c r="AY302" s="38" t="n">
        <v>2928.819</v>
      </c>
      <c r="AZ302" s="38" t="n">
        <v>2930.361</v>
      </c>
      <c r="BA302" s="38" t="n">
        <v>2970.303</v>
      </c>
      <c r="BB302" s="38" t="n">
        <v>2970.303</v>
      </c>
      <c r="BC302" s="38" t="n">
        <v>3063.721</v>
      </c>
      <c r="BD302" s="38" t="n">
        <v>3160.92</v>
      </c>
      <c r="BE302" s="38" t="n">
        <v>3237.2</v>
      </c>
      <c r="BF302" s="38" t="n">
        <v>3306.5</v>
      </c>
      <c r="BG302" s="38" t="n">
        <v>3306.5</v>
      </c>
      <c r="BH302" s="38" t="n">
        <v>3387.543</v>
      </c>
      <c r="BI302" s="38" t="n">
        <v>3483.127</v>
      </c>
      <c r="BJ302" s="38" t="n">
        <v>3578.154</v>
      </c>
      <c r="BK302" s="38" t="n">
        <v>3688.038</v>
      </c>
      <c r="BL302" s="38" t="n">
        <v>3688.038</v>
      </c>
      <c r="BM302" s="38" t="n">
        <v>3766.297</v>
      </c>
      <c r="BN302" s="38" t="n">
        <v>3833.267</v>
      </c>
      <c r="BO302" s="38" t="n">
        <v>3893.883</v>
      </c>
      <c r="BP302" s="38" t="n">
        <v>3993.016</v>
      </c>
      <c r="BQ302" s="38" t="n">
        <v>3993.016</v>
      </c>
      <c r="BR302" s="38" t="n">
        <v>4067.213</v>
      </c>
      <c r="BS302" s="38" t="n">
        <v>4168.467</v>
      </c>
      <c r="BT302" s="38" t="n">
        <v>4247.355</v>
      </c>
      <c r="BU302" s="38" t="n">
        <v>4342.08</v>
      </c>
      <c r="BV302" s="38" t="n">
        <v>4342.08</v>
      </c>
      <c r="BW302" s="38" t="n">
        <v>4435.76</v>
      </c>
      <c r="BX302" s="38" t="n">
        <v>4548.978</v>
      </c>
      <c r="CA302" s="51" t="n">
        <f aca="false">$BX$302+$BY$149+$BZ$149+(CA246-$BW$246-$BX$246)</f>
        <v>4777.61743284667</v>
      </c>
      <c r="CB302" s="51" t="n">
        <f aca="false">CA302+CB149+CB246</f>
        <v>5258.60975673696</v>
      </c>
      <c r="CC302" s="51" t="n">
        <f aca="false">CB302+CC149+CC246</f>
        <v>5789.08043449879</v>
      </c>
      <c r="CD302" s="51" t="n">
        <f aca="false">CC302+CD149+CD246</f>
        <v>6367.50490767564</v>
      </c>
      <c r="CE302" s="51" t="n">
        <f aca="false">CD302+CE149+CE246</f>
        <v>6987.19441709699</v>
      </c>
    </row>
    <row r="303" customFormat="false" ht="15" hidden="false" customHeight="false" outlineLevel="0" collapsed="false">
      <c r="B303" s="26" t="s">
        <v>442</v>
      </c>
      <c r="C303" s="38" t="n">
        <v>-54.653</v>
      </c>
      <c r="D303" s="38" t="n">
        <v>15.841</v>
      </c>
      <c r="E303" s="38" t="n">
        <v>-218.158</v>
      </c>
      <c r="F303" s="38" t="n">
        <v>-149.404</v>
      </c>
      <c r="G303" s="38" t="n">
        <v>-141.948</v>
      </c>
      <c r="H303" s="38" t="n">
        <v>-247.881</v>
      </c>
      <c r="I303" s="38" t="n">
        <v>-235.4</v>
      </c>
      <c r="J303" s="38" t="n">
        <v>-244.045</v>
      </c>
      <c r="K303" s="38" t="n">
        <v>-259.787</v>
      </c>
      <c r="L303" s="38" t="n">
        <v>-236.43</v>
      </c>
      <c r="M303" s="38" t="n">
        <v>-151.941</v>
      </c>
      <c r="N303" s="38" t="n">
        <v>-151.941</v>
      </c>
      <c r="O303" s="38" t="n">
        <v>-162.857</v>
      </c>
      <c r="P303" s="38" t="n">
        <v>-148.391</v>
      </c>
      <c r="Q303" s="38" t="n">
        <v>-194.779</v>
      </c>
      <c r="R303" s="38" t="n">
        <v>-288.622</v>
      </c>
      <c r="S303" s="38" t="n">
        <v>-288.622</v>
      </c>
      <c r="T303" s="38" t="n">
        <v>-339.995</v>
      </c>
      <c r="U303" s="38" t="n">
        <v>-321.88</v>
      </c>
      <c r="V303" s="38" t="n">
        <v>-288.473</v>
      </c>
      <c r="W303" s="38" t="n">
        <v>-296.267</v>
      </c>
      <c r="X303" s="38" t="n">
        <v>-296.267</v>
      </c>
      <c r="Y303" s="38" t="n">
        <v>-269.579</v>
      </c>
      <c r="Z303" s="38" t="n">
        <v>-286.554</v>
      </c>
      <c r="AA303" s="38" t="n">
        <v>-288.44</v>
      </c>
      <c r="AB303" s="38" t="n">
        <v>-329.037</v>
      </c>
      <c r="AC303" s="38" t="n">
        <v>-329.037</v>
      </c>
      <c r="AD303" s="38" t="n">
        <v>-298.288</v>
      </c>
      <c r="AE303" s="38" t="n">
        <v>-272.523</v>
      </c>
      <c r="AF303" s="38" t="n">
        <v>-250.349</v>
      </c>
      <c r="AG303" s="38" t="n">
        <v>-247.186</v>
      </c>
      <c r="AH303" s="38" t="n">
        <v>-247.186</v>
      </c>
      <c r="AI303" s="38" t="n">
        <v>-225.716</v>
      </c>
      <c r="AJ303" s="38" t="n">
        <v>-276.479</v>
      </c>
      <c r="AK303" s="38" t="n">
        <v>-271.614</v>
      </c>
      <c r="AL303" s="38" t="n">
        <v>-293.739</v>
      </c>
      <c r="AM303" s="38" t="n">
        <v>-293.739</v>
      </c>
      <c r="AN303" s="38" t="n">
        <v>-287.524</v>
      </c>
      <c r="AO303" s="38" t="n">
        <v>-281.85</v>
      </c>
      <c r="AP303" s="38" t="n">
        <v>-305.868</v>
      </c>
      <c r="AQ303" s="38" t="n">
        <v>-275.85</v>
      </c>
      <c r="AR303" s="38" t="n">
        <v>-275.85</v>
      </c>
      <c r="AS303" s="38" t="n">
        <v>-348.177</v>
      </c>
      <c r="AT303" s="38" t="n">
        <v>-355.62</v>
      </c>
      <c r="AU303" s="38" t="n">
        <v>-343.281</v>
      </c>
      <c r="AV303" s="38" t="n">
        <v>-302.19</v>
      </c>
      <c r="AW303" s="38" t="n">
        <v>-302.19</v>
      </c>
      <c r="AX303" s="38" t="n">
        <v>-312.424</v>
      </c>
      <c r="AY303" s="38" t="n">
        <v>-305.191</v>
      </c>
      <c r="AZ303" s="38" t="n">
        <v>-265.819</v>
      </c>
      <c r="BA303" s="38" t="n">
        <v>-257.386</v>
      </c>
      <c r="BB303" s="38" t="n">
        <v>-257.386</v>
      </c>
      <c r="BC303" s="38" t="n">
        <v>-259.507</v>
      </c>
      <c r="BD303" s="38" t="n">
        <v>-285.197</v>
      </c>
      <c r="BE303" s="38" t="n">
        <v>-329.451</v>
      </c>
      <c r="BF303" s="38" t="n">
        <v>-275.299</v>
      </c>
      <c r="BG303" s="38" t="n">
        <v>-275.299</v>
      </c>
      <c r="BH303" s="38" t="n">
        <v>-250.836</v>
      </c>
      <c r="BI303" s="38" t="n">
        <v>-236.186</v>
      </c>
      <c r="BJ303" s="38" t="n">
        <v>-265.833</v>
      </c>
      <c r="BK303" s="38" t="n">
        <v>-229.847</v>
      </c>
      <c r="BL303" s="38" t="n">
        <v>-229.847</v>
      </c>
      <c r="BM303" s="38" t="n">
        <v>-239.454</v>
      </c>
      <c r="BN303" s="38" t="n">
        <v>-249.905</v>
      </c>
      <c r="BO303" s="38" t="n">
        <v>-235.826</v>
      </c>
      <c r="BP303" s="38" t="n">
        <v>-300.135</v>
      </c>
      <c r="BQ303" s="38" t="n">
        <v>-300.135</v>
      </c>
      <c r="BR303" s="38" t="n">
        <v>-270.912</v>
      </c>
      <c r="BS303" s="38" t="n">
        <v>-210.657</v>
      </c>
      <c r="BT303" s="38" t="n">
        <v>-211.91</v>
      </c>
      <c r="BU303" s="38" t="n">
        <v>-205.931</v>
      </c>
      <c r="BV303" s="38" t="n">
        <v>-205.931</v>
      </c>
      <c r="BW303" s="38" t="n">
        <v>-213.769</v>
      </c>
      <c r="BX303" s="38" t="n">
        <v>-213.496</v>
      </c>
      <c r="CA303" s="51" t="n">
        <f aca="false">$BX$303</f>
        <v>-213.496</v>
      </c>
      <c r="CB303" s="51" t="n">
        <f aca="false">CA303</f>
        <v>-213.496</v>
      </c>
      <c r="CC303" s="51" t="n">
        <f aca="false">CB303</f>
        <v>-213.496</v>
      </c>
      <c r="CD303" s="51" t="n">
        <f aca="false">CC303</f>
        <v>-213.496</v>
      </c>
      <c r="CE303" s="51" t="n">
        <f aca="false">CD303</f>
        <v>-213.496</v>
      </c>
    </row>
    <row r="304" customFormat="false" ht="15" hidden="false" customHeight="false" outlineLevel="0" collapsed="false">
      <c r="B304" s="26" t="s">
        <v>443</v>
      </c>
      <c r="C304" s="38" t="n">
        <v>-140.689</v>
      </c>
      <c r="D304" s="38" t="n">
        <v>-147.475</v>
      </c>
      <c r="E304" s="38" t="n">
        <v>-183.807</v>
      </c>
      <c r="F304" s="38" t="n">
        <v>-181.623</v>
      </c>
      <c r="G304" s="38" t="n">
        <v>-217.412</v>
      </c>
      <c r="H304" s="38" t="n">
        <v>-248.528</v>
      </c>
      <c r="I304" s="38" t="n">
        <v>-319.877</v>
      </c>
      <c r="J304" s="38" t="n">
        <v>-329.365</v>
      </c>
      <c r="K304" s="38" t="n">
        <v>-384.849</v>
      </c>
      <c r="L304" s="38" t="n">
        <v>-427.644</v>
      </c>
      <c r="M304" s="38" t="n">
        <v>-480.296</v>
      </c>
      <c r="N304" s="38" t="n">
        <v>-480.296</v>
      </c>
      <c r="O304" s="38" t="n">
        <v>-530.082</v>
      </c>
      <c r="P304" s="38" t="n">
        <v>-597.898</v>
      </c>
      <c r="Q304" s="38" t="n">
        <v>-727.168</v>
      </c>
      <c r="R304" s="38" t="n">
        <v>-783.677</v>
      </c>
      <c r="S304" s="38" t="n">
        <v>-783.677</v>
      </c>
      <c r="T304" s="38" t="n">
        <v>-885.477</v>
      </c>
      <c r="U304" s="38" t="n">
        <v>-940.687</v>
      </c>
      <c r="V304" s="38" t="n">
        <v>-1079.816</v>
      </c>
      <c r="W304" s="38" t="n">
        <v>-1180.75</v>
      </c>
      <c r="X304" s="38" t="n">
        <v>-1180.75</v>
      </c>
      <c r="Y304" s="38" t="n">
        <v>-1282.655</v>
      </c>
      <c r="Z304" s="38" t="n">
        <v>-1381.86</v>
      </c>
      <c r="AA304" s="38" t="n">
        <v>-1465.872</v>
      </c>
      <c r="AB304" s="38" t="n">
        <v>-1514.832</v>
      </c>
      <c r="AC304" s="38" t="n">
        <v>-1514.832</v>
      </c>
      <c r="AD304" s="38" t="n">
        <v>-1514.05</v>
      </c>
      <c r="AE304" s="38" t="n">
        <v>-1519.597</v>
      </c>
      <c r="AF304" s="38" t="n">
        <v>-1534.65</v>
      </c>
      <c r="AG304" s="38" t="n">
        <v>-1553.563</v>
      </c>
      <c r="AH304" s="38" t="n">
        <v>-1553.563</v>
      </c>
      <c r="AI304" s="38" t="n">
        <v>-1567.725</v>
      </c>
      <c r="AJ304" s="38" t="n">
        <v>-1603.409</v>
      </c>
      <c r="AK304" s="38" t="n">
        <v>-1674.232</v>
      </c>
      <c r="AL304" s="38" t="n">
        <v>-1753.925</v>
      </c>
      <c r="AM304" s="38" t="n">
        <v>-1753.925</v>
      </c>
      <c r="AN304" s="38" t="n">
        <v>-1828.025</v>
      </c>
      <c r="AO304" s="38" t="n">
        <v>-1913.219</v>
      </c>
      <c r="AP304" s="38" t="n">
        <v>-1973.136</v>
      </c>
      <c r="AQ304" s="38" t="n">
        <v>-2041.763</v>
      </c>
      <c r="AR304" s="38" t="n">
        <v>-2041.763</v>
      </c>
      <c r="AS304" s="38" t="n">
        <v>-2149.613</v>
      </c>
      <c r="AT304" s="38" t="n">
        <v>-2152.509</v>
      </c>
      <c r="AU304" s="38" t="n">
        <v>-2151.417</v>
      </c>
      <c r="AV304" s="38" t="n">
        <v>-2149.714</v>
      </c>
      <c r="AW304" s="38" t="n">
        <v>-2149.714</v>
      </c>
      <c r="AX304" s="38" t="n">
        <v>-2176.671</v>
      </c>
      <c r="AY304" s="38" t="n">
        <v>-2201.397</v>
      </c>
      <c r="AZ304" s="38" t="n">
        <v>-2251.193</v>
      </c>
      <c r="BA304" s="38" t="n">
        <v>-2309.941</v>
      </c>
      <c r="BB304" s="38" t="n">
        <v>-2309.941</v>
      </c>
      <c r="BC304" s="38" t="n">
        <v>-2413.171</v>
      </c>
      <c r="BD304" s="38" t="n">
        <v>-2438.144</v>
      </c>
      <c r="BE304" s="38" t="n">
        <v>-2464.46</v>
      </c>
      <c r="BF304" s="38" t="n">
        <v>-2488.776</v>
      </c>
      <c r="BG304" s="38" t="n">
        <v>-2488.776</v>
      </c>
      <c r="BH304" s="38" t="n">
        <v>-2519.299</v>
      </c>
      <c r="BI304" s="38" t="n">
        <v>-2570.678</v>
      </c>
      <c r="BJ304" s="38" t="n">
        <v>-2615.748</v>
      </c>
      <c r="BK304" s="38" t="n">
        <v>-2682.554</v>
      </c>
      <c r="BL304" s="38" t="n">
        <v>-2682.554</v>
      </c>
      <c r="BM304" s="38" t="n">
        <v>-2789.312</v>
      </c>
      <c r="BN304" s="38" t="n">
        <v>-2839.641</v>
      </c>
      <c r="BO304" s="38" t="n">
        <v>-2889.873</v>
      </c>
      <c r="BP304" s="38" t="n">
        <v>-2942.046</v>
      </c>
      <c r="BQ304" s="38" t="n">
        <v>-2942.046</v>
      </c>
      <c r="BR304" s="38" t="n">
        <v>-3047.239</v>
      </c>
      <c r="BS304" s="38" t="n">
        <v>-3174.289</v>
      </c>
      <c r="BT304" s="38" t="n">
        <v>-3226.314</v>
      </c>
      <c r="BU304" s="38" t="n">
        <v>-3277.779</v>
      </c>
      <c r="BV304" s="38" t="n">
        <v>-3277.779</v>
      </c>
      <c r="BW304" s="38" t="n">
        <v>-3332.98</v>
      </c>
      <c r="BX304" s="38" t="n">
        <v>-3409.039</v>
      </c>
      <c r="CA304" s="51" t="n">
        <f aca="false">$BX$304+(CA247-$BW$247-$BX$247)</f>
        <v>-3559.039</v>
      </c>
      <c r="CB304" s="51" t="n">
        <f aca="false">CA304+CB247</f>
        <v>-3937.92307934868</v>
      </c>
      <c r="CC304" s="51" t="n">
        <f aca="false">CB304+CC247</f>
        <v>-4342.91435355069</v>
      </c>
      <c r="CD304" s="51" t="n">
        <f aca="false">CC304+CD247</f>
        <v>-4801.14294602786</v>
      </c>
      <c r="CE304" s="51" t="n">
        <f aca="false">CD304+CE247</f>
        <v>-5296.70684543741</v>
      </c>
    </row>
    <row r="305" customFormat="false" ht="15" hidden="false" customHeight="false" outlineLevel="0" collapsed="false">
      <c r="B305" s="15" t="s">
        <v>444</v>
      </c>
      <c r="C305" s="62" t="n">
        <f aca="false">IF(ISNUMBER(C301),SUM(C301:C304),"")</f>
        <v>852.976</v>
      </c>
      <c r="D305" s="62" t="n">
        <f aca="false">IF(ISNUMBER(D301),SUM(D301:D304),"")</f>
        <v>1087.22</v>
      </c>
      <c r="E305" s="62" t="n">
        <f aca="false">IF(ISNUMBER(E301),SUM(E301:E304),"")</f>
        <v>995.312</v>
      </c>
      <c r="F305" s="62" t="n">
        <f aca="false">IF(ISNUMBER(F301),SUM(F301:F304),"")</f>
        <v>1072.346</v>
      </c>
      <c r="G305" s="62" t="n">
        <f aca="false">IF(ISNUMBER(G301),SUM(G301:G304),"")</f>
        <v>1133.497</v>
      </c>
      <c r="H305" s="62" t="n">
        <f aca="false">IF(ISNUMBER(H301),SUM(H301:H304),"")</f>
        <v>1176.946</v>
      </c>
      <c r="I305" s="62" t="n">
        <f aca="false">IF(ISNUMBER(I301),SUM(I301:I304),"")</f>
        <v>1342.373</v>
      </c>
      <c r="J305" s="62" t="n">
        <f aca="false">IF(ISNUMBER(J301),SUM(J301:J304),"")</f>
        <v>1387.447</v>
      </c>
      <c r="K305" s="62" t="n">
        <f aca="false">IF(ISNUMBER(K301),SUM(K301:K304),"")</f>
        <v>1378.598</v>
      </c>
      <c r="L305" s="62" t="n">
        <f aca="false">IF(ISNUMBER(L301),SUM(L301:L304),"")</f>
        <v>1414.64</v>
      </c>
      <c r="M305" s="62" t="n">
        <f aca="false">IF(ISNUMBER(M301),SUM(M301:M304),"")</f>
        <v>1526.602</v>
      </c>
      <c r="N305" s="62" t="n">
        <f aca="false">IF(ISNUMBER(N301),SUM(N301:N304),"")</f>
        <v>1526.602</v>
      </c>
      <c r="O305" s="62" t="n">
        <f aca="false">IF(ISNUMBER(O301),SUM(O301:O304),"")</f>
        <v>1508.157</v>
      </c>
      <c r="P305" s="62" t="n">
        <f aca="false">IF(ISNUMBER(P301),SUM(P301:P304),"")</f>
        <v>1517.536</v>
      </c>
      <c r="Q305" s="62" t="n">
        <f aca="false">IF(ISNUMBER(Q301),SUM(Q301:Q304),"")</f>
        <v>1373.339</v>
      </c>
      <c r="R305" s="62" t="n">
        <f aca="false">IF(ISNUMBER(R301),SUM(R301:R304),"")</f>
        <v>1282.549</v>
      </c>
      <c r="S305" s="62" t="n">
        <f aca="false">IF(ISNUMBER(S301),SUM(S301:S304),"")</f>
        <v>1282.549</v>
      </c>
      <c r="T305" s="62" t="n">
        <f aca="false">IF(ISNUMBER(T301),SUM(T301:T304),"")</f>
        <v>1178.982</v>
      </c>
      <c r="U305" s="62" t="n">
        <f aca="false">IF(ISNUMBER(U301),SUM(U301:U304),"")</f>
        <v>1195.68</v>
      </c>
      <c r="V305" s="62" t="n">
        <f aca="false">IF(ISNUMBER(V301),SUM(V301:V304),"")</f>
        <v>1011.082</v>
      </c>
      <c r="W305" s="62" t="n">
        <f aca="false">IF(ISNUMBER(W301),SUM(W301:W304),"")</f>
        <v>931.587</v>
      </c>
      <c r="X305" s="62" t="n">
        <f aca="false">IF(ISNUMBER(X301),SUM(X301:X304),"")</f>
        <v>931.587</v>
      </c>
      <c r="Y305" s="62" t="n">
        <f aca="false">IF(ISNUMBER(Y301),SUM(Y301:Y304),"")</f>
        <v>891.807</v>
      </c>
      <c r="Z305" s="62" t="n">
        <f aca="false">IF(ISNUMBER(Z301),SUM(Z301:Z304),"")</f>
        <v>791.61</v>
      </c>
      <c r="AA305" s="62" t="n">
        <f aca="false">IF(ISNUMBER(AA301),SUM(AA301:AA304),"")</f>
        <v>752.129</v>
      </c>
      <c r="AB305" s="62" t="n">
        <f aca="false">IF(ISNUMBER(AB301),SUM(AB301:AB304),"")</f>
        <v>711.477</v>
      </c>
      <c r="AC305" s="62" t="n">
        <f aca="false">IF(ISNUMBER(AC301),SUM(AC301:AC304),"")</f>
        <v>711.477</v>
      </c>
      <c r="AD305" s="62" t="n">
        <f aca="false">IF(ISNUMBER(AD301),SUM(AD301:AD304),"")</f>
        <v>783.369</v>
      </c>
      <c r="AE305" s="62" t="n">
        <f aca="false">IF(ISNUMBER(AE301),SUM(AE301:AE304),"")</f>
        <v>851.016</v>
      </c>
      <c r="AF305" s="62" t="n">
        <f aca="false">IF(ISNUMBER(AF301),SUM(AF301:AF304),"")</f>
        <v>945.152</v>
      </c>
      <c r="AG305" s="62" t="n">
        <f aca="false">IF(ISNUMBER(AG301),SUM(AG301:AG304),"")</f>
        <v>931.637</v>
      </c>
      <c r="AH305" s="62" t="n">
        <f aca="false">IF(ISNUMBER(AH301),SUM(AH301:AH304),"")</f>
        <v>931.637</v>
      </c>
      <c r="AI305" s="62" t="n">
        <f aca="false">IF(ISNUMBER(AI301),SUM(AI301:AI304),"")</f>
        <v>979.801</v>
      </c>
      <c r="AJ305" s="62" t="n">
        <f aca="false">IF(ISNUMBER(AJ301),SUM(AJ301:AJ304),"")</f>
        <v>942.732</v>
      </c>
      <c r="AK305" s="62" t="n">
        <f aca="false">IF(ISNUMBER(AK301),SUM(AK301:AK304),"")</f>
        <v>927.157</v>
      </c>
      <c r="AL305" s="62" t="n">
        <f aca="false">IF(ISNUMBER(AL301),SUM(AL301:AL304),"")</f>
        <v>886.942</v>
      </c>
      <c r="AM305" s="62" t="n">
        <f aca="false">IF(ISNUMBER(AM301),SUM(AM301:AM304),"")</f>
        <v>886.942</v>
      </c>
      <c r="AN305" s="62" t="n">
        <f aca="false">IF(ISNUMBER(AN301),SUM(AN301:AN304),"")</f>
        <v>863.992</v>
      </c>
      <c r="AO305" s="62" t="n">
        <f aca="false">IF(ISNUMBER(AO301),SUM(AO301:AO304),"")</f>
        <v>845.428</v>
      </c>
      <c r="AP305" s="62" t="n">
        <f aca="false">IF(ISNUMBER(AP301),SUM(AP301:AP304),"")</f>
        <v>812.924</v>
      </c>
      <c r="AQ305" s="62" t="n">
        <f aca="false">IF(ISNUMBER(AQ301),SUM(AQ301:AQ304),"")</f>
        <v>818.172</v>
      </c>
      <c r="AR305" s="62" t="n">
        <f aca="false">IF(ISNUMBER(AR301),SUM(AR301:AR304),"")</f>
        <v>818.172</v>
      </c>
      <c r="AS305" s="62" t="n">
        <f aca="false">IF(ISNUMBER(AS301),SUM(AS301:AS304),"")</f>
        <v>667.103</v>
      </c>
      <c r="AT305" s="62" t="n">
        <f aca="false">IF(ISNUMBER(AT301),SUM(AT301:AT304),"")</f>
        <v>659.254</v>
      </c>
      <c r="AU305" s="62" t="n">
        <f aca="false">IF(ISNUMBER(AU301),SUM(AU301:AU304),"")</f>
        <v>709.825</v>
      </c>
      <c r="AV305" s="62" t="n">
        <f aca="false">IF(ISNUMBER(AV301),SUM(AV301:AV304),"")</f>
        <v>789.271</v>
      </c>
      <c r="AW305" s="62" t="n">
        <f aca="false">IF(ISNUMBER(AW301),SUM(AW301:AW304),"")</f>
        <v>789.271</v>
      </c>
      <c r="AX305" s="62" t="n">
        <f aca="false">IF(ISNUMBER(AX301),SUM(AX301:AX304),"")</f>
        <v>803.515</v>
      </c>
      <c r="AY305" s="62" t="n">
        <f aca="false">IF(ISNUMBER(AY301),SUM(AY301:AY304),"")</f>
        <v>859.665</v>
      </c>
      <c r="AZ305" s="62" t="n">
        <f aca="false">IF(ISNUMBER(AZ301),SUM(AZ301:AZ304),"")</f>
        <v>857.993</v>
      </c>
      <c r="BA305" s="62" t="n">
        <f aca="false">IF(ISNUMBER(BA301),SUM(BA301:BA304),"")</f>
        <v>864.102</v>
      </c>
      <c r="BB305" s="62" t="n">
        <f aca="false">IF(ISNUMBER(BB301),SUM(BB301:BB304),"")</f>
        <v>864.102</v>
      </c>
      <c r="BC305" s="62" t="n">
        <f aca="false">IF(ISNUMBER(BC301),SUM(BC301:BC304),"")</f>
        <v>863.118</v>
      </c>
      <c r="BD305" s="62" t="n">
        <f aca="false">IF(ISNUMBER(BD301),SUM(BD301:BD304),"")</f>
        <v>913.061</v>
      </c>
      <c r="BE305" s="62" t="n">
        <f aca="false">IF(ISNUMBER(BE301),SUM(BE301:BE304),"")</f>
        <v>924.319</v>
      </c>
      <c r="BF305" s="62" t="n">
        <f aca="false">IF(ISNUMBER(BF301),SUM(BF301:BF304),"")</f>
        <v>1034.14</v>
      </c>
      <c r="BG305" s="62" t="n">
        <f aca="false">IF(ISNUMBER(BG301),SUM(BG301:BG304),"")</f>
        <v>1034.14</v>
      </c>
      <c r="BH305" s="62" t="n">
        <f aca="false">IF(ISNUMBER(BH301),SUM(BH301:BH304),"")</f>
        <v>1125.289</v>
      </c>
      <c r="BI305" s="62" t="n">
        <f aca="false">IF(ISNUMBER(BI301),SUM(BI301:BI304),"")</f>
        <v>1201.424</v>
      </c>
      <c r="BJ305" s="62" t="n">
        <f aca="false">IF(ISNUMBER(BJ301),SUM(BJ301:BJ304),"")</f>
        <v>1225.582</v>
      </c>
      <c r="BK305" s="62" t="n">
        <f aca="false">IF(ISNUMBER(BK301),SUM(BK301:BK304),"")</f>
        <v>1308.852</v>
      </c>
      <c r="BL305" s="62" t="n">
        <f aca="false">IF(ISNUMBER(BL301),SUM(BL301:BL304),"")</f>
        <v>1308.852</v>
      </c>
      <c r="BM305" s="62" t="n">
        <f aca="false">IF(ISNUMBER(BM301),SUM(BM301:BM304),"")</f>
        <v>1307.828</v>
      </c>
      <c r="BN305" s="62" t="n">
        <f aca="false">IF(ISNUMBER(BN301),SUM(BN301:BN304),"")</f>
        <v>1312.906</v>
      </c>
      <c r="BO305" s="62" t="n">
        <f aca="false">IF(ISNUMBER(BO301),SUM(BO301:BO304),"")</f>
        <v>1339.19</v>
      </c>
      <c r="BP305" s="62" t="n">
        <f aca="false">IF(ISNUMBER(BP301),SUM(BP301:BP304),"")</f>
        <v>1327.433</v>
      </c>
      <c r="BQ305" s="62" t="n">
        <f aca="false">IF(ISNUMBER(BQ301),SUM(BQ301:BQ304),"")</f>
        <v>1327.433</v>
      </c>
      <c r="BR305" s="62" t="n">
        <f aca="false">IF(ISNUMBER(BR301),SUM(BR301:BR304),"")</f>
        <v>1340.17</v>
      </c>
      <c r="BS305" s="62" t="n">
        <f aca="false">IF(ISNUMBER(BS301),SUM(BS301:BS304),"")</f>
        <v>1379.613</v>
      </c>
      <c r="BT305" s="62" t="n">
        <f aca="false">IF(ISNUMBER(BT301),SUM(BT301:BT304),"")</f>
        <v>1414.633</v>
      </c>
      <c r="BU305" s="62" t="n">
        <f aca="false">IF(ISNUMBER(BU301),SUM(BU301:BU304),"")</f>
        <v>1469.794</v>
      </c>
      <c r="BV305" s="62" t="n">
        <f aca="false">IF(ISNUMBER(BV301),SUM(BV301:BV304),"")</f>
        <v>1469.794</v>
      </c>
      <c r="BW305" s="62" t="n">
        <f aca="false">IF(ISNUMBER(BW301),SUM(BW301:BW304),"")</f>
        <v>1511.26</v>
      </c>
      <c r="BX305" s="62" t="n">
        <f aca="false">IF(ISNUMBER(BX301),SUM(BX301:BX304),"")</f>
        <v>1554.18</v>
      </c>
      <c r="BY305" s="18" t="str">
        <f aca="false">IF(ISNUMBER(BY301),SUM(BY301:BY304),"")</f>
        <v/>
      </c>
      <c r="BZ305" s="18" t="str">
        <f aca="false">IF(ISNUMBER(BZ301),SUM(BZ301:BZ304),"")</f>
        <v/>
      </c>
      <c r="CA305" s="18" t="n">
        <f aca="false">IF(ISNUMBER(CA301),SUM(CA301:CA304),"")</f>
        <v>1632.81943284667</v>
      </c>
      <c r="CB305" s="18" t="n">
        <f aca="false">IF(ISNUMBER(CB301),SUM(CB301:CB304),"")</f>
        <v>1775.02316769052</v>
      </c>
      <c r="CC305" s="18" t="n">
        <f aca="false">IF(ISNUMBER(CC301),SUM(CC301:CC304),"")</f>
        <v>1942.49353563035</v>
      </c>
      <c r="CD305" s="18" t="n">
        <f aca="false">IF(ISNUMBER(CD301),SUM(CD301:CD304),"")</f>
        <v>2106.5816414344</v>
      </c>
      <c r="CE305" s="18" t="n">
        <f aca="false">IF(ISNUMBER(CE301),SUM(CE301:CE304),"")</f>
        <v>2276.58637462386</v>
      </c>
    </row>
    <row r="306" customFormat="false" ht="15" hidden="false" customHeight="false" outlineLevel="0" collapsed="false">
      <c r="B306" s="26" t="s">
        <v>445</v>
      </c>
      <c r="C306" s="48" t="n">
        <v>0</v>
      </c>
      <c r="D306" s="48" t="n">
        <v>0</v>
      </c>
      <c r="E306" s="48" t="n">
        <v>0</v>
      </c>
      <c r="F306" s="48" t="n">
        <v>13.329</v>
      </c>
      <c r="G306" s="48" t="n">
        <v>15.981</v>
      </c>
      <c r="H306" s="48" t="n">
        <v>16.296</v>
      </c>
      <c r="I306" s="48" t="n">
        <v>15.948</v>
      </c>
      <c r="J306" s="48" t="n">
        <v>16.098</v>
      </c>
      <c r="K306" s="48" t="n">
        <v>15.857</v>
      </c>
      <c r="L306" s="48" t="n">
        <v>14.179</v>
      </c>
      <c r="M306" s="48" t="n">
        <v>4.086</v>
      </c>
      <c r="N306" s="48" t="n">
        <v>4.086</v>
      </c>
      <c r="O306" s="48" t="n">
        <v>3.956</v>
      </c>
      <c r="P306" s="48" t="n">
        <v>3.937</v>
      </c>
      <c r="Q306" s="48" t="n">
        <v>3.14</v>
      </c>
      <c r="R306" s="48" t="n">
        <v>3.232</v>
      </c>
      <c r="S306" s="48" t="n">
        <v>3.232</v>
      </c>
      <c r="T306" s="48" t="n">
        <v>0.973</v>
      </c>
      <c r="U306" s="48" t="n">
        <v>0.978</v>
      </c>
      <c r="V306" s="48" t="n">
        <v>0.887</v>
      </c>
      <c r="W306" s="48" t="n">
        <v>0.861</v>
      </c>
      <c r="X306" s="48" t="n">
        <v>0.861</v>
      </c>
      <c r="Y306" s="48" t="n">
        <v>0.862</v>
      </c>
      <c r="Z306" s="48" t="n">
        <v>0.804</v>
      </c>
      <c r="AA306" s="48" t="n">
        <v>0.788</v>
      </c>
      <c r="AB306" s="48" t="n">
        <v>0.729</v>
      </c>
      <c r="AC306" s="48" t="n">
        <v>0.729</v>
      </c>
      <c r="AD306" s="48" t="n">
        <v>0.755</v>
      </c>
      <c r="AE306" s="48" t="n">
        <v>0.76</v>
      </c>
      <c r="AF306" s="48" t="n">
        <v>0.776</v>
      </c>
      <c r="AG306" s="48" t="n">
        <v>0.816</v>
      </c>
      <c r="AH306" s="48" t="n">
        <v>0.816</v>
      </c>
      <c r="AI306" s="48" t="n">
        <v>0.871</v>
      </c>
      <c r="AJ306" s="48" t="n">
        <v>0.776</v>
      </c>
      <c r="AK306" s="48" t="n">
        <v>0.711</v>
      </c>
      <c r="AL306" s="48" t="n">
        <v>0.65</v>
      </c>
      <c r="AM306" s="48" t="n">
        <v>0.65</v>
      </c>
      <c r="AN306" s="48" t="n">
        <v>0.673</v>
      </c>
      <c r="AO306" s="48" t="n">
        <v>0.63</v>
      </c>
      <c r="AP306" s="48" t="n">
        <v>0.884</v>
      </c>
      <c r="AQ306" s="48" t="n">
        <v>0.905</v>
      </c>
      <c r="AR306" s="48" t="n">
        <v>0.905</v>
      </c>
      <c r="AS306" s="48" t="n">
        <v>0.857</v>
      </c>
      <c r="AT306" s="48" t="n">
        <v>0.857</v>
      </c>
      <c r="AU306" s="48" t="n">
        <v>0.919</v>
      </c>
      <c r="AV306" s="48" t="n">
        <v>0.979</v>
      </c>
      <c r="AW306" s="48" t="n">
        <v>0.979</v>
      </c>
      <c r="AX306" s="48" t="n">
        <v>-0.107</v>
      </c>
      <c r="AY306" s="48" t="n">
        <v>-0.042</v>
      </c>
      <c r="AZ306" s="48" t="n">
        <v>-0.1</v>
      </c>
      <c r="BA306" s="48" t="n">
        <v>-0.193</v>
      </c>
      <c r="BB306" s="48" t="n">
        <v>-0.193</v>
      </c>
      <c r="BC306" s="48" t="n">
        <v>-0.058</v>
      </c>
      <c r="BD306" s="48" t="n">
        <v>-0.078</v>
      </c>
      <c r="BE306" s="48" t="n">
        <v>-0.091</v>
      </c>
      <c r="BF306" s="48" t="n">
        <v>-0.099</v>
      </c>
      <c r="BG306" s="48" t="n">
        <v>-0.099</v>
      </c>
      <c r="BH306" s="48" t="n">
        <v>-0.053</v>
      </c>
      <c r="BI306" s="48" t="n">
        <v>0</v>
      </c>
      <c r="BJ306" s="48" t="n">
        <v>0</v>
      </c>
      <c r="BK306" s="48" t="n">
        <v>0</v>
      </c>
      <c r="BL306" s="48" t="n">
        <v>0</v>
      </c>
      <c r="BM306" s="48" t="n">
        <v>0</v>
      </c>
      <c r="BN306" s="48" t="n">
        <v>0</v>
      </c>
      <c r="BO306" s="48" t="n">
        <v>0</v>
      </c>
      <c r="BP306" s="48" t="n">
        <v>0</v>
      </c>
      <c r="BQ306" s="48" t="n">
        <v>0</v>
      </c>
      <c r="BR306" s="48" t="n">
        <v>0</v>
      </c>
      <c r="BS306" s="48" t="n">
        <v>0</v>
      </c>
      <c r="BT306" s="48" t="n">
        <v>0</v>
      </c>
      <c r="BU306" s="48" t="n">
        <v>0</v>
      </c>
      <c r="BV306" s="48" t="n">
        <v>0</v>
      </c>
      <c r="BW306" s="48" t="n">
        <v>0</v>
      </c>
      <c r="BX306" s="48" t="n">
        <v>0</v>
      </c>
      <c r="CA306" s="56" t="n">
        <f aca="false">$BX$306+$BY$148+$BZ$148</f>
        <v>0</v>
      </c>
      <c r="CB306" s="56" t="n">
        <f aca="false">CA306+CB148</f>
        <v>0</v>
      </c>
      <c r="CC306" s="56" t="n">
        <f aca="false">CB306+CC148</f>
        <v>0</v>
      </c>
      <c r="CD306" s="56" t="n">
        <f aca="false">CC306+CD148</f>
        <v>0</v>
      </c>
      <c r="CE306" s="56" t="n">
        <f aca="false">CD306+CE148</f>
        <v>0</v>
      </c>
    </row>
    <row r="307" customFormat="false" ht="15" hidden="false" customHeight="false" outlineLevel="0" collapsed="false">
      <c r="B307" s="15" t="s">
        <v>446</v>
      </c>
      <c r="C307" s="62" t="n">
        <f aca="false">IF(ISNUMBER(C305),C305+N(C306),"")</f>
        <v>852.976</v>
      </c>
      <c r="D307" s="62" t="n">
        <f aca="false">IF(ISNUMBER(D305),D305+N(D306),"")</f>
        <v>1087.22</v>
      </c>
      <c r="E307" s="62" t="n">
        <f aca="false">IF(ISNUMBER(E305),E305+N(E306),"")</f>
        <v>995.312</v>
      </c>
      <c r="F307" s="62" t="n">
        <f aca="false">IF(ISNUMBER(F305),F305+N(F306),"")</f>
        <v>1085.675</v>
      </c>
      <c r="G307" s="62" t="n">
        <f aca="false">IF(ISNUMBER(G305),G305+N(G306),"")</f>
        <v>1149.478</v>
      </c>
      <c r="H307" s="62" t="n">
        <f aca="false">IF(ISNUMBER(H305),H305+N(H306),"")</f>
        <v>1193.242</v>
      </c>
      <c r="I307" s="62" t="n">
        <f aca="false">IF(ISNUMBER(I305),I305+N(I306),"")</f>
        <v>1358.321</v>
      </c>
      <c r="J307" s="62" t="n">
        <f aca="false">IF(ISNUMBER(J305),J305+N(J306),"")</f>
        <v>1403.545</v>
      </c>
      <c r="K307" s="62" t="n">
        <f aca="false">IF(ISNUMBER(K305),K305+N(K306),"")</f>
        <v>1394.455</v>
      </c>
      <c r="L307" s="62" t="n">
        <f aca="false">IF(ISNUMBER(L305),L305+N(L306),"")</f>
        <v>1428.819</v>
      </c>
      <c r="M307" s="62" t="n">
        <f aca="false">IF(ISNUMBER(M305),M305+N(M306),"")</f>
        <v>1530.688</v>
      </c>
      <c r="N307" s="62" t="n">
        <f aca="false">IF(ISNUMBER(N305),N305+N(N306),"")</f>
        <v>1530.688</v>
      </c>
      <c r="O307" s="62" t="n">
        <f aca="false">IF(ISNUMBER(O305),O305+N(O306),"")</f>
        <v>1512.113</v>
      </c>
      <c r="P307" s="62" t="n">
        <f aca="false">IF(ISNUMBER(P305),P305+N(P306),"")</f>
        <v>1521.473</v>
      </c>
      <c r="Q307" s="62" t="n">
        <f aca="false">IF(ISNUMBER(Q305),Q305+N(Q306),"")</f>
        <v>1376.479</v>
      </c>
      <c r="R307" s="62" t="n">
        <f aca="false">IF(ISNUMBER(R305),R305+N(R306),"")</f>
        <v>1285.781</v>
      </c>
      <c r="S307" s="62" t="n">
        <f aca="false">IF(ISNUMBER(S305),S305+N(S306),"")</f>
        <v>1285.781</v>
      </c>
      <c r="T307" s="62" t="n">
        <f aca="false">IF(ISNUMBER(T305),T305+N(T306),"")</f>
        <v>1179.955</v>
      </c>
      <c r="U307" s="62" t="n">
        <f aca="false">IF(ISNUMBER(U305),U305+N(U306),"")</f>
        <v>1196.658</v>
      </c>
      <c r="V307" s="62" t="n">
        <f aca="false">IF(ISNUMBER(V305),V305+N(V306),"")</f>
        <v>1011.969</v>
      </c>
      <c r="W307" s="62" t="n">
        <f aca="false">IF(ISNUMBER(W305),W305+N(W306),"")</f>
        <v>932.448</v>
      </c>
      <c r="X307" s="62" t="n">
        <f aca="false">IF(ISNUMBER(X305),X305+N(X306),"")</f>
        <v>932.448</v>
      </c>
      <c r="Y307" s="62" t="n">
        <f aca="false">IF(ISNUMBER(Y305),Y305+N(Y306),"")</f>
        <v>892.669</v>
      </c>
      <c r="Z307" s="62" t="n">
        <f aca="false">IF(ISNUMBER(Z305),Z305+N(Z306),"")</f>
        <v>792.414</v>
      </c>
      <c r="AA307" s="62" t="n">
        <f aca="false">IF(ISNUMBER(AA305),AA305+N(AA306),"")</f>
        <v>752.917</v>
      </c>
      <c r="AB307" s="62" t="n">
        <f aca="false">IF(ISNUMBER(AB305),AB305+N(AB306),"")</f>
        <v>712.206</v>
      </c>
      <c r="AC307" s="62" t="n">
        <f aca="false">IF(ISNUMBER(AC305),AC305+N(AC306),"")</f>
        <v>712.206</v>
      </c>
      <c r="AD307" s="62" t="n">
        <f aca="false">IF(ISNUMBER(AD305),AD305+N(AD306),"")</f>
        <v>784.124</v>
      </c>
      <c r="AE307" s="62" t="n">
        <f aca="false">IF(ISNUMBER(AE305),AE305+N(AE306),"")</f>
        <v>851.776</v>
      </c>
      <c r="AF307" s="62" t="n">
        <f aca="false">IF(ISNUMBER(AF305),AF305+N(AF306),"")</f>
        <v>945.928</v>
      </c>
      <c r="AG307" s="62" t="n">
        <f aca="false">IF(ISNUMBER(AG305),AG305+N(AG306),"")</f>
        <v>932.453</v>
      </c>
      <c r="AH307" s="62" t="n">
        <f aca="false">IF(ISNUMBER(AH305),AH305+N(AH306),"")</f>
        <v>932.453</v>
      </c>
      <c r="AI307" s="62" t="n">
        <f aca="false">IF(ISNUMBER(AI305),AI305+N(AI306),"")</f>
        <v>980.672</v>
      </c>
      <c r="AJ307" s="62" t="n">
        <f aca="false">IF(ISNUMBER(AJ305),AJ305+N(AJ306),"")</f>
        <v>943.508</v>
      </c>
      <c r="AK307" s="62" t="n">
        <f aca="false">IF(ISNUMBER(AK305),AK305+N(AK306),"")</f>
        <v>927.868</v>
      </c>
      <c r="AL307" s="62" t="n">
        <f aca="false">IF(ISNUMBER(AL305),AL305+N(AL306),"")</f>
        <v>887.592</v>
      </c>
      <c r="AM307" s="62" t="n">
        <f aca="false">IF(ISNUMBER(AM305),AM305+N(AM306),"")</f>
        <v>887.592</v>
      </c>
      <c r="AN307" s="62" t="n">
        <f aca="false">IF(ISNUMBER(AN305),AN305+N(AN306),"")</f>
        <v>864.665</v>
      </c>
      <c r="AO307" s="62" t="n">
        <f aca="false">IF(ISNUMBER(AO305),AO305+N(AO306),"")</f>
        <v>846.058</v>
      </c>
      <c r="AP307" s="62" t="n">
        <f aca="false">IF(ISNUMBER(AP305),AP305+N(AP306),"")</f>
        <v>813.808</v>
      </c>
      <c r="AQ307" s="62" t="n">
        <f aca="false">IF(ISNUMBER(AQ305),AQ305+N(AQ306),"")</f>
        <v>819.077</v>
      </c>
      <c r="AR307" s="62" t="n">
        <f aca="false">IF(ISNUMBER(AR305),AR305+N(AR306),"")</f>
        <v>819.077</v>
      </c>
      <c r="AS307" s="62" t="n">
        <f aca="false">IF(ISNUMBER(AS305),AS305+N(AS306),"")</f>
        <v>667.96</v>
      </c>
      <c r="AT307" s="62" t="n">
        <f aca="false">IF(ISNUMBER(AT305),AT305+N(AT306),"")</f>
        <v>660.111</v>
      </c>
      <c r="AU307" s="62" t="n">
        <f aca="false">IF(ISNUMBER(AU305),AU305+N(AU306),"")</f>
        <v>710.744</v>
      </c>
      <c r="AV307" s="62" t="n">
        <f aca="false">IF(ISNUMBER(AV305),AV305+N(AV306),"")</f>
        <v>790.25</v>
      </c>
      <c r="AW307" s="62" t="n">
        <f aca="false">IF(ISNUMBER(AW305),AW305+N(AW306),"")</f>
        <v>790.25</v>
      </c>
      <c r="AX307" s="62" t="n">
        <f aca="false">IF(ISNUMBER(AX305),AX305+N(AX306),"")</f>
        <v>803.408</v>
      </c>
      <c r="AY307" s="62" t="n">
        <f aca="false">IF(ISNUMBER(AY305),AY305+N(AY306),"")</f>
        <v>859.623</v>
      </c>
      <c r="AZ307" s="62" t="n">
        <f aca="false">IF(ISNUMBER(AZ305),AZ305+N(AZ306),"")</f>
        <v>857.893</v>
      </c>
      <c r="BA307" s="62" t="n">
        <f aca="false">IF(ISNUMBER(BA305),BA305+N(BA306),"")</f>
        <v>863.909</v>
      </c>
      <c r="BB307" s="62" t="n">
        <f aca="false">IF(ISNUMBER(BB305),BB305+N(BB306),"")</f>
        <v>863.909</v>
      </c>
      <c r="BC307" s="62" t="n">
        <f aca="false">IF(ISNUMBER(BC305),BC305+N(BC306),"")</f>
        <v>863.06</v>
      </c>
      <c r="BD307" s="62" t="n">
        <f aca="false">IF(ISNUMBER(BD305),BD305+N(BD306),"")</f>
        <v>912.983</v>
      </c>
      <c r="BE307" s="62" t="n">
        <f aca="false">IF(ISNUMBER(BE305),BE305+N(BE306),"")</f>
        <v>924.228</v>
      </c>
      <c r="BF307" s="62" t="n">
        <f aca="false">IF(ISNUMBER(BF305),BF305+N(BF306),"")</f>
        <v>1034.041</v>
      </c>
      <c r="BG307" s="62" t="n">
        <f aca="false">IF(ISNUMBER(BG305),BG305+N(BG306),"")</f>
        <v>1034.041</v>
      </c>
      <c r="BH307" s="62" t="n">
        <f aca="false">IF(ISNUMBER(BH305),BH305+N(BH306),"")</f>
        <v>1125.236</v>
      </c>
      <c r="BI307" s="62" t="n">
        <f aca="false">IF(ISNUMBER(BI305),BI305+N(BI306),"")</f>
        <v>1201.424</v>
      </c>
      <c r="BJ307" s="62" t="n">
        <f aca="false">IF(ISNUMBER(BJ305),BJ305+N(BJ306),"")</f>
        <v>1225.582</v>
      </c>
      <c r="BK307" s="62" t="n">
        <f aca="false">IF(ISNUMBER(BK305),BK305+N(BK306),"")</f>
        <v>1308.852</v>
      </c>
      <c r="BL307" s="62" t="n">
        <f aca="false">IF(ISNUMBER(BL305),BL305+N(BL306),"")</f>
        <v>1308.852</v>
      </c>
      <c r="BM307" s="62" t="n">
        <f aca="false">IF(ISNUMBER(BM305),BM305+N(BM306),"")</f>
        <v>1307.828</v>
      </c>
      <c r="BN307" s="62" t="n">
        <f aca="false">IF(ISNUMBER(BN305),BN305+N(BN306),"")</f>
        <v>1312.906</v>
      </c>
      <c r="BO307" s="62" t="n">
        <f aca="false">IF(ISNUMBER(BO305),BO305+N(BO306),"")</f>
        <v>1339.19</v>
      </c>
      <c r="BP307" s="62" t="n">
        <f aca="false">IF(ISNUMBER(BP305),BP305+N(BP306),"")</f>
        <v>1327.433</v>
      </c>
      <c r="BQ307" s="62" t="n">
        <f aca="false">IF(ISNUMBER(BQ305),BQ305+N(BQ306),"")</f>
        <v>1327.433</v>
      </c>
      <c r="BR307" s="62" t="n">
        <f aca="false">IF(ISNUMBER(BR305),BR305+N(BR306),"")</f>
        <v>1340.17</v>
      </c>
      <c r="BS307" s="62" t="n">
        <f aca="false">IF(ISNUMBER(BS305),BS305+N(BS306),"")</f>
        <v>1379.613</v>
      </c>
      <c r="BT307" s="62" t="n">
        <f aca="false">IF(ISNUMBER(BT305),BT305+N(BT306),"")</f>
        <v>1414.633</v>
      </c>
      <c r="BU307" s="62" t="n">
        <f aca="false">IF(ISNUMBER(BU305),BU305+N(BU306),"")</f>
        <v>1469.794</v>
      </c>
      <c r="BV307" s="62" t="n">
        <f aca="false">IF(ISNUMBER(BV305),BV305+N(BV306),"")</f>
        <v>1469.794</v>
      </c>
      <c r="BW307" s="62" t="n">
        <f aca="false">IF(ISNUMBER(BW305),BW305+N(BW306),"")</f>
        <v>1511.26</v>
      </c>
      <c r="BX307" s="62" t="n">
        <f aca="false">IF(ISNUMBER(BX305),BX305+N(BX306),"")</f>
        <v>1554.18</v>
      </c>
      <c r="BY307" s="18" t="str">
        <f aca="false">IF(ISNUMBER(BY305),BY305+N(BY306),"")</f>
        <v/>
      </c>
      <c r="BZ307" s="18" t="str">
        <f aca="false">IF(ISNUMBER(BZ305),BZ305+N(BZ306),"")</f>
        <v/>
      </c>
      <c r="CA307" s="18" t="n">
        <f aca="false">IF(ISNUMBER(CA305),CA305+N(CA306),"")</f>
        <v>1632.81943284667</v>
      </c>
      <c r="CB307" s="18" t="n">
        <f aca="false">IF(ISNUMBER(CB305),CB305+N(CB306),"")</f>
        <v>1775.02316769052</v>
      </c>
      <c r="CC307" s="18" t="n">
        <f aca="false">IF(ISNUMBER(CC305),CC305+N(CC306),"")</f>
        <v>1942.49353563035</v>
      </c>
      <c r="CD307" s="18" t="n">
        <f aca="false">IF(ISNUMBER(CD305),CD305+N(CD306),"")</f>
        <v>2106.5816414344</v>
      </c>
      <c r="CE307" s="18" t="n">
        <f aca="false">IF(ISNUMBER(CE305),CE305+N(CE306),"")</f>
        <v>2276.58637462386</v>
      </c>
    </row>
    <row r="308" customFormat="false" ht="15" hidden="false" customHeight="false" outlineLevel="0" collapsed="false">
      <c r="B308" s="58" t="s">
        <v>447</v>
      </c>
      <c r="C308" s="59" t="n">
        <f aca="false">IF(ISNUMBER(C299),C299+C307,"")</f>
        <v>1394.579</v>
      </c>
      <c r="D308" s="59" t="n">
        <f aca="false">IF(ISNUMBER(D299),D299+D307,"")</f>
        <v>1645.296</v>
      </c>
      <c r="E308" s="59" t="n">
        <f aca="false">IF(ISNUMBER(E299),E299+E307,"")</f>
        <v>1718.805</v>
      </c>
      <c r="F308" s="59" t="n">
        <f aca="false">IF(ISNUMBER(F299),F299+F307,"")</f>
        <v>1705.292</v>
      </c>
      <c r="G308" s="59" t="n">
        <f aca="false">IF(ISNUMBER(G299),G299+G307,"")</f>
        <v>1783.788</v>
      </c>
      <c r="H308" s="59" t="n">
        <f aca="false">IF(ISNUMBER(H299),H299+H307,"")</f>
        <v>1976.776</v>
      </c>
      <c r="I308" s="59" t="n">
        <f aca="false">IF(ISNUMBER(I299),I299+I307,"")</f>
        <v>2089.863</v>
      </c>
      <c r="J308" s="59" t="n">
        <f aca="false">IF(ISNUMBER(J299),J299+J307,"")</f>
        <v>2103.527</v>
      </c>
      <c r="K308" s="59" t="n">
        <f aca="false">IF(ISNUMBER(K299),K299+K307,"")</f>
        <v>2060.117</v>
      </c>
      <c r="L308" s="59" t="n">
        <f aca="false">IF(ISNUMBER(L299),L299+L307,"")</f>
        <v>2119.641</v>
      </c>
      <c r="M308" s="59" t="n">
        <f aca="false">IF(ISNUMBER(M299),M299+M307,"")</f>
        <v>2151.867</v>
      </c>
      <c r="N308" s="59" t="n">
        <f aca="false">IF(ISNUMBER(N299),N299+N307,"")</f>
        <v>2151.867</v>
      </c>
      <c r="O308" s="59" t="n">
        <f aca="false">IF(ISNUMBER(O299),O299+O307,"")</f>
        <v>2113.976</v>
      </c>
      <c r="P308" s="59" t="n">
        <f aca="false">IF(ISNUMBER(P299),P299+P307,"")</f>
        <v>2144.839</v>
      </c>
      <c r="Q308" s="59" t="n">
        <f aca="false">IF(ISNUMBER(Q299),Q299+Q307,"")</f>
        <v>2112.519</v>
      </c>
      <c r="R308" s="59" t="n">
        <f aca="false">IF(ISNUMBER(R299),R299+R307,"")</f>
        <v>1939.215</v>
      </c>
      <c r="S308" s="59" t="n">
        <f aca="false">IF(ISNUMBER(S299),S299+S307,"")</f>
        <v>1939.215</v>
      </c>
      <c r="T308" s="59" t="n">
        <f aca="false">IF(ISNUMBER(T299),T299+T307,"")</f>
        <v>1921.508</v>
      </c>
      <c r="U308" s="59" t="n">
        <f aca="false">IF(ISNUMBER(U299),U299+U307,"")</f>
        <v>1950.166</v>
      </c>
      <c r="V308" s="59" t="n">
        <f aca="false">IF(ISNUMBER(V299),V299+V307,"")</f>
        <v>1928.091</v>
      </c>
      <c r="W308" s="59" t="n">
        <f aca="false">IF(ISNUMBER(W299),W299+W307,"")</f>
        <v>1784.171</v>
      </c>
      <c r="X308" s="59" t="n">
        <f aca="false">IF(ISNUMBER(X299),X299+X307,"")</f>
        <v>1784.171</v>
      </c>
      <c r="Y308" s="59" t="n">
        <f aca="false">IF(ISNUMBER(Y299),Y299+Y307,"")</f>
        <v>1777.095</v>
      </c>
      <c r="Z308" s="59" t="n">
        <f aca="false">IF(ISNUMBER(Z299),Z299+Z307,"")</f>
        <v>1837.401</v>
      </c>
      <c r="AA308" s="59" t="n">
        <f aca="false">IF(ISNUMBER(AA299),AA299+AA307,"")</f>
        <v>1833.821</v>
      </c>
      <c r="AB308" s="59" t="n">
        <f aca="false">IF(ISNUMBER(AB299),AB299+AB307,"")</f>
        <v>1943.437</v>
      </c>
      <c r="AC308" s="59" t="n">
        <f aca="false">IF(ISNUMBER(AC299),AC299+AC307,"")</f>
        <v>1943.437</v>
      </c>
      <c r="AD308" s="59" t="n">
        <f aca="false">IF(ISNUMBER(AD299),AD299+AD307,"")</f>
        <v>2052.677</v>
      </c>
      <c r="AE308" s="59" t="n">
        <f aca="false">IF(ISNUMBER(AE299),AE299+AE307,"")</f>
        <v>2121.673</v>
      </c>
      <c r="AF308" s="59" t="n">
        <f aca="false">IF(ISNUMBER(AF299),AF299+AF307,"")</f>
        <v>2411.103</v>
      </c>
      <c r="AG308" s="59" t="n">
        <f aca="false">IF(ISNUMBER(AG299),AG299+AG307,"")</f>
        <v>2406.547</v>
      </c>
      <c r="AH308" s="59" t="n">
        <f aca="false">IF(ISNUMBER(AH299),AH299+AH307,"")</f>
        <v>2406.547</v>
      </c>
      <c r="AI308" s="59" t="n">
        <f aca="false">IF(ISNUMBER(AI299),AI299+AI307,"")</f>
        <v>2488.5</v>
      </c>
      <c r="AJ308" s="59" t="n">
        <f aca="false">IF(ISNUMBER(AJ299),AJ299+AJ307,"")</f>
        <v>2433.731</v>
      </c>
      <c r="AK308" s="59" t="n">
        <f aca="false">IF(ISNUMBER(AK299),AK299+AK307,"")</f>
        <v>2419.645</v>
      </c>
      <c r="AL308" s="59" t="n">
        <f aca="false">IF(ISNUMBER(AL299),AL299+AL307,"")</f>
        <v>2349.825</v>
      </c>
      <c r="AM308" s="59" t="n">
        <f aca="false">IF(ISNUMBER(AM299),AM299+AM307,"")</f>
        <v>2349.825</v>
      </c>
      <c r="AN308" s="59" t="n">
        <f aca="false">IF(ISNUMBER(AN299),AN299+AN307,"")</f>
        <v>2354.851</v>
      </c>
      <c r="AO308" s="59" t="n">
        <f aca="false">IF(ISNUMBER(AO299),AO299+AO307,"")</f>
        <v>2394.333</v>
      </c>
      <c r="AP308" s="59" t="n">
        <f aca="false">IF(ISNUMBER(AP299),AP299+AP307,"")</f>
        <v>2361.16</v>
      </c>
      <c r="AQ308" s="59" t="n">
        <f aca="false">IF(ISNUMBER(AQ299),AQ299+AQ307,"")</f>
        <v>2371.213</v>
      </c>
      <c r="AR308" s="59" t="n">
        <f aca="false">IF(ISNUMBER(AR299),AR299+AR307,"")</f>
        <v>2371.213</v>
      </c>
      <c r="AS308" s="59" t="n">
        <f aca="false">IF(ISNUMBER(AS299),AS299+AS307,"")</f>
        <v>2305.9</v>
      </c>
      <c r="AT308" s="59" t="n">
        <f aca="false">IF(ISNUMBER(AT299),AT299+AT307,"")</f>
        <v>2199.039</v>
      </c>
      <c r="AU308" s="59" t="n">
        <f aca="false">IF(ISNUMBER(AU299),AU299+AU307,"")</f>
        <v>2217.499</v>
      </c>
      <c r="AV308" s="59" t="n">
        <f aca="false">IF(ISNUMBER(AV299),AV299+AV307,"")</f>
        <v>2314.453</v>
      </c>
      <c r="AW308" s="59" t="n">
        <f aca="false">IF(ISNUMBER(AW299),AW299+AW307,"")</f>
        <v>2314.453</v>
      </c>
      <c r="AX308" s="59" t="n">
        <f aca="false">IF(ISNUMBER(AX299),AX299+AX307,"")</f>
        <v>2361.749</v>
      </c>
      <c r="AY308" s="59" t="n">
        <f aca="false">IF(ISNUMBER(AY299),AY299+AY307,"")</f>
        <v>2512.726</v>
      </c>
      <c r="AZ308" s="59" t="n">
        <f aca="false">IF(ISNUMBER(AZ299),AZ299+AZ307,"")</f>
        <v>2568.797</v>
      </c>
      <c r="BA308" s="59" t="n">
        <f aca="false">IF(ISNUMBER(BA299),BA299+BA307,"")</f>
        <v>2592.307</v>
      </c>
      <c r="BB308" s="59" t="n">
        <f aca="false">IF(ISNUMBER(BB299),BB299+BB307,"")</f>
        <v>2592.307</v>
      </c>
      <c r="BC308" s="59" t="n">
        <f aca="false">IF(ISNUMBER(BC299),BC299+BC307,"")</f>
        <v>2736.344</v>
      </c>
      <c r="BD308" s="59" t="n">
        <f aca="false">IF(ISNUMBER(BD299),BD299+BD307,"")</f>
        <v>2741.813</v>
      </c>
      <c r="BE308" s="59" t="n">
        <f aca="false">IF(ISNUMBER(BE299),BE299+BE307,"")</f>
        <v>2651.965</v>
      </c>
      <c r="BF308" s="59" t="n">
        <f aca="false">IF(ISNUMBER(BF299),BF299+BF307,"")</f>
        <v>3180.546</v>
      </c>
      <c r="BG308" s="59" t="n">
        <f aca="false">IF(ISNUMBER(BG299),BG299+BG307,"")</f>
        <v>3180.546</v>
      </c>
      <c r="BH308" s="59" t="n">
        <f aca="false">IF(ISNUMBER(BH299),BH299+BH307,"")</f>
        <v>3253.201</v>
      </c>
      <c r="BI308" s="59" t="n">
        <f aca="false">IF(ISNUMBER(BI299),BI299+BI307,"")</f>
        <v>3311.188</v>
      </c>
      <c r="BJ308" s="59" t="n">
        <f aca="false">IF(ISNUMBER(BJ299),BJ299+BJ307,"")</f>
        <v>3325.895</v>
      </c>
      <c r="BK308" s="59" t="n">
        <f aca="false">IF(ISNUMBER(BK299),BK299+BK307,"")</f>
        <v>3377.297</v>
      </c>
      <c r="BL308" s="59" t="n">
        <f aca="false">IF(ISNUMBER(BL299),BL299+BL307,"")</f>
        <v>3377.297</v>
      </c>
      <c r="BM308" s="59" t="n">
        <f aca="false">IF(ISNUMBER(BM299),BM299+BM307,"")</f>
        <v>3379.717</v>
      </c>
      <c r="BN308" s="59" t="n">
        <f aca="false">IF(ISNUMBER(BN299),BN299+BN307,"")</f>
        <v>3415.249</v>
      </c>
      <c r="BO308" s="59" t="n">
        <f aca="false">IF(ISNUMBER(BO299),BO299+BO307,"")</f>
        <v>3664.545</v>
      </c>
      <c r="BP308" s="59" t="n">
        <f aca="false">IF(ISNUMBER(BP299),BP299+BP307,"")</f>
        <v>3520.142</v>
      </c>
      <c r="BQ308" s="59" t="n">
        <f aca="false">IF(ISNUMBER(BQ299),BQ299+BQ307,"")</f>
        <v>3520.142</v>
      </c>
      <c r="BR308" s="59" t="n">
        <f aca="false">IF(ISNUMBER(BR299),BR299+BR307,"")</f>
        <v>3625.074</v>
      </c>
      <c r="BS308" s="59" t="n">
        <f aca="false">IF(ISNUMBER(BS299),BS299+BS307,"")</f>
        <v>3727.369</v>
      </c>
      <c r="BT308" s="59" t="n">
        <f aca="false">IF(ISNUMBER(BT299),BT299+BT307,"")</f>
        <v>3815.105</v>
      </c>
      <c r="BU308" s="59" t="n">
        <f aca="false">IF(ISNUMBER(BU299),BU299+BU307,"")</f>
        <v>3777.577</v>
      </c>
      <c r="BV308" s="59" t="n">
        <f aca="false">IF(ISNUMBER(BV299),BV299+BV307,"")</f>
        <v>3777.577</v>
      </c>
      <c r="BW308" s="59" t="n">
        <f aca="false">IF(ISNUMBER(BW299),BW299+BW307,"")</f>
        <v>3900.395</v>
      </c>
      <c r="BX308" s="59" t="n">
        <f aca="false">IF(ISNUMBER(BX299),BX299+BX307,"")</f>
        <v>3813.31</v>
      </c>
      <c r="BY308" s="59" t="str">
        <f aca="false">IF(ISNUMBER(BY299),BY299+BY307,"")</f>
        <v/>
      </c>
      <c r="BZ308" s="59" t="str">
        <f aca="false">IF(ISNUMBER(BZ299),BZ299+BZ307,"")</f>
        <v/>
      </c>
      <c r="CA308" s="59" t="n">
        <f aca="false">IF(ISNUMBER(CA299),CA299+CA307,"")</f>
        <v>3844.23072671636</v>
      </c>
      <c r="CB308" s="59" t="n">
        <f aca="false">IF(ISNUMBER(CB299),CB299+CB307,"")</f>
        <v>4126.66109192532</v>
      </c>
      <c r="CC308" s="59" t="n">
        <f aca="false">IF(ISNUMBER(CC299),CC299+CC307,"")</f>
        <v>4429.43503420848</v>
      </c>
      <c r="CD308" s="59" t="n">
        <f aca="false">IF(ISNUMBER(CD299),CD299+CD307,"")</f>
        <v>4727.1529533912</v>
      </c>
      <c r="CE308" s="59" t="n">
        <f aca="false">IF(ISNUMBER(CE299),CE299+CE307,"")</f>
        <v>5026.14611938891</v>
      </c>
    </row>
    <row r="309" customFormat="false" ht="15" hidden="false" customHeight="false" outlineLevel="0" collapsed="false">
      <c r="B309" s="36" t="s">
        <v>448</v>
      </c>
      <c r="C309" s="39" t="n">
        <f aca="false">IF(ISNUMBER(C288),ROUND(C288-C308,1),"")</f>
        <v>0</v>
      </c>
      <c r="D309" s="39" t="n">
        <f aca="false">IF(ISNUMBER(D288),ROUND(D288-D308,1),"")</f>
        <v>0</v>
      </c>
      <c r="E309" s="39" t="n">
        <f aca="false">IF(ISNUMBER(E288),ROUND(E288-E308,1),"")</f>
        <v>0</v>
      </c>
      <c r="F309" s="39" t="n">
        <f aca="false">IF(ISNUMBER(F288),ROUND(F288-F308,1),"")</f>
        <v>0</v>
      </c>
      <c r="G309" s="39" t="n">
        <f aca="false">IF(ISNUMBER(G288),ROUND(G288-G308,1),"")</f>
        <v>0</v>
      </c>
      <c r="H309" s="39" t="n">
        <f aca="false">IF(ISNUMBER(H288),ROUND(H288-H308,1),"")</f>
        <v>0</v>
      </c>
      <c r="I309" s="39" t="n">
        <f aca="false">IF(ISNUMBER(I288),ROUND(I288-I308,1),"")</f>
        <v>0</v>
      </c>
      <c r="J309" s="39" t="n">
        <f aca="false">IF(ISNUMBER(J288),ROUND(J288-J308,1),"")</f>
        <v>0</v>
      </c>
      <c r="K309" s="39" t="n">
        <f aca="false">IF(ISNUMBER(K288),ROUND(K288-K308,1),"")</f>
        <v>0</v>
      </c>
      <c r="L309" s="39" t="n">
        <f aca="false">IF(ISNUMBER(L288),ROUND(L288-L308,1),"")</f>
        <v>0</v>
      </c>
      <c r="M309" s="39" t="n">
        <f aca="false">IF(ISNUMBER(M288),ROUND(M288-M308,1),"")</f>
        <v>0</v>
      </c>
      <c r="N309" s="39" t="n">
        <f aca="false">IF(ISNUMBER(N288),ROUND(N288-N308,1),"")</f>
        <v>0</v>
      </c>
      <c r="O309" s="39" t="n">
        <f aca="false">IF(ISNUMBER(O288),ROUND(O288-O308,1),"")</f>
        <v>0</v>
      </c>
      <c r="P309" s="39" t="n">
        <f aca="false">IF(ISNUMBER(P288),ROUND(P288-P308,1),"")</f>
        <v>0</v>
      </c>
      <c r="Q309" s="39" t="n">
        <f aca="false">IF(ISNUMBER(Q288),ROUND(Q288-Q308,1),"")</f>
        <v>0</v>
      </c>
      <c r="R309" s="39" t="n">
        <f aca="false">IF(ISNUMBER(R288),ROUND(R288-R308,1),"")</f>
        <v>0</v>
      </c>
      <c r="S309" s="39" t="n">
        <f aca="false">IF(ISNUMBER(S288),ROUND(S288-S308,1),"")</f>
        <v>0</v>
      </c>
      <c r="T309" s="39" t="n">
        <f aca="false">IF(ISNUMBER(T288),ROUND(T288-T308,1),"")</f>
        <v>0</v>
      </c>
      <c r="U309" s="39" t="n">
        <f aca="false">IF(ISNUMBER(U288),ROUND(U288-U308,1),"")</f>
        <v>0</v>
      </c>
      <c r="V309" s="39" t="n">
        <f aca="false">IF(ISNUMBER(V288),ROUND(V288-V308,1),"")</f>
        <v>0</v>
      </c>
      <c r="W309" s="39" t="n">
        <f aca="false">IF(ISNUMBER(W288),ROUND(W288-W308,1),"")</f>
        <v>0</v>
      </c>
      <c r="X309" s="39" t="n">
        <f aca="false">IF(ISNUMBER(X288),ROUND(X288-X308,1),"")</f>
        <v>0</v>
      </c>
      <c r="Y309" s="39" t="n">
        <f aca="false">IF(ISNUMBER(Y288),ROUND(Y288-Y308,1),"")</f>
        <v>0</v>
      </c>
      <c r="Z309" s="39" t="n">
        <f aca="false">IF(ISNUMBER(Z288),ROUND(Z288-Z308,1),"")</f>
        <v>0</v>
      </c>
      <c r="AA309" s="39" t="n">
        <f aca="false">IF(ISNUMBER(AA288),ROUND(AA288-AA308,1),"")</f>
        <v>0</v>
      </c>
      <c r="AB309" s="39" t="n">
        <f aca="false">IF(ISNUMBER(AB288),ROUND(AB288-AB308,1),"")</f>
        <v>0</v>
      </c>
      <c r="AC309" s="39" t="n">
        <f aca="false">IF(ISNUMBER(AC288),ROUND(AC288-AC308,1),"")</f>
        <v>0</v>
      </c>
      <c r="AD309" s="39" t="n">
        <f aca="false">IF(ISNUMBER(AD288),ROUND(AD288-AD308,1),"")</f>
        <v>0</v>
      </c>
      <c r="AE309" s="39" t="n">
        <f aca="false">IF(ISNUMBER(AE288),ROUND(AE288-AE308,1),"")</f>
        <v>0</v>
      </c>
      <c r="AF309" s="39" t="n">
        <f aca="false">IF(ISNUMBER(AF288),ROUND(AF288-AF308,1),"")</f>
        <v>0</v>
      </c>
      <c r="AG309" s="39" t="n">
        <f aca="false">IF(ISNUMBER(AG288),ROUND(AG288-AG308,1),"")</f>
        <v>0</v>
      </c>
      <c r="AH309" s="39" t="n">
        <f aca="false">IF(ISNUMBER(AH288),ROUND(AH288-AH308,1),"")</f>
        <v>0</v>
      </c>
      <c r="AI309" s="39" t="n">
        <f aca="false">IF(ISNUMBER(AI288),ROUND(AI288-AI308,1),"")</f>
        <v>0</v>
      </c>
      <c r="AJ309" s="39" t="n">
        <f aca="false">IF(ISNUMBER(AJ288),ROUND(AJ288-AJ308,1),"")</f>
        <v>0</v>
      </c>
      <c r="AK309" s="39" t="n">
        <f aca="false">IF(ISNUMBER(AK288),ROUND(AK288-AK308,1),"")</f>
        <v>0</v>
      </c>
      <c r="AL309" s="39" t="n">
        <f aca="false">IF(ISNUMBER(AL288),ROUND(AL288-AL308,1),"")</f>
        <v>0</v>
      </c>
      <c r="AM309" s="39" t="n">
        <f aca="false">IF(ISNUMBER(AM288),ROUND(AM288-AM308,1),"")</f>
        <v>0</v>
      </c>
      <c r="AN309" s="39" t="n">
        <f aca="false">IF(ISNUMBER(AN288),ROUND(AN288-AN308,1),"")</f>
        <v>0</v>
      </c>
      <c r="AO309" s="39" t="n">
        <f aca="false">IF(ISNUMBER(AO288),ROUND(AO288-AO308,1),"")</f>
        <v>0</v>
      </c>
      <c r="AP309" s="39" t="n">
        <f aca="false">IF(ISNUMBER(AP288),ROUND(AP288-AP308,1),"")</f>
        <v>0</v>
      </c>
      <c r="AQ309" s="39" t="n">
        <f aca="false">IF(ISNUMBER(AQ288),ROUND(AQ288-AQ308,1),"")</f>
        <v>0</v>
      </c>
      <c r="AR309" s="39" t="n">
        <f aca="false">IF(ISNUMBER(AR288),ROUND(AR288-AR308,1),"")</f>
        <v>0</v>
      </c>
      <c r="AS309" s="39" t="n">
        <f aca="false">IF(ISNUMBER(AS288),ROUND(AS288-AS308,1),"")</f>
        <v>0</v>
      </c>
      <c r="AT309" s="39" t="n">
        <f aca="false">IF(ISNUMBER(AT288),ROUND(AT288-AT308,1),"")</f>
        <v>0</v>
      </c>
      <c r="AU309" s="39" t="n">
        <f aca="false">IF(ISNUMBER(AU288),ROUND(AU288-AU308,1),"")</f>
        <v>0</v>
      </c>
      <c r="AV309" s="39" t="n">
        <f aca="false">IF(ISNUMBER(AV288),ROUND(AV288-AV308,1),"")</f>
        <v>0</v>
      </c>
      <c r="AW309" s="39" t="n">
        <f aca="false">IF(ISNUMBER(AW288),ROUND(AW288-AW308,1),"")</f>
        <v>0</v>
      </c>
      <c r="AX309" s="39" t="n">
        <f aca="false">IF(ISNUMBER(AX288),ROUND(AX288-AX308,1),"")</f>
        <v>0</v>
      </c>
      <c r="AY309" s="39" t="n">
        <f aca="false">IF(ISNUMBER(AY288),ROUND(AY288-AY308,1),"")</f>
        <v>0</v>
      </c>
      <c r="AZ309" s="39" t="n">
        <f aca="false">IF(ISNUMBER(AZ288),ROUND(AZ288-AZ308,1),"")</f>
        <v>0</v>
      </c>
      <c r="BA309" s="39" t="n">
        <f aca="false">IF(ISNUMBER(BA288),ROUND(BA288-BA308,1),"")</f>
        <v>0</v>
      </c>
      <c r="BB309" s="39" t="n">
        <f aca="false">IF(ISNUMBER(BB288),ROUND(BB288-BB308,1),"")</f>
        <v>0</v>
      </c>
      <c r="BC309" s="39" t="n">
        <f aca="false">IF(ISNUMBER(BC288),ROUND(BC288-BC308,1),"")</f>
        <v>0</v>
      </c>
      <c r="BD309" s="39" t="n">
        <f aca="false">IF(ISNUMBER(BD288),ROUND(BD288-BD308,1),"")</f>
        <v>0</v>
      </c>
      <c r="BE309" s="39" t="n">
        <f aca="false">IF(ISNUMBER(BE288),ROUND(BE288-BE308,1),"")</f>
        <v>0</v>
      </c>
      <c r="BF309" s="39" t="n">
        <f aca="false">IF(ISNUMBER(BF288),ROUND(BF288-BF308,1),"")</f>
        <v>0</v>
      </c>
      <c r="BG309" s="39" t="n">
        <f aca="false">IF(ISNUMBER(BG288),ROUND(BG288-BG308,1),"")</f>
        <v>0</v>
      </c>
      <c r="BH309" s="39" t="n">
        <f aca="false">IF(ISNUMBER(BH288),ROUND(BH288-BH308,1),"")</f>
        <v>0</v>
      </c>
      <c r="BI309" s="39" t="n">
        <f aca="false">IF(ISNUMBER(BI288),ROUND(BI288-BI308,1),"")</f>
        <v>0</v>
      </c>
      <c r="BJ309" s="39" t="n">
        <f aca="false">IF(ISNUMBER(BJ288),ROUND(BJ288-BJ308,1),"")</f>
        <v>0</v>
      </c>
      <c r="BK309" s="39" t="n">
        <f aca="false">IF(ISNUMBER(BK288),ROUND(BK288-BK308,1),"")</f>
        <v>0</v>
      </c>
      <c r="BL309" s="39" t="n">
        <f aca="false">IF(ISNUMBER(BL288),ROUND(BL288-BL308,1),"")</f>
        <v>0</v>
      </c>
      <c r="BM309" s="39" t="n">
        <f aca="false">IF(ISNUMBER(BM288),ROUND(BM288-BM308,1),"")</f>
        <v>0</v>
      </c>
      <c r="BN309" s="39" t="n">
        <f aca="false">IF(ISNUMBER(BN288),ROUND(BN288-BN308,1),"")</f>
        <v>0</v>
      </c>
      <c r="BO309" s="39" t="n">
        <f aca="false">IF(ISNUMBER(BO288),ROUND(BO288-BO308,1),"")</f>
        <v>0</v>
      </c>
      <c r="BP309" s="39" t="n">
        <f aca="false">IF(ISNUMBER(BP288),ROUND(BP288-BP308,1),"")</f>
        <v>0</v>
      </c>
      <c r="BQ309" s="39" t="n">
        <f aca="false">IF(ISNUMBER(BQ288),ROUND(BQ288-BQ308,1),"")</f>
        <v>0</v>
      </c>
      <c r="BR309" s="39" t="n">
        <f aca="false">IF(ISNUMBER(BR288),ROUND(BR288-BR308,1),"")</f>
        <v>0</v>
      </c>
      <c r="BS309" s="39" t="n">
        <f aca="false">IF(ISNUMBER(BS288),ROUND(BS288-BS308,1),"")</f>
        <v>0</v>
      </c>
      <c r="BT309" s="39" t="n">
        <f aca="false">IF(ISNUMBER(BT288),ROUND(BT288-BT308,1),"")</f>
        <v>0</v>
      </c>
      <c r="BU309" s="39" t="n">
        <f aca="false">IF(ISNUMBER(BU288),ROUND(BU288-BU308,1),"")</f>
        <v>0</v>
      </c>
      <c r="BV309" s="39" t="n">
        <f aca="false">IF(ISNUMBER(BV288),ROUND(BV288-BV308,1),"")</f>
        <v>0</v>
      </c>
      <c r="BW309" s="39" t="n">
        <f aca="false">IF(ISNUMBER(BW288),ROUND(BW288-BW308,1),"")</f>
        <v>0</v>
      </c>
      <c r="BX309" s="39" t="n">
        <f aca="false">IF(ISNUMBER(BX288),ROUND(BX288-BX308,1),"")</f>
        <v>0</v>
      </c>
      <c r="BY309" s="56" t="str">
        <f aca="false">IF(ISNUMBER(BY288),ROUND(BY288-BY308,1),"")</f>
        <v/>
      </c>
      <c r="BZ309" s="56" t="str">
        <f aca="false">IF(ISNUMBER(BZ288),ROUND(BZ288-BZ308,1),"")</f>
        <v/>
      </c>
      <c r="CA309" s="56" t="n">
        <f aca="false">IF(ISNUMBER(CA288),ROUND(CA288-CA308,1),"")</f>
        <v>0</v>
      </c>
      <c r="CB309" s="56" t="n">
        <f aca="false">IF(ISNUMBER(CB288),ROUND(CB288-CB308,1),"")</f>
        <v>0</v>
      </c>
      <c r="CC309" s="56" t="n">
        <f aca="false">IF(ISNUMBER(CC288),ROUND(CC288-CC308,1),"")</f>
        <v>0</v>
      </c>
      <c r="CD309" s="56" t="n">
        <f aca="false">IF(ISNUMBER(CD288),ROUND(CD288-CD308,1),"")</f>
        <v>0</v>
      </c>
      <c r="CE309" s="56" t="n">
        <f aca="false">IF(ISNUMBER(CE288),ROUND(CE288-CE308,1),"")</f>
        <v>0</v>
      </c>
    </row>
    <row r="310" customFormat="false" ht="15" hidden="false" customHeight="false" outlineLevel="0" collapsed="false">
      <c r="B310" s="36" t="s">
        <v>449</v>
      </c>
      <c r="C310" s="39" t="n">
        <f aca="false">IF(ISNUMBER(C311),ROUND(C288-C311,1),"")</f>
        <v>0</v>
      </c>
      <c r="D310" s="39" t="n">
        <f aca="false">IF(ISNUMBER(D311),ROUND(D288-D311,1),"")</f>
        <v>0</v>
      </c>
      <c r="E310" s="39" t="n">
        <f aca="false">IF(ISNUMBER(E311),ROUND(E288-E311,1),"")</f>
        <v>0</v>
      </c>
      <c r="F310" s="39" t="n">
        <f aca="false">IF(ISNUMBER(F311),ROUND(F288-F311,1),"")</f>
        <v>0</v>
      </c>
      <c r="G310" s="39" t="n">
        <f aca="false">IF(ISNUMBER(G311),ROUND(G288-G311,1),"")</f>
        <v>0</v>
      </c>
      <c r="H310" s="39" t="n">
        <f aca="false">IF(ISNUMBER(H311),ROUND(H288-H311,1),"")</f>
        <v>0</v>
      </c>
      <c r="I310" s="39" t="n">
        <f aca="false">IF(ISNUMBER(I311),ROUND(I288-I311,1),"")</f>
        <v>0</v>
      </c>
      <c r="J310" s="39" t="n">
        <f aca="false">IF(ISNUMBER(J311),ROUND(J288-J311,1),"")</f>
        <v>0</v>
      </c>
      <c r="K310" s="39" t="n">
        <f aca="false">IF(ISNUMBER(K311),ROUND(K288-K311,1),"")</f>
        <v>0</v>
      </c>
      <c r="L310" s="39" t="n">
        <f aca="false">IF(ISNUMBER(L311),ROUND(L288-L311,1),"")</f>
        <v>0</v>
      </c>
      <c r="M310" s="39" t="n">
        <f aca="false">IF(ISNUMBER(M311),ROUND(M288-M311,1),"")</f>
        <v>0</v>
      </c>
      <c r="N310" s="39" t="n">
        <f aca="false">IF(ISNUMBER(N311),ROUND(N288-N311,1),"")</f>
        <v>0</v>
      </c>
      <c r="O310" s="39" t="n">
        <f aca="false">IF(ISNUMBER(O311),ROUND(O288-O311,1),"")</f>
        <v>0</v>
      </c>
      <c r="P310" s="39" t="n">
        <f aca="false">IF(ISNUMBER(P311),ROUND(P288-P311,1),"")</f>
        <v>0</v>
      </c>
      <c r="Q310" s="39" t="n">
        <f aca="false">IF(ISNUMBER(Q311),ROUND(Q288-Q311,1),"")</f>
        <v>0</v>
      </c>
      <c r="R310" s="39" t="n">
        <f aca="false">IF(ISNUMBER(R311),ROUND(R288-R311,1),"")</f>
        <v>0</v>
      </c>
      <c r="S310" s="39" t="n">
        <f aca="false">IF(ISNUMBER(S311),ROUND(S288-S311,1),"")</f>
        <v>0</v>
      </c>
      <c r="T310" s="39" t="n">
        <f aca="false">IF(ISNUMBER(T311),ROUND(T288-T311,1),"")</f>
        <v>0</v>
      </c>
      <c r="U310" s="39" t="n">
        <f aca="false">IF(ISNUMBER(U311),ROUND(U288-U311,1),"")</f>
        <v>0</v>
      </c>
      <c r="V310" s="39" t="n">
        <f aca="false">IF(ISNUMBER(V311),ROUND(V288-V311,1),"")</f>
        <v>0</v>
      </c>
      <c r="W310" s="39" t="n">
        <f aca="false">IF(ISNUMBER(W311),ROUND(W288-W311,1),"")</f>
        <v>0</v>
      </c>
      <c r="X310" s="39" t="n">
        <f aca="false">IF(ISNUMBER(X311),ROUND(X288-X311,1),"")</f>
        <v>0</v>
      </c>
      <c r="Y310" s="39" t="n">
        <f aca="false">IF(ISNUMBER(Y311),ROUND(Y288-Y311,1),"")</f>
        <v>0</v>
      </c>
      <c r="Z310" s="39" t="n">
        <f aca="false">IF(ISNUMBER(Z311),ROUND(Z288-Z311,1),"")</f>
        <v>0</v>
      </c>
      <c r="AA310" s="39" t="n">
        <f aca="false">IF(ISNUMBER(AA311),ROUND(AA288-AA311,1),"")</f>
        <v>0</v>
      </c>
      <c r="AB310" s="39" t="n">
        <f aca="false">IF(ISNUMBER(AB311),ROUND(AB288-AB311,1),"")</f>
        <v>0</v>
      </c>
      <c r="AC310" s="39" t="n">
        <f aca="false">IF(ISNUMBER(AC311),ROUND(AC288-AC311,1),"")</f>
        <v>0</v>
      </c>
      <c r="AD310" s="39" t="n">
        <f aca="false">IF(ISNUMBER(AD311),ROUND(AD288-AD311,1),"")</f>
        <v>0</v>
      </c>
      <c r="AE310" s="39" t="n">
        <f aca="false">IF(ISNUMBER(AE311),ROUND(AE288-AE311,1),"")</f>
        <v>0</v>
      </c>
      <c r="AF310" s="39" t="n">
        <f aca="false">IF(ISNUMBER(AF311),ROUND(AF288-AF311,1),"")</f>
        <v>0</v>
      </c>
      <c r="AG310" s="39" t="n">
        <f aca="false">IF(ISNUMBER(AG311),ROUND(AG288-AG311,1),"")</f>
        <v>0</v>
      </c>
      <c r="AH310" s="39" t="n">
        <f aca="false">IF(ISNUMBER(AH311),ROUND(AH288-AH311,1),"")</f>
        <v>0</v>
      </c>
      <c r="AI310" s="39" t="n">
        <f aca="false">IF(ISNUMBER(AI311),ROUND(AI288-AI311,1),"")</f>
        <v>0</v>
      </c>
      <c r="AJ310" s="39" t="n">
        <f aca="false">IF(ISNUMBER(AJ311),ROUND(AJ288-AJ311,1),"")</f>
        <v>0</v>
      </c>
      <c r="AK310" s="39" t="n">
        <f aca="false">IF(ISNUMBER(AK311),ROUND(AK288-AK311,1),"")</f>
        <v>0</v>
      </c>
      <c r="AL310" s="39" t="n">
        <f aca="false">IF(ISNUMBER(AL311),ROUND(AL288-AL311,1),"")</f>
        <v>0</v>
      </c>
      <c r="AM310" s="39" t="n">
        <f aca="false">IF(ISNUMBER(AM311),ROUND(AM288-AM311,1),"")</f>
        <v>0</v>
      </c>
      <c r="AN310" s="39" t="n">
        <f aca="false">IF(ISNUMBER(AN311),ROUND(AN288-AN311,1),"")</f>
        <v>0</v>
      </c>
      <c r="AO310" s="39" t="n">
        <f aca="false">IF(ISNUMBER(AO311),ROUND(AO288-AO311,1),"")</f>
        <v>0</v>
      </c>
      <c r="AP310" s="39" t="n">
        <f aca="false">IF(ISNUMBER(AP311),ROUND(AP288-AP311,1),"")</f>
        <v>0</v>
      </c>
      <c r="AQ310" s="39" t="n">
        <f aca="false">IF(ISNUMBER(AQ311),ROUND(AQ288-AQ311,1),"")</f>
        <v>0</v>
      </c>
      <c r="AR310" s="39" t="n">
        <f aca="false">IF(ISNUMBER(AR311),ROUND(AR288-AR311,1),"")</f>
        <v>0</v>
      </c>
      <c r="AS310" s="39" t="n">
        <f aca="false">IF(ISNUMBER(AS311),ROUND(AS288-AS311,1),"")</f>
        <v>0</v>
      </c>
      <c r="AT310" s="39" t="n">
        <f aca="false">IF(ISNUMBER(AT311),ROUND(AT288-AT311,1),"")</f>
        <v>0</v>
      </c>
      <c r="AU310" s="39" t="n">
        <f aca="false">IF(ISNUMBER(AU311),ROUND(AU288-AU311,1),"")</f>
        <v>0</v>
      </c>
      <c r="AV310" s="39" t="n">
        <f aca="false">IF(ISNUMBER(AV311),ROUND(AV288-AV311,1),"")</f>
        <v>0</v>
      </c>
      <c r="AW310" s="39" t="n">
        <f aca="false">IF(ISNUMBER(AW311),ROUND(AW288-AW311,1),"")</f>
        <v>0</v>
      </c>
      <c r="AX310" s="39" t="n">
        <f aca="false">IF(ISNUMBER(AX311),ROUND(AX288-AX311,1),"")</f>
        <v>0</v>
      </c>
      <c r="AY310" s="39" t="n">
        <f aca="false">IF(ISNUMBER(AY311),ROUND(AY288-AY311,1),"")</f>
        <v>0</v>
      </c>
      <c r="AZ310" s="39" t="n">
        <f aca="false">IF(ISNUMBER(AZ311),ROUND(AZ288-AZ311,1),"")</f>
        <v>0</v>
      </c>
      <c r="BA310" s="39" t="n">
        <f aca="false">IF(ISNUMBER(BA311),ROUND(BA288-BA311,1),"")</f>
        <v>0</v>
      </c>
      <c r="BB310" s="39" t="n">
        <f aca="false">IF(ISNUMBER(BB311),ROUND(BB288-BB311,1),"")</f>
        <v>0</v>
      </c>
      <c r="BC310" s="39" t="n">
        <f aca="false">IF(ISNUMBER(BC311),ROUND(BC288-BC311,1),"")</f>
        <v>0</v>
      </c>
      <c r="BD310" s="39" t="n">
        <f aca="false">IF(ISNUMBER(BD311),ROUND(BD288-BD311,1),"")</f>
        <v>0</v>
      </c>
      <c r="BE310" s="39" t="n">
        <f aca="false">IF(ISNUMBER(BE311),ROUND(BE288-BE311,1),"")</f>
        <v>0</v>
      </c>
      <c r="BF310" s="39" t="n">
        <f aca="false">IF(ISNUMBER(BF311),ROUND(BF288-BF311,1),"")</f>
        <v>0</v>
      </c>
      <c r="BG310" s="39" t="n">
        <f aca="false">IF(ISNUMBER(BG311),ROUND(BG288-BG311,1),"")</f>
        <v>0</v>
      </c>
      <c r="BH310" s="39" t="n">
        <f aca="false">IF(ISNUMBER(BH311),ROUND(BH288-BH311,1),"")</f>
        <v>0</v>
      </c>
      <c r="BI310" s="39" t="n">
        <f aca="false">IF(ISNUMBER(BI311),ROUND(BI288-BI311,1),"")</f>
        <v>0</v>
      </c>
      <c r="BJ310" s="39" t="n">
        <f aca="false">IF(ISNUMBER(BJ311),ROUND(BJ288-BJ311,1),"")</f>
        <v>0</v>
      </c>
      <c r="BK310" s="39" t="n">
        <f aca="false">IF(ISNUMBER(BK311),ROUND(BK288-BK311,1),"")</f>
        <v>0</v>
      </c>
      <c r="BL310" s="39" t="n">
        <f aca="false">IF(ISNUMBER(BL311),ROUND(BL288-BL311,1),"")</f>
        <v>0</v>
      </c>
      <c r="BM310" s="39" t="n">
        <f aca="false">IF(ISNUMBER(BM311),ROUND(BM288-BM311,1),"")</f>
        <v>0</v>
      </c>
      <c r="BN310" s="39" t="n">
        <f aca="false">IF(ISNUMBER(BN311),ROUND(BN288-BN311,1),"")</f>
        <v>0</v>
      </c>
      <c r="BO310" s="39" t="n">
        <f aca="false">IF(ISNUMBER(BO311),ROUND(BO288-BO311,1),"")</f>
        <v>0</v>
      </c>
      <c r="BP310" s="39" t="n">
        <f aca="false">IF(ISNUMBER(BP311),ROUND(BP288-BP311,1),"")</f>
        <v>0</v>
      </c>
      <c r="BQ310" s="39" t="n">
        <f aca="false">IF(ISNUMBER(BQ311),ROUND(BQ288-BQ311,1),"")</f>
        <v>0</v>
      </c>
      <c r="BR310" s="39" t="n">
        <f aca="false">IF(ISNUMBER(BR311),ROUND(BR288-BR311,1),"")</f>
        <v>0</v>
      </c>
      <c r="BS310" s="39" t="n">
        <f aca="false">IF(ISNUMBER(BS311),ROUND(BS288-BS311,1),"")</f>
        <v>0</v>
      </c>
      <c r="BT310" s="39" t="n">
        <f aca="false">IF(ISNUMBER(BT311),ROUND(BT288-BT311,1),"")</f>
        <v>0</v>
      </c>
      <c r="BU310" s="39" t="n">
        <f aca="false">IF(ISNUMBER(BU311),ROUND(BU288-BU311,1),"")</f>
        <v>0</v>
      </c>
      <c r="BV310" s="39" t="n">
        <f aca="false">IF(ISNUMBER(BV311),ROUND(BV288-BV311,1),"")</f>
        <v>0</v>
      </c>
      <c r="BW310" s="39" t="n">
        <f aca="false">IF(ISNUMBER(BW311),ROUND(BW288-BW311,1),"")</f>
        <v>0</v>
      </c>
      <c r="BX310" s="39" t="n">
        <f aca="false">IF(ISNUMBER(BX311),ROUND(BX288-BX311,1),"")</f>
        <v>0</v>
      </c>
    </row>
    <row r="311" customFormat="false" ht="15" hidden="false" customHeight="false" outlineLevel="0" collapsed="false">
      <c r="B311" s="37" t="s">
        <v>450</v>
      </c>
      <c r="C311" s="38" t="n">
        <v>1394.579</v>
      </c>
      <c r="D311" s="38" t="n">
        <v>1645.296</v>
      </c>
      <c r="E311" s="38" t="n">
        <v>1718.805</v>
      </c>
      <c r="F311" s="38" t="n">
        <v>1705.292</v>
      </c>
      <c r="G311" s="38" t="n">
        <v>1783.788</v>
      </c>
      <c r="H311" s="38" t="n">
        <v>1976.776</v>
      </c>
      <c r="I311" s="38" t="n">
        <v>2089.863</v>
      </c>
      <c r="J311" s="38" t="n">
        <v>2103.527</v>
      </c>
      <c r="K311" s="38" t="n">
        <v>2060.117</v>
      </c>
      <c r="L311" s="38" t="n">
        <v>2119.641</v>
      </c>
      <c r="M311" s="38" t="n">
        <v>2151.867</v>
      </c>
      <c r="N311" s="38" t="n">
        <v>2151.867</v>
      </c>
      <c r="O311" s="38" t="n">
        <v>2113.976</v>
      </c>
      <c r="P311" s="38" t="n">
        <v>2144.839</v>
      </c>
      <c r="Q311" s="38" t="n">
        <v>2112.519</v>
      </c>
      <c r="R311" s="38" t="n">
        <v>1939.215</v>
      </c>
      <c r="S311" s="38" t="n">
        <v>1939.215</v>
      </c>
      <c r="T311" s="38" t="n">
        <v>1921.508</v>
      </c>
      <c r="U311" s="38" t="n">
        <v>1950.166</v>
      </c>
      <c r="V311" s="38" t="n">
        <v>1928.091</v>
      </c>
      <c r="W311" s="38" t="n">
        <v>1784.171</v>
      </c>
      <c r="X311" s="38" t="n">
        <v>1784.171</v>
      </c>
      <c r="Y311" s="38" t="n">
        <v>1777.095</v>
      </c>
      <c r="Z311" s="38" t="n">
        <v>1837.401</v>
      </c>
      <c r="AA311" s="38" t="n">
        <v>1833.821</v>
      </c>
      <c r="AB311" s="38" t="n">
        <v>1943.437</v>
      </c>
      <c r="AC311" s="38" t="n">
        <v>1943.437</v>
      </c>
      <c r="AD311" s="38" t="n">
        <v>2052.677</v>
      </c>
      <c r="AE311" s="38" t="n">
        <v>2121.673</v>
      </c>
      <c r="AF311" s="38" t="n">
        <v>2411.103</v>
      </c>
      <c r="AG311" s="38" t="n">
        <v>2406.547</v>
      </c>
      <c r="AH311" s="38" t="n">
        <v>2406.547</v>
      </c>
      <c r="AI311" s="38" t="n">
        <v>2488.5</v>
      </c>
      <c r="AJ311" s="38" t="n">
        <v>2433.731</v>
      </c>
      <c r="AK311" s="38" t="n">
        <v>2419.645</v>
      </c>
      <c r="AL311" s="38" t="n">
        <v>2349.825</v>
      </c>
      <c r="AM311" s="38" t="n">
        <v>2349.825</v>
      </c>
      <c r="AN311" s="38" t="n">
        <v>2354.851</v>
      </c>
      <c r="AO311" s="38" t="n">
        <v>2394.333</v>
      </c>
      <c r="AP311" s="38" t="n">
        <v>2361.16</v>
      </c>
      <c r="AQ311" s="38" t="n">
        <v>2371.213</v>
      </c>
      <c r="AR311" s="38" t="n">
        <v>2371.213</v>
      </c>
      <c r="AS311" s="38" t="n">
        <v>2305.9</v>
      </c>
      <c r="AT311" s="38" t="n">
        <v>2199.039</v>
      </c>
      <c r="AU311" s="38" t="n">
        <v>2217.499</v>
      </c>
      <c r="AV311" s="38" t="n">
        <v>2314.453</v>
      </c>
      <c r="AW311" s="38" t="n">
        <v>2314.453</v>
      </c>
      <c r="AX311" s="38" t="n">
        <v>2361.749</v>
      </c>
      <c r="AY311" s="38" t="n">
        <v>2512.726</v>
      </c>
      <c r="AZ311" s="38" t="n">
        <v>2568.797</v>
      </c>
      <c r="BA311" s="38" t="n">
        <v>2592.307</v>
      </c>
      <c r="BB311" s="38" t="n">
        <v>2592.307</v>
      </c>
      <c r="BC311" s="38" t="n">
        <v>2736.344</v>
      </c>
      <c r="BD311" s="38" t="n">
        <v>2741.813</v>
      </c>
      <c r="BE311" s="38" t="n">
        <v>2651.965</v>
      </c>
      <c r="BF311" s="38" t="n">
        <v>3180.546</v>
      </c>
      <c r="BG311" s="38" t="n">
        <v>3180.546</v>
      </c>
      <c r="BH311" s="38" t="n">
        <v>3253.201</v>
      </c>
      <c r="BI311" s="38" t="n">
        <v>3311.188</v>
      </c>
      <c r="BJ311" s="38" t="n">
        <v>3325.895</v>
      </c>
      <c r="BK311" s="38" t="n">
        <v>3377.297</v>
      </c>
      <c r="BL311" s="38" t="n">
        <v>3377.297</v>
      </c>
      <c r="BM311" s="38" t="n">
        <v>3379.717</v>
      </c>
      <c r="BN311" s="38" t="n">
        <v>3415.249</v>
      </c>
      <c r="BO311" s="38" t="n">
        <v>3664.545</v>
      </c>
      <c r="BP311" s="38" t="n">
        <v>3520.142</v>
      </c>
      <c r="BQ311" s="38" t="n">
        <v>3520.142</v>
      </c>
      <c r="BR311" s="38" t="n">
        <v>3625.074</v>
      </c>
      <c r="BS311" s="38" t="n">
        <v>3727.369</v>
      </c>
      <c r="BT311" s="38" t="n">
        <v>3815.105</v>
      </c>
      <c r="BU311" s="38" t="n">
        <v>3777.577</v>
      </c>
      <c r="BV311" s="38" t="n">
        <v>3777.577</v>
      </c>
      <c r="BW311" s="38" t="n">
        <v>3900.395</v>
      </c>
      <c r="BX311" s="38" t="n">
        <v>3813.31</v>
      </c>
    </row>
    <row r="312" customFormat="false" ht="15" hidden="false" customHeight="false" outlineLevel="0" collapsed="false">
      <c r="B312" s="36" t="s">
        <v>451</v>
      </c>
      <c r="C312" s="39" t="n">
        <f aca="false">IF(AND(ISNUMBER(C279),ISNUMBER(C254)),ROUND(C279-C254,1),"")</f>
        <v>0</v>
      </c>
      <c r="D312" s="39" t="n">
        <f aca="false">IF(AND(ISNUMBER(D279),ISNUMBER(D254)),ROUND(D279-D254,1),"")</f>
        <v>0</v>
      </c>
      <c r="E312" s="39" t="n">
        <f aca="false">IF(AND(ISNUMBER(E279),ISNUMBER(E254)),ROUND(E279-E254,1),"")</f>
        <v>0</v>
      </c>
      <c r="F312" s="39" t="n">
        <f aca="false">IF(AND(ISNUMBER(F279),ISNUMBER(F254)),ROUND(F279-F254,1),"")</f>
        <v>0</v>
      </c>
      <c r="G312" s="39" t="n">
        <f aca="false">IF(AND(ISNUMBER(G279),ISNUMBER(G254)),ROUND(G279-G254,1),"")</f>
        <v>0</v>
      </c>
      <c r="H312" s="39" t="n">
        <f aca="false">IF(AND(ISNUMBER(H279),ISNUMBER(H254)),ROUND(H279-H254,1),"")</f>
        <v>0</v>
      </c>
      <c r="I312" s="39" t="n">
        <f aca="false">IF(AND(ISNUMBER(I279),ISNUMBER(I254)),ROUND(I279-I254,1),"")</f>
        <v>0</v>
      </c>
      <c r="J312" s="39" t="n">
        <f aca="false">IF(AND(ISNUMBER(J279),ISNUMBER(J254)),ROUND(J279-J254,1),"")</f>
        <v>0</v>
      </c>
      <c r="K312" s="39" t="n">
        <f aca="false">IF(AND(ISNUMBER(K279),ISNUMBER(K254)),ROUND(K279-K254,1),"")</f>
        <v>0</v>
      </c>
      <c r="L312" s="39" t="n">
        <f aca="false">IF(AND(ISNUMBER(L279),ISNUMBER(L254)),ROUND(L279-L254,1),"")</f>
        <v>0</v>
      </c>
      <c r="M312" s="39" t="n">
        <f aca="false">IF(AND(ISNUMBER(M279),ISNUMBER(M254)),ROUND(M279-M254,1),"")</f>
        <v>0</v>
      </c>
      <c r="N312" s="39" t="n">
        <f aca="false">IF(AND(ISNUMBER(N279),ISNUMBER(N254)),ROUND(N279-N254,1),"")</f>
        <v>0</v>
      </c>
      <c r="O312" s="39" t="n">
        <f aca="false">IF(AND(ISNUMBER(O279),ISNUMBER(O254)),ROUND(O279-O254,1),"")</f>
        <v>0</v>
      </c>
      <c r="P312" s="39" t="n">
        <f aca="false">IF(AND(ISNUMBER(P279),ISNUMBER(P254)),ROUND(P279-P254,1),"")</f>
        <v>0</v>
      </c>
      <c r="Q312" s="39" t="n">
        <f aca="false">IF(AND(ISNUMBER(Q279),ISNUMBER(Q254)),ROUND(Q279-Q254,1),"")</f>
        <v>0</v>
      </c>
      <c r="R312" s="39" t="n">
        <f aca="false">IF(AND(ISNUMBER(R279),ISNUMBER(R254)),ROUND(R279-R254,1),"")</f>
        <v>0</v>
      </c>
      <c r="S312" s="39" t="n">
        <f aca="false">IF(AND(ISNUMBER(S279),ISNUMBER(S254)),ROUND(S279-S254,1),"")</f>
        <v>0</v>
      </c>
      <c r="T312" s="39" t="n">
        <f aca="false">IF(AND(ISNUMBER(T279),ISNUMBER(T254)),ROUND(T279-T254,1),"")</f>
        <v>0</v>
      </c>
      <c r="U312" s="39" t="n">
        <f aca="false">IF(AND(ISNUMBER(U279),ISNUMBER(U254)),ROUND(U279-U254,1),"")</f>
        <v>0</v>
      </c>
      <c r="V312" s="39" t="n">
        <f aca="false">IF(AND(ISNUMBER(V279),ISNUMBER(V254)),ROUND(V279-V254,1),"")</f>
        <v>0</v>
      </c>
      <c r="W312" s="39" t="n">
        <f aca="false">IF(AND(ISNUMBER(W279),ISNUMBER(W254)),ROUND(W279-W254,1),"")</f>
        <v>0</v>
      </c>
      <c r="X312" s="39" t="n">
        <f aca="false">IF(AND(ISNUMBER(X279),ISNUMBER(X254)),ROUND(X279-X254,1),"")</f>
        <v>0</v>
      </c>
      <c r="Y312" s="39" t="n">
        <f aca="false">IF(AND(ISNUMBER(Y279),ISNUMBER(Y254)),ROUND(Y279-Y254,1),"")</f>
        <v>0</v>
      </c>
      <c r="Z312" s="39" t="n">
        <f aca="false">IF(AND(ISNUMBER(Z279),ISNUMBER(Z254)),ROUND(Z279-Z254,1),"")</f>
        <v>0</v>
      </c>
      <c r="AA312" s="39" t="n">
        <f aca="false">IF(AND(ISNUMBER(AA279),ISNUMBER(AA254)),ROUND(AA279-AA254,1),"")</f>
        <v>0</v>
      </c>
      <c r="AB312" s="39" t="n">
        <f aca="false">IF(AND(ISNUMBER(AB279),ISNUMBER(AB254)),ROUND(AB279-AB254,1),"")</f>
        <v>0</v>
      </c>
      <c r="AC312" s="39" t="n">
        <f aca="false">IF(AND(ISNUMBER(AC279),ISNUMBER(AC254)),ROUND(AC279-AC254,1),"")</f>
        <v>0</v>
      </c>
      <c r="AD312" s="39" t="n">
        <f aca="false">IF(AND(ISNUMBER(AD279),ISNUMBER(AD254)),ROUND(AD279-AD254,1),"")</f>
        <v>0</v>
      </c>
      <c r="AE312" s="39" t="n">
        <f aca="false">IF(AND(ISNUMBER(AE279),ISNUMBER(AE254)),ROUND(AE279-AE254,1),"")</f>
        <v>0</v>
      </c>
      <c r="AF312" s="39" t="n">
        <f aca="false">IF(AND(ISNUMBER(AF279),ISNUMBER(AF254)),ROUND(AF279-AF254,1),"")</f>
        <v>0</v>
      </c>
      <c r="AG312" s="39" t="n">
        <f aca="false">IF(AND(ISNUMBER(AG279),ISNUMBER(AG254)),ROUND(AG279-AG254,1),"")</f>
        <v>0</v>
      </c>
      <c r="AH312" s="39" t="n">
        <f aca="false">IF(AND(ISNUMBER(AH279),ISNUMBER(AH254)),ROUND(AH279-AH254,1),"")</f>
        <v>0</v>
      </c>
      <c r="AI312" s="39" t="n">
        <f aca="false">IF(AND(ISNUMBER(AI279),ISNUMBER(AI254)),ROUND(AI279-AI254,1),"")</f>
        <v>0</v>
      </c>
      <c r="AJ312" s="39" t="n">
        <f aca="false">IF(AND(ISNUMBER(AJ279),ISNUMBER(AJ254)),ROUND(AJ279-AJ254,1),"")</f>
        <v>0</v>
      </c>
      <c r="AK312" s="39" t="n">
        <f aca="false">IF(AND(ISNUMBER(AK279),ISNUMBER(AK254)),ROUND(AK279-AK254,1),"")</f>
        <v>0</v>
      </c>
      <c r="AL312" s="39" t="n">
        <f aca="false">IF(AND(ISNUMBER(AL279),ISNUMBER(AL254)),ROUND(AL279-AL254,1),"")</f>
        <v>0</v>
      </c>
      <c r="AM312" s="39" t="n">
        <f aca="false">IF(AND(ISNUMBER(AM279),ISNUMBER(AM254)),ROUND(AM279-AM254,1),"")</f>
        <v>0</v>
      </c>
      <c r="AN312" s="39" t="n">
        <f aca="false">IF(AND(ISNUMBER(AN279),ISNUMBER(AN254)),ROUND(AN279-AN254,1),"")</f>
        <v>0</v>
      </c>
      <c r="AO312" s="39" t="n">
        <f aca="false">IF(AND(ISNUMBER(AO279),ISNUMBER(AO254)),ROUND(AO279-AO254,1),"")</f>
        <v>0</v>
      </c>
      <c r="AP312" s="39" t="n">
        <f aca="false">IF(AND(ISNUMBER(AP279),ISNUMBER(AP254)),ROUND(AP279-AP254,1),"")</f>
        <v>0</v>
      </c>
      <c r="AQ312" s="39" t="n">
        <f aca="false">IF(AND(ISNUMBER(AQ279),ISNUMBER(AQ254)),ROUND(AQ279-AQ254,1),"")</f>
        <v>0</v>
      </c>
      <c r="AR312" s="39" t="n">
        <f aca="false">IF(AND(ISNUMBER(AR279),ISNUMBER(AR254)),ROUND(AR279-AR254,1),"")</f>
        <v>0</v>
      </c>
      <c r="AS312" s="39" t="n">
        <f aca="false">IF(AND(ISNUMBER(AS279),ISNUMBER(AS254)),ROUND(AS279-AS254,1),"")</f>
        <v>0</v>
      </c>
      <c r="AT312" s="39" t="n">
        <f aca="false">IF(AND(ISNUMBER(AT279),ISNUMBER(AT254)),ROUND(AT279-AT254,1),"")</f>
        <v>0</v>
      </c>
      <c r="AU312" s="39" t="n">
        <f aca="false">IF(AND(ISNUMBER(AU279),ISNUMBER(AU254)),ROUND(AU279-AU254,1),"")</f>
        <v>0</v>
      </c>
      <c r="AV312" s="39" t="n">
        <f aca="false">IF(AND(ISNUMBER(AV279),ISNUMBER(AV254)),ROUND(AV279-AV254,1),"")</f>
        <v>0</v>
      </c>
      <c r="AW312" s="39" t="n">
        <f aca="false">IF(AND(ISNUMBER(AW279),ISNUMBER(AW254)),ROUND(AW279-AW254,1),"")</f>
        <v>0</v>
      </c>
      <c r="AX312" s="39" t="n">
        <f aca="false">IF(AND(ISNUMBER(AX279),ISNUMBER(AX254)),ROUND(AX279-AX254,1),"")</f>
        <v>0</v>
      </c>
      <c r="AY312" s="39" t="n">
        <f aca="false">IF(AND(ISNUMBER(AY279),ISNUMBER(AY254)),ROUND(AY279-AY254,1),"")</f>
        <v>0</v>
      </c>
      <c r="AZ312" s="39" t="n">
        <f aca="false">IF(AND(ISNUMBER(AZ279),ISNUMBER(AZ254)),ROUND(AZ279-AZ254,1),"")</f>
        <v>0</v>
      </c>
      <c r="BA312" s="39" t="n">
        <f aca="false">IF(AND(ISNUMBER(BA279),ISNUMBER(BA254)),ROUND(BA279-BA254,1),"")</f>
        <v>0</v>
      </c>
      <c r="BB312" s="39" t="n">
        <f aca="false">IF(AND(ISNUMBER(BB279),ISNUMBER(BB254)),ROUND(BB279-BB254,1),"")</f>
        <v>0</v>
      </c>
      <c r="BC312" s="39" t="n">
        <f aca="false">IF(AND(ISNUMBER(BC279),ISNUMBER(BC254)),ROUND(BC279-BC254,1),"")</f>
        <v>0</v>
      </c>
      <c r="BD312" s="39" t="n">
        <f aca="false">IF(AND(ISNUMBER(BD279),ISNUMBER(BD254)),ROUND(BD279-BD254,1),"")</f>
        <v>0</v>
      </c>
      <c r="BE312" s="39" t="n">
        <f aca="false">IF(AND(ISNUMBER(BE279),ISNUMBER(BE254)),ROUND(BE279-BE254,1),"")</f>
        <v>0</v>
      </c>
      <c r="BF312" s="39" t="n">
        <f aca="false">IF(AND(ISNUMBER(BF279),ISNUMBER(BF254)),ROUND(BF279-BF254,1),"")</f>
        <v>0</v>
      </c>
      <c r="BG312" s="39" t="n">
        <f aca="false">IF(AND(ISNUMBER(BG279),ISNUMBER(BG254)),ROUND(BG279-BG254,1),"")</f>
        <v>0</v>
      </c>
      <c r="BH312" s="39" t="n">
        <f aca="false">IF(AND(ISNUMBER(BH279),ISNUMBER(BH254)),ROUND(BH279-BH254,1),"")</f>
        <v>0</v>
      </c>
      <c r="BI312" s="39" t="n">
        <f aca="false">IF(AND(ISNUMBER(BI279),ISNUMBER(BI254)),ROUND(BI279-BI254,1),"")</f>
        <v>0</v>
      </c>
      <c r="BJ312" s="39" t="n">
        <f aca="false">IF(AND(ISNUMBER(BJ279),ISNUMBER(BJ254)),ROUND(BJ279-BJ254,1),"")</f>
        <v>0</v>
      </c>
      <c r="BK312" s="39" t="n">
        <f aca="false">IF(AND(ISNUMBER(BK279),ISNUMBER(BK254)),ROUND(BK279-BK254,1),"")</f>
        <v>0</v>
      </c>
      <c r="BL312" s="39" t="n">
        <f aca="false">IF(AND(ISNUMBER(BL279),ISNUMBER(BL254)),ROUND(BL279-BL254,1),"")</f>
        <v>0</v>
      </c>
      <c r="BM312" s="39" t="n">
        <f aca="false">IF(AND(ISNUMBER(BM279),ISNUMBER(BM254)),ROUND(BM279-BM254,1),"")</f>
        <v>0</v>
      </c>
      <c r="BN312" s="39" t="n">
        <f aca="false">IF(AND(ISNUMBER(BN279),ISNUMBER(BN254)),ROUND(BN279-BN254,1),"")</f>
        <v>0</v>
      </c>
      <c r="BO312" s="39" t="n">
        <f aca="false">IF(AND(ISNUMBER(BO279),ISNUMBER(BO254)),ROUND(BO279-BO254,1),"")</f>
        <v>0</v>
      </c>
      <c r="BP312" s="39" t="n">
        <f aca="false">IF(AND(ISNUMBER(BP279),ISNUMBER(BP254)),ROUND(BP279-BP254,1),"")</f>
        <v>0</v>
      </c>
      <c r="BQ312" s="39" t="n">
        <f aca="false">IF(AND(ISNUMBER(BQ279),ISNUMBER(BQ254)),ROUND(BQ279-BQ254,1),"")</f>
        <v>0</v>
      </c>
      <c r="BR312" s="39" t="n">
        <f aca="false">IF(AND(ISNUMBER(BR279),ISNUMBER(BR254)),ROUND(BR279-BR254,1),"")</f>
        <v>0</v>
      </c>
      <c r="BS312" s="39" t="n">
        <f aca="false">IF(AND(ISNUMBER(BS279),ISNUMBER(BS254)),ROUND(BS279-BS254,1),"")</f>
        <v>0</v>
      </c>
      <c r="BT312" s="39" t="n">
        <f aca="false">IF(AND(ISNUMBER(BT279),ISNUMBER(BT254)),ROUND(BT279-BT254,1),"")</f>
        <v>0</v>
      </c>
      <c r="BU312" s="39" t="n">
        <f aca="false">IF(AND(ISNUMBER(BU279),ISNUMBER(BU254)),ROUND(BU279-BU254,1),"")</f>
        <v>0</v>
      </c>
      <c r="BV312" s="39" t="n">
        <f aca="false">IF(AND(ISNUMBER(BV279),ISNUMBER(BV254)),ROUND(BV279-BV254,1),"")</f>
        <v>0</v>
      </c>
      <c r="BW312" s="39" t="n">
        <f aca="false">IF(AND(ISNUMBER(BW279),ISNUMBER(BW254)),ROUND(BW279-BW254,1),"")</f>
        <v>0</v>
      </c>
      <c r="BX312" s="39" t="n">
        <f aca="false">IF(AND(ISNUMBER(BX279),ISNUMBER(BX254)),ROUND(BX279-BX254,1),"")</f>
        <v>0</v>
      </c>
      <c r="BY312" s="56" t="str">
        <f aca="false">IF(AND(ISNUMBER(BY279),ISNUMBER(BY254)),ROUND(BY279-BY254,1),"")</f>
        <v/>
      </c>
      <c r="BZ312" s="56" t="str">
        <f aca="false">IF(AND(ISNUMBER(BZ279),ISNUMBER(BZ254)),ROUND(BZ279-BZ254,1),"")</f>
        <v/>
      </c>
      <c r="CA312" s="56" t="n">
        <f aca="false">IF(AND(ISNUMBER(CA279),ISNUMBER(CA254)),ROUND(CA279-CA254,1),"")</f>
        <v>0</v>
      </c>
      <c r="CB312" s="56" t="n">
        <f aca="false">IF(AND(ISNUMBER(CB279),ISNUMBER(CB254)),ROUND(CB279-CB254,1),"")</f>
        <v>0</v>
      </c>
      <c r="CC312" s="56" t="n">
        <f aca="false">IF(AND(ISNUMBER(CC279),ISNUMBER(CC254)),ROUND(CC279-CC254,1),"")</f>
        <v>0</v>
      </c>
      <c r="CD312" s="56" t="n">
        <f aca="false">IF(AND(ISNUMBER(CD279),ISNUMBER(CD254)),ROUND(CD279-CD254,1),"")</f>
        <v>0</v>
      </c>
      <c r="CE312" s="56" t="n">
        <f aca="false">IF(AND(ISNUMBER(CE279),ISNUMBER(CE254)),ROUND(CE279-CE254,1),"")</f>
        <v>0</v>
      </c>
    </row>
    <row r="313" customFormat="false" ht="15" hidden="false" customHeight="false" outlineLevel="0" collapsed="false">
      <c r="B313" s="37" t="s">
        <v>452</v>
      </c>
      <c r="C313" s="64" t="n">
        <v>85.612858</v>
      </c>
      <c r="D313" s="64" t="n">
        <v>85.923358</v>
      </c>
      <c r="E313" s="64" t="n">
        <v>85.043256</v>
      </c>
      <c r="F313" s="64" t="n">
        <v>85.274494</v>
      </c>
      <c r="G313" s="64" t="n">
        <v>84.2416</v>
      </c>
      <c r="H313" s="64" t="n">
        <v>83.757366</v>
      </c>
      <c r="I313" s="64" t="n">
        <v>82.944817</v>
      </c>
      <c r="M313" s="64" t="n">
        <v>81.010084</v>
      </c>
      <c r="N313" s="64" t="n">
        <v>81.010084</v>
      </c>
      <c r="R313" s="64" t="n">
        <v>76.997161</v>
      </c>
      <c r="S313" s="64" t="n">
        <v>76.997161</v>
      </c>
      <c r="W313" s="64" t="n">
        <v>70.693389</v>
      </c>
      <c r="X313" s="64" t="n">
        <v>70.693389</v>
      </c>
      <c r="AB313" s="64" t="n">
        <v>65.674754</v>
      </c>
      <c r="AC313" s="64" t="n">
        <v>65.674754</v>
      </c>
      <c r="AG313" s="64" t="n">
        <v>65.662546</v>
      </c>
      <c r="AH313" s="64" t="n">
        <v>65.662546</v>
      </c>
      <c r="AL313" s="64" t="n">
        <v>63.545878</v>
      </c>
      <c r="AM313" s="64" t="n">
        <v>63.545878</v>
      </c>
      <c r="AQ313" s="64" t="n">
        <v>60.592096</v>
      </c>
      <c r="AR313" s="64" t="n">
        <v>60.592096</v>
      </c>
      <c r="AV313" s="64" t="n">
        <v>59.640895</v>
      </c>
      <c r="AW313" s="64" t="n">
        <v>59.640895</v>
      </c>
      <c r="BA313" s="64" t="n">
        <v>58.786776</v>
      </c>
      <c r="BB313" s="64" t="n">
        <v>58.786776</v>
      </c>
      <c r="BF313" s="64" t="n">
        <v>57.623539</v>
      </c>
      <c r="BG313" s="64" t="n">
        <v>57.623539</v>
      </c>
      <c r="BK313" s="64" t="n">
        <v>56.975815</v>
      </c>
      <c r="BL313" s="64" t="n">
        <v>56.975815</v>
      </c>
      <c r="BP313" s="64" t="n">
        <v>56.211219</v>
      </c>
      <c r="BQ313" s="64" t="n">
        <v>56.211219</v>
      </c>
      <c r="BR313" s="64" t="n">
        <v>55.826284</v>
      </c>
      <c r="BS313" s="64" t="n">
        <v>55.186252</v>
      </c>
      <c r="BT313" s="64" t="n">
        <v>55.026176</v>
      </c>
      <c r="BU313" s="64" t="n">
        <v>54.84595</v>
      </c>
      <c r="BV313" s="64" t="n">
        <v>54.84595</v>
      </c>
      <c r="BW313" s="64" t="n">
        <v>54.78711</v>
      </c>
      <c r="BX313" s="64" t="n">
        <v>54.505757</v>
      </c>
      <c r="CA313" s="65" t="n">
        <f aca="false">CA273</f>
        <v>54.0613714298469</v>
      </c>
      <c r="CB313" s="65" t="n">
        <f aca="false">CB273</f>
        <v>53.0381675683766</v>
      </c>
      <c r="CC313" s="65" t="n">
        <f aca="false">CC273</f>
        <v>52.0280429358119</v>
      </c>
      <c r="CD313" s="65" t="n">
        <f aca="false">CD273</f>
        <v>50.9578838646583</v>
      </c>
      <c r="CE313" s="65" t="n">
        <f aca="false">CE273</f>
        <v>49.8859187777953</v>
      </c>
    </row>
    <row r="315" customFormat="false" ht="15" hidden="false" customHeight="false" outlineLevel="0" collapsed="false">
      <c r="B315" s="10" t="s">
        <v>453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</row>
    <row r="316" customFormat="false" ht="15" hidden="false" customHeight="false" outlineLevel="0" collapsed="false">
      <c r="B316" s="26" t="s">
        <v>454</v>
      </c>
      <c r="C316" s="77" t="n">
        <f aca="false">IFERROR(C280/C133*365,"n/a")</f>
        <v>55.3433819409052</v>
      </c>
      <c r="D316" s="77" t="n">
        <f aca="false">IFERROR(D280/D133*365,"n/a")</f>
        <v>55.0605274326723</v>
      </c>
      <c r="E316" s="77" t="n">
        <f aca="false">IFERROR(E280/E133*365,"n/a")</f>
        <v>44.0466498139872</v>
      </c>
      <c r="F316" s="77" t="n">
        <f aca="false">IFERROR(F280/F133*365,"n/a")</f>
        <v>57.769829727315</v>
      </c>
      <c r="G316" s="77" t="n">
        <f aca="false">IFERROR(G280/G133*365,"n/a")</f>
        <v>56.763892082397</v>
      </c>
      <c r="H316" s="77" t="n">
        <f aca="false">IFERROR(H280/H133*365,"n/a")</f>
        <v>52.3125637151809</v>
      </c>
      <c r="I316" s="77" t="n">
        <f aca="false">IFERROR(I280/I133*365,"n/a")</f>
        <v>46.1355409241083</v>
      </c>
      <c r="J316" s="77" t="n">
        <f aca="false">IFERROR(J280/J133*91.25,"n/a")</f>
        <v>53.8132364422265</v>
      </c>
      <c r="K316" s="77" t="n">
        <f aca="false">IFERROR(K280/K133*91.25,"n/a")</f>
        <v>49.7227902401874</v>
      </c>
      <c r="L316" s="77" t="n">
        <f aca="false">IFERROR(L280/L133*91.25,"n/a")</f>
        <v>49.4875374887082</v>
      </c>
      <c r="M316" s="77" t="n">
        <f aca="false">IFERROR(M280/M133*91.25,"n/a")</f>
        <v>46.8682139254691</v>
      </c>
      <c r="N316" s="77" t="n">
        <f aca="false">IFERROR(N280/N133*365,"n/a")</f>
        <v>46.9748912510416</v>
      </c>
      <c r="O316" s="77" t="n">
        <f aca="false">IFERROR(O280/O133*91.25,"n/a")</f>
        <v>54.0357569825797</v>
      </c>
      <c r="P316" s="77" t="n">
        <f aca="false">IFERROR(P280/P133*91.25,"n/a")</f>
        <v>51.0055148648445</v>
      </c>
      <c r="Q316" s="77" t="n">
        <f aca="false">IFERROR(Q280/Q133*91.25,"n/a")</f>
        <v>45.177213014668</v>
      </c>
      <c r="R316" s="77" t="n">
        <f aca="false">IFERROR(R280/R133*91.25,"n/a")</f>
        <v>42.9413491258184</v>
      </c>
      <c r="S316" s="77" t="n">
        <f aca="false">IFERROR(S280/S133*365,"n/a")</f>
        <v>41.7583008569223</v>
      </c>
      <c r="T316" s="77" t="n">
        <f aca="false">IFERROR(T280/T133*91.25,"n/a")</f>
        <v>46.4541419668643</v>
      </c>
      <c r="U316" s="77" t="n">
        <f aca="false">IFERROR(U280/U133*91.25,"n/a")</f>
        <v>45.1930059120859</v>
      </c>
      <c r="V316" s="77" t="n">
        <f aca="false">IFERROR(V280/V133*91.25,"n/a")</f>
        <v>43.9618485785054</v>
      </c>
      <c r="W316" s="77" t="n">
        <f aca="false">IFERROR(W280/W133*91.25,"n/a")</f>
        <v>42.5279606855815</v>
      </c>
      <c r="X316" s="77" t="n">
        <f aca="false">IFERROR(X280/X133*365,"n/a")</f>
        <v>38.1028937321727</v>
      </c>
      <c r="Y316" s="77" t="n">
        <f aca="false">IFERROR(Y280/Y133*91.25,"n/a")</f>
        <v>47.4076757420259</v>
      </c>
      <c r="Z316" s="77" t="n">
        <f aca="false">IFERROR(Z280/Z133*91.25,"n/a")</f>
        <v>44.922008193539</v>
      </c>
      <c r="AA316" s="77" t="n">
        <f aca="false">IFERROR(AA280/AA133*91.25,"n/a")</f>
        <v>45.1774675590069</v>
      </c>
      <c r="AB316" s="77" t="n">
        <f aca="false">IFERROR(AB280/AB133*91.25,"n/a")</f>
        <v>44.3430642855623</v>
      </c>
      <c r="AC316" s="77" t="n">
        <f aca="false">IFERROR(AC280/AC133*365,"n/a")</f>
        <v>43.9667763409528</v>
      </c>
      <c r="AD316" s="77" t="n">
        <f aca="false">IFERROR(AD280/AD133*91.25,"n/a")</f>
        <v>47.5336569994336</v>
      </c>
      <c r="AE316" s="77" t="n">
        <f aca="false">IFERROR(AE280/AE133*91.25,"n/a")</f>
        <v>47.0451541656962</v>
      </c>
      <c r="AF316" s="77" t="n">
        <f aca="false">IFERROR(AF280/AF133*91.25,"n/a")</f>
        <v>54.6868124440807</v>
      </c>
      <c r="AG316" s="77" t="n">
        <f aca="false">IFERROR(AG280/AG133*91.25,"n/a")</f>
        <v>48.2734647376486</v>
      </c>
      <c r="AH316" s="77" t="n">
        <f aca="false">IFERROR(AH280/AH133*365,"n/a")</f>
        <v>54.9745201912338</v>
      </c>
      <c r="AI316" s="77" t="n">
        <f aca="false">IFERROR(AI280/AI133*91.25,"n/a")</f>
        <v>53.3195701178309</v>
      </c>
      <c r="AJ316" s="77" t="n">
        <f aca="false">IFERROR(AJ280/AJ133*91.25,"n/a")</f>
        <v>49.1800508067823</v>
      </c>
      <c r="AK316" s="77" t="n">
        <f aca="false">IFERROR(AK280/AK133*91.25,"n/a")</f>
        <v>50.706150055827</v>
      </c>
      <c r="AL316" s="77" t="n">
        <f aca="false">IFERROR(AL280/AL133*91.25,"n/a")</f>
        <v>48.6884130987447</v>
      </c>
      <c r="AM316" s="77" t="n">
        <f aca="false">IFERROR(AM280/AM133*365,"n/a")</f>
        <v>47.8305109760905</v>
      </c>
      <c r="AN316" s="77" t="n">
        <f aca="false">IFERROR(AN280/AN133*91.25,"n/a")</f>
        <v>50.8655640867574</v>
      </c>
      <c r="AO316" s="77" t="n">
        <f aca="false">IFERROR(AO280/AO133*91.25,"n/a")</f>
        <v>50.3047732455779</v>
      </c>
      <c r="AP316" s="77" t="n">
        <f aca="false">IFERROR(AP280/AP133*91.25,"n/a")</f>
        <v>49.3664244378974</v>
      </c>
      <c r="AQ316" s="77" t="n">
        <f aca="false">IFERROR(AQ280/AQ133*91.25,"n/a")</f>
        <v>46.4299826702721</v>
      </c>
      <c r="AR316" s="77" t="n">
        <f aca="false">IFERROR(AR280/AR133*365,"n/a")</f>
        <v>45.5326340737702</v>
      </c>
      <c r="AS316" s="77" t="n">
        <f aca="false">IFERROR(AS280/AS133*91.25,"n/a")</f>
        <v>50.1326388087597</v>
      </c>
      <c r="AT316" s="77" t="n">
        <f aca="false">IFERROR(AT280/AT133*91.25,"n/a")</f>
        <v>52.3813157346795</v>
      </c>
      <c r="AU316" s="77" t="n">
        <f aca="false">IFERROR(AU280/AU133*91.25,"n/a")</f>
        <v>50.890829256916</v>
      </c>
      <c r="AV316" s="77" t="n">
        <f aca="false">IFERROR(AV280/AV133*91.25,"n/a")</f>
        <v>49.1222016189244</v>
      </c>
      <c r="AW316" s="77" t="n">
        <f aca="false">IFERROR(AW280/AW133*365,"n/a")</f>
        <v>51.3379359041952</v>
      </c>
      <c r="AX316" s="77" t="n">
        <f aca="false">IFERROR(AX280/AX133*91.25,"n/a")</f>
        <v>51.9941817994481</v>
      </c>
      <c r="AY316" s="77" t="n">
        <f aca="false">IFERROR(AY280/AY133*91.25,"n/a")</f>
        <v>50.5081680287106</v>
      </c>
      <c r="AZ316" s="77" t="n">
        <f aca="false">IFERROR(AZ280/AZ133*91.25,"n/a")</f>
        <v>50.1314117110213</v>
      </c>
      <c r="BA316" s="77" t="n">
        <f aca="false">IFERROR(BA280/BA133*91.25,"n/a")</f>
        <v>46.3760214675493</v>
      </c>
      <c r="BB316" s="77" t="n">
        <f aca="false">IFERROR(BB280/BB133*365,"n/a")</f>
        <v>48.4240240184529</v>
      </c>
      <c r="BC316" s="77" t="n">
        <f aca="false">IFERROR(BC280/BC133*91.25,"n/a")</f>
        <v>50.9008380265558</v>
      </c>
      <c r="BD316" s="77" t="n">
        <f aca="false">IFERROR(BD280/BD133*91.25,"n/a")</f>
        <v>48.784952954293</v>
      </c>
      <c r="BE316" s="77" t="n">
        <f aca="false">IFERROR(BE280/BE133*91.25,"n/a")</f>
        <v>45.1845756169539</v>
      </c>
      <c r="BF316" s="77" t="n">
        <f aca="false">IFERROR(BF280/BF133*91.25,"n/a")</f>
        <v>53.0805849286845</v>
      </c>
      <c r="BG316" s="77" t="n">
        <f aca="false">IFERROR(BG280/BG133*365,"n/a")</f>
        <v>52.551714062306</v>
      </c>
      <c r="BH316" s="77" t="n">
        <f aca="false">IFERROR(BH280/BH133*91.25,"n/a")</f>
        <v>50.3480215386066</v>
      </c>
      <c r="BI316" s="77" t="n">
        <f aca="false">IFERROR(BI280/BI133*91.25,"n/a")</f>
        <v>49.0675512580558</v>
      </c>
      <c r="BJ316" s="77" t="n">
        <f aca="false">IFERROR(BJ280/BJ133*91.25,"n/a")</f>
        <v>47.4822991655165</v>
      </c>
      <c r="BK316" s="77" t="n">
        <f aca="false">IFERROR(BK280/BK133*91.25,"n/a")</f>
        <v>46.450247705746</v>
      </c>
      <c r="BL316" s="77" t="n">
        <f aca="false">IFERROR(BL280/BL133*365,"n/a")</f>
        <v>46.9203313455653</v>
      </c>
      <c r="BM316" s="77" t="n">
        <f aca="false">IFERROR(BM280/BM133*91.25,"n/a")</f>
        <v>50.6390689127668</v>
      </c>
      <c r="BN316" s="77" t="n">
        <f aca="false">IFERROR(BN280/BN133*91.25,"n/a")</f>
        <v>49.0542333091575</v>
      </c>
      <c r="BO316" s="77" t="n">
        <f aca="false">IFERROR(BO280/BO133*91.25,"n/a")</f>
        <v>47.9583350698698</v>
      </c>
      <c r="BP316" s="77" t="n">
        <f aca="false">IFERROR(BP280/BP133*91.25,"n/a")</f>
        <v>43.0325339935873</v>
      </c>
      <c r="BQ316" s="77" t="n">
        <f aca="false">IFERROR(BQ280/BQ133*365,"n/a")</f>
        <v>43.885462011091</v>
      </c>
      <c r="BR316" s="77" t="n">
        <f aca="false">IFERROR(BR280/BR133*91.25,"n/a")</f>
        <v>47.4899055444709</v>
      </c>
      <c r="BS316" s="77" t="n">
        <f aca="false">IFERROR(BS280/BS133*91.25,"n/a")</f>
        <v>46.4581892358863</v>
      </c>
      <c r="BT316" s="77" t="n">
        <f aca="false">IFERROR(BT280/BT133*91.25,"n/a")</f>
        <v>43.1249322717948</v>
      </c>
      <c r="BU316" s="77" t="n">
        <f aca="false">IFERROR(BU280/BU133*91.25,"n/a")</f>
        <v>45.5770789782287</v>
      </c>
      <c r="BV316" s="77" t="n">
        <f aca="false">IFERROR(BV280/BV133*365,"n/a")</f>
        <v>46.4584397884906</v>
      </c>
      <c r="BW316" s="77" t="n">
        <f aca="false">IFERROR(BW280/BW133*91.25,"n/a")</f>
        <v>48.6843128975936</v>
      </c>
      <c r="BX316" s="77" t="n">
        <f aca="false">IFERROR(BX280/BX133*91.25,"n/a")</f>
        <v>43.8680643751594</v>
      </c>
      <c r="CA316" s="78" t="n">
        <v>46</v>
      </c>
      <c r="CB316" s="78" t="n">
        <v>46</v>
      </c>
      <c r="CC316" s="78" t="n">
        <v>46</v>
      </c>
      <c r="CD316" s="78" t="n">
        <v>46</v>
      </c>
      <c r="CE316" s="78" t="n">
        <v>46</v>
      </c>
      <c r="CF316" s="19" t="s">
        <v>455</v>
      </c>
    </row>
    <row r="317" customFormat="false" ht="15" hidden="false" customHeight="false" outlineLevel="0" collapsed="false">
      <c r="B317" s="26" t="s">
        <v>456</v>
      </c>
      <c r="C317" s="77" t="n">
        <f aca="false">IFERROR(C281/C134*365,"n/a")</f>
        <v>90.2818605869947</v>
      </c>
      <c r="D317" s="77" t="n">
        <f aca="false">IFERROR(D281/D134*365,"n/a")</f>
        <v>76.8451517188765</v>
      </c>
      <c r="E317" s="77" t="n">
        <f aca="false">IFERROR(E281/E134*365,"n/a")</f>
        <v>71.9906877849663</v>
      </c>
      <c r="F317" s="77" t="n">
        <f aca="false">IFERROR(F281/F134*365,"n/a")</f>
        <v>73.3267466184662</v>
      </c>
      <c r="G317" s="77" t="n">
        <f aca="false">IFERROR(G281/G134*365,"n/a")</f>
        <v>70.6882450527864</v>
      </c>
      <c r="H317" s="77" t="n">
        <f aca="false">IFERROR(H281/H134*365,"n/a")</f>
        <v>69.581601861613</v>
      </c>
      <c r="I317" s="77" t="n">
        <f aca="false">IFERROR(I281/I134*365,"n/a")</f>
        <v>67.0378580477986</v>
      </c>
      <c r="J317" s="77" t="n">
        <f aca="false">IFERROR(J281/J134*91.25,"n/a")</f>
        <v>69.9693191680505</v>
      </c>
      <c r="K317" s="77" t="n">
        <f aca="false">IFERROR(K281/K134*91.25,"n/a")</f>
        <v>68.8703386820614</v>
      </c>
      <c r="L317" s="77" t="n">
        <f aca="false">IFERROR(L281/L134*91.25,"n/a")</f>
        <v>73.5009054222981</v>
      </c>
      <c r="M317" s="77" t="n">
        <f aca="false">IFERROR(M281/M134*91.25,"n/a")</f>
        <v>67.6937571013092</v>
      </c>
      <c r="N317" s="77" t="n">
        <f aca="false">IFERROR(N281/N134*365,"n/a")</f>
        <v>66.8771508316418</v>
      </c>
      <c r="O317" s="77" t="n">
        <f aca="false">IFERROR(O281/O134*91.25,"n/a")</f>
        <v>72.3183392700654</v>
      </c>
      <c r="P317" s="77" t="n">
        <f aca="false">IFERROR(P281/P134*91.25,"n/a")</f>
        <v>70.2174191450747</v>
      </c>
      <c r="Q317" s="77" t="n">
        <f aca="false">IFERROR(Q281/Q134*91.25,"n/a")</f>
        <v>64.8909800956623</v>
      </c>
      <c r="R317" s="77" t="n">
        <f aca="false">IFERROR(R281/R134*91.25,"n/a")</f>
        <v>66.6619927617037</v>
      </c>
      <c r="S317" s="77" t="n">
        <f aca="false">IFERROR(S281/S134*365,"n/a")</f>
        <v>64.7826453157599</v>
      </c>
      <c r="T317" s="77" t="n">
        <f aca="false">IFERROR(T281/T134*91.25,"n/a")</f>
        <v>69.4301730246166</v>
      </c>
      <c r="U317" s="77" t="n">
        <f aca="false">IFERROR(U281/U134*91.25,"n/a")</f>
        <v>66.87919315927</v>
      </c>
      <c r="V317" s="77" t="n">
        <f aca="false">IFERROR(V281/V134*91.25,"n/a")</f>
        <v>63.1050822144343</v>
      </c>
      <c r="W317" s="77" t="n">
        <f aca="false">IFERROR(W281/W134*91.25,"n/a")</f>
        <v>67.7015495851102</v>
      </c>
      <c r="X317" s="77" t="n">
        <f aca="false">IFERROR(X281/X134*365,"n/a")</f>
        <v>59.4309316335497</v>
      </c>
      <c r="Y317" s="77" t="n">
        <f aca="false">IFERROR(Y281/Y134*91.25,"n/a")</f>
        <v>73.8612251811294</v>
      </c>
      <c r="Z317" s="77" t="n">
        <f aca="false">IFERROR(Z281/Z134*91.25,"n/a")</f>
        <v>68.5473188083935</v>
      </c>
      <c r="AA317" s="77" t="n">
        <f aca="false">IFERROR(AA281/AA134*91.25,"n/a")</f>
        <v>70.7504166281529</v>
      </c>
      <c r="AB317" s="77" t="n">
        <f aca="false">IFERROR(AB281/AB134*91.25,"n/a")</f>
        <v>63.6125607649077</v>
      </c>
      <c r="AC317" s="77" t="n">
        <f aca="false">IFERROR(AC281/AC134*365,"n/a")</f>
        <v>62.7632032510254</v>
      </c>
      <c r="AD317" s="77" t="n">
        <f aca="false">IFERROR(AD281/AD134*91.25,"n/a")</f>
        <v>68.0670338239078</v>
      </c>
      <c r="AE317" s="77" t="n">
        <f aca="false">IFERROR(AE281/AE134*91.25,"n/a")</f>
        <v>64.5606511224565</v>
      </c>
      <c r="AF317" s="77" t="n">
        <f aca="false">IFERROR(AF281/AF134*91.25,"n/a")</f>
        <v>79.0313517417634</v>
      </c>
      <c r="AG317" s="77" t="n">
        <f aca="false">IFERROR(AG281/AG134*91.25,"n/a")</f>
        <v>62.6643157927909</v>
      </c>
      <c r="AH317" s="77" t="n">
        <f aca="false">IFERROR(AH281/AH134*365,"n/a")</f>
        <v>72.9677714357794</v>
      </c>
      <c r="AI317" s="77" t="n">
        <f aca="false">IFERROR(AI281/AI134*91.25,"n/a")</f>
        <v>69.4705542540837</v>
      </c>
      <c r="AJ317" s="77" t="n">
        <f aca="false">IFERROR(AJ281/AJ134*91.25,"n/a")</f>
        <v>64.1696333779542</v>
      </c>
      <c r="AK317" s="77" t="n">
        <f aca="false">IFERROR(AK281/AK134*91.25,"n/a")</f>
        <v>70.9315035413667</v>
      </c>
      <c r="AL317" s="77" t="n">
        <f aca="false">IFERROR(AL281/AL134*91.25,"n/a")</f>
        <v>66.8997427704203</v>
      </c>
      <c r="AM317" s="77" t="n">
        <f aca="false">IFERROR(AM281/AM134*365,"n/a")</f>
        <v>66.0287413012905</v>
      </c>
      <c r="AN317" s="77" t="n">
        <f aca="false">IFERROR(AN281/AN134*91.25,"n/a")</f>
        <v>68.4688883541387</v>
      </c>
      <c r="AO317" s="77" t="n">
        <f aca="false">IFERROR(AO281/AO134*91.25,"n/a")</f>
        <v>71.5695871053996</v>
      </c>
      <c r="AP317" s="77" t="n">
        <f aca="false">IFERROR(AP281/AP134*91.25,"n/a")</f>
        <v>76.1824982941807</v>
      </c>
      <c r="AQ317" s="77" t="n">
        <f aca="false">IFERROR(AQ281/AQ134*91.25,"n/a")</f>
        <v>72.5302045125592</v>
      </c>
      <c r="AR317" s="77" t="n">
        <f aca="false">IFERROR(AR281/AR134*365,"n/a")</f>
        <v>72.0143810270659</v>
      </c>
      <c r="AS317" s="77" t="n">
        <f aca="false">IFERROR(AS281/AS134*91.25,"n/a")</f>
        <v>78.2064867680005</v>
      </c>
      <c r="AT317" s="77" t="n">
        <f aca="false">IFERROR(AT281/AT134*91.25,"n/a")</f>
        <v>94.9277467989206</v>
      </c>
      <c r="AU317" s="77" t="n">
        <f aca="false">IFERROR(AU281/AU134*91.25,"n/a")</f>
        <v>79.7231483502793</v>
      </c>
      <c r="AV317" s="77" t="n">
        <f aca="false">IFERROR(AV281/AV134*91.25,"n/a")</f>
        <v>74.8908436302579</v>
      </c>
      <c r="AW317" s="77" t="n">
        <f aca="false">IFERROR(AW281/AW134*365,"n/a")</f>
        <v>78.0014394142795</v>
      </c>
      <c r="AX317" s="77" t="n">
        <f aca="false">IFERROR(AX281/AX134*91.25,"n/a")</f>
        <v>75.4111566922469</v>
      </c>
      <c r="AY317" s="77" t="n">
        <f aca="false">IFERROR(AY281/AY134*91.25,"n/a")</f>
        <v>78.9002095231199</v>
      </c>
      <c r="AZ317" s="77" t="n">
        <f aca="false">IFERROR(AZ281/AZ134*91.25,"n/a")</f>
        <v>88.9023063189926</v>
      </c>
      <c r="BA317" s="77" t="n">
        <f aca="false">IFERROR(BA281/BA134*91.25,"n/a")</f>
        <v>86.1933623341043</v>
      </c>
      <c r="BB317" s="77" t="n">
        <f aca="false">IFERROR(BB281/BB134*365,"n/a")</f>
        <v>91.001436108193</v>
      </c>
      <c r="BC317" s="77" t="n">
        <f aca="false">IFERROR(BC281/BC134*91.25,"n/a")</f>
        <v>91.8796051008023</v>
      </c>
      <c r="BD317" s="77" t="n">
        <f aca="false">IFERROR(BD281/BD134*91.25,"n/a")</f>
        <v>91.7212348374804</v>
      </c>
      <c r="BE317" s="77" t="n">
        <f aca="false">IFERROR(BE281/BE134*91.25,"n/a")</f>
        <v>92.2203630366201</v>
      </c>
      <c r="BF317" s="77" t="n">
        <f aca="false">IFERROR(BF281/BF134*91.25,"n/a")</f>
        <v>97.4755658560077</v>
      </c>
      <c r="BG317" s="77" t="n">
        <f aca="false">IFERROR(BG281/BG134*365,"n/a")</f>
        <v>97.9215533788009</v>
      </c>
      <c r="BH317" s="77" t="n">
        <f aca="false">IFERROR(BH281/BH134*91.25,"n/a")</f>
        <v>88.6635965502218</v>
      </c>
      <c r="BI317" s="77" t="n">
        <f aca="false">IFERROR(BI281/BI134*91.25,"n/a")</f>
        <v>89.6055699227374</v>
      </c>
      <c r="BJ317" s="77" t="n">
        <f aca="false">IFERROR(BJ281/BJ134*91.25,"n/a")</f>
        <v>83.69859448399</v>
      </c>
      <c r="BK317" s="77" t="n">
        <f aca="false">IFERROR(BK281/BK134*91.25,"n/a")</f>
        <v>74.7091423218577</v>
      </c>
      <c r="BL317" s="77" t="n">
        <f aca="false">IFERROR(BL281/BL134*365,"n/a")</f>
        <v>75.3598555640452</v>
      </c>
      <c r="BM317" s="77" t="n">
        <f aca="false">IFERROR(BM281/BM134*91.25,"n/a")</f>
        <v>84.4718957144116</v>
      </c>
      <c r="BN317" s="77" t="n">
        <f aca="false">IFERROR(BN281/BN134*91.25,"n/a")</f>
        <v>83.3619899038989</v>
      </c>
      <c r="BO317" s="77" t="n">
        <f aca="false">IFERROR(BO281/BO134*91.25,"n/a")</f>
        <v>88.4664807078256</v>
      </c>
      <c r="BP317" s="77" t="n">
        <f aca="false">IFERROR(BP281/BP134*91.25,"n/a")</f>
        <v>75.9759603096988</v>
      </c>
      <c r="BQ317" s="77" t="n">
        <f aca="false">IFERROR(BQ281/BQ134*365,"n/a")</f>
        <v>78.3093280194719</v>
      </c>
      <c r="BR317" s="77" t="n">
        <f aca="false">IFERROR(BR281/BR134*91.25,"n/a")</f>
        <v>82.0226018875012</v>
      </c>
      <c r="BS317" s="77" t="n">
        <f aca="false">IFERROR(BS281/BS134*91.25,"n/a")</f>
        <v>83.0101621077225</v>
      </c>
      <c r="BT317" s="77" t="n">
        <f aca="false">IFERROR(BT281/BT134*91.25,"n/a")</f>
        <v>91.19554192786</v>
      </c>
      <c r="BU317" s="77" t="n">
        <f aca="false">IFERROR(BU281/BU134*91.25,"n/a")</f>
        <v>82.004834208088</v>
      </c>
      <c r="BV317" s="77" t="n">
        <f aca="false">IFERROR(BV281/BV134*365,"n/a")</f>
        <v>85.6610557995162</v>
      </c>
      <c r="BW317" s="77" t="n">
        <f aca="false">IFERROR(BW281/BW134*91.25,"n/a")</f>
        <v>87.6667135076464</v>
      </c>
      <c r="BX317" s="77" t="n">
        <f aca="false">IFERROR(BX281/BX134*91.25,"n/a")</f>
        <v>81.7630036708462</v>
      </c>
      <c r="CA317" s="78" t="n">
        <v>86</v>
      </c>
      <c r="CB317" s="78" t="n">
        <v>86</v>
      </c>
      <c r="CC317" s="78" t="n">
        <v>86</v>
      </c>
      <c r="CD317" s="78" t="n">
        <v>86</v>
      </c>
      <c r="CE317" s="78" t="n">
        <v>86</v>
      </c>
      <c r="CF317" s="19" t="s">
        <v>457</v>
      </c>
    </row>
    <row r="318" customFormat="false" ht="15" hidden="false" customHeight="false" outlineLevel="0" collapsed="false">
      <c r="B318" s="26" t="s">
        <v>458</v>
      </c>
      <c r="C318" s="77" t="n">
        <f aca="false">IFERROR(C291/C134*365,"n/a")</f>
        <v>36.5771837609306</v>
      </c>
      <c r="D318" s="77" t="n">
        <f aca="false">IFERROR(D291/D134*365,"n/a")</f>
        <v>34.0370146545042</v>
      </c>
      <c r="E318" s="77" t="n">
        <f aca="false">IFERROR(E291/E134*365,"n/a")</f>
        <v>25.8113338412034</v>
      </c>
      <c r="F318" s="77" t="n">
        <f aca="false">IFERROR(F291/F134*365,"n/a")</f>
        <v>28.6869539055645</v>
      </c>
      <c r="G318" s="77" t="n">
        <f aca="false">IFERROR(G291/G134*365,"n/a")</f>
        <v>35.6460371506546</v>
      </c>
      <c r="H318" s="77" t="n">
        <f aca="false">IFERROR(H291/H134*365,"n/a")</f>
        <v>32.8692989122884</v>
      </c>
      <c r="I318" s="77" t="n">
        <f aca="false">IFERROR(I291/I134*365,"n/a")</f>
        <v>38.5165003868202</v>
      </c>
      <c r="J318" s="77" t="n">
        <f aca="false">IFERROR(J291/J134*91.25,"n/a")</f>
        <v>40.108373763468</v>
      </c>
      <c r="K318" s="77" t="n">
        <f aca="false">IFERROR(K291/K134*91.25,"n/a")</f>
        <v>36.6164102822043</v>
      </c>
      <c r="L318" s="77" t="n">
        <f aca="false">IFERROR(L291/L134*91.25,"n/a")</f>
        <v>35.1754602790203</v>
      </c>
      <c r="M318" s="77" t="n">
        <f aca="false">IFERROR(M291/M134*91.25,"n/a")</f>
        <v>41.1619623143061</v>
      </c>
      <c r="N318" s="77" t="n">
        <f aca="false">IFERROR(N291/N134*365,"n/a")</f>
        <v>40.6654155434219</v>
      </c>
      <c r="O318" s="77" t="n">
        <f aca="false">IFERROR(O291/O134*91.25,"n/a")</f>
        <v>39.7321794491701</v>
      </c>
      <c r="P318" s="77" t="n">
        <f aca="false">IFERROR(P291/P134*91.25,"n/a")</f>
        <v>37.5729121363933</v>
      </c>
      <c r="Q318" s="77" t="n">
        <f aca="false">IFERROR(Q291/Q134*91.25,"n/a")</f>
        <v>35.9387996448516</v>
      </c>
      <c r="R318" s="77" t="n">
        <f aca="false">IFERROR(R291/R134*91.25,"n/a")</f>
        <v>40.7987353958871</v>
      </c>
      <c r="S318" s="77" t="n">
        <f aca="false">IFERROR(S291/S134*365,"n/a")</f>
        <v>39.6485297691503</v>
      </c>
      <c r="T318" s="77" t="n">
        <f aca="false">IFERROR(T291/T134*91.25,"n/a")</f>
        <v>38.781719274988</v>
      </c>
      <c r="U318" s="77" t="n">
        <f aca="false">IFERROR(U291/U134*91.25,"n/a")</f>
        <v>35.7787458509793</v>
      </c>
      <c r="V318" s="77" t="n">
        <f aca="false">IFERROR(V291/V134*91.25,"n/a")</f>
        <v>34.1177409741145</v>
      </c>
      <c r="W318" s="77" t="n">
        <f aca="false">IFERROR(W291/W134*91.25,"n/a")</f>
        <v>37.4464918554689</v>
      </c>
      <c r="X318" s="77" t="n">
        <f aca="false">IFERROR(X291/X134*365,"n/a")</f>
        <v>32.8719196387212</v>
      </c>
      <c r="Y318" s="77" t="n">
        <f aca="false">IFERROR(Y291/Y134*91.25,"n/a")</f>
        <v>40.2704150765998</v>
      </c>
      <c r="Z318" s="77" t="n">
        <f aca="false">IFERROR(Z291/Z134*91.25,"n/a")</f>
        <v>40.5391299157105</v>
      </c>
      <c r="AA318" s="77" t="n">
        <f aca="false">IFERROR(AA291/AA134*91.25,"n/a")</f>
        <v>40.8783547741644</v>
      </c>
      <c r="AB318" s="77" t="n">
        <f aca="false">IFERROR(AB291/AB134*91.25,"n/a")</f>
        <v>44.0238890359772</v>
      </c>
      <c r="AC318" s="77" t="n">
        <f aca="false">IFERROR(AC291/AC134*365,"n/a")</f>
        <v>43.4360802684412</v>
      </c>
      <c r="AD318" s="77" t="n">
        <f aca="false">IFERROR(AD291/AD134*91.25,"n/a")</f>
        <v>45.0762284473041</v>
      </c>
      <c r="AE318" s="77" t="n">
        <f aca="false">IFERROR(AE291/AE134*91.25,"n/a")</f>
        <v>43.4122370960256</v>
      </c>
      <c r="AF318" s="77" t="n">
        <f aca="false">IFERROR(AF291/AF134*91.25,"n/a")</f>
        <v>49.1262542363465</v>
      </c>
      <c r="AG318" s="77" t="n">
        <f aca="false">IFERROR(AG291/AG134*91.25,"n/a")</f>
        <v>48.4832628875421</v>
      </c>
      <c r="AH318" s="77" t="n">
        <f aca="false">IFERROR(AH291/AH134*365,"n/a")</f>
        <v>56.4550270769248</v>
      </c>
      <c r="AI318" s="77" t="n">
        <f aca="false">IFERROR(AI291/AI134*91.25,"n/a")</f>
        <v>50.4595154666741</v>
      </c>
      <c r="AJ318" s="77" t="n">
        <f aca="false">IFERROR(AJ291/AJ134*91.25,"n/a")</f>
        <v>47.3547513540128</v>
      </c>
      <c r="AK318" s="77" t="n">
        <f aca="false">IFERROR(AK291/AK134*91.25,"n/a")</f>
        <v>46.3785148502617</v>
      </c>
      <c r="AL318" s="77" t="n">
        <f aca="false">IFERROR(AL291/AL134*91.25,"n/a")</f>
        <v>49.6623291890227</v>
      </c>
      <c r="AM318" s="77" t="n">
        <f aca="false">IFERROR(AM291/AM134*365,"n/a")</f>
        <v>49.0157502951024</v>
      </c>
      <c r="AN318" s="77" t="n">
        <f aca="false">IFERROR(AN291/AN134*91.25,"n/a")</f>
        <v>46.0739126874926</v>
      </c>
      <c r="AO318" s="77" t="n">
        <f aca="false">IFERROR(AO291/AO134*91.25,"n/a")</f>
        <v>45.8500089721115</v>
      </c>
      <c r="AP318" s="77" t="n">
        <f aca="false">IFERROR(AP291/AP134*91.25,"n/a")</f>
        <v>45.1841599449264</v>
      </c>
      <c r="AQ318" s="77" t="n">
        <f aca="false">IFERROR(AQ291/AQ134*91.25,"n/a")</f>
        <v>50.2882323017201</v>
      </c>
      <c r="AR318" s="77" t="n">
        <f aca="false">IFERROR(AR291/AR134*365,"n/a")</f>
        <v>49.9305902484611</v>
      </c>
      <c r="AS318" s="77" t="n">
        <f aca="false">IFERROR(AS291/AS134*91.25,"n/a")</f>
        <v>48.7671197131722</v>
      </c>
      <c r="AT318" s="77" t="n">
        <f aca="false">IFERROR(AT291/AT134*91.25,"n/a")</f>
        <v>51.5646201933978</v>
      </c>
      <c r="AU318" s="77" t="n">
        <f aca="false">IFERROR(AU291/AU134*91.25,"n/a")</f>
        <v>45.5733890333208</v>
      </c>
      <c r="AV318" s="77" t="n">
        <f aca="false">IFERROR(AV291/AV134*91.25,"n/a")</f>
        <v>50.390413096827</v>
      </c>
      <c r="AW318" s="77" t="n">
        <f aca="false">IFERROR(AW291/AW134*365,"n/a")</f>
        <v>52.4833819957748</v>
      </c>
      <c r="AX318" s="77" t="n">
        <f aca="false">IFERROR(AX291/AX134*91.25,"n/a")</f>
        <v>53.3193129115715</v>
      </c>
      <c r="AY318" s="77" t="n">
        <f aca="false">IFERROR(AY291/AY134*91.25,"n/a")</f>
        <v>52.4877657504367</v>
      </c>
      <c r="AZ318" s="77" t="n">
        <f aca="false">IFERROR(AZ291/AZ134*91.25,"n/a")</f>
        <v>52.4161731211521</v>
      </c>
      <c r="BA318" s="77" t="n">
        <f aca="false">IFERROR(BA291/BA134*91.25,"n/a")</f>
        <v>52.7183411652327</v>
      </c>
      <c r="BB318" s="77" t="n">
        <f aca="false">IFERROR(BB291/BB134*365,"n/a")</f>
        <v>55.6590974683398</v>
      </c>
      <c r="BC318" s="77" t="n">
        <f aca="false">IFERROR(BC291/BC134*91.25,"n/a")</f>
        <v>56.5901626065395</v>
      </c>
      <c r="BD318" s="77" t="n">
        <f aca="false">IFERROR(BD291/BD134*91.25,"n/a")</f>
        <v>52.2869838926723</v>
      </c>
      <c r="BE318" s="77" t="n">
        <f aca="false">IFERROR(BE291/BE134*91.25,"n/a")</f>
        <v>48.1083652165019</v>
      </c>
      <c r="BF318" s="77" t="n">
        <f aca="false">IFERROR(BF291/BF134*91.25,"n/a")</f>
        <v>51.5726924311743</v>
      </c>
      <c r="BG318" s="77" t="n">
        <f aca="false">IFERROR(BG291/BG134*365,"n/a")</f>
        <v>51.8086569740745</v>
      </c>
      <c r="BH318" s="77" t="n">
        <f aca="false">IFERROR(BH291/BH134*91.25,"n/a")</f>
        <v>48.1921925302565</v>
      </c>
      <c r="BI318" s="77" t="n">
        <f aca="false">IFERROR(BI291/BI134*91.25,"n/a")</f>
        <v>47.5627131125234</v>
      </c>
      <c r="BJ318" s="77" t="n">
        <f aca="false">IFERROR(BJ291/BJ134*91.25,"n/a")</f>
        <v>44.8961853489598</v>
      </c>
      <c r="BK318" s="77" t="n">
        <f aca="false">IFERROR(BK291/BK134*91.25,"n/a")</f>
        <v>43.1951052679044</v>
      </c>
      <c r="BL318" s="77" t="n">
        <f aca="false">IFERROR(BL291/BL134*365,"n/a")</f>
        <v>43.5713326762505</v>
      </c>
      <c r="BM318" s="77" t="n">
        <f aca="false">IFERROR(BM291/BM134*91.25,"n/a")</f>
        <v>48.8114639734464</v>
      </c>
      <c r="BN318" s="77" t="n">
        <f aca="false">IFERROR(BN291/BN134*91.25,"n/a")</f>
        <v>50.2756929311615</v>
      </c>
      <c r="BO318" s="77" t="n">
        <f aca="false">IFERROR(BO291/BO134*91.25,"n/a")</f>
        <v>46.7435936809877</v>
      </c>
      <c r="BP318" s="77" t="n">
        <f aca="false">IFERROR(BP291/BP134*91.25,"n/a")</f>
        <v>41.4194440235748</v>
      </c>
      <c r="BQ318" s="77" t="n">
        <f aca="false">IFERROR(BQ291/BQ134*365,"n/a")</f>
        <v>42.691514726563</v>
      </c>
      <c r="BR318" s="77" t="n">
        <f aca="false">IFERROR(BR291/BR134*91.25,"n/a")</f>
        <v>52.1654830657026</v>
      </c>
      <c r="BS318" s="77" t="n">
        <f aca="false">IFERROR(BS291/BS134*91.25,"n/a")</f>
        <v>50.202687717932</v>
      </c>
      <c r="BT318" s="77" t="n">
        <f aca="false">IFERROR(BT291/BT134*91.25,"n/a")</f>
        <v>54.1485710267355</v>
      </c>
      <c r="BU318" s="77" t="n">
        <f aca="false">IFERROR(BU291/BU134*91.25,"n/a")</f>
        <v>47.2498471130257</v>
      </c>
      <c r="BV318" s="77" t="n">
        <f aca="false">IFERROR(BV291/BV134*365,"n/a")</f>
        <v>49.3565023227412</v>
      </c>
      <c r="BW318" s="77" t="n">
        <f aca="false">IFERROR(BW291/BW134*91.25,"n/a")</f>
        <v>56.6142589941603</v>
      </c>
      <c r="BX318" s="77" t="n">
        <f aca="false">IFERROR(BX291/BX134*91.25,"n/a")</f>
        <v>52.9782983441616</v>
      </c>
      <c r="CA318" s="78" t="n">
        <v>49</v>
      </c>
      <c r="CB318" s="78" t="n">
        <v>49</v>
      </c>
      <c r="CC318" s="78" t="n">
        <v>49</v>
      </c>
      <c r="CD318" s="78" t="n">
        <v>49</v>
      </c>
      <c r="CE318" s="78" t="n">
        <v>49</v>
      </c>
      <c r="CF318" s="19" t="s">
        <v>459</v>
      </c>
    </row>
    <row r="319" customFormat="false" ht="15" hidden="false" customHeight="false" outlineLevel="0" collapsed="false">
      <c r="B319" s="21" t="s">
        <v>460</v>
      </c>
      <c r="C319" s="22" t="n">
        <f aca="false">IFERROR(C292/(C133*1),"n/a")</f>
        <v>0.0228503764107479</v>
      </c>
      <c r="D319" s="22" t="n">
        <f aca="false">IFERROR(D292/(D133*1),"n/a")</f>
        <v>0.0212584795403686</v>
      </c>
      <c r="E319" s="22" t="n">
        <f aca="false">IFERROR(E292/(E133*1),"n/a")</f>
        <v>0.0191216196320404</v>
      </c>
      <c r="F319" s="22" t="n">
        <f aca="false">IFERROR(F292/(F133*1),"n/a")</f>
        <v>0.0210988934733141</v>
      </c>
      <c r="G319" s="22" t="n">
        <f aca="false">IFERROR(G292/(G133*1),"n/a")</f>
        <v>0.0236579376013201</v>
      </c>
      <c r="H319" s="22" t="n">
        <f aca="false">IFERROR(H292/(H133*1),"n/a")</f>
        <v>0.0206597691910032</v>
      </c>
      <c r="I319" s="22" t="n">
        <f aca="false">IFERROR(I292/(I133*1),"n/a")</f>
        <v>0.02407611779347</v>
      </c>
      <c r="J319" s="22" t="n">
        <f aca="false">IFERROR(J292/(J133*4),"n/a")</f>
        <v>0</v>
      </c>
      <c r="K319" s="22" t="n">
        <f aca="false">IFERROR(K292/(K133*4),"n/a")</f>
        <v>0</v>
      </c>
      <c r="L319" s="22" t="n">
        <f aca="false">IFERROR(L292/(L133*4),"n/a")</f>
        <v>0</v>
      </c>
      <c r="M319" s="22" t="n">
        <f aca="false">IFERROR(M292/(M133*4),"n/a")</f>
        <v>0.0238751607113128</v>
      </c>
      <c r="N319" s="22" t="n">
        <f aca="false">IFERROR(N292/(N133*1),"n/a")</f>
        <v>0.0239295032620306</v>
      </c>
      <c r="O319" s="22" t="n">
        <f aca="false">IFERROR(O292/(O133*4),"n/a")</f>
        <v>0</v>
      </c>
      <c r="P319" s="22" t="n">
        <f aca="false">IFERROR(P292/(P133*4),"n/a")</f>
        <v>0</v>
      </c>
      <c r="Q319" s="22" t="n">
        <f aca="false">IFERROR(Q292/(Q133*4),"n/a")</f>
        <v>0</v>
      </c>
      <c r="R319" s="22" t="n">
        <f aca="false">IFERROR(R292/(R133*4),"n/a")</f>
        <v>0.023655830655278</v>
      </c>
      <c r="S319" s="22" t="n">
        <f aca="false">IFERROR(S292/(S133*1),"n/a")</f>
        <v>0.0230041047529542</v>
      </c>
      <c r="T319" s="22" t="n">
        <f aca="false">IFERROR(T292/(T133*4),"n/a")</f>
        <v>0</v>
      </c>
      <c r="U319" s="22" t="n">
        <f aca="false">IFERROR(U292/(U133*4),"n/a")</f>
        <v>0</v>
      </c>
      <c r="V319" s="22" t="n">
        <f aca="false">IFERROR(V292/(V133*4),"n/a")</f>
        <v>0</v>
      </c>
      <c r="W319" s="22" t="n">
        <f aca="false">IFERROR(W292/(W133*4),"n/a")</f>
        <v>0.0288612375326813</v>
      </c>
      <c r="X319" s="22" t="n">
        <f aca="false">IFERROR(X292/(X133*1),"n/a")</f>
        <v>0.0258582036137836</v>
      </c>
      <c r="Y319" s="22" t="n">
        <f aca="false">IFERROR(Y292/(Y133*4),"n/a")</f>
        <v>0</v>
      </c>
      <c r="Z319" s="22" t="n">
        <f aca="false">IFERROR(Z292/(Z133*4),"n/a")</f>
        <v>0</v>
      </c>
      <c r="AA319" s="22" t="n">
        <f aca="false">IFERROR(AA292/(AA133*4),"n/a")</f>
        <v>0</v>
      </c>
      <c r="AB319" s="22" t="n">
        <f aca="false">IFERROR(AB292/(AB133*4),"n/a")</f>
        <v>0.0298987457167789</v>
      </c>
      <c r="AC319" s="22" t="n">
        <f aca="false">IFERROR(AC292/(AC133*1),"n/a")</f>
        <v>0.0296450298819932</v>
      </c>
      <c r="AD319" s="22" t="n">
        <f aca="false">IFERROR(AD292/(AD133*4),"n/a")</f>
        <v>0</v>
      </c>
      <c r="AE319" s="22" t="n">
        <f aca="false">IFERROR(AE292/(AE133*4),"n/a")</f>
        <v>0</v>
      </c>
      <c r="AF319" s="22" t="n">
        <f aca="false">IFERROR(AF292/(AF133*4),"n/a")</f>
        <v>0</v>
      </c>
      <c r="AG319" s="22" t="n">
        <f aca="false">IFERROR(AG292/(AG133*4),"n/a")</f>
        <v>0.0307494127960278</v>
      </c>
      <c r="AH319" s="22" t="n">
        <f aca="false">IFERROR(AH292/(AH133*1),"n/a")</f>
        <v>0.0350178762558437</v>
      </c>
      <c r="AI319" s="22" t="n">
        <f aca="false">IFERROR(AI292/(AI133*4),"n/a")</f>
        <v>0</v>
      </c>
      <c r="AJ319" s="22" t="n">
        <f aca="false">IFERROR(AJ292/(AJ133*4),"n/a")</f>
        <v>0</v>
      </c>
      <c r="AK319" s="22" t="n">
        <f aca="false">IFERROR(AK292/(AK133*4),"n/a")</f>
        <v>0.0470160724678775</v>
      </c>
      <c r="AL319" s="22" t="n">
        <f aca="false">IFERROR(AL292/(AL133*4),"n/a")</f>
        <v>0.0316612599435084</v>
      </c>
      <c r="AM319" s="22" t="n">
        <f aca="false">IFERROR(AM292/(AM133*1),"n/a")</f>
        <v>0.0311033805553189</v>
      </c>
      <c r="AN319" s="22" t="n">
        <f aca="false">IFERROR(AN292/(AN133*4),"n/a")</f>
        <v>0.0286910510633926</v>
      </c>
      <c r="AO319" s="22" t="n">
        <f aca="false">IFERROR(AO292/(AO133*4),"n/a")</f>
        <v>0.0372875826246319</v>
      </c>
      <c r="AP319" s="22" t="n">
        <f aca="false">IFERROR(AP292/(AP133*4),"n/a")</f>
        <v>0.0456226403734077</v>
      </c>
      <c r="AQ319" s="22" t="n">
        <f aca="false">IFERROR(AQ292/(AQ133*4),"n/a")</f>
        <v>0.0281923844266047</v>
      </c>
      <c r="AR319" s="22" t="n">
        <f aca="false">IFERROR(AR292/(AR133*1),"n/a")</f>
        <v>0.0276475124464251</v>
      </c>
      <c r="AS319" s="22" t="n">
        <f aca="false">IFERROR(AS292/(AS133*4),"n/a")</f>
        <v>0.029427015446067</v>
      </c>
      <c r="AT319" s="22" t="n">
        <f aca="false">IFERROR(AT292/(AT133*4),"n/a")</f>
        <v>0.0421273278519519</v>
      </c>
      <c r="AU319" s="22" t="n">
        <f aca="false">IFERROR(AU292/(AU133*4),"n/a")</f>
        <v>0.0455857333365227</v>
      </c>
      <c r="AV319" s="22" t="n">
        <f aca="false">IFERROR(AV292/(AV133*4),"n/a")</f>
        <v>0.0354705431295168</v>
      </c>
      <c r="AW319" s="22" t="n">
        <f aca="false">IFERROR(AW292/(AW133*1),"n/a")</f>
        <v>0.0370704978534307</v>
      </c>
      <c r="AX319" s="22" t="n">
        <f aca="false">IFERROR(AX292/(AX133*4),"n/a")</f>
        <v>0.0306362042796699</v>
      </c>
      <c r="AY319" s="22" t="n">
        <f aca="false">IFERROR(AY292/(AY133*4),"n/a")</f>
        <v>0.0376929629477261</v>
      </c>
      <c r="AZ319" s="22" t="n">
        <f aca="false">IFERROR(AZ292/(AZ133*4),"n/a")</f>
        <v>0.0483995367373713</v>
      </c>
      <c r="BA319" s="22" t="n">
        <f aca="false">IFERROR(BA292/(BA133*4),"n/a")</f>
        <v>0.0321474300889191</v>
      </c>
      <c r="BB319" s="22" t="n">
        <f aca="false">IFERROR(BB292/(BB133*1),"n/a")</f>
        <v>0.0335670865567161</v>
      </c>
      <c r="BC319" s="22" t="n">
        <f aca="false">IFERROR(BC292/(BC133*4),"n/a")</f>
        <v>0.0296604995634547</v>
      </c>
      <c r="BD319" s="22" t="n">
        <f aca="false">IFERROR(BD292/(BD133*4),"n/a")</f>
        <v>0.0371943679229034</v>
      </c>
      <c r="BE319" s="22" t="n">
        <f aca="false">IFERROR(BE292/(BE133*4),"n/a")</f>
        <v>0.04908846926992</v>
      </c>
      <c r="BF319" s="22" t="n">
        <f aca="false">IFERROR(BF292/(BF133*4),"n/a")</f>
        <v>0.0293707717195848</v>
      </c>
      <c r="BG319" s="22" t="n">
        <f aca="false">IFERROR(BG292/(BG133*1),"n/a")</f>
        <v>0.0290781346752416</v>
      </c>
      <c r="BH319" s="22" t="n">
        <f aca="false">IFERROR(BH292/(BH133*4),"n/a")</f>
        <v>0.0263447678004278</v>
      </c>
      <c r="BI319" s="22" t="n">
        <f aca="false">IFERROR(BI292/(BI133*4),"n/a")</f>
        <v>0.0375208025910717</v>
      </c>
      <c r="BJ319" s="22" t="n">
        <f aca="false">IFERROR(BJ292/(BJ133*4),"n/a")</f>
        <v>0.0501144970935353</v>
      </c>
      <c r="BK319" s="22" t="n">
        <f aca="false">IFERROR(BK292/(BK133*4),"n/a")</f>
        <v>0.026540272495215</v>
      </c>
      <c r="BL319" s="22" t="n">
        <f aca="false">IFERROR(BL292/(BL133*1),"n/a")</f>
        <v>0.0268088641284692</v>
      </c>
      <c r="BM319" s="22" t="n">
        <f aca="false">IFERROR(BM292/(BM133*4),"n/a")</f>
        <v>0.0292423437902888</v>
      </c>
      <c r="BN319" s="22" t="n">
        <f aca="false">IFERROR(BN292/(BN133*4),"n/a")</f>
        <v>0.0389712366751722</v>
      </c>
      <c r="BO319" s="22" t="n">
        <f aca="false">IFERROR(BO292/(BO133*4),"n/a")</f>
        <v>0.049410983787696</v>
      </c>
      <c r="BP319" s="22" t="n">
        <f aca="false">IFERROR(BP292/(BP133*4),"n/a")</f>
        <v>0.0255310259669227</v>
      </c>
      <c r="BQ319" s="22" t="n">
        <f aca="false">IFERROR(BQ292/(BQ133*1),"n/a")</f>
        <v>0.0260370646623444</v>
      </c>
      <c r="BR319" s="22" t="n">
        <f aca="false">IFERROR(BR292/(BR133*4),"n/a")</f>
        <v>0.0283174928414119</v>
      </c>
      <c r="BS319" s="22" t="n">
        <f aca="false">IFERROR(BS292/(BS133*4),"n/a")</f>
        <v>0.0384575992974934</v>
      </c>
      <c r="BT319" s="22" t="n">
        <f aca="false">IFERROR(BT292/(BT133*4),"n/a")</f>
        <v>0.0500896603648418</v>
      </c>
      <c r="BU319" s="22" t="n">
        <f aca="false">IFERROR(BU292/(BU133*4),"n/a")</f>
        <v>0.0269204562836338</v>
      </c>
      <c r="BV319" s="22" t="n">
        <f aca="false">IFERROR(BV292/(BV133*1),"n/a")</f>
        <v>0.0274410389031144</v>
      </c>
      <c r="BW319" s="22" t="n">
        <f aca="false">IFERROR(BW292/(BW133*4),"n/a")</f>
        <v>0.0247141160335784</v>
      </c>
      <c r="BX319" s="22" t="n">
        <f aca="false">IFERROR(BX292/(BX133*4),"n/a")</f>
        <v>0.0320742287008789</v>
      </c>
      <c r="CA319" s="30" t="n">
        <v>0.027</v>
      </c>
      <c r="CB319" s="30" t="n">
        <v>0.027</v>
      </c>
      <c r="CC319" s="30" t="n">
        <v>0.027</v>
      </c>
      <c r="CD319" s="30" t="n">
        <v>0.027</v>
      </c>
      <c r="CE319" s="30" t="n">
        <v>0.027</v>
      </c>
      <c r="CF319" s="19" t="s">
        <v>461</v>
      </c>
    </row>
    <row r="320" customFormat="false" ht="15" hidden="false" customHeight="false" outlineLevel="0" collapsed="false">
      <c r="B320" s="26" t="s">
        <v>462</v>
      </c>
      <c r="C320" s="57" t="n">
        <f aca="false">IF(AND(ISNUMBER(C280),ISNUMBER(C281),ISNUMBER(C291)),C280+C281-C291-N(C292),"n/a")</f>
        <v>462.814</v>
      </c>
      <c r="D320" s="57" t="n">
        <f aca="false">IF(AND(ISNUMBER(D280),ISNUMBER(D281),ISNUMBER(D291)),D280+D281-D291-N(D292),"n/a")</f>
        <v>487.12</v>
      </c>
      <c r="E320" s="57" t="n">
        <f aca="false">IF(AND(ISNUMBER(E280),ISNUMBER(E281),ISNUMBER(E291)),E280+E281-E291-N(E292),"n/a")</f>
        <v>474.31</v>
      </c>
      <c r="F320" s="57" t="n">
        <f aca="false">IF(AND(ISNUMBER(F280),ISNUMBER(F281),ISNUMBER(F291)),F280+F281-F291-N(F292),"n/a")</f>
        <v>392.905</v>
      </c>
      <c r="G320" s="57" t="n">
        <f aca="false">IF(AND(ISNUMBER(G280),ISNUMBER(G281),ISNUMBER(G291)),G280+G281-G291-N(G292),"n/a")</f>
        <v>417.591</v>
      </c>
      <c r="H320" s="57" t="n">
        <f aca="false">IF(AND(ISNUMBER(H280),ISNUMBER(H281),ISNUMBER(H291)),H280+H281-H291-N(H292),"n/a")</f>
        <v>527.453</v>
      </c>
      <c r="I320" s="57" t="n">
        <f aca="false">IF(AND(ISNUMBER(I280),ISNUMBER(I281),ISNUMBER(I291)),I280+I281-I291-N(I292),"n/a")</f>
        <v>447.207</v>
      </c>
      <c r="J320" s="57" t="n">
        <f aca="false">IF(AND(ISNUMBER(J280),ISNUMBER(J281),ISNUMBER(J291)),J280+J281-J291-N(J292),"n/a")</f>
        <v>584.771</v>
      </c>
      <c r="K320" s="57" t="n">
        <f aca="false">IF(AND(ISNUMBER(K280),ISNUMBER(K281),ISNUMBER(K291)),K280+K281-K291-N(K292),"n/a")</f>
        <v>568.555</v>
      </c>
      <c r="L320" s="57" t="n">
        <f aca="false">IF(AND(ISNUMBER(L280),ISNUMBER(L281),ISNUMBER(L291)),L280+L281-L291-N(L292),"n/a")</f>
        <v>568.081</v>
      </c>
      <c r="M320" s="57" t="n">
        <f aca="false">IF(AND(ISNUMBER(M280),ISNUMBER(M281),ISNUMBER(M291)),M280+M281-M291-N(M292),"n/a")</f>
        <v>436.035</v>
      </c>
      <c r="N320" s="57" t="n">
        <f aca="false">IF(AND(ISNUMBER(N280),ISNUMBER(N281),ISNUMBER(N291)),N280+N281-N291-N(N292),"n/a")</f>
        <v>436.035</v>
      </c>
      <c r="O320" s="57" t="n">
        <f aca="false">IF(AND(ISNUMBER(O280),ISNUMBER(O281),ISNUMBER(O291)),O280+O281-O291-N(O292),"n/a")</f>
        <v>569.49</v>
      </c>
      <c r="P320" s="57" t="n">
        <f aca="false">IF(AND(ISNUMBER(P280),ISNUMBER(P281),ISNUMBER(P291)),P280+P281-P291-N(P292),"n/a")</f>
        <v>578.321</v>
      </c>
      <c r="Q320" s="57" t="n">
        <f aca="false">IF(AND(ISNUMBER(Q280),ISNUMBER(Q281),ISNUMBER(Q291)),Q280+Q281-Q291-N(Q292),"n/a")</f>
        <v>504.822</v>
      </c>
      <c r="R320" s="57" t="n">
        <f aca="false">IF(AND(ISNUMBER(R280),ISNUMBER(R281),ISNUMBER(R291)),R280+R281-R291-N(R292),"n/a")</f>
        <v>385.502</v>
      </c>
      <c r="S320" s="57" t="n">
        <f aca="false">IF(AND(ISNUMBER(S280),ISNUMBER(S281),ISNUMBER(S291)),S280+S281-S291-N(S292),"n/a")</f>
        <v>385.502</v>
      </c>
      <c r="T320" s="57" t="n">
        <f aca="false">IF(AND(ISNUMBER(T280),ISNUMBER(T281),ISNUMBER(T291)),T280+T281-T291-N(T292),"n/a")</f>
        <v>481.876</v>
      </c>
      <c r="U320" s="57" t="n">
        <f aca="false">IF(AND(ISNUMBER(U280),ISNUMBER(U281),ISNUMBER(U291)),U280+U281-U291-N(U292),"n/a")</f>
        <v>478.832</v>
      </c>
      <c r="V320" s="57" t="n">
        <f aca="false">IF(AND(ISNUMBER(V280),ISNUMBER(V281),ISNUMBER(V291)),V280+V281-V291-N(V292),"n/a")</f>
        <v>452.591</v>
      </c>
      <c r="W320" s="57" t="n">
        <f aca="false">IF(AND(ISNUMBER(W280),ISNUMBER(W281),ISNUMBER(W291)),W280+W281-W291-N(W292),"n/a")</f>
        <v>322.454</v>
      </c>
      <c r="X320" s="57" t="n">
        <f aca="false">IF(AND(ISNUMBER(X280),ISNUMBER(X281),ISNUMBER(X291)),X280+X281-X291-N(X292),"n/a")</f>
        <v>322.454</v>
      </c>
      <c r="Y320" s="57" t="n">
        <f aca="false">IF(AND(ISNUMBER(Y280),ISNUMBER(Y281),ISNUMBER(Y291)),Y280+Y281-Y291-N(Y292),"n/a")</f>
        <v>419.239</v>
      </c>
      <c r="Z320" s="57" t="n">
        <f aca="false">IF(AND(ISNUMBER(Z280),ISNUMBER(Z281),ISNUMBER(Z291)),Z280+Z281-Z291-N(Z292),"n/a")</f>
        <v>411.195</v>
      </c>
      <c r="AA320" s="57" t="n">
        <f aca="false">IF(AND(ISNUMBER(AA280),ISNUMBER(AA281),ISNUMBER(AA291)),AA280+AA281-AA291-N(AA292),"n/a")</f>
        <v>401.455</v>
      </c>
      <c r="AB320" s="57" t="n">
        <f aca="false">IF(AND(ISNUMBER(AB280),ISNUMBER(AB281),ISNUMBER(AB291)),AB280+AB281-AB291-N(AB292),"n/a")</f>
        <v>285.211</v>
      </c>
      <c r="AC320" s="57" t="n">
        <f aca="false">IF(AND(ISNUMBER(AC280),ISNUMBER(AC281),ISNUMBER(AC291)),AC280+AC281-AC291-N(AC292),"n/a")</f>
        <v>285.211</v>
      </c>
      <c r="AD320" s="57" t="n">
        <f aca="false">IF(AND(ISNUMBER(AD280),ISNUMBER(AD281),ISNUMBER(AD291)),AD280+AD281-AD291-N(AD292),"n/a")</f>
        <v>397.596</v>
      </c>
      <c r="AE320" s="57" t="n">
        <f aca="false">IF(AND(ISNUMBER(AE280),ISNUMBER(AE281),ISNUMBER(AE291)),AE280+AE281-AE291-N(AE292),"n/a")</f>
        <v>418.062</v>
      </c>
      <c r="AF320" s="57" t="n">
        <f aca="false">IF(AND(ISNUMBER(AF280),ISNUMBER(AF281),ISNUMBER(AF291)),AF280+AF281-AF291-N(AF292),"n/a")</f>
        <v>548.7</v>
      </c>
      <c r="AG320" s="57" t="n">
        <f aca="false">IF(AND(ISNUMBER(AG280),ISNUMBER(AG281),ISNUMBER(AG291)),AG280+AG281-AG291-N(AG292),"n/a")</f>
        <v>382.281</v>
      </c>
      <c r="AH320" s="57" t="n">
        <f aca="false">IF(AND(ISNUMBER(AH280),ISNUMBER(AH281),ISNUMBER(AH291)),AH280+AH281-AH291-N(AH292),"n/a")</f>
        <v>382.281</v>
      </c>
      <c r="AI320" s="57" t="n">
        <f aca="false">IF(AND(ISNUMBER(AI280),ISNUMBER(AI281),ISNUMBER(AI291)),AI280+AI281-AI291-N(AI292),"n/a")</f>
        <v>547.148</v>
      </c>
      <c r="AJ320" s="57" t="n">
        <f aca="false">IF(AND(ISNUMBER(AJ280),ISNUMBER(AJ281),ISNUMBER(AJ291)),AJ280+AJ281-AJ291-N(AJ292),"n/a")</f>
        <v>521.616</v>
      </c>
      <c r="AK320" s="57" t="n">
        <f aca="false">IF(AND(ISNUMBER(AK280),ISNUMBER(AK281),ISNUMBER(AK291)),AK280+AK281-AK291-N(AK292),"n/a")</f>
        <v>401.62</v>
      </c>
      <c r="AL320" s="57" t="n">
        <f aca="false">IF(AND(ISNUMBER(AL280),ISNUMBER(AL281),ISNUMBER(AL291)),AL280+AL281-AL291-N(AL292),"n/a")</f>
        <v>395.912</v>
      </c>
      <c r="AM320" s="57" t="n">
        <f aca="false">IF(AND(ISNUMBER(AM280),ISNUMBER(AM281),ISNUMBER(AM291)),AM280+AM281-AM291-N(AM292),"n/a")</f>
        <v>395.912</v>
      </c>
      <c r="AN320" s="57" t="n">
        <f aca="false">IF(AND(ISNUMBER(AN280),ISNUMBER(AN281),ISNUMBER(AN291)),AN280+AN281-AN291-N(AN292),"n/a")</f>
        <v>458.958</v>
      </c>
      <c r="AO320" s="57" t="n">
        <f aca="false">IF(AND(ISNUMBER(AO280),ISNUMBER(AO281),ISNUMBER(AO291)),AO280+AO281-AO291-N(AO292),"n/a")</f>
        <v>455.4</v>
      </c>
      <c r="AP320" s="57" t="n">
        <f aca="false">IF(AND(ISNUMBER(AP280),ISNUMBER(AP281),ISNUMBER(AP291)),AP280+AP281-AP291-N(AP292),"n/a")</f>
        <v>429.277</v>
      </c>
      <c r="AQ320" s="57" t="n">
        <f aca="false">IF(AND(ISNUMBER(AQ280),ISNUMBER(AQ281),ISNUMBER(AQ291)),AQ280+AQ281-AQ291-N(AQ292),"n/a")</f>
        <v>412.362</v>
      </c>
      <c r="AR320" s="57" t="n">
        <f aca="false">IF(AND(ISNUMBER(AR280),ISNUMBER(AR281),ISNUMBER(AR291)),AR280+AR281-AR291-N(AR292),"n/a")</f>
        <v>412.362</v>
      </c>
      <c r="AS320" s="57" t="n">
        <f aca="false">IF(AND(ISNUMBER(AS280),ISNUMBER(AS281),ISNUMBER(AS291)),AS280+AS281-AS291-N(AS292),"n/a")</f>
        <v>452.956</v>
      </c>
      <c r="AT320" s="57" t="n">
        <f aca="false">IF(AND(ISNUMBER(AT280),ISNUMBER(AT281),ISNUMBER(AT291)),AT280+AT281-AT291-N(AT292),"n/a")</f>
        <v>430.285</v>
      </c>
      <c r="AU320" s="57" t="n">
        <f aca="false">IF(AND(ISNUMBER(AU280),ISNUMBER(AU281),ISNUMBER(AU291)),AU280+AU281-AU291-N(AU292),"n/a")</f>
        <v>420.797</v>
      </c>
      <c r="AV320" s="57" t="n">
        <f aca="false">IF(AND(ISNUMBER(AV280),ISNUMBER(AV281),ISNUMBER(AV291)),AV280+AV281-AV291-N(AV292),"n/a")</f>
        <v>399.778</v>
      </c>
      <c r="AW320" s="57" t="n">
        <f aca="false">IF(AND(ISNUMBER(AW280),ISNUMBER(AW281),ISNUMBER(AW291)),AW280+AW281-AW291-N(AW292),"n/a")</f>
        <v>399.778</v>
      </c>
      <c r="AX320" s="57" t="n">
        <f aca="false">IF(AND(ISNUMBER(AX280),ISNUMBER(AX281),ISNUMBER(AX291)),AX280+AX281-AX291-N(AX292),"n/a")</f>
        <v>460.42</v>
      </c>
      <c r="AY320" s="57" t="n">
        <f aca="false">IF(AND(ISNUMBER(AY280),ISNUMBER(AY281),ISNUMBER(AY291)),AY280+AY281-AY291-N(AY292),"n/a")</f>
        <v>492.754</v>
      </c>
      <c r="AZ320" s="57" t="n">
        <f aca="false">IF(AND(ISNUMBER(AZ280),ISNUMBER(AZ281),ISNUMBER(AZ291)),AZ280+AZ281-AZ291-N(AZ292),"n/a")</f>
        <v>502.157</v>
      </c>
      <c r="BA320" s="57" t="n">
        <f aca="false">IF(AND(ISNUMBER(BA280),ISNUMBER(BA281),ISNUMBER(BA291)),BA280+BA281-BA291-N(BA292),"n/a")</f>
        <v>530.201</v>
      </c>
      <c r="BB320" s="57" t="n">
        <f aca="false">IF(AND(ISNUMBER(BB280),ISNUMBER(BB281),ISNUMBER(BB291)),BB280+BB281-BB291-N(BB292),"n/a")</f>
        <v>530.201</v>
      </c>
      <c r="BC320" s="57" t="n">
        <f aca="false">IF(AND(ISNUMBER(BC280),ISNUMBER(BC281),ISNUMBER(BC291)),BC280+BC281-BC291-N(BC292),"n/a")</f>
        <v>636.8</v>
      </c>
      <c r="BD320" s="57" t="n">
        <f aca="false">IF(AND(ISNUMBER(BD280),ISNUMBER(BD281),ISNUMBER(BD291)),BD280+BD281-BD291-N(BD292),"n/a")</f>
        <v>649.016</v>
      </c>
      <c r="BE320" s="57" t="n">
        <f aca="false">IF(AND(ISNUMBER(BE280),ISNUMBER(BE281),ISNUMBER(BE291)),BE280+BE281-BE291-N(BE292),"n/a")</f>
        <v>581.954</v>
      </c>
      <c r="BF320" s="57" t="n">
        <f aca="false">IF(AND(ISNUMBER(BF280),ISNUMBER(BF281),ISNUMBER(BF291)),BF280+BF281-BF291-N(BF292),"n/a")</f>
        <v>745.532</v>
      </c>
      <c r="BG320" s="57" t="n">
        <f aca="false">IF(AND(ISNUMBER(BG280),ISNUMBER(BG281),ISNUMBER(BG291)),BG280+BG281-BG291-N(BG292),"n/a")</f>
        <v>745.532</v>
      </c>
      <c r="BH320" s="57" t="n">
        <f aca="false">IF(AND(ISNUMBER(BH280),ISNUMBER(BH281),ISNUMBER(BH291)),BH280+BH281-BH291-N(BH292),"n/a")</f>
        <v>767.305</v>
      </c>
      <c r="BI320" s="57" t="n">
        <f aca="false">IF(AND(ISNUMBER(BI280),ISNUMBER(BI281),ISNUMBER(BI291)),BI280+BI281-BI291-N(BI292),"n/a")</f>
        <v>727.715</v>
      </c>
      <c r="BJ320" s="57" t="n">
        <f aca="false">IF(AND(ISNUMBER(BJ280),ISNUMBER(BJ281),ISNUMBER(BJ291)),BJ280+BJ281-BJ291-N(BJ292),"n/a")</f>
        <v>614.399</v>
      </c>
      <c r="BK320" s="57" t="n">
        <f aca="false">IF(AND(ISNUMBER(BK280),ISNUMBER(BK281),ISNUMBER(BK291)),BK280+BK281-BK291-N(BK292),"n/a")</f>
        <v>663.886</v>
      </c>
      <c r="BL320" s="57" t="n">
        <f aca="false">IF(AND(ISNUMBER(BL280),ISNUMBER(BL281),ISNUMBER(BL291)),BL280+BL281-BL291-N(BL292),"n/a")</f>
        <v>663.886</v>
      </c>
      <c r="BM320" s="57" t="n">
        <f aca="false">IF(AND(ISNUMBER(BM280),ISNUMBER(BM281),ISNUMBER(BM291)),BM280+BM281-BM291-N(BM292),"n/a")</f>
        <v>669.225</v>
      </c>
      <c r="BN320" s="57" t="n">
        <f aca="false">IF(AND(ISNUMBER(BN280),ISNUMBER(BN281),ISNUMBER(BN291)),BN280+BN281-BN291-N(BN292),"n/a")</f>
        <v>621.257</v>
      </c>
      <c r="BO320" s="57" t="n">
        <f aca="false">IF(AND(ISNUMBER(BO280),ISNUMBER(BO281),ISNUMBER(BO291)),BO280+BO281-BO291-N(BO292),"n/a")</f>
        <v>611.429</v>
      </c>
      <c r="BP320" s="57" t="n">
        <f aca="false">IF(AND(ISNUMBER(BP280),ISNUMBER(BP281),ISNUMBER(BP291)),BP280+BP281-BP291-N(BP292),"n/a")</f>
        <v>625.052</v>
      </c>
      <c r="BQ320" s="57" t="n">
        <f aca="false">IF(AND(ISNUMBER(BQ280),ISNUMBER(BQ281),ISNUMBER(BQ291)),BQ280+BQ281-BQ291-N(BQ292),"n/a")</f>
        <v>625.052</v>
      </c>
      <c r="BR320" s="57" t="n">
        <f aca="false">IF(AND(ISNUMBER(BR280),ISNUMBER(BR281),ISNUMBER(BR291)),BR280+BR281-BR291-N(BR292),"n/a")</f>
        <v>618.016</v>
      </c>
      <c r="BS320" s="57" t="n">
        <f aca="false">IF(AND(ISNUMBER(BS280),ISNUMBER(BS281),ISNUMBER(BS291)),BS280+BS281-BS291-N(BS292),"n/a")</f>
        <v>632.413</v>
      </c>
      <c r="BT320" s="57" t="n">
        <f aca="false">IF(AND(ISNUMBER(BT280),ISNUMBER(BT281),ISNUMBER(BT291)),BT280+BT281-BT291-N(BT292),"n/a")</f>
        <v>561.706</v>
      </c>
      <c r="BU320" s="57" t="n">
        <f aca="false">IF(AND(ISNUMBER(BU280),ISNUMBER(BU281),ISNUMBER(BU291)),BU280+BU281-BU291-N(BU292),"n/a")</f>
        <v>691.063</v>
      </c>
      <c r="BV320" s="57" t="n">
        <f aca="false">IF(AND(ISNUMBER(BV280),ISNUMBER(BV281),ISNUMBER(BV291)),BV280+BV281-BV291-N(BV292),"n/a")</f>
        <v>691.063</v>
      </c>
      <c r="BW320" s="57" t="n">
        <f aca="false">IF(AND(ISNUMBER(BW280),ISNUMBER(BW281),ISNUMBER(BW291)),BW280+BW281-BW291-N(BW292),"n/a")</f>
        <v>733.254</v>
      </c>
      <c r="BX320" s="57" t="n">
        <f aca="false">IF(AND(ISNUMBER(BX280),ISNUMBER(BX281),ISNUMBER(BX291)),BX280+BX281-BX291-N(BX292),"n/a")</f>
        <v>672.975</v>
      </c>
      <c r="BY320" s="51" t="str">
        <f aca="false">IF(AND(ISNUMBER(BY280),ISNUMBER(BY281),ISNUMBER(BY291)),BY280+BY281-BY291-N(BY292),"n/a")</f>
        <v>n/a</v>
      </c>
      <c r="BZ320" s="51" t="str">
        <f aca="false">IF(AND(ISNUMBER(BZ280),ISNUMBER(BZ281),ISNUMBER(BZ291)),BZ280+BZ281-BZ291-N(BZ292),"n/a")</f>
        <v>n/a</v>
      </c>
      <c r="CA320" s="51" t="n">
        <f aca="false">IF(AND(ISNUMBER(CA280),ISNUMBER(CA281),ISNUMBER(CA291)),CA280+CA281-CA291-N(CA292),"n/a")</f>
        <v>771.425233188127</v>
      </c>
      <c r="CB320" s="51" t="n">
        <f aca="false">IF(AND(ISNUMBER(CB280),ISNUMBER(CB281),ISNUMBER(CB291)),CB280+CB281-CB291-N(CB292),"n/a")</f>
        <v>817.325693185694</v>
      </c>
      <c r="CC320" s="51" t="n">
        <f aca="false">IF(AND(ISNUMBER(CC280),ISNUMBER(CC281),ISNUMBER(CC291)),CC280+CC281-CC291-N(CC292),"n/a")</f>
        <v>878.024259964216</v>
      </c>
      <c r="CD320" s="51" t="n">
        <f aca="false">IF(AND(ISNUMBER(CD280),ISNUMBER(CD281),ISNUMBER(CD291)),CD280+CD281-CD291-N(CD292),"n/a")</f>
        <v>939.180595031186</v>
      </c>
      <c r="CE320" s="51" t="n">
        <f aca="false">IF(AND(ISNUMBER(CE280),ISNUMBER(CE281),ISNUMBER(CE291)),CE280+CE281-CE291-N(CE292),"n/a")</f>
        <v>1004.3357771599</v>
      </c>
    </row>
    <row r="321" customFormat="false" ht="15" hidden="false" customHeight="false" outlineLevel="0" collapsed="false">
      <c r="B321" s="21" t="s">
        <v>463</v>
      </c>
      <c r="C321" s="22" t="n">
        <f aca="false">IFERROR(C320/(C133*1),"n/a")</f>
        <v>0.234702814269378</v>
      </c>
      <c r="D321" s="22" t="n">
        <f aca="false">IFERROR(D320/(D133*1),"n/a")</f>
        <v>0.213575682747687</v>
      </c>
      <c r="E321" s="22" t="n">
        <f aca="false">IFERROR(E320/(E133*1),"n/a")</f>
        <v>0.191321071778781</v>
      </c>
      <c r="F321" s="22" t="n">
        <f aca="false">IFERROR(F320/(F133*1),"n/a")</f>
        <v>0.227206620077084</v>
      </c>
      <c r="G321" s="22" t="n">
        <f aca="false">IFERROR(G320/(G133*1),"n/a")</f>
        <v>0.201718021497731</v>
      </c>
      <c r="H321" s="22" t="n">
        <f aca="false">IFERROR(H320/(H133*1),"n/a")</f>
        <v>0.195743798079796</v>
      </c>
      <c r="I321" s="22" t="n">
        <f aca="false">IFERROR(I320/(I133*1),"n/a")</f>
        <v>0.156729575971125</v>
      </c>
      <c r="J321" s="22" t="n">
        <f aca="false">IFERROR(J320/(J133*4),"n/a")</f>
        <v>0.203448710151926</v>
      </c>
      <c r="K321" s="22" t="n">
        <f aca="false">IFERROR(K320/(K133*4),"n/a")</f>
        <v>0.195397989090389</v>
      </c>
      <c r="L321" s="22" t="n">
        <f aca="false">IFERROR(L320/(L133*4),"n/a")</f>
        <v>0.205268654019874</v>
      </c>
      <c r="M321" s="22" t="n">
        <f aca="false">IFERROR(M320/(M133*4),"n/a")</f>
        <v>0.152504368409787</v>
      </c>
      <c r="N321" s="22" t="n">
        <f aca="false">IFERROR(N320/(N133*1),"n/a")</f>
        <v>0.152851485502534</v>
      </c>
      <c r="O321" s="22" t="n">
        <f aca="false">IFERROR(O320/(O133*4),"n/a")</f>
        <v>0.207824255322876</v>
      </c>
      <c r="P321" s="22" t="n">
        <f aca="false">IFERROR(P320/(P133*4),"n/a")</f>
        <v>0.198454492670868</v>
      </c>
      <c r="Q321" s="22" t="n">
        <f aca="false">IFERROR(Q320/(Q133*4),"n/a")</f>
        <v>0.176319579980916</v>
      </c>
      <c r="R321" s="22" t="n">
        <f aca="false">IFERROR(R320/(R133*4),"n/a")</f>
        <v>0.140909330159631</v>
      </c>
      <c r="S321" s="22" t="n">
        <f aca="false">IFERROR(S320/(S133*1),"n/a")</f>
        <v>0.137027231843897</v>
      </c>
      <c r="T321" s="22" t="n">
        <f aca="false">IFERROR(T320/(T133*4),"n/a")</f>
        <v>0.183111415108679</v>
      </c>
      <c r="U321" s="22" t="n">
        <f aca="false">IFERROR(U320/(U133*4),"n/a")</f>
        <v>0.180082438246532</v>
      </c>
      <c r="V321" s="22" t="n">
        <f aca="false">IFERROR(V320/(V133*4),"n/a")</f>
        <v>0.175377732242555</v>
      </c>
      <c r="W321" s="22" t="n">
        <f aca="false">IFERROR(W320/(W133*4),"n/a")</f>
        <v>0.141928924179336</v>
      </c>
      <c r="X321" s="22" t="n">
        <f aca="false">IFERROR(X320/(X133*1),"n/a")</f>
        <v>0.127161110675131</v>
      </c>
      <c r="Y321" s="22" t="n">
        <f aca="false">IFERROR(Y320/(Y133*4),"n/a")</f>
        <v>0.190313352290266</v>
      </c>
      <c r="Z321" s="22" t="n">
        <f aca="false">IFERROR(Z320/(Z133*4),"n/a")</f>
        <v>0.17352401513796</v>
      </c>
      <c r="AA321" s="22" t="n">
        <f aca="false">IFERROR(AA320/(AA133*4),"n/a")</f>
        <v>0.176806936012938</v>
      </c>
      <c r="AB321" s="22" t="n">
        <f aca="false">IFERROR(AB320/(AB133*4),"n/a")</f>
        <v>0.126461881992381</v>
      </c>
      <c r="AC321" s="22" t="n">
        <f aca="false">IFERROR(AC320/(AC133*1),"n/a")</f>
        <v>0.12538874727756</v>
      </c>
      <c r="AD321" s="22" t="n">
        <f aca="false">IFERROR(AD320/(AD133*4),"n/a")</f>
        <v>0.171112951177231</v>
      </c>
      <c r="AE321" s="22" t="n">
        <f aca="false">IFERROR(AE320/(AE133*4),"n/a")</f>
        <v>0.166729147590044</v>
      </c>
      <c r="AF321" s="22" t="n">
        <f aca="false">IFERROR(AF320/(AF133*4),"n/a")</f>
        <v>0.204894464600719</v>
      </c>
      <c r="AG321" s="22" t="n">
        <f aca="false">IFERROR(AG320/(AG133*4),"n/a")</f>
        <v>0.127907077899048</v>
      </c>
      <c r="AH321" s="22" t="n">
        <f aca="false">IFERROR(AH320/(AH133*1),"n/a")</f>
        <v>0.145662431208898</v>
      </c>
      <c r="AI321" s="22" t="n">
        <f aca="false">IFERROR(AI320/(AI133*4),"n/a")</f>
        <v>0.180530186248839</v>
      </c>
      <c r="AJ321" s="22" t="n">
        <f aca="false">IFERROR(AJ320/(AJ133*4),"n/a")</f>
        <v>0.165057489886742</v>
      </c>
      <c r="AK321" s="22" t="n">
        <f aca="false">IFERROR(AK320/(AK133*4),"n/a")</f>
        <v>0.136216437683405</v>
      </c>
      <c r="AL321" s="22" t="n">
        <f aca="false">IFERROR(AL320/(AL133*4),"n/a")</f>
        <v>0.133065887632474</v>
      </c>
      <c r="AM321" s="22" t="n">
        <f aca="false">IFERROR(AM320/(AM133*1),"n/a")</f>
        <v>0.130721233120501</v>
      </c>
      <c r="AN321" s="22" t="n">
        <f aca="false">IFERROR(AN320/(AN133*4),"n/a")</f>
        <v>0.151137288684807</v>
      </c>
      <c r="AO321" s="22" t="n">
        <f aca="false">IFERROR(AO320/(AO133*4),"n/a")</f>
        <v>0.146523587916727</v>
      </c>
      <c r="AP321" s="22" t="n">
        <f aca="false">IFERROR(AP320/(AP133*4),"n/a")</f>
        <v>0.146855153992362</v>
      </c>
      <c r="AQ321" s="22" t="n">
        <f aca="false">IFERROR(AQ320/(AQ133*4),"n/a")</f>
        <v>0.140010213131207</v>
      </c>
      <c r="AR321" s="22" t="n">
        <f aca="false">IFERROR(AR320/(AR133*1),"n/a")</f>
        <v>0.137304246834786</v>
      </c>
      <c r="AS321" s="22" t="n">
        <f aca="false">IFERROR(AS320/(AS133*4),"n/a")</f>
        <v>0.161311184901231</v>
      </c>
      <c r="AT321" s="22" t="n">
        <f aca="false">IFERROR(AT320/(AT133*4),"n/a")</f>
        <v>0.182099768590229</v>
      </c>
      <c r="AU321" s="22" t="n">
        <f aca="false">IFERROR(AU320/(AU133*4),"n/a")</f>
        <v>0.157274835248951</v>
      </c>
      <c r="AV321" s="22" t="n">
        <f aca="false">IFERROR(AV320/(AV133*4),"n/a")</f>
        <v>0.144055007682396</v>
      </c>
      <c r="AW321" s="22" t="n">
        <f aca="false">IFERROR(AW320/(AW133*1),"n/a")</f>
        <v>0.150552835730963</v>
      </c>
      <c r="AX321" s="22" t="n">
        <f aca="false">IFERROR(AX320/(AX133*4),"n/a")</f>
        <v>0.152049943132357</v>
      </c>
      <c r="AY321" s="22" t="n">
        <f aca="false">IFERROR(AY320/(AY133*4),"n/a")</f>
        <v>0.149056692810489</v>
      </c>
      <c r="AZ321" s="22" t="n">
        <f aca="false">IFERROR(AZ320/(AZ133*4),"n/a")</f>
        <v>0.155668209222101</v>
      </c>
      <c r="BA321" s="22" t="n">
        <f aca="false">IFERROR(BA320/(BA133*4),"n/a")</f>
        <v>0.157003367481946</v>
      </c>
      <c r="BB321" s="22" t="n">
        <f aca="false">IFERROR(BB320/(BB133*1),"n/a")</f>
        <v>0.163936762950732</v>
      </c>
      <c r="BC321" s="22" t="n">
        <f aca="false">IFERROR(BC320/(BC133*4),"n/a")</f>
        <v>0.172024792316802</v>
      </c>
      <c r="BD321" s="22" t="n">
        <f aca="false">IFERROR(BD320/(BD133*4),"n/a")</f>
        <v>0.167343070104962</v>
      </c>
      <c r="BE321" s="22" t="n">
        <f aca="false">IFERROR(BE320/(BE133*4),"n/a")</f>
        <v>0.155562743253069</v>
      </c>
      <c r="BF321" s="22" t="n">
        <f aca="false">IFERROR(BF320/(BF133*4),"n/a")</f>
        <v>0.200210756079378</v>
      </c>
      <c r="BG321" s="22" t="n">
        <f aca="false">IFERROR(BG320/(BG133*1),"n/a")</f>
        <v>0.198215946938366</v>
      </c>
      <c r="BH321" s="22" t="n">
        <f aca="false">IFERROR(BH320/(BH133*4),"n/a")</f>
        <v>0.184564912641929</v>
      </c>
      <c r="BI321" s="22" t="n">
        <f aca="false">IFERROR(BI320/(BI133*4),"n/a")</f>
        <v>0.171539462456332</v>
      </c>
      <c r="BJ321" s="22" t="n">
        <f aca="false">IFERROR(BJ320/(BJ133*4),"n/a")</f>
        <v>0.148662087428161</v>
      </c>
      <c r="BK321" s="22" t="n">
        <f aca="false">IFERROR(BK320/(BK133*4),"n/a")</f>
        <v>0.156796698012497</v>
      </c>
      <c r="BL321" s="22" t="n">
        <f aca="false">IFERROR(BL320/(BL133*1),"n/a")</f>
        <v>0.158383504674547</v>
      </c>
      <c r="BM321" s="22" t="n">
        <f aca="false">IFERROR(BM320/(BM133*4),"n/a")</f>
        <v>0.170512394554814</v>
      </c>
      <c r="BN321" s="22" t="n">
        <f aca="false">IFERROR(BN320/(BN133*4),"n/a")</f>
        <v>0.152018042778435</v>
      </c>
      <c r="BO321" s="22" t="n">
        <f aca="false">IFERROR(BO320/(BO133*4),"n/a")</f>
        <v>0.155380789400656</v>
      </c>
      <c r="BP321" s="22" t="n">
        <f aca="false">IFERROR(BP320/(BP133*4),"n/a")</f>
        <v>0.152894579518625</v>
      </c>
      <c r="BQ321" s="22" t="n">
        <f aca="false">IFERROR(BQ320/(BQ133*1),"n/a")</f>
        <v>0.155925032492073</v>
      </c>
      <c r="BR321" s="22" t="n">
        <f aca="false">IFERROR(BR320/(BR133*4),"n/a")</f>
        <v>0.153828998355217</v>
      </c>
      <c r="BS321" s="22" t="n">
        <f aca="false">IFERROR(BS320/(BS133*4),"n/a")</f>
        <v>0.145225655453933</v>
      </c>
      <c r="BT321" s="22" t="n">
        <f aca="false">IFERROR(BT320/(BT133*4),"n/a")</f>
        <v>0.132324658155135</v>
      </c>
      <c r="BU321" s="22" t="n">
        <f aca="false">IFERROR(BU320/(BU133*4),"n/a")</f>
        <v>0.160158846405214</v>
      </c>
      <c r="BV321" s="22" t="n">
        <f aca="false">IFERROR(BV320/(BV133*1),"n/a")</f>
        <v>0.163255967453838</v>
      </c>
      <c r="BW321" s="22" t="n">
        <f aca="false">IFERROR(BW320/(BW133*4),"n/a")</f>
        <v>0.163463476227758</v>
      </c>
      <c r="BX321" s="22" t="n">
        <f aca="false">IFERROR(BX320/(BX133*4),"n/a")</f>
        <v>0.137942816991251</v>
      </c>
      <c r="CA321" s="23" t="n">
        <f aca="false">IFERROR(CA320/CA133,"")</f>
        <v>0.163444532329511</v>
      </c>
      <c r="CB321" s="23" t="n">
        <f aca="false">IFERROR(CB320/CB133,"")</f>
        <v>0.162843141006966</v>
      </c>
      <c r="CC321" s="23" t="n">
        <f aca="false">IFERROR(CC320/CC133,"")</f>
        <v>0.162651516930426</v>
      </c>
      <c r="CD321" s="23" t="n">
        <f aca="false">IFERROR(CD320/CD133,"")</f>
        <v>0.162531717726553</v>
      </c>
      <c r="CE321" s="23" t="n">
        <f aca="false">IFERROR(CE320/CE133,"")</f>
        <v>0.162623752523929</v>
      </c>
    </row>
    <row r="322" customFormat="false" ht="15" hidden="false" customHeight="false" outlineLevel="0" collapsed="false">
      <c r="B322" s="26" t="s">
        <v>464</v>
      </c>
      <c r="D322" s="57" t="n">
        <f aca="false">IFERROR(D320-C320,"n/a")</f>
        <v>24.306</v>
      </c>
      <c r="E322" s="57" t="n">
        <f aca="false">IFERROR(E320-D320,"n/a")</f>
        <v>-12.8099999999999</v>
      </c>
      <c r="F322" s="57" t="n">
        <f aca="false">IFERROR(F320-E320,"n/a")</f>
        <v>-81.4050000000001</v>
      </c>
      <c r="G322" s="57" t="n">
        <f aca="false">IFERROR(G320-F320,"n/a")</f>
        <v>24.686</v>
      </c>
      <c r="H322" s="57" t="n">
        <f aca="false">IFERROR(H320-G320,"n/a")</f>
        <v>109.862</v>
      </c>
      <c r="I322" s="57" t="n">
        <f aca="false">IFERROR(I320-H320,"n/a")</f>
        <v>-80.246</v>
      </c>
      <c r="N322" s="57" t="n">
        <f aca="false">IFERROR(N320-I320,"n/a")</f>
        <v>-11.172</v>
      </c>
      <c r="O322" s="57" t="n">
        <f aca="false">IFERROR(O320-J320,"n/a")</f>
        <v>-15.2810000000001</v>
      </c>
      <c r="P322" s="57" t="n">
        <f aca="false">IFERROR(P320-K320,"n/a")</f>
        <v>9.76600000000019</v>
      </c>
      <c r="Q322" s="57" t="n">
        <f aca="false">IFERROR(Q320-L320,"n/a")</f>
        <v>-63.259</v>
      </c>
      <c r="R322" s="57" t="n">
        <f aca="false">IFERROR(R320-M320,"n/a")</f>
        <v>-50.533</v>
      </c>
      <c r="S322" s="57" t="n">
        <f aca="false">IFERROR(S320-N320,"n/a")</f>
        <v>-50.533</v>
      </c>
      <c r="T322" s="57" t="n">
        <f aca="false">IFERROR(T320-O320,"n/a")</f>
        <v>-87.614</v>
      </c>
      <c r="U322" s="57" t="n">
        <f aca="false">IFERROR(U320-P320,"n/a")</f>
        <v>-99.489</v>
      </c>
      <c r="V322" s="57" t="n">
        <f aca="false">IFERROR(V320-Q320,"n/a")</f>
        <v>-52.2309999999999</v>
      </c>
      <c r="W322" s="57" t="n">
        <f aca="false">IFERROR(W320-R320,"n/a")</f>
        <v>-63.0480000000001</v>
      </c>
      <c r="X322" s="57" t="n">
        <f aca="false">IFERROR(X320-S320,"n/a")</f>
        <v>-63.0480000000001</v>
      </c>
      <c r="Y322" s="57" t="n">
        <f aca="false">IFERROR(Y320-T320,"n/a")</f>
        <v>-62.6370000000001</v>
      </c>
      <c r="Z322" s="57" t="n">
        <f aca="false">IFERROR(Z320-U320,"n/a")</f>
        <v>-67.6370000000001</v>
      </c>
      <c r="AA322" s="57" t="n">
        <f aca="false">IFERROR(AA320-V320,"n/a")</f>
        <v>-51.136</v>
      </c>
      <c r="AB322" s="57" t="n">
        <f aca="false">IFERROR(AB320-W320,"n/a")</f>
        <v>-37.2429999999999</v>
      </c>
      <c r="AC322" s="57" t="n">
        <f aca="false">IFERROR(AC320-X320,"n/a")</f>
        <v>-37.2429999999999</v>
      </c>
      <c r="AD322" s="57" t="n">
        <f aca="false">IFERROR(AD320-Y320,"n/a")</f>
        <v>-21.643</v>
      </c>
      <c r="AE322" s="57" t="n">
        <f aca="false">IFERROR(AE320-Z320,"n/a")</f>
        <v>6.86699999999996</v>
      </c>
      <c r="AF322" s="57" t="n">
        <f aca="false">IFERROR(AF320-AA320,"n/a")</f>
        <v>147.245</v>
      </c>
      <c r="AG322" s="57" t="n">
        <f aca="false">IFERROR(AG320-AB320,"n/a")</f>
        <v>97.0699999999999</v>
      </c>
      <c r="AH322" s="57" t="n">
        <f aca="false">IFERROR(AH320-AC320,"n/a")</f>
        <v>97.0699999999999</v>
      </c>
      <c r="AI322" s="57" t="n">
        <f aca="false">IFERROR(AI320-AD320,"n/a")</f>
        <v>149.552</v>
      </c>
      <c r="AJ322" s="57" t="n">
        <f aca="false">IFERROR(AJ320-AE320,"n/a")</f>
        <v>103.554</v>
      </c>
      <c r="AK322" s="57" t="n">
        <f aca="false">IFERROR(AK320-AF320,"n/a")</f>
        <v>-147.08</v>
      </c>
      <c r="AL322" s="57" t="n">
        <f aca="false">IFERROR(AL320-AG320,"n/a")</f>
        <v>13.631</v>
      </c>
      <c r="AM322" s="57" t="n">
        <f aca="false">IFERROR(AM320-AH320,"n/a")</f>
        <v>13.631</v>
      </c>
      <c r="AN322" s="57" t="n">
        <f aca="false">IFERROR(AN320-AI320,"n/a")</f>
        <v>-88.1899999999999</v>
      </c>
      <c r="AO322" s="57" t="n">
        <f aca="false">IFERROR(AO320-AJ320,"n/a")</f>
        <v>-66.216</v>
      </c>
      <c r="AP322" s="57" t="n">
        <f aca="false">IFERROR(AP320-AK320,"n/a")</f>
        <v>27.6570000000001</v>
      </c>
      <c r="AQ322" s="57" t="n">
        <f aca="false">IFERROR(AQ320-AL320,"n/a")</f>
        <v>16.45</v>
      </c>
      <c r="AR322" s="57" t="n">
        <f aca="false">IFERROR(AR320-AM320,"n/a")</f>
        <v>16.45</v>
      </c>
      <c r="AS322" s="57" t="n">
        <f aca="false">IFERROR(AS320-AN320,"n/a")</f>
        <v>-6.00199999999995</v>
      </c>
      <c r="AT322" s="57" t="n">
        <f aca="false">IFERROR(AT320-AO320,"n/a")</f>
        <v>-25.1150000000001</v>
      </c>
      <c r="AU322" s="57" t="n">
        <f aca="false">IFERROR(AU320-AP320,"n/a")</f>
        <v>-8.48000000000002</v>
      </c>
      <c r="AV322" s="57" t="n">
        <f aca="false">IFERROR(AV320-AQ320,"n/a")</f>
        <v>-12.5839999999999</v>
      </c>
      <c r="AW322" s="57" t="n">
        <f aca="false">IFERROR(AW320-AR320,"n/a")</f>
        <v>-12.5839999999999</v>
      </c>
      <c r="AX322" s="57" t="n">
        <f aca="false">IFERROR(AX320-AS320,"n/a")</f>
        <v>7.46399999999994</v>
      </c>
      <c r="AY322" s="57" t="n">
        <f aca="false">IFERROR(AY320-AT320,"n/a")</f>
        <v>62.4690000000002</v>
      </c>
      <c r="AZ322" s="57" t="n">
        <f aca="false">IFERROR(AZ320-AU320,"n/a")</f>
        <v>81.36</v>
      </c>
      <c r="BA322" s="57" t="n">
        <f aca="false">IFERROR(BA320-AV320,"n/a")</f>
        <v>130.423</v>
      </c>
      <c r="BB322" s="57" t="n">
        <f aca="false">IFERROR(BB320-AW320,"n/a")</f>
        <v>130.423</v>
      </c>
      <c r="BC322" s="57" t="n">
        <f aca="false">IFERROR(BC320-AX320,"n/a")</f>
        <v>176.38</v>
      </c>
      <c r="BD322" s="57" t="n">
        <f aca="false">IFERROR(BD320-AY320,"n/a")</f>
        <v>156.262</v>
      </c>
      <c r="BE322" s="57" t="n">
        <f aca="false">IFERROR(BE320-AZ320,"n/a")</f>
        <v>79.797</v>
      </c>
      <c r="BF322" s="57" t="n">
        <f aca="false">IFERROR(BF320-BA320,"n/a")</f>
        <v>215.331</v>
      </c>
      <c r="BG322" s="57" t="n">
        <f aca="false">IFERROR(BG320-BB320,"n/a")</f>
        <v>215.331</v>
      </c>
      <c r="BH322" s="57" t="n">
        <f aca="false">IFERROR(BH320-BC320,"n/a")</f>
        <v>130.505</v>
      </c>
      <c r="BI322" s="57" t="n">
        <f aca="false">IFERROR(BI320-BD320,"n/a")</f>
        <v>78.6989999999998</v>
      </c>
      <c r="BJ322" s="57" t="n">
        <f aca="false">IFERROR(BJ320-BE320,"n/a")</f>
        <v>32.4449999999999</v>
      </c>
      <c r="BK322" s="57" t="n">
        <f aca="false">IFERROR(BK320-BF320,"n/a")</f>
        <v>-81.6460000000001</v>
      </c>
      <c r="BL322" s="57" t="n">
        <f aca="false">IFERROR(BL320-BG320,"n/a")</f>
        <v>-81.6460000000001</v>
      </c>
      <c r="BM322" s="57" t="n">
        <f aca="false">IFERROR(BM320-BH320,"n/a")</f>
        <v>-98.0799999999999</v>
      </c>
      <c r="BN322" s="57" t="n">
        <f aca="false">IFERROR(BN320-BI320,"n/a")</f>
        <v>-106.458</v>
      </c>
      <c r="BO322" s="57" t="n">
        <f aca="false">IFERROR(BO320-BJ320,"n/a")</f>
        <v>-2.9699999999998</v>
      </c>
      <c r="BP322" s="57" t="n">
        <f aca="false">IFERROR(BP320-BK320,"n/a")</f>
        <v>-38.8339999999998</v>
      </c>
      <c r="BQ322" s="57" t="n">
        <f aca="false">IFERROR(BQ320-BL320,"n/a")</f>
        <v>-38.8339999999998</v>
      </c>
      <c r="BR322" s="57" t="n">
        <f aca="false">IFERROR(BR320-BM320,"n/a")</f>
        <v>-51.2090000000003</v>
      </c>
      <c r="BS322" s="57" t="n">
        <f aca="false">IFERROR(BS320-BN320,"n/a")</f>
        <v>11.1559999999998</v>
      </c>
      <c r="BT322" s="57" t="n">
        <f aca="false">IFERROR(BT320-BO320,"n/a")</f>
        <v>-49.7230000000002</v>
      </c>
      <c r="BU322" s="57" t="n">
        <f aca="false">IFERROR(BU320-BP320,"n/a")</f>
        <v>66.0110000000001</v>
      </c>
      <c r="BV322" s="57" t="n">
        <f aca="false">IFERROR(BV320-BQ320,"n/a")</f>
        <v>66.0110000000001</v>
      </c>
      <c r="BW322" s="57" t="n">
        <f aca="false">IFERROR(BW320-BR320,"n/a")</f>
        <v>115.238</v>
      </c>
      <c r="BX322" s="57" t="n">
        <f aca="false">IFERROR(BX320-BS320,"n/a")</f>
        <v>40.562</v>
      </c>
      <c r="BY322" s="51" t="str">
        <f aca="false">IFERROR(BY320-BT320,"n/a")</f>
        <v>n/a</v>
      </c>
      <c r="BZ322" s="51" t="str">
        <f aca="false">IFERROR(BZ320-BU320,"n/a")</f>
        <v>n/a</v>
      </c>
      <c r="CA322" s="51" t="n">
        <f aca="false">IFERROR(CA320-BV320,"n/a")</f>
        <v>80.3622331881267</v>
      </c>
      <c r="CB322" s="51" t="n">
        <f aca="false">IFERROR(CB320-CA320,"n/a")</f>
        <v>45.9004599975671</v>
      </c>
      <c r="CC322" s="51" t="n">
        <f aca="false">IFERROR(CC320-CB320,"n/a")</f>
        <v>60.6985667785216</v>
      </c>
      <c r="CD322" s="51" t="n">
        <f aca="false">IFERROR(CD320-CC320,"n/a")</f>
        <v>61.1563350669708</v>
      </c>
      <c r="CE322" s="51" t="n">
        <f aca="false">IFERROR(CE320-CD320,"n/a")</f>
        <v>65.1551821287138</v>
      </c>
    </row>
    <row r="324" customFormat="false" ht="15" hidden="false" customHeight="false" outlineLevel="0" collapsed="false">
      <c r="B324" s="10" t="s">
        <v>465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</row>
    <row r="325" customFormat="false" ht="15" hidden="false" customHeight="false" outlineLevel="0" collapsed="false">
      <c r="B325" s="11" t="s">
        <v>466</v>
      </c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</row>
    <row r="326" customFormat="false" ht="15" hidden="false" customHeight="false" outlineLevel="0" collapsed="false">
      <c r="B326" s="26" t="s">
        <v>467</v>
      </c>
      <c r="CB326" s="30" t="n">
        <v>0.08</v>
      </c>
      <c r="CC326" s="30" t="n">
        <v>0.08</v>
      </c>
      <c r="CD326" s="30" t="n">
        <v>0.08</v>
      </c>
      <c r="CE326" s="30" t="n">
        <v>0.08</v>
      </c>
    </row>
    <row r="327" customFormat="false" ht="15" hidden="false" customHeight="false" outlineLevel="0" collapsed="false">
      <c r="B327" s="26" t="s">
        <v>468</v>
      </c>
      <c r="CB327" s="75" t="n">
        <v>0.45</v>
      </c>
      <c r="CC327" s="75" t="n">
        <v>0.45</v>
      </c>
      <c r="CD327" s="75" t="n">
        <v>0.45</v>
      </c>
      <c r="CE327" s="75" t="n">
        <v>0.45</v>
      </c>
      <c r="CF327" s="19" t="s">
        <v>469</v>
      </c>
    </row>
    <row r="328" customFormat="false" ht="15" hidden="false" customHeight="false" outlineLevel="0" collapsed="false">
      <c r="B328" s="79" t="s">
        <v>470</v>
      </c>
    </row>
    <row r="329" customFormat="false" ht="15" hidden="false" customHeight="false" outlineLevel="0" collapsed="false">
      <c r="B329" s="15" t="s">
        <v>471</v>
      </c>
      <c r="C329" s="62" t="n">
        <f aca="false">IF(ISNUMBER(C295),N(C290)+C295,"")</f>
        <v>161.099</v>
      </c>
      <c r="D329" s="62" t="n">
        <f aca="false">IF(ISNUMBER(D295),N(D290)+D295,"")</f>
        <v>129.815</v>
      </c>
      <c r="E329" s="62" t="n">
        <f aca="false">IF(ISNUMBER(E295),N(E290)+E295,"")</f>
        <v>142.23</v>
      </c>
      <c r="F329" s="62" t="n">
        <f aca="false">IF(ISNUMBER(F295),N(F290)+F295,"")</f>
        <v>123.717</v>
      </c>
      <c r="G329" s="62" t="n">
        <f aca="false">IF(ISNUMBER(G295),N(G290)+G295,"")</f>
        <v>97.705</v>
      </c>
      <c r="H329" s="62" t="n">
        <f aca="false">IF(ISNUMBER(H295),N(H290)+H295,"")</f>
        <v>103.378</v>
      </c>
      <c r="I329" s="62" t="n">
        <f aca="false">IF(ISNUMBER(I295),N(I290)+I295,"")</f>
        <v>20.275</v>
      </c>
      <c r="J329" s="62" t="n">
        <f aca="false">IF(ISNUMBER(J295),N(J290)+J295,"")</f>
        <v>18.483</v>
      </c>
      <c r="K329" s="62" t="n">
        <f aca="false">IF(ISNUMBER(K295),N(K290)+K295,"")</f>
        <v>16.164</v>
      </c>
      <c r="L329" s="62" t="n">
        <f aca="false">IF(ISNUMBER(L295),N(L290)+L295,"")</f>
        <v>16.143</v>
      </c>
      <c r="M329" s="62" t="n">
        <f aca="false">IF(ISNUMBER(M295),N(M290)+M295,"")</f>
        <v>19.087</v>
      </c>
      <c r="N329" s="62" t="n">
        <f aca="false">IF(ISNUMBER(N295),N(N290)+N295,"")</f>
        <v>19.087</v>
      </c>
      <c r="O329" s="62" t="n">
        <f aca="false">IF(ISNUMBER(O295),N(O290)+O295,"")</f>
        <v>9.981</v>
      </c>
      <c r="P329" s="62" t="n">
        <f aca="false">IF(ISNUMBER(P295),N(P290)+P295,"")</f>
        <v>8.067</v>
      </c>
      <c r="Q329" s="62" t="n">
        <f aca="false">IF(ISNUMBER(Q295),N(Q290)+Q295,"")</f>
        <v>88.542</v>
      </c>
      <c r="R329" s="62" t="n">
        <f aca="false">IF(ISNUMBER(R295),N(R290)+R295,"")</f>
        <v>70.654</v>
      </c>
      <c r="S329" s="62" t="n">
        <f aca="false">IF(ISNUMBER(S295),N(S290)+S295,"")</f>
        <v>70.654</v>
      </c>
      <c r="T329" s="62" t="n">
        <f aca="false">IF(ISNUMBER(T295),N(T290)+T295,"")</f>
        <v>171.867</v>
      </c>
      <c r="U329" s="62" t="n">
        <f aca="false">IF(ISNUMBER(U295),N(U290)+U295,"")</f>
        <v>214.158</v>
      </c>
      <c r="V329" s="62" t="n">
        <f aca="false">IF(ISNUMBER(V295),N(V290)+V295,"")</f>
        <v>353.352</v>
      </c>
      <c r="W329" s="62" t="n">
        <f aca="false">IF(ISNUMBER(W295),N(W290)+W295,"")</f>
        <v>354.625</v>
      </c>
      <c r="X329" s="62" t="n">
        <f aca="false">IF(ISNUMBER(X295),N(X290)+X295,"")</f>
        <v>354.625</v>
      </c>
      <c r="Y329" s="62" t="n">
        <f aca="false">IF(ISNUMBER(Y295),N(Y290)+Y295,"")</f>
        <v>374.95</v>
      </c>
      <c r="Z329" s="62" t="n">
        <f aca="false">IF(ISNUMBER(Z295),N(Z290)+Z295,"")</f>
        <v>520.839</v>
      </c>
      <c r="AA329" s="62" t="n">
        <f aca="false">IF(ISNUMBER(AA295),N(AA290)+AA295,"")</f>
        <v>543.658</v>
      </c>
      <c r="AB329" s="62" t="n">
        <f aca="false">IF(ISNUMBER(AB295),N(AB290)+AB295,"")</f>
        <v>705.593</v>
      </c>
      <c r="AC329" s="62" t="n">
        <f aca="false">IF(ISNUMBER(AC295),N(AC290)+AC295,"")</f>
        <v>705.593</v>
      </c>
      <c r="AD329" s="62" t="n">
        <f aca="false">IF(ISNUMBER(AD295),N(AD290)+AD295,"")</f>
        <v>705.514</v>
      </c>
      <c r="AE329" s="62" t="n">
        <f aca="false">IF(ISNUMBER(AE295),N(AE290)+AE295,"")</f>
        <v>706.685</v>
      </c>
      <c r="AF329" s="62" t="n">
        <f aca="false">IF(ISNUMBER(AF295),N(AF290)+AF295,"")</f>
        <v>706.939</v>
      </c>
      <c r="AG329" s="62" t="n">
        <f aca="false">IF(ISNUMBER(AG295),N(AG290)+AG295,"")</f>
        <v>706.267</v>
      </c>
      <c r="AH329" s="62" t="n">
        <f aca="false">IF(ISNUMBER(AH295),N(AH290)+AH295,"")</f>
        <v>706.267</v>
      </c>
      <c r="AI329" s="62" t="n">
        <f aca="false">IF(ISNUMBER(AI295),N(AI290)+AI295,"")</f>
        <v>702.85</v>
      </c>
      <c r="AJ329" s="62" t="n">
        <f aca="false">IF(ISNUMBER(AJ295),N(AJ290)+AJ295,"")</f>
        <v>702.083</v>
      </c>
      <c r="AK329" s="62" t="n">
        <f aca="false">IF(ISNUMBER(AK295),N(AK290)+AK295,"")</f>
        <v>699.262</v>
      </c>
      <c r="AL329" s="62" t="n">
        <f aca="false">IF(ISNUMBER(AL295),N(AL290)+AL295,"")</f>
        <v>702.66</v>
      </c>
      <c r="AM329" s="62" t="n">
        <f aca="false">IF(ISNUMBER(AM295),N(AM290)+AM295,"")</f>
        <v>702.66</v>
      </c>
      <c r="AN329" s="62" t="n">
        <f aca="false">IF(ISNUMBER(AN295),N(AN290)+AN295,"")</f>
        <v>705.835</v>
      </c>
      <c r="AO329" s="62" t="n">
        <f aca="false">IF(ISNUMBER(AO295),N(AO290)+AO295,"")</f>
        <v>740.568</v>
      </c>
      <c r="AP329" s="62" t="n">
        <f aca="false">IF(ISNUMBER(AP295),N(AP290)+AP295,"")</f>
        <v>727.177</v>
      </c>
      <c r="AQ329" s="62" t="n">
        <f aca="false">IF(ISNUMBER(AQ295),N(AQ290)+AQ295,"")</f>
        <v>747.271</v>
      </c>
      <c r="AR329" s="62" t="n">
        <f aca="false">IF(ISNUMBER(AR295),N(AR290)+AR295,"")</f>
        <v>747.271</v>
      </c>
      <c r="AS329" s="62" t="n">
        <f aca="false">IF(ISNUMBER(AS295),N(AS290)+AS295,"")</f>
        <v>848.328</v>
      </c>
      <c r="AT329" s="62" t="n">
        <f aca="false">IF(ISNUMBER(AT295),N(AT290)+AT295,"")</f>
        <v>765.414</v>
      </c>
      <c r="AU329" s="62" t="n">
        <f aca="false">IF(ISNUMBER(AU295),N(AU290)+AU295,"")</f>
        <v>716.834</v>
      </c>
      <c r="AV329" s="62" t="n">
        <f aca="false">IF(ISNUMBER(AV295),N(AV290)+AV295,"")</f>
        <v>718.19</v>
      </c>
      <c r="AW329" s="62" t="n">
        <f aca="false">IF(ISNUMBER(AW295),N(AW290)+AW295,"")</f>
        <v>718.19</v>
      </c>
      <c r="AX329" s="62" t="n">
        <f aca="false">IF(ISNUMBER(AX295),N(AX290)+AX295,"")</f>
        <v>718.935</v>
      </c>
      <c r="AY329" s="62" t="n">
        <f aca="false">IF(ISNUMBER(AY295),N(AY290)+AY295,"")</f>
        <v>728.572</v>
      </c>
      <c r="AZ329" s="62" t="n">
        <f aca="false">IF(ISNUMBER(AZ295),N(AZ290)+AZ295,"")</f>
        <v>759.191</v>
      </c>
      <c r="BA329" s="62" t="n">
        <f aca="false">IF(ISNUMBER(BA295),N(BA290)+BA295,"")</f>
        <v>769.819</v>
      </c>
      <c r="BB329" s="62" t="n">
        <f aca="false">IF(ISNUMBER(BB295),N(BB290)+BB295,"")</f>
        <v>769.819</v>
      </c>
      <c r="BC329" s="62" t="n">
        <f aca="false">IF(ISNUMBER(BC295),N(BC290)+BC295,"")</f>
        <v>865.592</v>
      </c>
      <c r="BD329" s="62" t="n">
        <f aca="false">IF(ISNUMBER(BD295),N(BD290)+BD295,"")</f>
        <v>838.366</v>
      </c>
      <c r="BE329" s="62" t="n">
        <f aca="false">IF(ISNUMBER(BE295),N(BE290)+BE295,"")</f>
        <v>779.625</v>
      </c>
      <c r="BF329" s="62" t="n">
        <f aca="false">IF(ISNUMBER(BF295),N(BF290)+BF295,"")</f>
        <v>1203.879</v>
      </c>
      <c r="BG329" s="62" t="n">
        <f aca="false">IF(ISNUMBER(BG295),N(BG290)+BG295,"")</f>
        <v>1203.879</v>
      </c>
      <c r="BH329" s="62" t="n">
        <f aca="false">IF(ISNUMBER(BH295),N(BH290)+BH295,"")</f>
        <v>1159.966</v>
      </c>
      <c r="BI329" s="62" t="n">
        <f aca="false">IF(ISNUMBER(BI295),N(BI290)+BI295,"")</f>
        <v>1114.304</v>
      </c>
      <c r="BJ329" s="62" t="n">
        <f aca="false">IF(ISNUMBER(BJ295),N(BJ290)+BJ295,"")</f>
        <v>1110.558</v>
      </c>
      <c r="BK329" s="62" t="n">
        <f aca="false">IF(ISNUMBER(BK295),N(BK290)+BK295,"")</f>
        <v>1105.21</v>
      </c>
      <c r="BL329" s="62" t="n">
        <f aca="false">IF(ISNUMBER(BL295),N(BL290)+BL295,"")</f>
        <v>1105.21</v>
      </c>
      <c r="BM329" s="62" t="n">
        <f aca="false">IF(ISNUMBER(BM295),N(BM290)+BM295,"")</f>
        <v>1107.397</v>
      </c>
      <c r="BN329" s="62" t="n">
        <f aca="false">IF(ISNUMBER(BN295),N(BN290)+BN295,"")</f>
        <v>1104.684</v>
      </c>
      <c r="BO329" s="62" t="n">
        <f aca="false">IF(ISNUMBER(BO295),N(BO290)+BO295,"")</f>
        <v>1262.609</v>
      </c>
      <c r="BP329" s="62" t="n">
        <f aca="false">IF(ISNUMBER(BP295),N(BP290)+BP295,"")</f>
        <v>1261.075</v>
      </c>
      <c r="BQ329" s="62" t="n">
        <f aca="false">IF(ISNUMBER(BQ295),N(BQ290)+BQ295,"")</f>
        <v>1261.075</v>
      </c>
      <c r="BR329" s="62" t="n">
        <f aca="false">IF(ISNUMBER(BR295),N(BR290)+BR295,"")</f>
        <v>1260.093</v>
      </c>
      <c r="BS329" s="62" t="n">
        <f aca="false">IF(ISNUMBER(BS295),N(BS290)+BS295,"")</f>
        <v>1255.718</v>
      </c>
      <c r="BT329" s="62" t="n">
        <f aca="false">IF(ISNUMBER(BT295),N(BT290)+BT295,"")</f>
        <v>1238.518</v>
      </c>
      <c r="BU329" s="62" t="n">
        <f aca="false">IF(ISNUMBER(BU295),N(BU290)+BU295,"")</f>
        <v>1294.008</v>
      </c>
      <c r="BV329" s="62" t="n">
        <f aca="false">IF(ISNUMBER(BV295),N(BV290)+BV295,"")</f>
        <v>1294.008</v>
      </c>
      <c r="BW329" s="62" t="n">
        <f aca="false">IF(ISNUMBER(BW295),N(BW290)+BW295,"")</f>
        <v>1313.64</v>
      </c>
      <c r="BX329" s="62" t="n">
        <f aca="false">IF(ISNUMBER(BX295),N(BX290)+BX295,"")</f>
        <v>1150.054</v>
      </c>
      <c r="BY329" s="16"/>
      <c r="BZ329" s="16"/>
      <c r="CA329" s="18" t="n">
        <f aca="false">CA333+CA337</f>
        <v>1176.1746172849</v>
      </c>
      <c r="CB329" s="18" t="n">
        <f aca="false">CB333+CB337</f>
        <v>1286.78453855952</v>
      </c>
      <c r="CC329" s="18" t="n">
        <f aca="false">CC333+CC337</f>
        <v>1381.18412315021</v>
      </c>
      <c r="CD329" s="18" t="n">
        <f aca="false">CD333+CD337</f>
        <v>1473.42424245488</v>
      </c>
      <c r="CE329" s="18" t="n">
        <f aca="false">CE333+CE337</f>
        <v>1557.5109406652</v>
      </c>
    </row>
    <row r="330" customFormat="false" ht="15" hidden="false" customHeight="false" outlineLevel="0" collapsed="false">
      <c r="B330" s="26" t="s">
        <v>472</v>
      </c>
      <c r="CA330" s="53" t="n">
        <v>0</v>
      </c>
      <c r="CB330" s="53" t="n">
        <v>0</v>
      </c>
      <c r="CC330" s="53" t="n">
        <v>-100</v>
      </c>
      <c r="CD330" s="53" t="n">
        <v>-75</v>
      </c>
      <c r="CE330" s="53" t="n">
        <v>-100</v>
      </c>
      <c r="CF330" s="19" t="s">
        <v>473</v>
      </c>
    </row>
    <row r="331" customFormat="false" ht="15" hidden="false" customHeight="false" outlineLevel="0" collapsed="false">
      <c r="B331" s="26" t="s">
        <v>474</v>
      </c>
      <c r="CB331" s="30" t="n">
        <v>1</v>
      </c>
      <c r="CC331" s="30" t="n">
        <v>1</v>
      </c>
      <c r="CD331" s="30" t="n">
        <v>1</v>
      </c>
      <c r="CE331" s="30" t="n">
        <v>1</v>
      </c>
    </row>
    <row r="332" customFormat="false" ht="15" hidden="false" customHeight="false" outlineLevel="0" collapsed="false">
      <c r="B332" s="26" t="s">
        <v>475</v>
      </c>
      <c r="CA332" s="53" t="n">
        <v>0</v>
      </c>
      <c r="CB332" s="51" t="n">
        <f aca="false">-CB330*CB331</f>
        <v>-0</v>
      </c>
      <c r="CC332" s="51" t="n">
        <f aca="false">-CC330*CC331</f>
        <v>100</v>
      </c>
      <c r="CD332" s="51" t="n">
        <f aca="false">-CD330*CD331</f>
        <v>75</v>
      </c>
      <c r="CE332" s="51" t="n">
        <f aca="false">-CE330*CE331</f>
        <v>100</v>
      </c>
    </row>
    <row r="333" customFormat="false" ht="15" hidden="false" customHeight="false" outlineLevel="0" collapsed="false">
      <c r="B333" s="26" t="s">
        <v>476</v>
      </c>
      <c r="CA333" s="51" t="n">
        <f aca="false">$BX$329-$BX$337+CA330+CA332</f>
        <v>1150.054</v>
      </c>
      <c r="CB333" s="51" t="n">
        <f aca="false">CA333+CB330+CB332</f>
        <v>1150.054</v>
      </c>
      <c r="CC333" s="51" t="n">
        <f aca="false">CB333+CC330+CC332</f>
        <v>1150.054</v>
      </c>
      <c r="CD333" s="51" t="n">
        <f aca="false">CC333+CD330+CD332</f>
        <v>1150.054</v>
      </c>
      <c r="CE333" s="51" t="n">
        <f aca="false">CD333+CE330+CE332</f>
        <v>1150.054</v>
      </c>
      <c r="CF333" s="19" t="s">
        <v>477</v>
      </c>
    </row>
    <row r="334" customFormat="false" ht="15" hidden="false" customHeight="false" outlineLevel="0" collapsed="false">
      <c r="B334" s="26" t="s">
        <v>478</v>
      </c>
      <c r="CB334" s="23" t="n">
        <f aca="false">(100*3.35%+50*3.61%+100*4.02%+100*2.75%+100*3.03%+100*3.27%+50*3.52%+75*5.55%+75*5.62%+400*5.74%)/1150</f>
        <v>0.0446282608695652</v>
      </c>
      <c r="CC334" s="23" t="n">
        <f aca="false">(100*3.35%+50*3.61%+100*4.02%+100*2.75%+100*3.03%+100*3.27%+50*3.52%+75*5.55%+75*5.62%+400*5.74%)/1150</f>
        <v>0.0446282608695652</v>
      </c>
      <c r="CD334" s="23" t="n">
        <f aca="false">(100*3.35%+50*3.61%+100*4.02%+100*2.75%+100*3.03%+100*3.27%+50*3.52%+75*5.55%+75*5.62%+400*5.74%)/1150</f>
        <v>0.0446282608695652</v>
      </c>
      <c r="CE334" s="23" t="n">
        <f aca="false">(100*3.35%+50*3.61%+100*4.02%+100*2.75%+100*3.03%+100*3.27%+50*3.52%+75*5.55%+75*5.62%+400*5.74%)/1150</f>
        <v>0.0446282608695652</v>
      </c>
    </row>
    <row r="335" customFormat="false" ht="15" hidden="false" customHeight="false" outlineLevel="0" collapsed="false">
      <c r="B335" s="26" t="s">
        <v>479</v>
      </c>
      <c r="CA335" s="51" t="n">
        <f aca="false">CA253+CA238+CA243+CA246+CA247+CA248+CA249+CA251+$BW$244+$BX$244+$BW$245+$BX$245+CA330+CA332</f>
        <v>223.879382715097</v>
      </c>
      <c r="CB335" s="51" t="n">
        <f aca="false">CB253+CB238+CB243+CB246+CB247+CB248+CB249+CB251+CB330+CB332</f>
        <v>139.390078725385</v>
      </c>
      <c r="CC335" s="51" t="n">
        <f aca="false">CC253+CC238+CC243+CC246+CC247+CC248+CC249+CC251+CC330+CC332</f>
        <v>155.600415409308</v>
      </c>
      <c r="CD335" s="51" t="n">
        <f aca="false">CD253+CD238+CD243+CD246+CD247+CD248+CD249+CD251+CD330+CD332</f>
        <v>157.759880695327</v>
      </c>
      <c r="CE335" s="51" t="n">
        <f aca="false">CE253+CE238+CE243+CE246+CE247+CE248+CE249+CE251+CE330+CE332</f>
        <v>165.913301789687</v>
      </c>
    </row>
    <row r="336" customFormat="false" ht="15" hidden="false" customHeight="false" outlineLevel="0" collapsed="false">
      <c r="B336" s="26" t="s">
        <v>480</v>
      </c>
      <c r="CA336" s="53" t="n">
        <v>250</v>
      </c>
      <c r="CB336" s="53" t="n">
        <v>250</v>
      </c>
      <c r="CC336" s="53" t="n">
        <v>250</v>
      </c>
      <c r="CD336" s="53" t="n">
        <v>250</v>
      </c>
      <c r="CE336" s="53" t="n">
        <v>250</v>
      </c>
      <c r="CF336" s="19" t="s">
        <v>481</v>
      </c>
    </row>
    <row r="337" customFormat="false" ht="15" hidden="false" customHeight="false" outlineLevel="0" collapsed="false">
      <c r="B337" s="26" t="s">
        <v>482</v>
      </c>
      <c r="CA337" s="51" t="n">
        <f aca="false">MAX(0,$BX$290+CA336-CA335)</f>
        <v>26.120617284903</v>
      </c>
      <c r="CB337" s="51" t="n">
        <f aca="false">MAX(0,CA337+CB336-CB335)</f>
        <v>136.730538559518</v>
      </c>
      <c r="CC337" s="51" t="n">
        <f aca="false">MAX(0,CB337+CC336-CC335)</f>
        <v>231.130123150209</v>
      </c>
      <c r="CD337" s="51" t="n">
        <f aca="false">MAX(0,CC337+CD336-CD335)</f>
        <v>323.370242454883</v>
      </c>
      <c r="CE337" s="51" t="n">
        <f aca="false">MAX(0,CD337+CE336-CE335)</f>
        <v>407.456940665195</v>
      </c>
      <c r="CF337" s="19" t="s">
        <v>483</v>
      </c>
    </row>
    <row r="338" customFormat="false" ht="15" hidden="false" customHeight="false" outlineLevel="0" collapsed="false">
      <c r="B338" s="26" t="s">
        <v>484</v>
      </c>
      <c r="D338" s="57" t="n">
        <f aca="false">IFERROR(D329-C329,"")</f>
        <v>-31.284</v>
      </c>
      <c r="E338" s="57" t="n">
        <f aca="false">IFERROR(E329-D329,"")</f>
        <v>12.415</v>
      </c>
      <c r="F338" s="57" t="n">
        <f aca="false">IFERROR(F329-E329,"")</f>
        <v>-18.513</v>
      </c>
      <c r="G338" s="57" t="n">
        <f aca="false">IFERROR(G329-F329,"")</f>
        <v>-26.012</v>
      </c>
      <c r="H338" s="57" t="n">
        <f aca="false">IFERROR(H329-G329,"")</f>
        <v>5.673</v>
      </c>
      <c r="I338" s="57" t="n">
        <f aca="false">IFERROR(I329-H329,"")</f>
        <v>-83.103</v>
      </c>
      <c r="N338" s="57" t="n">
        <f aca="false">IFERROR(N329-I329,"")</f>
        <v>-1.188</v>
      </c>
      <c r="S338" s="57" t="n">
        <f aca="false">IFERROR(S329-N329,"")</f>
        <v>51.567</v>
      </c>
      <c r="X338" s="57" t="n">
        <f aca="false">IFERROR(X329-S329,"")</f>
        <v>283.971</v>
      </c>
      <c r="AC338" s="57" t="n">
        <f aca="false">IFERROR(AC329-X329,"")</f>
        <v>350.968</v>
      </c>
      <c r="AH338" s="57" t="n">
        <f aca="false">IFERROR(AH329-AC329,"")</f>
        <v>0.673999999999978</v>
      </c>
      <c r="AM338" s="57" t="n">
        <f aca="false">IFERROR(AM329-AH329,"")</f>
        <v>-3.60699999999997</v>
      </c>
      <c r="AR338" s="57" t="n">
        <f aca="false">IFERROR(AR329-AM329,"")</f>
        <v>44.6110000000001</v>
      </c>
      <c r="AW338" s="57" t="n">
        <f aca="false">IFERROR(AW329-AR329,"")</f>
        <v>-29.081</v>
      </c>
      <c r="BB338" s="57" t="n">
        <f aca="false">IFERROR(BB329-AW329,"")</f>
        <v>51.629</v>
      </c>
      <c r="BG338" s="57" t="n">
        <f aca="false">IFERROR(BG329-BB329,"")</f>
        <v>434.06</v>
      </c>
      <c r="BL338" s="57" t="n">
        <f aca="false">IFERROR(BL329-BG329,"")</f>
        <v>-98.6689999999999</v>
      </c>
      <c r="BQ338" s="57" t="n">
        <f aca="false">IFERROR(BQ329-BL329,"")</f>
        <v>155.865</v>
      </c>
      <c r="BV338" s="57" t="n">
        <f aca="false">IFERROR(BV329-BQ329,"")</f>
        <v>32.9330000000002</v>
      </c>
      <c r="CA338" s="51" t="n">
        <f aca="false">IFERROR(CA329-BV329,"")</f>
        <v>-117.833382715097</v>
      </c>
      <c r="CB338" s="51" t="n">
        <f aca="false">IFERROR(CB329-CA329,"")</f>
        <v>110.609921274615</v>
      </c>
      <c r="CC338" s="51" t="n">
        <f aca="false">IFERROR(CC329-CB329,"")</f>
        <v>94.3995845906916</v>
      </c>
      <c r="CD338" s="51" t="n">
        <f aca="false">IFERROR(CD329-CC329,"")</f>
        <v>92.240119304673</v>
      </c>
      <c r="CE338" s="51" t="n">
        <f aca="false">IFERROR(CE329-CD329,"")</f>
        <v>84.086698210313</v>
      </c>
    </row>
    <row r="339" customFormat="false" ht="15" hidden="false" customHeight="false" outlineLevel="0" collapsed="false">
      <c r="B339" s="21" t="s">
        <v>485</v>
      </c>
      <c r="D339" s="22" t="n">
        <f aca="false">IF(AND(ISNUMBER(D141),ISNUMBER(C329)),IFERROR(D141/C329,""),"")</f>
        <v>0.0194662909142825</v>
      </c>
      <c r="E339" s="22" t="n">
        <f aca="false">IF(AND(ISNUMBER(E141),ISNUMBER(D329)),IFERROR(E141/D329,""),"")</f>
        <v>0.0254978238262142</v>
      </c>
      <c r="F339" s="22" t="n">
        <f aca="false">IF(AND(ISNUMBER(F141),ISNUMBER(E329)),IFERROR(F141/E329,""),"")</f>
        <v>0.035569148562188</v>
      </c>
      <c r="G339" s="22" t="n">
        <f aca="false">IF(AND(ISNUMBER(G141),ISNUMBER(F329)),IFERROR(G141/F329,""),"")</f>
        <v>0.0348375728477089</v>
      </c>
      <c r="H339" s="22" t="n">
        <f aca="false">IF(AND(ISNUMBER(H141),ISNUMBER(G329)),IFERROR(H141/G329,""),"")</f>
        <v>0.0366716135305256</v>
      </c>
      <c r="I339" s="22" t="n">
        <f aca="false">IF(AND(ISNUMBER(I141),ISNUMBER(H329)),IFERROR(I141/H329,""),"")</f>
        <v>0.00196366731799803</v>
      </c>
      <c r="N339" s="22" t="n">
        <f aca="false">IF(AND(ISNUMBER(N141),ISNUMBER(I329)),IFERROR(N141/I329,""),"")</f>
        <v>-0.0224907521578298</v>
      </c>
      <c r="S339" s="22" t="n">
        <f aca="false">IF(AND(ISNUMBER(S141),ISNUMBER(N329)),IFERROR(S141/N329,""),"")</f>
        <v>0.384607324356892</v>
      </c>
      <c r="X339" s="22" t="n">
        <f aca="false">IF(AND(ISNUMBER(X141),ISNUMBER(S329)),IFERROR(X141/S329,""),"")</f>
        <v>0.27047300931299</v>
      </c>
      <c r="AC339" s="22" t="n">
        <f aca="false">IF(AND(ISNUMBER(AC141),ISNUMBER(X329)),IFERROR(AC141/X329,""),"")</f>
        <v>0.0479013041945717</v>
      </c>
      <c r="AH339" s="22" t="n">
        <f aca="false">IF(AND(ISNUMBER(AH141),ISNUMBER(AC329)),IFERROR(AH141/AC329,""),"")</f>
        <v>0.0275399557535293</v>
      </c>
      <c r="AM339" s="22" t="n">
        <f aca="false">IF(AND(ISNUMBER(AM141),ISNUMBER(AH329)),IFERROR(AM141/AH329,""),"")</f>
        <v>0.0248701978147075</v>
      </c>
      <c r="AR339" s="22" t="n">
        <f aca="false">IF(AND(ISNUMBER(AR141),ISNUMBER(AM329)),IFERROR(AR141/AM329,""),"")</f>
        <v>0.03332337118948</v>
      </c>
      <c r="AW339" s="22" t="n">
        <f aca="false">IF(AND(ISNUMBER(AW141),ISNUMBER(AR329)),IFERROR(AW141/AR329,""),"")</f>
        <v>0.0294043258737459</v>
      </c>
      <c r="BB339" s="22" t="n">
        <f aca="false">IF(AND(ISNUMBER(BB141),ISNUMBER(AW329)),IFERROR(BB141/AW329,""),"")</f>
        <v>0.0309305337027806</v>
      </c>
      <c r="BG339" s="22" t="n">
        <f aca="false">IF(AND(ISNUMBER(BG141),ISNUMBER(BB329)),IFERROR(BG141/BB329,""),"")</f>
        <v>0.0383206961636437</v>
      </c>
      <c r="BL339" s="22" t="n">
        <f aca="false">IF(AND(ISNUMBER(BL141),ISNUMBER(BG329)),IFERROR(BL141/BG329,""),"")</f>
        <v>0.0368566940697529</v>
      </c>
      <c r="BQ339" s="22" t="n">
        <f aca="false">IF(AND(ISNUMBER(BQ141),ISNUMBER(BL329)),IFERROR(BQ141/BL329,""),"")</f>
        <v>0.0387130047683246</v>
      </c>
      <c r="BV339" s="22" t="n">
        <f aca="false">IF(AND(ISNUMBER(BV141),ISNUMBER(BQ329)),IFERROR(BV141/BQ329,""),"")</f>
        <v>0.0408865452094443</v>
      </c>
    </row>
    <row r="340" customFormat="false" ht="15" hidden="false" customHeight="false" outlineLevel="0" collapsed="false">
      <c r="B340" s="26" t="s">
        <v>486</v>
      </c>
      <c r="CB340" s="30" t="n">
        <v>0.05</v>
      </c>
      <c r="CC340" s="30" t="n">
        <v>0.05</v>
      </c>
      <c r="CD340" s="30" t="n">
        <v>0.05</v>
      </c>
      <c r="CE340" s="30" t="n">
        <v>0.05</v>
      </c>
    </row>
    <row r="341" customFormat="false" ht="15" hidden="false" customHeight="false" outlineLevel="0" collapsed="false">
      <c r="B341" s="26" t="s">
        <v>487</v>
      </c>
      <c r="CB341" s="30" t="n">
        <v>0.025</v>
      </c>
      <c r="CC341" s="30" t="n">
        <v>0.025</v>
      </c>
      <c r="CD341" s="30" t="n">
        <v>0.025</v>
      </c>
      <c r="CE341" s="30" t="n">
        <v>0.025</v>
      </c>
    </row>
    <row r="342" customFormat="false" ht="15" hidden="false" customHeight="false" outlineLevel="0" collapsed="false">
      <c r="B342" s="15" t="s">
        <v>488</v>
      </c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47" t="n">
        <f aca="false">CA333*CB334+CA337*CB340-CA279*CB341</f>
        <v>46.3809407903321</v>
      </c>
      <c r="CC342" s="47" t="n">
        <f aca="false">CB333*CC334+CB337*CC340-CB279*CC341</f>
        <v>51.9114368540629</v>
      </c>
      <c r="CD342" s="47" t="n">
        <f aca="false">CC333*CD334+CC337*CD340-CC279*CD341</f>
        <v>56.6314160835974</v>
      </c>
      <c r="CE342" s="47" t="n">
        <f aca="false">CD333*CE334+CD337*CE340-CD279*CE341</f>
        <v>61.2434220488311</v>
      </c>
      <c r="CF342" s="19" t="s">
        <v>489</v>
      </c>
    </row>
    <row r="343" customFormat="false" ht="15" hidden="false" customHeight="false" outlineLevel="0" collapsed="false">
      <c r="B343" s="79" t="s">
        <v>490</v>
      </c>
    </row>
    <row r="344" customFormat="false" ht="15" hidden="false" customHeight="false" outlineLevel="0" collapsed="false">
      <c r="B344" s="26" t="s">
        <v>491</v>
      </c>
      <c r="CB344" s="74" t="n">
        <f aca="false">CHOOSE(MATCH($CF$2,{"Bull","Base","Bear"},0),$CO$24,$CP$24,$CQ$24)</f>
        <v>1</v>
      </c>
      <c r="CC344" s="74" t="n">
        <f aca="false">CHOOSE(MATCH($CF$2,{"Bull","Base","Bear"},0),$CO$24,$CP$24,$CQ$24)</f>
        <v>1</v>
      </c>
      <c r="CD344" s="74" t="n">
        <f aca="false">CHOOSE(MATCH($CF$2,{"Bull","Base","Bear"},0),$CO$24,$CP$24,$CQ$24)</f>
        <v>1</v>
      </c>
      <c r="CE344" s="74" t="n">
        <f aca="false">CHOOSE(MATCH($CF$2,{"Bull","Base","Bear"},0),$CO$24,$CP$24,$CQ$24)</f>
        <v>1</v>
      </c>
    </row>
    <row r="345" customFormat="false" ht="15" hidden="false" customHeight="false" outlineLevel="0" collapsed="false">
      <c r="B345" s="26" t="s">
        <v>492</v>
      </c>
      <c r="CB345" s="51" t="n">
        <f aca="false">CA329-CA279-CB238-CB243-CB246-CB248-CB249-CB251</f>
        <v>657.900459210836</v>
      </c>
      <c r="CC345" s="51" t="n">
        <f aca="false">CB329-CB279-CC238-CC243-CC246-CC248-CC249-CC251</f>
        <v>726.192848948205</v>
      </c>
      <c r="CD345" s="51" t="n">
        <f aca="false">CC329-CC279-CD238-CD243-CD246-CD248-CD249-CD251</f>
        <v>765.19564997771</v>
      </c>
      <c r="CE345" s="51" t="n">
        <f aca="false">CD329-CD279-CE238-CE243-CE246-CE248-CE249-CE251</f>
        <v>811.947041255646</v>
      </c>
    </row>
    <row r="346" customFormat="false" ht="15" hidden="false" customHeight="false" outlineLevel="0" collapsed="false">
      <c r="B346" s="26" t="s">
        <v>493</v>
      </c>
      <c r="CB346" s="51" t="n">
        <f aca="false">CB344*CB184</f>
        <v>1036.78453855952</v>
      </c>
      <c r="CC346" s="51" t="n">
        <f aca="false">CC344*CC184</f>
        <v>1131.18412315021</v>
      </c>
      <c r="CD346" s="51" t="n">
        <f aca="false">CD344*CD184</f>
        <v>1223.42424245488</v>
      </c>
      <c r="CE346" s="51" t="n">
        <f aca="false">CE344*CE184</f>
        <v>1307.5109406652</v>
      </c>
    </row>
    <row r="347" customFormat="false" ht="15" hidden="false" customHeight="false" outlineLevel="0" collapsed="false">
      <c r="B347" s="15" t="s">
        <v>494</v>
      </c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8" t="n">
        <f aca="false">MAX(0,CB346-CB345)</f>
        <v>378.884079348682</v>
      </c>
      <c r="CC347" s="18" t="n">
        <f aca="false">MAX(0,CC346-CC345)</f>
        <v>404.991274202004</v>
      </c>
      <c r="CD347" s="18" t="n">
        <f aca="false">MAX(0,CD346-CD345)</f>
        <v>458.228592477172</v>
      </c>
      <c r="CE347" s="18" t="n">
        <f aca="false">MAX(0,CE346-CE345)</f>
        <v>495.563899409549</v>
      </c>
    </row>
    <row r="348" customFormat="false" ht="15" hidden="false" customHeight="false" outlineLevel="0" collapsed="false">
      <c r="B348" s="79" t="s">
        <v>495</v>
      </c>
    </row>
    <row r="349" customFormat="false" ht="15" hidden="false" customHeight="false" outlineLevel="0" collapsed="false">
      <c r="B349" s="21" t="s">
        <v>496</v>
      </c>
      <c r="C349" s="22" t="n">
        <f aca="false">IF(AND(ISNUMBER(C152),ISNUMBER(C133)),IFERROR(C152/C133,""),"")</f>
        <v>0.0242530737886775</v>
      </c>
      <c r="D349" s="22" t="n">
        <f aca="false">IF(AND(ISNUMBER(D152),ISNUMBER(D133)),IFERROR(D152/D133,""),"")</f>
        <v>0.0230666297203067</v>
      </c>
      <c r="E349" s="22" t="n">
        <f aca="false">IF(AND(ISNUMBER(E152),ISNUMBER(E133)),IFERROR(E152/E133,""),"")</f>
        <v>0.022961674877205</v>
      </c>
      <c r="F349" s="22" t="n">
        <f aca="false">IF(AND(ISNUMBER(F152),ISNUMBER(F133)),IFERROR(F152/F133,""),"")</f>
        <v>0.0327291337171143</v>
      </c>
      <c r="G349" s="22" t="n">
        <f aca="false">IF(AND(ISNUMBER(G152),ISNUMBER(G133)),IFERROR(G152/G133,""),"")</f>
        <v>0.0277063934784163</v>
      </c>
      <c r="H349" s="22" t="n">
        <f aca="false">IF(AND(ISNUMBER(H152),ISNUMBER(H133)),IFERROR(H152/H133,""),"")</f>
        <v>0.0230278307539239</v>
      </c>
      <c r="I349" s="22" t="n">
        <f aca="false">IF(AND(ISNUMBER(I152),ISNUMBER(I133)),IFERROR(I152/I133,""),"")</f>
        <v>0.0228971597414563</v>
      </c>
      <c r="N349" s="22" t="n">
        <f aca="false">IF(AND(ISNUMBER(N152),ISNUMBER(N133)),IFERROR(N152/N133,""),"")</f>
        <v>0.0241468434319976</v>
      </c>
      <c r="S349" s="22" t="n">
        <f aca="false">IF(AND(ISNUMBER(S152),ISNUMBER(S133)),IFERROR(S152/S133,""),"")</f>
        <v>0.0247419067267048</v>
      </c>
      <c r="X349" s="22" t="n">
        <f aca="false">IF(AND(ISNUMBER(X152),ISNUMBER(X133)),IFERROR(X152/X133,""),"")</f>
        <v>0.0252414335408557</v>
      </c>
      <c r="AC349" s="22" t="n">
        <f aca="false">IF(AND(ISNUMBER(AC152),ISNUMBER(AC133)),IFERROR(AC152/AC133,""),"")</f>
        <v>0.0286083704751663</v>
      </c>
      <c r="AH349" s="22" t="n">
        <f aca="false">IF(AND(ISNUMBER(AH152),ISNUMBER(AH133)),IFERROR(AH152/AH133,""),"")</f>
        <v>0.0259541973098169</v>
      </c>
      <c r="AM349" s="22" t="n">
        <f aca="false">IF(AND(ISNUMBER(AM152),ISNUMBER(AM133)),IFERROR(AM152/AM133,""),"")</f>
        <v>0.0238870211848486</v>
      </c>
      <c r="AR349" s="22" t="n">
        <f aca="false">IF(AND(ISNUMBER(AR152),ISNUMBER(AR133)),IFERROR(AR152/AR133,""),"")</f>
        <v>0.0271327405576318</v>
      </c>
      <c r="AW349" s="22" t="n">
        <f aca="false">IF(AND(ISNUMBER(AW152),ISNUMBER(AW133)),IFERROR(AW152/AW133,""),"")</f>
        <v>0.0303125706108308</v>
      </c>
      <c r="BB349" s="22" t="n">
        <f aca="false">IF(AND(ISNUMBER(BB152),ISNUMBER(BB133)),IFERROR(BB152/BB133,""),"")</f>
        <v>0.0250901310378519</v>
      </c>
      <c r="BG349" s="22" t="n">
        <f aca="false">IF(AND(ISNUMBER(BG152),ISNUMBER(BG133)),IFERROR(BG152/BG133,""),"")</f>
        <v>0.0207536881073675</v>
      </c>
      <c r="BL349" s="22" t="n">
        <f aca="false">IF(AND(ISNUMBER(BL152),ISNUMBER(BL133)),IFERROR(BL152/BL133,""),"")</f>
        <v>0.0206768908368952</v>
      </c>
      <c r="BQ349" s="22" t="n">
        <f aca="false">IF(AND(ISNUMBER(BQ152),ISNUMBER(BQ133)),IFERROR(BQ152/BQ133,""),"")</f>
        <v>0.022011789446375</v>
      </c>
      <c r="BV349" s="22" t="n">
        <f aca="false">IF(AND(ISNUMBER(BV152),ISNUMBER(BV133)),IFERROR(BV152/BV133,""),"")</f>
        <v>0.0232803992815502</v>
      </c>
      <c r="CA349" s="23" t="n">
        <f aca="false">IF(AND(ISNUMBER(CA152),ISNUMBER(CA133)),IFERROR(CA152/CA133,""),"")</f>
        <v>0.0217435524899641</v>
      </c>
      <c r="CB349" s="23" t="n">
        <f aca="false">IF(AND(ISNUMBER(CB152),ISNUMBER(CB133)),IFERROR(CB152/CB133,""),"")</f>
        <v>0.0236226218261453</v>
      </c>
      <c r="CC349" s="23" t="n">
        <f aca="false">IF(AND(ISNUMBER(CC152),ISNUMBER(CC133)),IFERROR(CC152/CC133,""),"")</f>
        <v>0.0247830040943506</v>
      </c>
      <c r="CD349" s="23" t="n">
        <f aca="false">IF(AND(ISNUMBER(CD152),ISNUMBER(CD133)),IFERROR(CD152/CD133,""),"")</f>
        <v>0.0258355379242702</v>
      </c>
      <c r="CE349" s="23" t="n">
        <f aca="false">IF(AND(ISNUMBER(CE152),ISNUMBER(CE133)),IFERROR(CE152/CE133,""),"")</f>
        <v>0.0267914612836127</v>
      </c>
    </row>
    <row r="350" customFormat="false" ht="15" hidden="false" customHeight="false" outlineLevel="0" collapsed="false">
      <c r="B350" s="21" t="s">
        <v>401</v>
      </c>
      <c r="C350" s="22" t="n">
        <f aca="false">IFERROR(-N(C239)/C133,"")</f>
        <v>0.0385422292543036</v>
      </c>
      <c r="D350" s="22" t="n">
        <f aca="false">IFERROR(-N(D239)/D133,"")</f>
        <v>0.0270227255189444</v>
      </c>
      <c r="E350" s="22" t="n">
        <f aca="false">IFERROR(-N(E239)/E133,"")</f>
        <v>0.029214269032173</v>
      </c>
      <c r="F350" s="22" t="n">
        <f aca="false">IFERROR(-N(F239)/F133,"")</f>
        <v>0.0220906328338013</v>
      </c>
      <c r="G350" s="22" t="n">
        <f aca="false">IFERROR(-N(G239)/G133,"")</f>
        <v>0.0292560231710215</v>
      </c>
      <c r="H350" s="22" t="n">
        <f aca="false">IFERROR(-N(H239)/H133,"")</f>
        <v>0.0244239516753637</v>
      </c>
      <c r="I350" s="22" t="n">
        <f aca="false">IFERROR(-N(I239)/I133,"")</f>
        <v>0.0184746651937869</v>
      </c>
      <c r="N350" s="22" t="n">
        <f aca="false">IFERROR(-N(N239)/N133,"")</f>
        <v>0.0266469564839408</v>
      </c>
      <c r="S350" s="22" t="n">
        <f aca="false">IFERROR(-N(S239)/S133,"")</f>
        <v>0.025944398867674</v>
      </c>
      <c r="X350" s="22" t="n">
        <f aca="false">IFERROR(-N(X239)/X133,"")</f>
        <v>0.0199176509420532</v>
      </c>
      <c r="AC350" s="22" t="n">
        <f aca="false">IFERROR(-N(AC239)/AC133,"")</f>
        <v>0.0219276765200601</v>
      </c>
      <c r="AH350" s="22" t="n">
        <f aca="false">IFERROR(-N(AH239)/AH133,"")</f>
        <v>0.023493092407459</v>
      </c>
      <c r="AM350" s="22" t="n">
        <f aca="false">IFERROR(-N(AM239)/AM133,"")</f>
        <v>0.0235238259383479</v>
      </c>
      <c r="AR350" s="22" t="n">
        <f aca="false">IFERROR(-N(AR239)/AR133,"")</f>
        <v>0.0231797186535219</v>
      </c>
      <c r="AW350" s="22" t="n">
        <f aca="false">IFERROR(-N(AW239)/AW133,"")</f>
        <v>0.0222945695563757</v>
      </c>
      <c r="BB350" s="22" t="n">
        <f aca="false">IFERROR(-N(BB239)/BB133,"")</f>
        <v>0.01933442170813</v>
      </c>
      <c r="BG350" s="22" t="n">
        <f aca="false">IFERROR(-N(BG239)/BG133,"")</f>
        <v>0.0191116637699932</v>
      </c>
      <c r="BL350" s="22" t="n">
        <f aca="false">IFERROR(-N(BL239)/BL133,"")</f>
        <v>0.021706798968231</v>
      </c>
      <c r="BQ350" s="22" t="n">
        <f aca="false">IFERROR(-N(BQ239)/BQ133,"")</f>
        <v>0.0290877024050371</v>
      </c>
      <c r="BV350" s="22" t="n">
        <f aca="false">IFERROR(-N(BV239)/BV133,"")</f>
        <v>0.0299961989159942</v>
      </c>
      <c r="CA350" s="23" t="n">
        <f aca="false">IFERROR(-N(CA239)/CA133,"")</f>
        <v>0.0254248150510761</v>
      </c>
      <c r="CB350" s="23" t="n">
        <f aca="false">IFERROR(-N(CB239)/CB133,"")</f>
        <v>0.025</v>
      </c>
      <c r="CC350" s="23" t="n">
        <f aca="false">IFERROR(-N(CC239)/CC133,"")</f>
        <v>0.025</v>
      </c>
      <c r="CD350" s="23" t="n">
        <f aca="false">IFERROR(-N(CD239)/CD133,"")</f>
        <v>0.025</v>
      </c>
      <c r="CE350" s="23" t="n">
        <f aca="false">IFERROR(-N(CE239)/CE133,"")</f>
        <v>0.025</v>
      </c>
    </row>
    <row r="352" customFormat="false" ht="15" hidden="false" customHeight="false" outlineLevel="0" collapsed="false">
      <c r="B352" s="10" t="s">
        <v>497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</row>
    <row r="353" customFormat="false" ht="15" hidden="false" customHeight="false" outlineLevel="0" collapsed="false">
      <c r="B353" s="79" t="s">
        <v>498</v>
      </c>
    </row>
    <row r="354" customFormat="false" ht="15" hidden="false" customHeight="false" outlineLevel="0" collapsed="false">
      <c r="B354" s="26" t="s">
        <v>499</v>
      </c>
      <c r="C354" s="57" t="n">
        <f aca="false">C178</f>
        <v>236.927</v>
      </c>
      <c r="D354" s="57" t="n">
        <f aca="false">D178</f>
        <v>290.105</v>
      </c>
      <c r="E354" s="57" t="n">
        <f aca="false">E178</f>
        <v>322.49</v>
      </c>
      <c r="F354" s="57" t="n">
        <f aca="false">F178</f>
        <v>122.17</v>
      </c>
      <c r="G354" s="57" t="n">
        <f aca="false">G178</f>
        <v>194.157</v>
      </c>
      <c r="H354" s="57" t="n">
        <f aca="false">H178</f>
        <v>305.196</v>
      </c>
      <c r="I354" s="57" t="n">
        <f aca="false">I178</f>
        <v>380.508</v>
      </c>
      <c r="N354" s="57" t="n">
        <f aca="false">N178</f>
        <v>437.351</v>
      </c>
      <c r="S354" s="57" t="n">
        <f aca="false">S178</f>
        <v>434.34</v>
      </c>
      <c r="X354" s="57" t="n">
        <f aca="false">X178</f>
        <v>378.807</v>
      </c>
      <c r="AC354" s="57" t="n">
        <f aca="false">AC178</f>
        <v>328.723</v>
      </c>
      <c r="AH354" s="57" t="n">
        <f aca="false">AH178</f>
        <v>370.338</v>
      </c>
      <c r="AM354" s="57" t="n">
        <f aca="false">AM178</f>
        <v>422.694</v>
      </c>
      <c r="AR354" s="57" t="n">
        <f aca="false">AR178</f>
        <v>400.753</v>
      </c>
      <c r="AW354" s="57" t="n">
        <f aca="false">AW178</f>
        <v>340.406</v>
      </c>
      <c r="BB354" s="57" t="n">
        <f aca="false">BB178</f>
        <v>491.268</v>
      </c>
      <c r="BG354" s="57" t="n">
        <f aca="false">BG178</f>
        <v>636.951</v>
      </c>
      <c r="BL354" s="57" t="n">
        <f aca="false">BL178</f>
        <v>731.374000000001</v>
      </c>
      <c r="BQ354" s="57" t="n">
        <f aca="false">BQ178</f>
        <v>713.605</v>
      </c>
      <c r="BV354" s="57" t="n">
        <f aca="false">BV178</f>
        <v>752.632</v>
      </c>
      <c r="CA354" s="51" t="n">
        <f aca="false">CA178</f>
        <v>851.95164935</v>
      </c>
      <c r="CB354" s="51" t="n">
        <f aca="false">CB178</f>
        <v>918.220283169161</v>
      </c>
      <c r="CC354" s="51" t="n">
        <f aca="false">CC178</f>
        <v>997.400687002238</v>
      </c>
      <c r="CD354" s="51" t="n">
        <f aca="false">CD178</f>
        <v>1074.13500697477</v>
      </c>
      <c r="CE354" s="51" t="n">
        <f aca="false">CE178</f>
        <v>1142.05157404797</v>
      </c>
    </row>
    <row r="355" customFormat="false" ht="15" hidden="false" customHeight="false" outlineLevel="0" collapsed="false">
      <c r="B355" s="21" t="s">
        <v>500</v>
      </c>
      <c r="C355" s="22" t="n">
        <f aca="false">C146</f>
        <v>0.265203298456578</v>
      </c>
      <c r="D355" s="22" t="n">
        <f aca="false">D146</f>
        <v>0.293989002531716</v>
      </c>
      <c r="E355" s="22" t="n">
        <f aca="false">E146</f>
        <v>0.291929194920766</v>
      </c>
      <c r="F355" s="22" t="n">
        <f aca="false">F146</f>
        <v>0.438304367433309</v>
      </c>
      <c r="G355" s="22" t="n">
        <f aca="false">G146</f>
        <v>0.293402740663147</v>
      </c>
      <c r="H355" s="22" t="n">
        <f aca="false">H146</f>
        <v>0.279818538417886</v>
      </c>
      <c r="I355" s="22" t="n">
        <f aca="false">I146</f>
        <v>0.304012771599426</v>
      </c>
      <c r="N355" s="22" t="n">
        <f aca="false">N146</f>
        <v>0.299571848112938</v>
      </c>
      <c r="S355" s="22" t="n">
        <f aca="false">S146</f>
        <v>0.324451256342915</v>
      </c>
      <c r="X355" s="22" t="n">
        <f aca="false">X146</f>
        <v>0.249577411698186</v>
      </c>
      <c r="AC355" s="22" t="n">
        <f aca="false">AC146</f>
        <v>0.284853706721271</v>
      </c>
      <c r="AH355" s="22" t="n">
        <f aca="false">AH146</f>
        <v>0.324274511517164</v>
      </c>
      <c r="AM355" s="22" t="n">
        <f aca="false">AM146</f>
        <v>0.221523897357999</v>
      </c>
      <c r="AR355" s="22" t="n">
        <f aca="false">AR146</f>
        <v>0.204644321601767</v>
      </c>
      <c r="AW355" s="22" t="n">
        <f aca="false">AW146</f>
        <v>0.219269807604908</v>
      </c>
      <c r="BB355" s="22" t="n">
        <f aca="false">BB146</f>
        <v>0.148979378334636</v>
      </c>
      <c r="BG355" s="22" t="n">
        <f aca="false">BG146</f>
        <v>0.203437090415922</v>
      </c>
      <c r="BL355" s="22" t="n">
        <f aca="false">BL146</f>
        <v>0.206179953586289</v>
      </c>
      <c r="BQ355" s="22" t="n">
        <f aca="false">BQ146</f>
        <v>0.215503181861789</v>
      </c>
      <c r="BV355" s="22" t="n">
        <f aca="false">BV146</f>
        <v>0.229353764157229</v>
      </c>
      <c r="CA355" s="23" t="n">
        <f aca="false">CA146</f>
        <v>0.225707498346018</v>
      </c>
      <c r="CB355" s="23" t="n">
        <f aca="false">CB146</f>
        <v>0.23</v>
      </c>
      <c r="CC355" s="23" t="n">
        <f aca="false">CC146</f>
        <v>0.23</v>
      </c>
      <c r="CD355" s="23" t="n">
        <f aca="false">CD146</f>
        <v>0.23</v>
      </c>
      <c r="CE355" s="23" t="n">
        <f aca="false">CE146</f>
        <v>0.23</v>
      </c>
    </row>
    <row r="356" customFormat="false" ht="15" hidden="false" customHeight="false" outlineLevel="0" collapsed="false">
      <c r="B356" s="15" t="s">
        <v>501</v>
      </c>
      <c r="C356" s="62" t="n">
        <f aca="false">IFERROR(C354*(1-C355),"n/a")</f>
        <v>174.093178106578</v>
      </c>
      <c r="D356" s="62" t="n">
        <f aca="false">IFERROR(D354*(1-D355),"n/a")</f>
        <v>204.817320420537</v>
      </c>
      <c r="E356" s="62" t="n">
        <f aca="false">IFERROR(E354*(1-E355),"n/a")</f>
        <v>228.345753930002</v>
      </c>
      <c r="F356" s="62" t="n">
        <f aca="false">IFERROR(F354*(1-F355),"n/a")</f>
        <v>68.6223554306727</v>
      </c>
      <c r="G356" s="62" t="n">
        <f aca="false">IFERROR(G354*(1-G355),"n/a")</f>
        <v>137.190804081065</v>
      </c>
      <c r="H356" s="62" t="n">
        <f aca="false">IFERROR(H354*(1-H355),"n/a")</f>
        <v>219.796501349015</v>
      </c>
      <c r="I356" s="62" t="n">
        <f aca="false">IFERROR(I354*(1-I355),"n/a")</f>
        <v>264.828708304246</v>
      </c>
      <c r="J356" s="16"/>
      <c r="K356" s="16"/>
      <c r="L356" s="16"/>
      <c r="M356" s="16"/>
      <c r="N356" s="62" t="n">
        <f aca="false">IFERROR(N354*(1-N355),"n/a")</f>
        <v>306.332952655958</v>
      </c>
      <c r="O356" s="16"/>
      <c r="P356" s="16"/>
      <c r="Q356" s="16"/>
      <c r="R356" s="16"/>
      <c r="S356" s="62" t="n">
        <f aca="false">IFERROR(S354*(1-S355),"n/a")</f>
        <v>293.417841320018</v>
      </c>
      <c r="T356" s="16"/>
      <c r="U356" s="16"/>
      <c r="V356" s="16"/>
      <c r="W356" s="16"/>
      <c r="X356" s="62" t="n">
        <f aca="false">IFERROR(X354*(1-X355),"n/a")</f>
        <v>284.265329406845</v>
      </c>
      <c r="Y356" s="16"/>
      <c r="Z356" s="16"/>
      <c r="AA356" s="16"/>
      <c r="AB356" s="16"/>
      <c r="AC356" s="62" t="n">
        <f aca="false">IFERROR(AC354*(1-AC355),"n/a")</f>
        <v>235.085034965464</v>
      </c>
      <c r="AD356" s="16"/>
      <c r="AE356" s="16"/>
      <c r="AF356" s="16"/>
      <c r="AG356" s="16"/>
      <c r="AH356" s="62" t="n">
        <f aca="false">IFERROR(AH354*(1-AH355),"n/a")</f>
        <v>250.246825953757</v>
      </c>
      <c r="AI356" s="16"/>
      <c r="AJ356" s="16"/>
      <c r="AK356" s="16"/>
      <c r="AL356" s="16"/>
      <c r="AM356" s="62" t="n">
        <f aca="false">IFERROR(AM354*(1-AM355),"n/a")</f>
        <v>329.057177730158</v>
      </c>
      <c r="AN356" s="16"/>
      <c r="AO356" s="16"/>
      <c r="AP356" s="16"/>
      <c r="AQ356" s="16"/>
      <c r="AR356" s="62" t="n">
        <f aca="false">IFERROR(AR354*(1-AR355),"n/a")</f>
        <v>318.741174185127</v>
      </c>
      <c r="AS356" s="16"/>
      <c r="AT356" s="16"/>
      <c r="AU356" s="16"/>
      <c r="AV356" s="16"/>
      <c r="AW356" s="62" t="n">
        <f aca="false">IFERROR(AW354*(1-AW355),"n/a")</f>
        <v>265.765241872444</v>
      </c>
      <c r="AX356" s="16"/>
      <c r="AY356" s="16"/>
      <c r="AZ356" s="16"/>
      <c r="BA356" s="16"/>
      <c r="BB356" s="62" t="n">
        <f aca="false">IFERROR(BB354*(1-BB355),"n/a")</f>
        <v>418.0791987643</v>
      </c>
      <c r="BC356" s="16"/>
      <c r="BD356" s="16"/>
      <c r="BE356" s="16"/>
      <c r="BF356" s="16"/>
      <c r="BG356" s="62" t="n">
        <f aca="false">IFERROR(BG354*(1-BG355),"n/a")</f>
        <v>507.371541822488</v>
      </c>
      <c r="BH356" s="16"/>
      <c r="BI356" s="16"/>
      <c r="BJ356" s="16"/>
      <c r="BK356" s="16"/>
      <c r="BL356" s="62" t="n">
        <f aca="false">IFERROR(BL354*(1-BL355),"n/a")</f>
        <v>580.579342625782</v>
      </c>
      <c r="BM356" s="16"/>
      <c r="BN356" s="16"/>
      <c r="BO356" s="16"/>
      <c r="BP356" s="16"/>
      <c r="BQ356" s="62" t="n">
        <f aca="false">IFERROR(BQ354*(1-BQ355),"n/a")</f>
        <v>559.820851907518</v>
      </c>
      <c r="BR356" s="16"/>
      <c r="BS356" s="16"/>
      <c r="BT356" s="16"/>
      <c r="BU356" s="16"/>
      <c r="BV356" s="62" t="n">
        <f aca="false">IFERROR(BV354*(1-BV355),"n/a")</f>
        <v>580.013017774816</v>
      </c>
      <c r="BW356" s="16"/>
      <c r="BX356" s="16"/>
      <c r="BY356" s="16"/>
      <c r="BZ356" s="16"/>
      <c r="CA356" s="18" t="n">
        <f aca="false">IFERROR(CA354*(1-CA355),"n/a")</f>
        <v>659.659773863448</v>
      </c>
      <c r="CB356" s="18" t="n">
        <f aca="false">IFERROR(CB354*(1-CB355),"n/a")</f>
        <v>707.029618040254</v>
      </c>
      <c r="CC356" s="18" t="n">
        <f aca="false">IFERROR(CC354*(1-CC355),"n/a")</f>
        <v>767.998528991723</v>
      </c>
      <c r="CD356" s="18" t="n">
        <f aca="false">IFERROR(CD354*(1-CD355),"n/a")</f>
        <v>827.083955370572</v>
      </c>
      <c r="CE356" s="18" t="n">
        <f aca="false">IFERROR(CE354*(1-CE355),"n/a")</f>
        <v>879.379712016933</v>
      </c>
    </row>
    <row r="357" customFormat="false" ht="15" hidden="false" customHeight="false" outlineLevel="0" collapsed="false">
      <c r="B357" s="26" t="s">
        <v>502</v>
      </c>
      <c r="C357" s="57" t="n">
        <f aca="false">IFERROR(C358+C359,"n/a")</f>
        <v>893.863</v>
      </c>
      <c r="D357" s="57" t="n">
        <f aca="false">IFERROR(D358+D359,"n/a")</f>
        <v>999.653</v>
      </c>
      <c r="E357" s="57" t="n">
        <f aca="false">IFERROR(E358+E359,"n/a")</f>
        <v>853.21</v>
      </c>
      <c r="F357" s="57" t="n">
        <f aca="false">IFERROR(F358+F359,"n/a")</f>
        <v>821.256</v>
      </c>
      <c r="G357" s="57" t="n">
        <f aca="false">IFERROR(G358+G359,"n/a")</f>
        <v>880.99</v>
      </c>
      <c r="H357" s="57" t="n">
        <f aca="false">IFERROR(H358+H359,"n/a")</f>
        <v>935.519</v>
      </c>
      <c r="I357" s="57" t="n">
        <f aca="false">IFERROR(I358+I359,"n/a")</f>
        <v>1092.132</v>
      </c>
      <c r="N357" s="57" t="n">
        <f aca="false">IFERROR(N358+N359,"n/a")</f>
        <v>1249.95</v>
      </c>
      <c r="S357" s="57" t="n">
        <f aca="false">IFERROR(S358+S359,"n/a")</f>
        <v>1078.056</v>
      </c>
      <c r="X357" s="57" t="n">
        <f aca="false">IFERROR(X358+X359,"n/a")</f>
        <v>982.89</v>
      </c>
      <c r="AC357" s="57" t="n">
        <f aca="false">IFERROR(AC358+AC359,"n/a")</f>
        <v>1038.62</v>
      </c>
      <c r="AH357" s="57" t="n">
        <f aca="false">IFERROR(AH358+AH359,"n/a")</f>
        <v>1312.019</v>
      </c>
      <c r="AM357" s="57" t="n">
        <f aca="false">IFERROR(AM358+AM359,"n/a")</f>
        <v>1231.403</v>
      </c>
      <c r="AR357" s="57" t="n">
        <f aca="false">IFERROR(AR358+AR359,"n/a")</f>
        <v>1366.785</v>
      </c>
      <c r="AW357" s="57" t="n">
        <f aca="false">IFERROR(AW358+AW359,"n/a")</f>
        <v>1251.161</v>
      </c>
      <c r="BB357" s="57" t="n">
        <f aca="false">IFERROR(BB358+BB359,"n/a")</f>
        <v>1440.77</v>
      </c>
      <c r="BG357" s="57" t="n">
        <f aca="false">IFERROR(BG358+BG359,"n/a")</f>
        <v>2040.77</v>
      </c>
      <c r="BL357" s="57" t="n">
        <f aca="false">IFERROR(BL358+BL359,"n/a")</f>
        <v>2020.275</v>
      </c>
      <c r="BQ357" s="57" t="n">
        <f aca="false">IFERROR(BQ358+BQ359,"n/a")</f>
        <v>2211.246</v>
      </c>
      <c r="BV357" s="57" t="n">
        <f aca="false">IFERROR(BV358+BV359,"n/a")</f>
        <v>2455.013</v>
      </c>
      <c r="CA357" s="51" t="n">
        <f aca="false">IFERROR(CA358+CA359,"n/a")</f>
        <v>2558.99405013157</v>
      </c>
      <c r="CB357" s="51" t="n">
        <f aca="false">IFERROR(CB358+CB359,"n/a")</f>
        <v>2811.80770625004</v>
      </c>
      <c r="CC357" s="51" t="n">
        <f aca="false">IFERROR(CC358+CC359,"n/a")</f>
        <v>3073.67765878056</v>
      </c>
      <c r="CD357" s="51" t="n">
        <f aca="false">IFERROR(CD358+CD359,"n/a")</f>
        <v>3330.00588388928</v>
      </c>
      <c r="CE357" s="51" t="n">
        <f aca="false">IFERROR(CE358+CE359,"n/a")</f>
        <v>3584.09731528906</v>
      </c>
    </row>
    <row r="358" customFormat="false" ht="15" hidden="false" customHeight="false" outlineLevel="0" collapsed="false">
      <c r="B358" s="26" t="s">
        <v>503</v>
      </c>
      <c r="C358" s="57" t="n">
        <f aca="false">C307</f>
        <v>852.976</v>
      </c>
      <c r="D358" s="57" t="n">
        <f aca="false">D307</f>
        <v>1087.22</v>
      </c>
      <c r="E358" s="57" t="n">
        <f aca="false">E307</f>
        <v>995.312</v>
      </c>
      <c r="F358" s="57" t="n">
        <f aca="false">F307</f>
        <v>1085.675</v>
      </c>
      <c r="G358" s="57" t="n">
        <f aca="false">G307</f>
        <v>1149.478</v>
      </c>
      <c r="H358" s="57" t="n">
        <f aca="false">H307</f>
        <v>1193.242</v>
      </c>
      <c r="I358" s="57" t="n">
        <f aca="false">I307</f>
        <v>1358.321</v>
      </c>
      <c r="N358" s="57" t="n">
        <f aca="false">N307</f>
        <v>1530.688</v>
      </c>
      <c r="S358" s="57" t="n">
        <f aca="false">S307</f>
        <v>1285.781</v>
      </c>
      <c r="X358" s="57" t="n">
        <f aca="false">X307</f>
        <v>932.448</v>
      </c>
      <c r="AC358" s="57" t="n">
        <f aca="false">AC307</f>
        <v>712.206</v>
      </c>
      <c r="AH358" s="57" t="n">
        <f aca="false">AH307</f>
        <v>932.453</v>
      </c>
      <c r="AM358" s="57" t="n">
        <f aca="false">AM307</f>
        <v>887.592</v>
      </c>
      <c r="AR358" s="57" t="n">
        <f aca="false">AR307</f>
        <v>819.077</v>
      </c>
      <c r="AW358" s="57" t="n">
        <f aca="false">AW307</f>
        <v>790.25</v>
      </c>
      <c r="BB358" s="57" t="n">
        <f aca="false">BB307</f>
        <v>863.909</v>
      </c>
      <c r="BG358" s="57" t="n">
        <f aca="false">BG307</f>
        <v>1034.041</v>
      </c>
      <c r="BL358" s="57" t="n">
        <f aca="false">BL307</f>
        <v>1308.852</v>
      </c>
      <c r="BQ358" s="57" t="n">
        <f aca="false">BQ307</f>
        <v>1327.433</v>
      </c>
      <c r="BV358" s="57" t="n">
        <f aca="false">BV307</f>
        <v>1469.794</v>
      </c>
      <c r="CA358" s="51" t="n">
        <f aca="false">CA307</f>
        <v>1632.81943284667</v>
      </c>
      <c r="CB358" s="51" t="n">
        <f aca="false">CB307</f>
        <v>1775.02316769052</v>
      </c>
      <c r="CC358" s="51" t="n">
        <f aca="false">CC307</f>
        <v>1942.49353563035</v>
      </c>
      <c r="CD358" s="51" t="n">
        <f aca="false">CD307</f>
        <v>2106.5816414344</v>
      </c>
      <c r="CE358" s="51" t="n">
        <f aca="false">CE307</f>
        <v>2276.58637462386</v>
      </c>
    </row>
    <row r="359" customFormat="false" ht="15" hidden="false" customHeight="false" outlineLevel="0" collapsed="false">
      <c r="B359" s="26" t="s">
        <v>504</v>
      </c>
      <c r="C359" s="57" t="n">
        <f aca="false">IFERROR(C329-C279,"n/a")</f>
        <v>40.887</v>
      </c>
      <c r="D359" s="57" t="n">
        <f aca="false">IFERROR(D329-D279,"n/a")</f>
        <v>-87.567</v>
      </c>
      <c r="E359" s="57" t="n">
        <f aca="false">IFERROR(E329-E279,"n/a")</f>
        <v>-142.102</v>
      </c>
      <c r="F359" s="57" t="n">
        <f aca="false">IFERROR(F329-F279,"n/a")</f>
        <v>-264.419</v>
      </c>
      <c r="G359" s="57" t="n">
        <f aca="false">IFERROR(G329-G279,"n/a")</f>
        <v>-268.488</v>
      </c>
      <c r="H359" s="57" t="n">
        <f aca="false">IFERROR(H329-H279,"n/a")</f>
        <v>-257.723</v>
      </c>
      <c r="I359" s="57" t="n">
        <f aca="false">IFERROR(I329-I279,"n/a")</f>
        <v>-266.189</v>
      </c>
      <c r="N359" s="57" t="n">
        <f aca="false">IFERROR(N329-N279,"n/a")</f>
        <v>-280.738</v>
      </c>
      <c r="S359" s="57" t="n">
        <f aca="false">IFERROR(S329-S279,"n/a")</f>
        <v>-207.725</v>
      </c>
      <c r="X359" s="57" t="n">
        <f aca="false">IFERROR(X329-X279,"n/a")</f>
        <v>50.442</v>
      </c>
      <c r="AC359" s="57" t="n">
        <f aca="false">IFERROR(AC329-AC279,"n/a")</f>
        <v>326.414</v>
      </c>
      <c r="AH359" s="57" t="n">
        <f aca="false">IFERROR(AH329-AH279,"n/a")</f>
        <v>379.566</v>
      </c>
      <c r="AM359" s="57" t="n">
        <f aca="false">IFERROR(AM329-AM279,"n/a")</f>
        <v>343.811</v>
      </c>
      <c r="AR359" s="57" t="n">
        <f aca="false">IFERROR(AR329-AR279,"n/a")</f>
        <v>547.708</v>
      </c>
      <c r="AW359" s="57" t="n">
        <f aca="false">IFERROR(AW329-AW279,"n/a")</f>
        <v>460.911</v>
      </c>
      <c r="BB359" s="57" t="n">
        <f aca="false">IFERROR(BB329-BB279,"n/a")</f>
        <v>576.861</v>
      </c>
      <c r="BG359" s="57" t="n">
        <f aca="false">IFERROR(BG329-BG279,"n/a")</f>
        <v>1006.729</v>
      </c>
      <c r="BL359" s="57" t="n">
        <f aca="false">IFERROR(BL329-BL279,"n/a")</f>
        <v>711.423</v>
      </c>
      <c r="BQ359" s="57" t="n">
        <f aca="false">IFERROR(BQ329-BQ279,"n/a")</f>
        <v>883.813</v>
      </c>
      <c r="BV359" s="57" t="n">
        <f aca="false">IFERROR(BV329-BV279,"n/a")</f>
        <v>985.219</v>
      </c>
      <c r="CA359" s="51" t="n">
        <f aca="false">IFERROR(CA329-CA279,"n/a")</f>
        <v>926.174617284903</v>
      </c>
      <c r="CB359" s="51" t="n">
        <f aca="false">IFERROR(CB329-CB279,"n/a")</f>
        <v>1036.78453855952</v>
      </c>
      <c r="CC359" s="51" t="n">
        <f aca="false">IFERROR(CC329-CC279,"n/a")</f>
        <v>1131.18412315021</v>
      </c>
      <c r="CD359" s="51" t="n">
        <f aca="false">IFERROR(CD329-CD279,"n/a")</f>
        <v>1223.42424245488</v>
      </c>
      <c r="CE359" s="51" t="n">
        <f aca="false">IFERROR(CE329-CE279,"n/a")</f>
        <v>1307.5109406652</v>
      </c>
    </row>
    <row r="360" customFormat="false" ht="15" hidden="false" customHeight="false" outlineLevel="0" collapsed="false">
      <c r="B360" s="58" t="s">
        <v>505</v>
      </c>
      <c r="C360" s="80" t="n">
        <f aca="false">IFERROR(C356/C357,"n/a")</f>
        <v>0.194764945082835</v>
      </c>
      <c r="D360" s="80" t="n">
        <f aca="false">IFERROR(D356/D357,"n/a")</f>
        <v>0.204888416701132</v>
      </c>
      <c r="E360" s="80" t="n">
        <f aca="false">IFERROR(E356/E357,"n/a")</f>
        <v>0.267631361481935</v>
      </c>
      <c r="F360" s="80" t="n">
        <f aca="false">IFERROR(F356/F357,"n/a")</f>
        <v>0.0835578131918339</v>
      </c>
      <c r="G360" s="80" t="n">
        <f aca="false">IFERROR(G356/G357,"n/a")</f>
        <v>0.155723452117578</v>
      </c>
      <c r="H360" s="80" t="n">
        <f aca="false">IFERROR(H356/H357,"n/a")</f>
        <v>0.234946058122833</v>
      </c>
      <c r="I360" s="80" t="n">
        <f aca="false">IFERROR(I356/I357,"n/a")</f>
        <v>0.242487820432187</v>
      </c>
      <c r="J360" s="16"/>
      <c r="K360" s="16"/>
      <c r="L360" s="16"/>
      <c r="M360" s="16"/>
      <c r="N360" s="80" t="n">
        <f aca="false">IFERROR(N356/N357,"n/a")</f>
        <v>0.245076165171373</v>
      </c>
      <c r="O360" s="16"/>
      <c r="P360" s="16"/>
      <c r="Q360" s="16"/>
      <c r="R360" s="16"/>
      <c r="S360" s="80" t="n">
        <f aca="false">IFERROR(S356/S357,"n/a")</f>
        <v>0.272173097983795</v>
      </c>
      <c r="T360" s="16"/>
      <c r="U360" s="16"/>
      <c r="V360" s="16"/>
      <c r="W360" s="16"/>
      <c r="X360" s="80" t="n">
        <f aca="false">IFERROR(X356/X357,"n/a")</f>
        <v>0.289213777133601</v>
      </c>
      <c r="Y360" s="16"/>
      <c r="Z360" s="16"/>
      <c r="AA360" s="16"/>
      <c r="AB360" s="16"/>
      <c r="AC360" s="80" t="n">
        <f aca="false">IFERROR(AC356/AC357,"n/a")</f>
        <v>0.226343643455223</v>
      </c>
      <c r="AD360" s="16"/>
      <c r="AE360" s="16"/>
      <c r="AF360" s="16"/>
      <c r="AG360" s="16"/>
      <c r="AH360" s="80" t="n">
        <f aca="false">IFERROR(AH356/AH357,"n/a")</f>
        <v>0.190734147869624</v>
      </c>
      <c r="AI360" s="16"/>
      <c r="AJ360" s="16"/>
      <c r="AK360" s="16"/>
      <c r="AL360" s="16"/>
      <c r="AM360" s="80" t="n">
        <f aca="false">IFERROR(AM356/AM357,"n/a")</f>
        <v>0.267221354609464</v>
      </c>
      <c r="AN360" s="16"/>
      <c r="AO360" s="16"/>
      <c r="AP360" s="16"/>
      <c r="AQ360" s="16"/>
      <c r="AR360" s="80" t="n">
        <f aca="false">IFERROR(AR356/AR357,"n/a")</f>
        <v>0.23320505725855</v>
      </c>
      <c r="AS360" s="16"/>
      <c r="AT360" s="16"/>
      <c r="AU360" s="16"/>
      <c r="AV360" s="16"/>
      <c r="AW360" s="80" t="n">
        <f aca="false">IFERROR(AW356/AW357,"n/a")</f>
        <v>0.212414902536479</v>
      </c>
      <c r="AX360" s="16"/>
      <c r="AY360" s="16"/>
      <c r="AZ360" s="16"/>
      <c r="BA360" s="16"/>
      <c r="BB360" s="80" t="n">
        <f aca="false">IFERROR(BB356/BB357,"n/a")</f>
        <v>0.290177612501857</v>
      </c>
      <c r="BC360" s="16"/>
      <c r="BD360" s="16"/>
      <c r="BE360" s="16"/>
      <c r="BF360" s="16"/>
      <c r="BG360" s="80" t="n">
        <f aca="false">IFERROR(BG356/BG357,"n/a")</f>
        <v>0.248617699114789</v>
      </c>
      <c r="BH360" s="16"/>
      <c r="BI360" s="16"/>
      <c r="BJ360" s="16"/>
      <c r="BK360" s="16"/>
      <c r="BL360" s="80" t="n">
        <f aca="false">IFERROR(BL356/BL357,"n/a")</f>
        <v>0.287376393127561</v>
      </c>
      <c r="BM360" s="16"/>
      <c r="BN360" s="16"/>
      <c r="BO360" s="16"/>
      <c r="BP360" s="16"/>
      <c r="BQ360" s="80" t="n">
        <f aca="false">IFERROR(BQ356/BQ357,"n/a")</f>
        <v>0.253169865273931</v>
      </c>
      <c r="BR360" s="16"/>
      <c r="BS360" s="16"/>
      <c r="BT360" s="16"/>
      <c r="BU360" s="16"/>
      <c r="BV360" s="80" t="n">
        <f aca="false">IFERROR(BV356/BV357,"n/a")</f>
        <v>0.236256597327516</v>
      </c>
      <c r="BW360" s="16"/>
      <c r="BX360" s="16"/>
      <c r="BY360" s="16"/>
      <c r="BZ360" s="16"/>
      <c r="CA360" s="80" t="n">
        <f aca="false">IFERROR(CA356/CA357,"n/a")</f>
        <v>0.257780893953048</v>
      </c>
      <c r="CB360" s="80" t="n">
        <f aca="false">IFERROR(CB356/CB357,"n/a")</f>
        <v>0.251450202824567</v>
      </c>
      <c r="CC360" s="80" t="n">
        <f aca="false">IFERROR(CC356/CC357,"n/a")</f>
        <v>0.24986306771557</v>
      </c>
      <c r="CD360" s="80" t="n">
        <f aca="false">IFERROR(CD356/CD357,"n/a")</f>
        <v>0.2483731213125</v>
      </c>
      <c r="CE360" s="80" t="n">
        <f aca="false">IFERROR(CE356/CE357,"n/a")</f>
        <v>0.245355980783689</v>
      </c>
      <c r="CF360" s="19" t="s">
        <v>506</v>
      </c>
      <c r="CH360" s="60" t="n">
        <f aca="false">IFERROR(AVERAGE(CA360,CB360,CC360,CD360,CE360),"n/m")</f>
        <v>0.250564653317875</v>
      </c>
      <c r="CI360" s="60" t="n">
        <f aca="false">IFERROR(AVERAGE(BB360,BG360,BL360,BQ360,BV360),"n/m")</f>
        <v>0.263119633469131</v>
      </c>
      <c r="CJ360" s="60" t="n">
        <f aca="false">IFERROR(AVERAGE(AC360,AH360,AM360,AR360,AW360,BB360,BG360,BL360,BQ360,BV360),"n/m")</f>
        <v>0.244551727307499</v>
      </c>
      <c r="CK360" s="60" t="n">
        <f aca="false">IFERROR(AVERAGE(C360,D360,E360,F360,G360,H360,I360,N360,S360,X360,AC360,AH360,AM360,AR360,AW360,BB360,BG360,BL360,BQ360,BV360),"n/m")</f>
        <v>0.231799009024705</v>
      </c>
    </row>
    <row r="361" customFormat="false" ht="15" hidden="false" customHeight="false" outlineLevel="0" collapsed="false">
      <c r="B361" s="21" t="s">
        <v>507</v>
      </c>
      <c r="C361" s="22" t="n">
        <f aca="false">IFERROR(C354/C133,"n/a")</f>
        <v>0.120150716435546</v>
      </c>
      <c r="D361" s="22" t="n">
        <f aca="false">IFERROR(D354/D133,"n/a")</f>
        <v>0.127195297757262</v>
      </c>
      <c r="E361" s="22" t="n">
        <f aca="false">IFERROR(E354/E133,"n/a")</f>
        <v>0.130081871429949</v>
      </c>
      <c r="F361" s="22" t="n">
        <f aca="false">IFERROR(F354/F133,"n/a")</f>
        <v>0.0706476954348185</v>
      </c>
      <c r="G361" s="22" t="n">
        <f aca="false">IFERROR(G354/G133,"n/a")</f>
        <v>0.0937878591730542</v>
      </c>
      <c r="H361" s="22" t="n">
        <f aca="false">IFERROR(H354/H133,"n/a")</f>
        <v>0.11326170141939</v>
      </c>
      <c r="I361" s="22" t="n">
        <f aca="false">IFERROR(I354/I133,"n/a")</f>
        <v>0.133354034023664</v>
      </c>
      <c r="N361" s="22" t="n">
        <f aca="false">IFERROR(N354/N133,"n/a")</f>
        <v>0.153312807540722</v>
      </c>
      <c r="S361" s="22" t="n">
        <f aca="false">IFERROR(S354/S133,"n/a")</f>
        <v>0.154386768107762</v>
      </c>
      <c r="X361" s="22" t="n">
        <f aca="false">IFERROR(X354/X133,"n/a")</f>
        <v>0.149384156659599</v>
      </c>
      <c r="AC361" s="22" t="n">
        <f aca="false">IFERROR(AC354/AC133,"n/a")</f>
        <v>0.14451814681524</v>
      </c>
      <c r="AH361" s="22" t="n">
        <f aca="false">IFERROR(AH354/AH133,"n/a")</f>
        <v>0.141111730504631</v>
      </c>
      <c r="AM361" s="22" t="n">
        <f aca="false">IFERROR(AM354/AM133,"n/a")</f>
        <v>0.1395640468403</v>
      </c>
      <c r="AR361" s="22" t="n">
        <f aca="false">IFERROR(AR354/AR133,"n/a")</f>
        <v>0.133438796086402</v>
      </c>
      <c r="AW361" s="22" t="n">
        <f aca="false">IFERROR(AW354/AW133,"n/a")</f>
        <v>0.128193869096935</v>
      </c>
      <c r="BB361" s="22" t="n">
        <f aca="false">IFERROR(BB354/BB133,"n/a")</f>
        <v>0.151898781143907</v>
      </c>
      <c r="BG361" s="22" t="n">
        <f aca="false">IFERROR(BG354/BG133,"n/a")</f>
        <v>0.169347319254357</v>
      </c>
      <c r="BL361" s="22" t="n">
        <f aca="false">IFERROR(BL354/BL133,"n/a")</f>
        <v>0.174484139367064</v>
      </c>
      <c r="BQ361" s="22" t="n">
        <f aca="false">IFERROR(BQ354/BQ133,"n/a")</f>
        <v>0.178015401616995</v>
      </c>
      <c r="BV361" s="22" t="n">
        <f aca="false">IFERROR(BV354/BV133,"n/a")</f>
        <v>0.177800960689137</v>
      </c>
      <c r="CA361" s="23" t="n">
        <f aca="false">IFERROR(CA354/CA133,"n/a")</f>
        <v>0.180505942643191</v>
      </c>
      <c r="CB361" s="23" t="n">
        <f aca="false">IFERROR(CB354/CB133,"n/a")</f>
        <v>0.182945276643346</v>
      </c>
      <c r="CC361" s="23" t="n">
        <f aca="false">IFERROR(CC354/CC133,"n/a")</f>
        <v>0.184765663234606</v>
      </c>
      <c r="CD361" s="23" t="n">
        <f aca="false">IFERROR(CD354/CD133,"n/a")</f>
        <v>0.185886514987073</v>
      </c>
      <c r="CE361" s="23" t="n">
        <f aca="false">IFERROR(CE354/CE133,"n/a")</f>
        <v>0.184922927940235</v>
      </c>
    </row>
    <row r="362" customFormat="false" ht="15" hidden="false" customHeight="false" outlineLevel="0" collapsed="false">
      <c r="B362" s="26" t="s">
        <v>508</v>
      </c>
      <c r="C362" s="73" t="n">
        <f aca="false">IFERROR(C133/C357,"n/a")</f>
        <v>2.20605954156286</v>
      </c>
      <c r="D362" s="73" t="n">
        <f aca="false">IFERROR(D133/D357,"n/a")</f>
        <v>2.28157570677025</v>
      </c>
      <c r="E362" s="73" t="n">
        <f aca="false">IFERROR(E133/E357,"n/a")</f>
        <v>2.90565159808254</v>
      </c>
      <c r="F362" s="73" t="n">
        <f aca="false">IFERROR(F133/F357,"n/a")</f>
        <v>2.10565889320748</v>
      </c>
      <c r="G362" s="73" t="n">
        <f aca="false">IFERROR(G133/G357,"n/a")</f>
        <v>2.34982462911043</v>
      </c>
      <c r="H362" s="73" t="n">
        <f aca="false">IFERROR(H133/H357,"n/a")</f>
        <v>2.88033594186756</v>
      </c>
      <c r="I362" s="73" t="n">
        <f aca="false">IFERROR(I133/I357,"n/a")</f>
        <v>2.61265762746628</v>
      </c>
      <c r="N362" s="73" t="n">
        <f aca="false">IFERROR(N133/N357,"n/a")</f>
        <v>2.28222808912357</v>
      </c>
      <c r="S362" s="73" t="n">
        <f aca="false">IFERROR(S133/S357,"n/a")</f>
        <v>2.60962695815431</v>
      </c>
      <c r="X362" s="73" t="n">
        <f aca="false">IFERROR(X133/X357,"n/a")</f>
        <v>2.57993366500829</v>
      </c>
      <c r="AC362" s="73" t="n">
        <f aca="false">IFERROR(AC133/AC357,"n/a")</f>
        <v>2.19003485394081</v>
      </c>
      <c r="AH362" s="73" t="n">
        <f aca="false">IFERROR(AH133/AH357,"n/a")</f>
        <v>2.0002995383451</v>
      </c>
      <c r="AM362" s="73" t="n">
        <f aca="false">IFERROR(AM133/AM357,"n/a")</f>
        <v>2.4595311201938</v>
      </c>
      <c r="AR362" s="73" t="n">
        <f aca="false">IFERROR(AR133/AR357,"n/a")</f>
        <v>2.19732584129911</v>
      </c>
      <c r="AW362" s="73" t="n">
        <f aca="false">IFERROR(AW133/AW357,"n/a")</f>
        <v>2.12234876246942</v>
      </c>
      <c r="BB362" s="73" t="n">
        <f aca="false">IFERROR(BB133/BB357,"n/a")</f>
        <v>2.24475801134116</v>
      </c>
      <c r="BG362" s="73" t="n">
        <f aca="false">IFERROR(BG133/BG357,"n/a")</f>
        <v>1.84303522689965</v>
      </c>
      <c r="BL362" s="73" t="n">
        <f aca="false">IFERROR(BL133/BL357,"n/a")</f>
        <v>2.07478486839663</v>
      </c>
      <c r="BQ362" s="73" t="n">
        <f aca="false">IFERROR(BQ133/BQ357,"n/a")</f>
        <v>1.81285573834842</v>
      </c>
      <c r="BV362" s="73" t="n">
        <f aca="false">IFERROR(BV133/BV357,"n/a")</f>
        <v>1.72422834420836</v>
      </c>
      <c r="CA362" s="74" t="n">
        <f aca="false">IFERROR(CA133/CA357,"n/a")</f>
        <v>1.84439598238117</v>
      </c>
      <c r="CB362" s="74" t="n">
        <f aca="false">IFERROR(CB133/CB357,"n/a")</f>
        <v>1.7850075769029</v>
      </c>
      <c r="CC362" s="74" t="n">
        <f aca="false">IFERROR(CC133/CC357,"n/a")</f>
        <v>1.75626512447646</v>
      </c>
      <c r="CD362" s="74" t="n">
        <f aca="false">IFERROR(CD133/CD357,"n/a")</f>
        <v>1.73526570893791</v>
      </c>
      <c r="CE362" s="74" t="n">
        <f aca="false">IFERROR(CE133/CE357,"n/a")</f>
        <v>1.72311856856868</v>
      </c>
    </row>
    <row r="363" customFormat="false" ht="15" hidden="false" customHeight="false" outlineLevel="0" collapsed="false">
      <c r="B363" s="21" t="s">
        <v>509</v>
      </c>
      <c r="C363" s="22" t="n">
        <f aca="false">IFERROR(1-C355,"n/a")</f>
        <v>0.734796701543423</v>
      </c>
      <c r="D363" s="22" t="n">
        <f aca="false">IFERROR(1-D355,"n/a")</f>
        <v>0.706010997468284</v>
      </c>
      <c r="E363" s="22" t="n">
        <f aca="false">IFERROR(1-E355,"n/a")</f>
        <v>0.708070805079234</v>
      </c>
      <c r="F363" s="22" t="n">
        <f aca="false">IFERROR(1-F355,"n/a")</f>
        <v>0.561695632566691</v>
      </c>
      <c r="G363" s="22" t="n">
        <f aca="false">IFERROR(1-G355,"n/a")</f>
        <v>0.706597259336854</v>
      </c>
      <c r="H363" s="22" t="n">
        <f aca="false">IFERROR(1-H355,"n/a")</f>
        <v>0.720181461582114</v>
      </c>
      <c r="I363" s="22" t="n">
        <f aca="false">IFERROR(1-I355,"n/a")</f>
        <v>0.695987228400574</v>
      </c>
      <c r="N363" s="22" t="n">
        <f aca="false">IFERROR(1-N355,"n/a")</f>
        <v>0.700428151887062</v>
      </c>
      <c r="S363" s="22" t="n">
        <f aca="false">IFERROR(1-S355,"n/a")</f>
        <v>0.675548743657085</v>
      </c>
      <c r="X363" s="22" t="n">
        <f aca="false">IFERROR(1-X355,"n/a")</f>
        <v>0.750422588301814</v>
      </c>
      <c r="AC363" s="22" t="n">
        <f aca="false">IFERROR(1-AC355,"n/a")</f>
        <v>0.715146293278729</v>
      </c>
      <c r="AH363" s="22" t="n">
        <f aca="false">IFERROR(1-AH355,"n/a")</f>
        <v>0.675725488482836</v>
      </c>
      <c r="AM363" s="22" t="n">
        <f aca="false">IFERROR(1-AM355,"n/a")</f>
        <v>0.778476102642001</v>
      </c>
      <c r="AR363" s="22" t="n">
        <f aca="false">IFERROR(1-AR355,"n/a")</f>
        <v>0.795355678398233</v>
      </c>
      <c r="AW363" s="22" t="n">
        <f aca="false">IFERROR(1-AW355,"n/a")</f>
        <v>0.780730192395092</v>
      </c>
      <c r="BB363" s="22" t="n">
        <f aca="false">IFERROR(1-BB355,"n/a")</f>
        <v>0.851020621665364</v>
      </c>
      <c r="BG363" s="22" t="n">
        <f aca="false">IFERROR(1-BG355,"n/a")</f>
        <v>0.796562909584078</v>
      </c>
      <c r="BL363" s="22" t="n">
        <f aca="false">IFERROR(1-BL355,"n/a")</f>
        <v>0.793820046413711</v>
      </c>
      <c r="BQ363" s="22" t="n">
        <f aca="false">IFERROR(1-BQ355,"n/a")</f>
        <v>0.784496818138211</v>
      </c>
      <c r="BV363" s="22" t="n">
        <f aca="false">IFERROR(1-BV355,"n/a")</f>
        <v>0.770646235842771</v>
      </c>
      <c r="CA363" s="23" t="n">
        <f aca="false">IFERROR(1-CA355,"n/a")</f>
        <v>0.774292501653982</v>
      </c>
      <c r="CB363" s="23" t="n">
        <f aca="false">IFERROR(1-CB355,"n/a")</f>
        <v>0.77</v>
      </c>
      <c r="CC363" s="23" t="n">
        <f aca="false">IFERROR(1-CC355,"n/a")</f>
        <v>0.77</v>
      </c>
      <c r="CD363" s="23" t="n">
        <f aca="false">IFERROR(1-CD355,"n/a")</f>
        <v>0.77</v>
      </c>
      <c r="CE363" s="23" t="n">
        <f aca="false">IFERROR(1-CE355,"n/a")</f>
        <v>0.77</v>
      </c>
    </row>
    <row r="364" customFormat="false" ht="15" hidden="false" customHeight="false" outlineLevel="0" collapsed="false">
      <c r="B364" s="21" t="s">
        <v>510</v>
      </c>
      <c r="C364" s="22" t="n">
        <f aca="false">IFERROR(C361*C362*C363,"n/a")</f>
        <v>0.194764945082835</v>
      </c>
      <c r="D364" s="22" t="n">
        <f aca="false">IFERROR(D361*D362*D363,"n/a")</f>
        <v>0.204888416701132</v>
      </c>
      <c r="E364" s="22" t="n">
        <f aca="false">IFERROR(E361*E362*E363,"n/a")</f>
        <v>0.267631361481935</v>
      </c>
      <c r="F364" s="22" t="n">
        <f aca="false">IFERROR(F361*F362*F363,"n/a")</f>
        <v>0.0835578131918338</v>
      </c>
      <c r="G364" s="22" t="n">
        <f aca="false">IFERROR(G361*G362*G363,"n/a")</f>
        <v>0.155723452117578</v>
      </c>
      <c r="H364" s="22" t="n">
        <f aca="false">IFERROR(H361*H362*H363,"n/a")</f>
        <v>0.234946058122833</v>
      </c>
      <c r="I364" s="22" t="n">
        <f aca="false">IFERROR(I361*I362*I363,"n/a")</f>
        <v>0.242487820432187</v>
      </c>
      <c r="N364" s="22" t="n">
        <f aca="false">IFERROR(N361*N362*N363,"n/a")</f>
        <v>0.245076165171373</v>
      </c>
      <c r="S364" s="22" t="n">
        <f aca="false">IFERROR(S361*S362*S363,"n/a")</f>
        <v>0.272173097983795</v>
      </c>
      <c r="X364" s="22" t="n">
        <f aca="false">IFERROR(X361*X362*X363,"n/a")</f>
        <v>0.289213777133601</v>
      </c>
      <c r="AC364" s="22" t="n">
        <f aca="false">IFERROR(AC361*AC362*AC363,"n/a")</f>
        <v>0.226343643455223</v>
      </c>
      <c r="AH364" s="22" t="n">
        <f aca="false">IFERROR(AH361*AH362*AH363,"n/a")</f>
        <v>0.190734147869624</v>
      </c>
      <c r="AM364" s="22" t="n">
        <f aca="false">IFERROR(AM361*AM362*AM363,"n/a")</f>
        <v>0.267221354609464</v>
      </c>
      <c r="AR364" s="22" t="n">
        <f aca="false">IFERROR(AR361*AR362*AR363,"n/a")</f>
        <v>0.23320505725855</v>
      </c>
      <c r="AW364" s="22" t="n">
        <f aca="false">IFERROR(AW361*AW362*AW363,"n/a")</f>
        <v>0.212414902536479</v>
      </c>
      <c r="BB364" s="22" t="n">
        <f aca="false">IFERROR(BB361*BB362*BB363,"n/a")</f>
        <v>0.290177612501857</v>
      </c>
      <c r="BG364" s="22" t="n">
        <f aca="false">IFERROR(BG361*BG362*BG363,"n/a")</f>
        <v>0.248617699114789</v>
      </c>
      <c r="BL364" s="22" t="n">
        <f aca="false">IFERROR(BL361*BL362*BL363,"n/a")</f>
        <v>0.28737639312756</v>
      </c>
      <c r="BQ364" s="22" t="n">
        <f aca="false">IFERROR(BQ361*BQ362*BQ363,"n/a")</f>
        <v>0.253169865273931</v>
      </c>
      <c r="BV364" s="22" t="n">
        <f aca="false">IFERROR(BV361*BV362*BV363,"n/a")</f>
        <v>0.236256597327516</v>
      </c>
      <c r="CA364" s="23" t="n">
        <f aca="false">IFERROR(CA361*CA362*CA363,"n/a")</f>
        <v>0.257780893953048</v>
      </c>
      <c r="CB364" s="23" t="n">
        <f aca="false">IFERROR(CB361*CB362*CB363,"n/a")</f>
        <v>0.251450202824567</v>
      </c>
      <c r="CC364" s="23" t="n">
        <f aca="false">IFERROR(CC361*CC362*CC363,"n/a")</f>
        <v>0.24986306771557</v>
      </c>
      <c r="CD364" s="23" t="n">
        <f aca="false">IFERROR(CD361*CD362*CD363,"n/a")</f>
        <v>0.2483731213125</v>
      </c>
      <c r="CE364" s="23" t="n">
        <f aca="false">IFERROR(CE361*CE362*CE363,"n/a")</f>
        <v>0.245355980783689</v>
      </c>
    </row>
    <row r="365" customFormat="false" ht="15" hidden="false" customHeight="false" outlineLevel="0" collapsed="false">
      <c r="B365" s="79" t="s">
        <v>511</v>
      </c>
    </row>
    <row r="366" customFormat="false" ht="15" hidden="false" customHeight="false" outlineLevel="0" collapsed="false">
      <c r="B366" s="26" t="s">
        <v>501</v>
      </c>
      <c r="C366" s="57" t="n">
        <f aca="false">C356</f>
        <v>174.093178106578</v>
      </c>
      <c r="D366" s="57" t="n">
        <f aca="false">D356</f>
        <v>204.817320420537</v>
      </c>
      <c r="E366" s="57" t="n">
        <f aca="false">E356</f>
        <v>228.345753930002</v>
      </c>
      <c r="F366" s="57" t="n">
        <f aca="false">F356</f>
        <v>68.6223554306727</v>
      </c>
      <c r="G366" s="57" t="n">
        <f aca="false">G356</f>
        <v>137.190804081065</v>
      </c>
      <c r="H366" s="57" t="n">
        <f aca="false">H356</f>
        <v>219.796501349015</v>
      </c>
      <c r="I366" s="57" t="n">
        <f aca="false">I356</f>
        <v>264.828708304246</v>
      </c>
      <c r="N366" s="57" t="n">
        <f aca="false">N356</f>
        <v>306.332952655958</v>
      </c>
      <c r="S366" s="57" t="n">
        <f aca="false">S356</f>
        <v>293.417841320018</v>
      </c>
      <c r="X366" s="57" t="n">
        <f aca="false">X356</f>
        <v>284.265329406845</v>
      </c>
      <c r="AC366" s="57" t="n">
        <f aca="false">AC356</f>
        <v>235.085034965464</v>
      </c>
      <c r="AH366" s="57" t="n">
        <f aca="false">AH356</f>
        <v>250.246825953757</v>
      </c>
      <c r="AM366" s="57" t="n">
        <f aca="false">AM356</f>
        <v>329.057177730158</v>
      </c>
      <c r="AR366" s="57" t="n">
        <f aca="false">AR356</f>
        <v>318.741174185127</v>
      </c>
      <c r="AW366" s="57" t="n">
        <f aca="false">AW356</f>
        <v>265.765241872444</v>
      </c>
      <c r="BB366" s="57" t="n">
        <f aca="false">BB356</f>
        <v>418.0791987643</v>
      </c>
      <c r="BG366" s="57" t="n">
        <f aca="false">BG356</f>
        <v>507.371541822488</v>
      </c>
      <c r="BL366" s="57" t="n">
        <f aca="false">BL356</f>
        <v>580.579342625782</v>
      </c>
      <c r="BQ366" s="57" t="n">
        <f aca="false">BQ356</f>
        <v>559.820851907518</v>
      </c>
      <c r="BV366" s="57" t="n">
        <f aca="false">BV356</f>
        <v>580.013017774816</v>
      </c>
      <c r="CA366" s="51" t="n">
        <f aca="false">CA356</f>
        <v>659.659773863448</v>
      </c>
      <c r="CB366" s="51" t="n">
        <f aca="false">CB356</f>
        <v>707.029618040254</v>
      </c>
      <c r="CC366" s="51" t="n">
        <f aca="false">CC356</f>
        <v>767.998528991723</v>
      </c>
      <c r="CD366" s="51" t="n">
        <f aca="false">CD356</f>
        <v>827.083955370572</v>
      </c>
      <c r="CE366" s="51" t="n">
        <f aca="false">CE356</f>
        <v>879.379712016933</v>
      </c>
    </row>
    <row r="367" customFormat="false" ht="15" hidden="false" customHeight="false" outlineLevel="0" collapsed="false">
      <c r="B367" s="26" t="s">
        <v>512</v>
      </c>
      <c r="C367" s="57" t="n">
        <f aca="false">C288</f>
        <v>1394.579</v>
      </c>
      <c r="D367" s="57" t="n">
        <f aca="false">D288</f>
        <v>1645.296</v>
      </c>
      <c r="E367" s="57" t="n">
        <f aca="false">E288</f>
        <v>1718.805</v>
      </c>
      <c r="F367" s="57" t="n">
        <f aca="false">F288</f>
        <v>1705.292</v>
      </c>
      <c r="G367" s="57" t="n">
        <f aca="false">G288</f>
        <v>1783.788</v>
      </c>
      <c r="H367" s="57" t="n">
        <f aca="false">H288</f>
        <v>1976.776</v>
      </c>
      <c r="I367" s="57" t="n">
        <f aca="false">I288</f>
        <v>2089.863</v>
      </c>
      <c r="N367" s="57" t="n">
        <f aca="false">N288</f>
        <v>2151.867</v>
      </c>
      <c r="S367" s="57" t="n">
        <f aca="false">S288</f>
        <v>1939.215</v>
      </c>
      <c r="X367" s="57" t="n">
        <f aca="false">X288</f>
        <v>1784.171</v>
      </c>
      <c r="AC367" s="57" t="n">
        <f aca="false">AC288</f>
        <v>1943.437</v>
      </c>
      <c r="AH367" s="57" t="n">
        <f aca="false">AH288</f>
        <v>2406.547</v>
      </c>
      <c r="AM367" s="57" t="n">
        <f aca="false">AM288</f>
        <v>2349.825</v>
      </c>
      <c r="AR367" s="57" t="n">
        <f aca="false">AR288</f>
        <v>2371.213</v>
      </c>
      <c r="AW367" s="57" t="n">
        <f aca="false">AW288</f>
        <v>2314.453</v>
      </c>
      <c r="BB367" s="57" t="n">
        <f aca="false">BB288</f>
        <v>2592.307</v>
      </c>
      <c r="BG367" s="57" t="n">
        <f aca="false">BG288</f>
        <v>3180.546</v>
      </c>
      <c r="BL367" s="57" t="n">
        <f aca="false">BL288</f>
        <v>3377.297</v>
      </c>
      <c r="BQ367" s="57" t="n">
        <f aca="false">BQ288</f>
        <v>3520.142</v>
      </c>
      <c r="BV367" s="57" t="n">
        <f aca="false">BV288</f>
        <v>3777.577</v>
      </c>
      <c r="CA367" s="51" t="n">
        <f aca="false">CA288</f>
        <v>3844.23072671636</v>
      </c>
      <c r="CB367" s="51" t="n">
        <f aca="false">CB288</f>
        <v>4126.66109192532</v>
      </c>
      <c r="CC367" s="51" t="n">
        <f aca="false">CC288</f>
        <v>4429.43503420848</v>
      </c>
      <c r="CD367" s="51" t="n">
        <f aca="false">CD288</f>
        <v>4727.15295339119</v>
      </c>
      <c r="CE367" s="51" t="n">
        <f aca="false">CE288</f>
        <v>5026.14611938891</v>
      </c>
    </row>
    <row r="368" customFormat="false" ht="15" hidden="false" customHeight="false" outlineLevel="0" collapsed="false">
      <c r="B368" s="26" t="s">
        <v>513</v>
      </c>
      <c r="C368" s="57" t="n">
        <f aca="false">-(N(C285)+N(C286))</f>
        <v>-76.712</v>
      </c>
      <c r="D368" s="57" t="n">
        <f aca="false">-(N(D285)+N(D286))</f>
        <v>-93.921</v>
      </c>
      <c r="E368" s="57" t="n">
        <f aca="false">-(N(E285)+N(E286))</f>
        <v>-101.449</v>
      </c>
      <c r="F368" s="57" t="n">
        <f aca="false">-(N(F285)+N(F286))</f>
        <v>-121.328</v>
      </c>
      <c r="G368" s="57" t="n">
        <f aca="false">-(N(G285)+N(G286))</f>
        <v>-127.21</v>
      </c>
      <c r="H368" s="57" t="n">
        <f aca="false">-(N(H285)+N(H286))</f>
        <v>-159.572</v>
      </c>
      <c r="I368" s="57" t="n">
        <f aca="false">-(N(I285)+N(I286))</f>
        <v>-265.805</v>
      </c>
      <c r="N368" s="57" t="n">
        <f aca="false">-(N(N285)+N(N286))</f>
        <v>-321.727</v>
      </c>
      <c r="S368" s="57" t="n">
        <f aca="false">-(N(S285)+N(S286))</f>
        <v>-311.878</v>
      </c>
      <c r="X368" s="57" t="n">
        <f aca="false">-(N(X285)+N(X286))</f>
        <v>-308.223</v>
      </c>
      <c r="AC368" s="57" t="n">
        <f aca="false">-(N(AC285)+N(AC286))</f>
        <v>-362.007</v>
      </c>
      <c r="AH368" s="57" t="n">
        <f aca="false">-(N(AH285)+N(AH286))</f>
        <v>-362.034</v>
      </c>
      <c r="AM368" s="57" t="n">
        <f aca="false">-(N(AM285)+N(AM286))</f>
        <v>-429.24</v>
      </c>
      <c r="AR368" s="57" t="n">
        <f aca="false">-(N(AR285)+N(AR286))</f>
        <v>-514.905</v>
      </c>
      <c r="AW368" s="57" t="n">
        <f aca="false">-(N(AW285)+N(AW286))</f>
        <v>-470.044</v>
      </c>
      <c r="BB368" s="57" t="n">
        <f aca="false">-(N(BB285)+N(BB286))</f>
        <v>-579.555</v>
      </c>
      <c r="BG368" s="57" t="n">
        <f aca="false">-(N(BG285)+N(BG286))</f>
        <v>-867.963</v>
      </c>
      <c r="BL368" s="57" t="n">
        <f aca="false">-(N(BL285)+N(BL286))</f>
        <v>-881.119</v>
      </c>
      <c r="BQ368" s="57" t="n">
        <f aca="false">-(N(BQ285)+N(BQ286))</f>
        <v>-1025.932</v>
      </c>
      <c r="BV368" s="57" t="n">
        <f aca="false">-(N(BV285)+N(BV286))</f>
        <v>-1137.11</v>
      </c>
      <c r="CA368" s="51" t="n">
        <f aca="false">-(N(CA285)+N(CA286))</f>
        <v>-870.232</v>
      </c>
      <c r="CB368" s="51" t="n">
        <f aca="false">-(N(CB285)+N(CB286))</f>
        <v>-1009.31533333333</v>
      </c>
      <c r="CC368" s="51" t="n">
        <f aca="false">-(N(CC285)+N(CC286))</f>
        <v>-1142.56533333333</v>
      </c>
      <c r="CD368" s="51" t="n">
        <f aca="false">-(N(CD285)+N(CD286))</f>
        <v>-1269.982</v>
      </c>
      <c r="CE368" s="51" t="n">
        <f aca="false">-(N(CE285)+N(CE286))</f>
        <v>-1391.56533333333</v>
      </c>
    </row>
    <row r="369" customFormat="false" ht="15" hidden="false" customHeight="false" outlineLevel="0" collapsed="false">
      <c r="B369" s="26" t="s">
        <v>514</v>
      </c>
      <c r="C369" s="57" t="n">
        <f aca="false">-(C294-N(C290))</f>
        <v>-291.154</v>
      </c>
      <c r="D369" s="57" t="n">
        <f aca="false">-(D294-N(D290))</f>
        <v>-299.435</v>
      </c>
      <c r="E369" s="57" t="n">
        <f aca="false">-(E294-N(E290))</f>
        <v>-305.949</v>
      </c>
      <c r="F369" s="57" t="n">
        <f aca="false">-(F294-N(F290))</f>
        <v>-262.104</v>
      </c>
      <c r="G369" s="57" t="n">
        <f aca="false">-(G294-N(G290))</f>
        <v>-322.514</v>
      </c>
      <c r="H369" s="57" t="n">
        <f aca="false">-(H294-N(H290))</f>
        <v>-369.624</v>
      </c>
      <c r="I369" s="57" t="n">
        <f aca="false">-(I294-N(I290))</f>
        <v>-421.591</v>
      </c>
      <c r="N369" s="57" t="n">
        <f aca="false">-(N294-N(N290))</f>
        <v>-441.621</v>
      </c>
      <c r="S369" s="57" t="n">
        <f aca="false">-(S294-N(S290))</f>
        <v>-424.253</v>
      </c>
      <c r="X369" s="57" t="n">
        <f aca="false">-(X294-N(X290))</f>
        <v>-365.844</v>
      </c>
      <c r="AC369" s="57" t="n">
        <f aca="false">-(AC294-N(AC290))</f>
        <v>-386.218</v>
      </c>
      <c r="AH369" s="57" t="n">
        <f aca="false">-(AH294-N(AH290))</f>
        <v>-526.611</v>
      </c>
      <c r="AM369" s="57" t="n">
        <f aca="false">-(AM294-N(AM290))</f>
        <v>-538.071</v>
      </c>
      <c r="AR369" s="57" t="n">
        <f aca="false">-(AR294-N(AR290))</f>
        <v>-528.166</v>
      </c>
      <c r="AW369" s="57" t="n">
        <f aca="false">-(AW294-N(AW290))</f>
        <v>-546.715</v>
      </c>
      <c r="BB369" s="57" t="n">
        <f aca="false">-(BB294-N(BB290))</f>
        <v>-703.175</v>
      </c>
      <c r="BG369" s="57" t="n">
        <f aca="false">-(BG294-N(BG290))</f>
        <v>-759.414</v>
      </c>
      <c r="BL369" s="57" t="n">
        <f aca="false">-(BL294-N(BL290))</f>
        <v>-752.171</v>
      </c>
      <c r="BQ369" s="57" t="n">
        <f aca="false">-(BQ294-N(BQ290))</f>
        <v>-768.278</v>
      </c>
      <c r="BV369" s="57" t="n">
        <f aca="false">-(BV294-N(BV290))</f>
        <v>-812.911</v>
      </c>
      <c r="CA369" s="51" t="n">
        <f aca="false">-(CA294-N(CA290))</f>
        <v>-814.243676584784</v>
      </c>
      <c r="CB369" s="51" t="n">
        <f aca="false">-(CB294-N(CB290))</f>
        <v>-843.860385675278</v>
      </c>
      <c r="CC369" s="51" t="n">
        <f aca="false">-(CC294-N(CC290))</f>
        <v>-884.764375427916</v>
      </c>
      <c r="CD369" s="51" t="n">
        <f aca="false">-(CD294-N(CD290))</f>
        <v>-926.154069501915</v>
      </c>
      <c r="CE369" s="51" t="n">
        <f aca="false">-(CE294-N(CE290))</f>
        <v>-971.055804099851</v>
      </c>
    </row>
    <row r="370" customFormat="false" ht="15" hidden="false" customHeight="false" outlineLevel="0" collapsed="false">
      <c r="B370" s="15" t="s">
        <v>515</v>
      </c>
      <c r="C370" s="62" t="n">
        <f aca="false">SUM(C367:C369)</f>
        <v>1026.713</v>
      </c>
      <c r="D370" s="62" t="n">
        <f aca="false">SUM(D367:D369)</f>
        <v>1251.94</v>
      </c>
      <c r="E370" s="62" t="n">
        <f aca="false">SUM(E367:E369)</f>
        <v>1311.407</v>
      </c>
      <c r="F370" s="62" t="n">
        <f aca="false">SUM(F367:F369)</f>
        <v>1321.86</v>
      </c>
      <c r="G370" s="62" t="n">
        <f aca="false">SUM(G367:G369)</f>
        <v>1334.064</v>
      </c>
      <c r="H370" s="62" t="n">
        <f aca="false">SUM(H367:H369)</f>
        <v>1447.58</v>
      </c>
      <c r="I370" s="62" t="n">
        <f aca="false">SUM(I367:I369)</f>
        <v>1402.467</v>
      </c>
      <c r="J370" s="16"/>
      <c r="K370" s="16"/>
      <c r="L370" s="16"/>
      <c r="M370" s="16"/>
      <c r="N370" s="62" t="n">
        <f aca="false">SUM(N367:N369)</f>
        <v>1388.519</v>
      </c>
      <c r="O370" s="16"/>
      <c r="P370" s="16"/>
      <c r="Q370" s="16"/>
      <c r="R370" s="16"/>
      <c r="S370" s="62" t="n">
        <f aca="false">SUM(S367:S369)</f>
        <v>1203.084</v>
      </c>
      <c r="T370" s="16"/>
      <c r="U370" s="16"/>
      <c r="V370" s="16"/>
      <c r="W370" s="16"/>
      <c r="X370" s="62" t="n">
        <f aca="false">SUM(X367:X369)</f>
        <v>1110.104</v>
      </c>
      <c r="Y370" s="16"/>
      <c r="Z370" s="16"/>
      <c r="AA370" s="16"/>
      <c r="AB370" s="16"/>
      <c r="AC370" s="62" t="n">
        <f aca="false">SUM(AC367:AC369)</f>
        <v>1195.212</v>
      </c>
      <c r="AD370" s="16"/>
      <c r="AE370" s="16"/>
      <c r="AF370" s="16"/>
      <c r="AG370" s="16"/>
      <c r="AH370" s="62" t="n">
        <f aca="false">SUM(AH367:AH369)</f>
        <v>1517.902</v>
      </c>
      <c r="AI370" s="16"/>
      <c r="AJ370" s="16"/>
      <c r="AK370" s="16"/>
      <c r="AL370" s="16"/>
      <c r="AM370" s="62" t="n">
        <f aca="false">SUM(AM367:AM369)</f>
        <v>1382.514</v>
      </c>
      <c r="AN370" s="16"/>
      <c r="AO370" s="16"/>
      <c r="AP370" s="16"/>
      <c r="AQ370" s="16"/>
      <c r="AR370" s="62" t="n">
        <f aca="false">SUM(AR367:AR369)</f>
        <v>1328.142</v>
      </c>
      <c r="AS370" s="16"/>
      <c r="AT370" s="16"/>
      <c r="AU370" s="16"/>
      <c r="AV370" s="16"/>
      <c r="AW370" s="62" t="n">
        <f aca="false">SUM(AW367:AW369)</f>
        <v>1297.694</v>
      </c>
      <c r="AX370" s="16"/>
      <c r="AY370" s="16"/>
      <c r="AZ370" s="16"/>
      <c r="BA370" s="16"/>
      <c r="BB370" s="62" t="n">
        <f aca="false">SUM(BB367:BB369)</f>
        <v>1309.577</v>
      </c>
      <c r="BC370" s="16"/>
      <c r="BD370" s="16"/>
      <c r="BE370" s="16"/>
      <c r="BF370" s="16"/>
      <c r="BG370" s="62" t="n">
        <f aca="false">SUM(BG367:BG369)</f>
        <v>1553.169</v>
      </c>
      <c r="BH370" s="16"/>
      <c r="BI370" s="16"/>
      <c r="BJ370" s="16"/>
      <c r="BK370" s="16"/>
      <c r="BL370" s="62" t="n">
        <f aca="false">SUM(BL367:BL369)</f>
        <v>1744.007</v>
      </c>
      <c r="BM370" s="16"/>
      <c r="BN370" s="16"/>
      <c r="BO370" s="16"/>
      <c r="BP370" s="16"/>
      <c r="BQ370" s="62" t="n">
        <f aca="false">SUM(BQ367:BQ369)</f>
        <v>1725.932</v>
      </c>
      <c r="BR370" s="16"/>
      <c r="BS370" s="16"/>
      <c r="BT370" s="16"/>
      <c r="BU370" s="16"/>
      <c r="BV370" s="62" t="n">
        <f aca="false">SUM(BV367:BV369)</f>
        <v>1827.556</v>
      </c>
      <c r="BW370" s="16"/>
      <c r="BX370" s="16"/>
      <c r="BY370" s="16"/>
      <c r="BZ370" s="16"/>
      <c r="CA370" s="18" t="n">
        <f aca="false">SUM(CA367:CA369)</f>
        <v>2159.75505013157</v>
      </c>
      <c r="CB370" s="18" t="n">
        <f aca="false">SUM(CB367:CB369)</f>
        <v>2273.48537291671</v>
      </c>
      <c r="CC370" s="18" t="n">
        <f aca="false">SUM(CC367:CC369)</f>
        <v>2402.10532544723</v>
      </c>
      <c r="CD370" s="18" t="n">
        <f aca="false">SUM(CD367:CD369)</f>
        <v>2531.01688388928</v>
      </c>
      <c r="CE370" s="18" t="n">
        <f aca="false">SUM(CE367:CE369)</f>
        <v>2663.52498195572</v>
      </c>
    </row>
    <row r="371" customFormat="false" ht="15" hidden="false" customHeight="false" outlineLevel="0" collapsed="false">
      <c r="B371" s="58" t="s">
        <v>516</v>
      </c>
      <c r="C371" s="80" t="n">
        <f aca="false">IFERROR(C366/C370,"n/a")</f>
        <v>0.169563624992163</v>
      </c>
      <c r="D371" s="80" t="n">
        <f aca="false">IFERROR(D366/D370,"n/a")</f>
        <v>0.163599949215247</v>
      </c>
      <c r="E371" s="80" t="n">
        <f aca="false">IFERROR(E366/E370,"n/a")</f>
        <v>0.174122720048011</v>
      </c>
      <c r="F371" s="80" t="n">
        <f aca="false">IFERROR(F366/F370,"n/a")</f>
        <v>0.0519134820863576</v>
      </c>
      <c r="G371" s="80" t="n">
        <f aca="false">IFERROR(G366/G370,"n/a")</f>
        <v>0.102836748522609</v>
      </c>
      <c r="H371" s="80" t="n">
        <f aca="false">IFERROR(H366/H370,"n/a")</f>
        <v>0.151837205093338</v>
      </c>
      <c r="I371" s="80" t="n">
        <f aca="false">IFERROR(I366/I370,"n/a")</f>
        <v>0.188830616552294</v>
      </c>
      <c r="J371" s="16"/>
      <c r="K371" s="16"/>
      <c r="L371" s="16"/>
      <c r="M371" s="16"/>
      <c r="N371" s="80" t="n">
        <f aca="false">IFERROR(N366/N370,"n/a")</f>
        <v>0.220618481026157</v>
      </c>
      <c r="O371" s="16"/>
      <c r="P371" s="16"/>
      <c r="Q371" s="16"/>
      <c r="R371" s="16"/>
      <c r="S371" s="80" t="n">
        <f aca="false">IFERROR(S366/S370,"n/a")</f>
        <v>0.243888075412871</v>
      </c>
      <c r="T371" s="16"/>
      <c r="U371" s="16"/>
      <c r="V371" s="16"/>
      <c r="W371" s="16"/>
      <c r="X371" s="80" t="n">
        <f aca="false">IFERROR(X366/X370,"n/a")</f>
        <v>0.256070899129132</v>
      </c>
      <c r="Y371" s="16"/>
      <c r="Z371" s="16"/>
      <c r="AA371" s="16"/>
      <c r="AB371" s="16"/>
      <c r="AC371" s="80" t="n">
        <f aca="false">IFERROR(AC366/AC370,"n/a")</f>
        <v>0.196688984854121</v>
      </c>
      <c r="AD371" s="16"/>
      <c r="AE371" s="16"/>
      <c r="AF371" s="16"/>
      <c r="AG371" s="16"/>
      <c r="AH371" s="80" t="n">
        <f aca="false">IFERROR(AH366/AH370,"n/a")</f>
        <v>0.164863624893937</v>
      </c>
      <c r="AI371" s="16"/>
      <c r="AJ371" s="16"/>
      <c r="AK371" s="16"/>
      <c r="AL371" s="16"/>
      <c r="AM371" s="80" t="n">
        <f aca="false">IFERROR(AM366/AM370,"n/a")</f>
        <v>0.238013631493177</v>
      </c>
      <c r="AN371" s="16"/>
      <c r="AO371" s="16"/>
      <c r="AP371" s="16"/>
      <c r="AQ371" s="16"/>
      <c r="AR371" s="80" t="n">
        <f aca="false">IFERROR(AR366/AR370,"n/a")</f>
        <v>0.239990282804946</v>
      </c>
      <c r="AS371" s="16"/>
      <c r="AT371" s="16"/>
      <c r="AU371" s="16"/>
      <c r="AV371" s="16"/>
      <c r="AW371" s="80" t="n">
        <f aca="false">IFERROR(AW366/AW370,"n/a")</f>
        <v>0.204798081729933</v>
      </c>
      <c r="AX371" s="16"/>
      <c r="AY371" s="16"/>
      <c r="AZ371" s="16"/>
      <c r="BA371" s="16"/>
      <c r="BB371" s="80" t="n">
        <f aca="false">IFERROR(BB366/BB370,"n/a")</f>
        <v>0.319247511802895</v>
      </c>
      <c r="BC371" s="16"/>
      <c r="BD371" s="16"/>
      <c r="BE371" s="16"/>
      <c r="BF371" s="16"/>
      <c r="BG371" s="80" t="n">
        <f aca="false">IFERROR(BG366/BG370,"n/a")</f>
        <v>0.326668599374883</v>
      </c>
      <c r="BH371" s="16"/>
      <c r="BI371" s="16"/>
      <c r="BJ371" s="16"/>
      <c r="BK371" s="16"/>
      <c r="BL371" s="80" t="n">
        <f aca="false">IFERROR(BL366/BL370,"n/a")</f>
        <v>0.332899663032191</v>
      </c>
      <c r="BM371" s="16"/>
      <c r="BN371" s="16"/>
      <c r="BO371" s="16"/>
      <c r="BP371" s="16"/>
      <c r="BQ371" s="80" t="n">
        <f aca="false">IFERROR(BQ366/BQ370,"n/a")</f>
        <v>0.324358579542832</v>
      </c>
      <c r="BR371" s="16"/>
      <c r="BS371" s="16"/>
      <c r="BT371" s="16"/>
      <c r="BU371" s="16"/>
      <c r="BV371" s="80" t="n">
        <f aca="false">IFERROR(BV366/BV370,"n/a")</f>
        <v>0.317370859100797</v>
      </c>
      <c r="BW371" s="16"/>
      <c r="BX371" s="16"/>
      <c r="BY371" s="16"/>
      <c r="BZ371" s="16"/>
      <c r="CA371" s="80" t="n">
        <f aca="false">IFERROR(CA366/CA370,"n/a")</f>
        <v>0.305432680351071</v>
      </c>
      <c r="CB371" s="80" t="n">
        <f aca="false">IFERROR(CB366/CB370,"n/a")</f>
        <v>0.3109892970779</v>
      </c>
      <c r="CC371" s="80" t="n">
        <f aca="false">IFERROR(CC366/CC370,"n/a")</f>
        <v>0.319718923585807</v>
      </c>
      <c r="CD371" s="80" t="n">
        <f aca="false">IFERROR(CD366/CD370,"n/a")</f>
        <v>0.326779311760116</v>
      </c>
      <c r="CE371" s="80" t="n">
        <f aca="false">IFERROR(CE366/CE370,"n/a")</f>
        <v>0.330156359701661</v>
      </c>
      <c r="CH371" s="60" t="n">
        <f aca="false">IFERROR(AVERAGE(CA371,CB371,CC371,CD371,CE371),"n/m")</f>
        <v>0.318615314495311</v>
      </c>
      <c r="CI371" s="60" t="n">
        <f aca="false">IFERROR(AVERAGE(BB371,BG371,BL371,BQ371,BV371),"n/m")</f>
        <v>0.32410904257072</v>
      </c>
      <c r="CJ371" s="60" t="n">
        <f aca="false">IFERROR(AVERAGE(AC371,AH371,AM371,AR371,AW371,BB371,BG371,BL371,BQ371,BV371),"n/m")</f>
        <v>0.266489981862971</v>
      </c>
      <c r="CK371" s="60" t="n">
        <f aca="false">IFERROR(AVERAGE(C371,D371,E371,F371,G371,H371,I371,N371,S371,X371,AC371,AH371,AM371,AR371,AW371,BB371,BG371,BL371,BQ371,BV371),"n/m")</f>
        <v>0.219409081035395</v>
      </c>
    </row>
    <row r="372" customFormat="false" ht="15" hidden="false" customHeight="false" outlineLevel="0" collapsed="false">
      <c r="B372" s="79" t="s">
        <v>517</v>
      </c>
    </row>
    <row r="373" customFormat="false" ht="15" hidden="false" customHeight="false" outlineLevel="0" collapsed="false">
      <c r="B373" s="26" t="s">
        <v>290</v>
      </c>
      <c r="C373" s="57" t="n">
        <f aca="false">C149</f>
        <v>175.008</v>
      </c>
      <c r="D373" s="57" t="n">
        <f aca="false">D149</f>
        <v>202.736</v>
      </c>
      <c r="E373" s="57" t="n">
        <f aca="false">E149</f>
        <v>212.286</v>
      </c>
      <c r="F373" s="57" t="n">
        <f aca="false">F149</f>
        <v>48.5760000000001</v>
      </c>
      <c r="G373" s="57" t="n">
        <f aca="false">G149</f>
        <v>130.244</v>
      </c>
      <c r="H373" s="57" t="n">
        <f aca="false">H149</f>
        <v>217.186</v>
      </c>
      <c r="I373" s="57" t="n">
        <f aca="false">I149</f>
        <v>257.411</v>
      </c>
      <c r="N373" s="57" t="n">
        <f aca="false">N149</f>
        <v>293.78</v>
      </c>
      <c r="S373" s="57" t="n">
        <f aca="false">S149</f>
        <v>254.686</v>
      </c>
      <c r="X373" s="57" t="n">
        <f aca="false">X149</f>
        <v>127.478</v>
      </c>
      <c r="AC373" s="57" t="n">
        <f aca="false">AC149</f>
        <v>198.399</v>
      </c>
      <c r="AH373" s="57" t="n">
        <f aca="false">AH149</f>
        <v>247.503</v>
      </c>
      <c r="AM373" s="57" t="n">
        <f aca="false">AM149</f>
        <v>287.066</v>
      </c>
      <c r="AR373" s="57" t="n">
        <f aca="false">AR149</f>
        <v>293.109</v>
      </c>
      <c r="AW373" s="57" t="n">
        <f aca="false">AW149</f>
        <v>206.115</v>
      </c>
      <c r="BB373" s="57" t="n">
        <f aca="false">BB149</f>
        <v>276.466</v>
      </c>
      <c r="BG373" s="57" t="n">
        <f aca="false">BG149</f>
        <v>472.224</v>
      </c>
      <c r="BL373" s="57" t="n">
        <f aca="false">BL149</f>
        <v>545.248000000001</v>
      </c>
      <c r="BQ373" s="57" t="n">
        <f aca="false">BQ149</f>
        <v>466.108</v>
      </c>
      <c r="BV373" s="57" t="n">
        <f aca="false">BV149</f>
        <v>520.532999999999</v>
      </c>
      <c r="CA373" s="51" t="n">
        <f aca="false">CA149</f>
        <v>609.47632824625</v>
      </c>
      <c r="CB373" s="51" t="n">
        <f aca="false">CB149</f>
        <v>662.076293631698</v>
      </c>
      <c r="CC373" s="51" t="n">
        <f aca="false">CC149</f>
        <v>718.786722614095</v>
      </c>
      <c r="CD373" s="51" t="n">
        <f aca="false">CD149</f>
        <v>774.237764986202</v>
      </c>
      <c r="CE373" s="51" t="n">
        <f aca="false">CE149</f>
        <v>822.982277039333</v>
      </c>
    </row>
    <row r="374" customFormat="false" ht="15" hidden="false" customHeight="false" outlineLevel="0" collapsed="false">
      <c r="B374" s="26" t="s">
        <v>518</v>
      </c>
      <c r="C374" s="57" t="n">
        <f aca="false">C305</f>
        <v>852.976</v>
      </c>
      <c r="D374" s="57" t="n">
        <f aca="false">D305</f>
        <v>1087.22</v>
      </c>
      <c r="E374" s="57" t="n">
        <f aca="false">E305</f>
        <v>995.312</v>
      </c>
      <c r="F374" s="57" t="n">
        <f aca="false">F305</f>
        <v>1072.346</v>
      </c>
      <c r="G374" s="57" t="n">
        <f aca="false">G305</f>
        <v>1133.497</v>
      </c>
      <c r="H374" s="57" t="n">
        <f aca="false">H305</f>
        <v>1176.946</v>
      </c>
      <c r="I374" s="57" t="n">
        <f aca="false">I305</f>
        <v>1342.373</v>
      </c>
      <c r="N374" s="57" t="n">
        <f aca="false">N305</f>
        <v>1526.602</v>
      </c>
      <c r="S374" s="57" t="n">
        <f aca="false">S305</f>
        <v>1282.549</v>
      </c>
      <c r="X374" s="57" t="n">
        <f aca="false">X305</f>
        <v>931.587</v>
      </c>
      <c r="AC374" s="57" t="n">
        <f aca="false">AC305</f>
        <v>711.477</v>
      </c>
      <c r="AH374" s="57" t="n">
        <f aca="false">AH305</f>
        <v>931.637</v>
      </c>
      <c r="AM374" s="57" t="n">
        <f aca="false">AM305</f>
        <v>886.942</v>
      </c>
      <c r="AR374" s="57" t="n">
        <f aca="false">AR305</f>
        <v>818.172</v>
      </c>
      <c r="AW374" s="57" t="n">
        <f aca="false">AW305</f>
        <v>789.271</v>
      </c>
      <c r="BB374" s="57" t="n">
        <f aca="false">BB305</f>
        <v>864.102</v>
      </c>
      <c r="BG374" s="57" t="n">
        <f aca="false">BG305</f>
        <v>1034.14</v>
      </c>
      <c r="BL374" s="57" t="n">
        <f aca="false">BL305</f>
        <v>1308.852</v>
      </c>
      <c r="BQ374" s="57" t="n">
        <f aca="false">BQ305</f>
        <v>1327.433</v>
      </c>
      <c r="BV374" s="57" t="n">
        <f aca="false">BV305</f>
        <v>1469.794</v>
      </c>
      <c r="CA374" s="51" t="n">
        <f aca="false">CA305</f>
        <v>1632.81943284667</v>
      </c>
      <c r="CB374" s="51" t="n">
        <f aca="false">CB305</f>
        <v>1775.02316769052</v>
      </c>
      <c r="CC374" s="51" t="n">
        <f aca="false">CC305</f>
        <v>1942.49353563035</v>
      </c>
      <c r="CD374" s="51" t="n">
        <f aca="false">CD305</f>
        <v>2106.5816414344</v>
      </c>
      <c r="CE374" s="51" t="n">
        <f aca="false">CE305</f>
        <v>2276.58637462386</v>
      </c>
    </row>
    <row r="375" customFormat="false" ht="15" hidden="false" customHeight="false" outlineLevel="0" collapsed="false">
      <c r="B375" s="58" t="s">
        <v>519</v>
      </c>
      <c r="C375" s="80" t="n">
        <f aca="false">IFERROR(C373/C374,"n/a")</f>
        <v>0.205173416368104</v>
      </c>
      <c r="D375" s="80" t="n">
        <f aca="false">IFERROR(D373/D374,"n/a")</f>
        <v>0.186471919206784</v>
      </c>
      <c r="E375" s="80" t="n">
        <f aca="false">IFERROR(E373/E374,"n/a")</f>
        <v>0.213285884225248</v>
      </c>
      <c r="F375" s="80" t="n">
        <f aca="false">IFERROR(F373/F374,"n/a")</f>
        <v>0.0452988121371274</v>
      </c>
      <c r="G375" s="80" t="n">
        <f aca="false">IFERROR(G373/G374,"n/a")</f>
        <v>0.114904582896999</v>
      </c>
      <c r="H375" s="80" t="n">
        <f aca="false">IFERROR(H373/H374,"n/a")</f>
        <v>0.184533530000527</v>
      </c>
      <c r="I375" s="80" t="n">
        <f aca="false">IFERROR(I373/I374,"n/a")</f>
        <v>0.191758177496121</v>
      </c>
      <c r="J375" s="16"/>
      <c r="K375" s="16"/>
      <c r="L375" s="16"/>
      <c r="M375" s="16"/>
      <c r="N375" s="80" t="n">
        <f aca="false">IFERROR(N373/N374,"n/a")</f>
        <v>0.192440465818858</v>
      </c>
      <c r="O375" s="16"/>
      <c r="P375" s="16"/>
      <c r="Q375" s="16"/>
      <c r="R375" s="16"/>
      <c r="S375" s="80" t="n">
        <f aca="false">IFERROR(S373/S374,"n/a")</f>
        <v>0.198577988053478</v>
      </c>
      <c r="T375" s="16"/>
      <c r="U375" s="16"/>
      <c r="V375" s="16"/>
      <c r="W375" s="16"/>
      <c r="X375" s="80" t="n">
        <f aca="false">IFERROR(X373/X374,"n/a")</f>
        <v>0.136839608109602</v>
      </c>
      <c r="Y375" s="16"/>
      <c r="Z375" s="16"/>
      <c r="AA375" s="16"/>
      <c r="AB375" s="16"/>
      <c r="AC375" s="80" t="n">
        <f aca="false">IFERROR(AC373/AC374,"n/a")</f>
        <v>0.278855114079584</v>
      </c>
      <c r="AD375" s="16"/>
      <c r="AE375" s="16"/>
      <c r="AF375" s="16"/>
      <c r="AG375" s="16"/>
      <c r="AH375" s="80" t="n">
        <f aca="false">IFERROR(AH373/AH374,"n/a")</f>
        <v>0.265664631181458</v>
      </c>
      <c r="AI375" s="16"/>
      <c r="AJ375" s="16"/>
      <c r="AK375" s="16"/>
      <c r="AL375" s="16"/>
      <c r="AM375" s="80" t="n">
        <f aca="false">IFERROR(AM373/AM374,"n/a")</f>
        <v>0.323658142246054</v>
      </c>
      <c r="AN375" s="16"/>
      <c r="AO375" s="16"/>
      <c r="AP375" s="16"/>
      <c r="AQ375" s="16"/>
      <c r="AR375" s="80" t="n">
        <f aca="false">IFERROR(AR373/AR374,"n/a")</f>
        <v>0.358248632316921</v>
      </c>
      <c r="AS375" s="16"/>
      <c r="AT375" s="16"/>
      <c r="AU375" s="16"/>
      <c r="AV375" s="16"/>
      <c r="AW375" s="80" t="n">
        <f aca="false">IFERROR(AW373/AW374,"n/a")</f>
        <v>0.261146044894593</v>
      </c>
      <c r="AX375" s="16"/>
      <c r="AY375" s="16"/>
      <c r="AZ375" s="16"/>
      <c r="BA375" s="16"/>
      <c r="BB375" s="80" t="n">
        <f aca="false">IFERROR(BB373/BB374,"n/a")</f>
        <v>0.31994602489058</v>
      </c>
      <c r="BC375" s="16"/>
      <c r="BD375" s="16"/>
      <c r="BE375" s="16"/>
      <c r="BF375" s="16"/>
      <c r="BG375" s="80" t="n">
        <f aca="false">IFERROR(BG373/BG374,"n/a")</f>
        <v>0.456634498230413</v>
      </c>
      <c r="BH375" s="16"/>
      <c r="BI375" s="16"/>
      <c r="BJ375" s="16"/>
      <c r="BK375" s="16"/>
      <c r="BL375" s="80" t="n">
        <f aca="false">IFERROR(BL373/BL374,"n/a")</f>
        <v>0.416584915635993</v>
      </c>
      <c r="BM375" s="16"/>
      <c r="BN375" s="16"/>
      <c r="BO375" s="16"/>
      <c r="BP375" s="16"/>
      <c r="BQ375" s="80" t="n">
        <f aca="false">IFERROR(BQ373/BQ374,"n/a")</f>
        <v>0.351134859537167</v>
      </c>
      <c r="BR375" s="16"/>
      <c r="BS375" s="16"/>
      <c r="BT375" s="16"/>
      <c r="BU375" s="16"/>
      <c r="BV375" s="80" t="n">
        <f aca="false">IFERROR(BV373/BV374,"n/a")</f>
        <v>0.354153711336418</v>
      </c>
      <c r="BW375" s="16"/>
      <c r="BX375" s="16"/>
      <c r="BY375" s="16"/>
      <c r="BZ375" s="16"/>
      <c r="CA375" s="80" t="n">
        <f aca="false">IFERROR(CA373/CA374,"n/a")</f>
        <v>0.373266214246167</v>
      </c>
      <c r="CB375" s="80" t="n">
        <f aca="false">IFERROR(CB373/CB374,"n/a")</f>
        <v>0.372995860382557</v>
      </c>
      <c r="CC375" s="80" t="n">
        <f aca="false">IFERROR(CC373/CC374,"n/a")</f>
        <v>0.370033006251855</v>
      </c>
      <c r="CD375" s="80" t="n">
        <f aca="false">IFERROR(CD373/CD374,"n/a")</f>
        <v>0.367532760068588</v>
      </c>
      <c r="CE375" s="80" t="n">
        <f aca="false">IFERROR(CE373/CE374,"n/a")</f>
        <v>0.361498375907352</v>
      </c>
      <c r="CH375" s="60" t="n">
        <f aca="false">IFERROR(AVERAGE(CA375,CB375,CC375,CD375,CE375),"n/m")</f>
        <v>0.369065243371304</v>
      </c>
      <c r="CI375" s="60" t="n">
        <f aca="false">IFERROR(AVERAGE(BB375,BG375,BL375,BQ375,BV375),"n/m")</f>
        <v>0.379690801926114</v>
      </c>
      <c r="CJ375" s="60" t="n">
        <f aca="false">IFERROR(AVERAGE(AC375,AH375,AM375,AR375,AW375,BB375,BG375,BL375,BQ375,BV375),"n/m")</f>
        <v>0.338602657434918</v>
      </c>
      <c r="CK375" s="60" t="n">
        <f aca="false">IFERROR(AVERAGE(C375,D375,E375,F375,G375,H375,I375,N375,S375,X375,AC375,AH375,AM375,AR375,AW375,BB375,BG375,BL375,BQ375,BV375),"n/m")</f>
        <v>0.252765547933102</v>
      </c>
    </row>
    <row r="376" customFormat="false" ht="15" hidden="false" customHeight="false" outlineLevel="0" collapsed="false">
      <c r="B376" s="79" t="s">
        <v>520</v>
      </c>
    </row>
    <row r="377" customFormat="false" ht="15" hidden="false" customHeight="false" outlineLevel="0" collapsed="false">
      <c r="B377" s="26" t="s">
        <v>521</v>
      </c>
      <c r="C377" s="57" t="n">
        <f aca="false">C359</f>
        <v>40.887</v>
      </c>
      <c r="D377" s="57" t="n">
        <f aca="false">D359</f>
        <v>-87.567</v>
      </c>
      <c r="E377" s="57" t="n">
        <f aca="false">E359</f>
        <v>-142.102</v>
      </c>
      <c r="F377" s="57" t="n">
        <f aca="false">F359</f>
        <v>-264.419</v>
      </c>
      <c r="G377" s="57" t="n">
        <f aca="false">G359</f>
        <v>-268.488</v>
      </c>
      <c r="H377" s="57" t="n">
        <f aca="false">H359</f>
        <v>-257.723</v>
      </c>
      <c r="I377" s="57" t="n">
        <f aca="false">I359</f>
        <v>-266.189</v>
      </c>
      <c r="N377" s="57" t="n">
        <f aca="false">N359</f>
        <v>-280.738</v>
      </c>
      <c r="S377" s="57" t="n">
        <f aca="false">S359</f>
        <v>-207.725</v>
      </c>
      <c r="X377" s="57" t="n">
        <f aca="false">X359</f>
        <v>50.442</v>
      </c>
      <c r="AC377" s="57" t="n">
        <f aca="false">AC359</f>
        <v>326.414</v>
      </c>
      <c r="AH377" s="57" t="n">
        <f aca="false">AH359</f>
        <v>379.566</v>
      </c>
      <c r="AM377" s="57" t="n">
        <f aca="false">AM359</f>
        <v>343.811</v>
      </c>
      <c r="AR377" s="57" t="n">
        <f aca="false">AR359</f>
        <v>547.708</v>
      </c>
      <c r="AW377" s="57" t="n">
        <f aca="false">AW359</f>
        <v>460.911</v>
      </c>
      <c r="BB377" s="57" t="n">
        <f aca="false">BB359</f>
        <v>576.861</v>
      </c>
      <c r="BG377" s="57" t="n">
        <f aca="false">BG359</f>
        <v>1006.729</v>
      </c>
      <c r="BL377" s="57" t="n">
        <f aca="false">BL359</f>
        <v>711.423</v>
      </c>
      <c r="BQ377" s="57" t="n">
        <f aca="false">BQ359</f>
        <v>883.813</v>
      </c>
      <c r="BV377" s="57" t="n">
        <f aca="false">BV359</f>
        <v>985.219</v>
      </c>
      <c r="CA377" s="51" t="n">
        <f aca="false">CA359</f>
        <v>926.174617284903</v>
      </c>
      <c r="CB377" s="51" t="n">
        <f aca="false">CB359</f>
        <v>1036.78453855952</v>
      </c>
      <c r="CC377" s="51" t="n">
        <f aca="false">CC359</f>
        <v>1131.18412315021</v>
      </c>
      <c r="CD377" s="51" t="n">
        <f aca="false">CD359</f>
        <v>1223.42424245488</v>
      </c>
      <c r="CE377" s="51" t="n">
        <f aca="false">CE359</f>
        <v>1307.5109406652</v>
      </c>
    </row>
    <row r="378" customFormat="false" ht="15" hidden="false" customHeight="false" outlineLevel="0" collapsed="false">
      <c r="B378" s="26" t="s">
        <v>522</v>
      </c>
      <c r="C378" s="57" t="n">
        <f aca="false">C184</f>
        <v>284.752</v>
      </c>
      <c r="D378" s="57" t="n">
        <f aca="false">D184</f>
        <v>342.715</v>
      </c>
      <c r="E378" s="57" t="n">
        <f aca="false">E184</f>
        <v>379.415</v>
      </c>
      <c r="F378" s="57" t="n">
        <f aca="false">F184</f>
        <v>178.768</v>
      </c>
      <c r="G378" s="57" t="n">
        <f aca="false">G184</f>
        <v>251.514</v>
      </c>
      <c r="H378" s="57" t="n">
        <f aca="false">H184</f>
        <v>367.247</v>
      </c>
      <c r="I378" s="57" t="n">
        <f aca="false">I184</f>
        <v>445.842</v>
      </c>
      <c r="N378" s="57" t="n">
        <f aca="false">N184</f>
        <v>506.234</v>
      </c>
      <c r="S378" s="57" t="n">
        <f aca="false">S184</f>
        <v>503.947</v>
      </c>
      <c r="X378" s="57" t="n">
        <f aca="false">X184</f>
        <v>442.814</v>
      </c>
      <c r="AC378" s="57" t="n">
        <f aca="false">AC184</f>
        <v>393.796</v>
      </c>
      <c r="AH378" s="57" t="n">
        <f aca="false">AH184</f>
        <v>438.453</v>
      </c>
      <c r="AM378" s="57" t="n">
        <f aca="false">AM184</f>
        <v>495.04</v>
      </c>
      <c r="AR378" s="57" t="n">
        <f aca="false">AR184</f>
        <v>482.24</v>
      </c>
      <c r="AW378" s="57" t="n">
        <f aca="false">AW184</f>
        <v>420.898</v>
      </c>
      <c r="BB378" s="57" t="n">
        <f aca="false">BB184</f>
        <v>572.414</v>
      </c>
      <c r="BG378" s="57" t="n">
        <f aca="false">BG184</f>
        <v>715.01</v>
      </c>
      <c r="BL378" s="57" t="n">
        <f aca="false">BL184</f>
        <v>818.044000000001</v>
      </c>
      <c r="BQ378" s="57" t="n">
        <f aca="false">BQ184</f>
        <v>801.843</v>
      </c>
      <c r="BV378" s="57" t="n">
        <f aca="false">BV184</f>
        <v>851.178</v>
      </c>
      <c r="CA378" s="51" t="n">
        <f aca="false">CA184</f>
        <v>954.576832406553</v>
      </c>
      <c r="CB378" s="51" t="n">
        <f aca="false">CB184</f>
        <v>1036.78453855952</v>
      </c>
      <c r="CC378" s="51" t="n">
        <f aca="false">CC184</f>
        <v>1131.18412315021</v>
      </c>
      <c r="CD378" s="51" t="n">
        <f aca="false">CD184</f>
        <v>1223.42424245488</v>
      </c>
      <c r="CE378" s="51" t="n">
        <f aca="false">CE184</f>
        <v>1307.5109406652</v>
      </c>
    </row>
    <row r="379" customFormat="false" ht="15" hidden="false" customHeight="false" outlineLevel="0" collapsed="false">
      <c r="B379" s="58" t="s">
        <v>523</v>
      </c>
      <c r="C379" s="81" t="n">
        <f aca="false">IFERROR(C377/C378,"n/a")</f>
        <v>0.143588104736753</v>
      </c>
      <c r="D379" s="81" t="n">
        <f aca="false">IFERROR(D377/D378,"n/a")</f>
        <v>-0.255509680054856</v>
      </c>
      <c r="E379" s="81" t="n">
        <f aca="false">IFERROR(E377/E378,"n/a")</f>
        <v>-0.37452920944085</v>
      </c>
      <c r="F379" s="81" t="n">
        <f aca="false">IFERROR(F377/F378,"n/a")</f>
        <v>-1.47911818670008</v>
      </c>
      <c r="G379" s="81" t="n">
        <f aca="false">IFERROR(G377/G378,"n/a")</f>
        <v>-1.06748729692979</v>
      </c>
      <c r="H379" s="81" t="n">
        <f aca="false">IFERROR(H377/H378,"n/a")</f>
        <v>-0.701770198258938</v>
      </c>
      <c r="I379" s="81" t="n">
        <f aca="false">IFERROR(I377/I378,"n/a")</f>
        <v>-0.597047833088852</v>
      </c>
      <c r="J379" s="16"/>
      <c r="K379" s="16"/>
      <c r="L379" s="16"/>
      <c r="M379" s="16"/>
      <c r="N379" s="81" t="n">
        <f aca="false">IFERROR(N377/N378,"n/a")</f>
        <v>-0.554561724419933</v>
      </c>
      <c r="O379" s="16"/>
      <c r="P379" s="16"/>
      <c r="Q379" s="16"/>
      <c r="R379" s="16"/>
      <c r="S379" s="81" t="n">
        <f aca="false">IFERROR(S377/S378,"n/a")</f>
        <v>-0.412196123798733</v>
      </c>
      <c r="T379" s="16"/>
      <c r="U379" s="16"/>
      <c r="V379" s="16"/>
      <c r="W379" s="16"/>
      <c r="X379" s="81" t="n">
        <f aca="false">IFERROR(X377/X378,"n/a")</f>
        <v>0.113912387593888</v>
      </c>
      <c r="Y379" s="16"/>
      <c r="Z379" s="16"/>
      <c r="AA379" s="16"/>
      <c r="AB379" s="16"/>
      <c r="AC379" s="81" t="n">
        <f aca="false">IFERROR(AC377/AC378,"n/a")</f>
        <v>0.82889110097614</v>
      </c>
      <c r="AD379" s="16"/>
      <c r="AE379" s="16"/>
      <c r="AF379" s="16"/>
      <c r="AG379" s="16"/>
      <c r="AH379" s="81" t="n">
        <f aca="false">IFERROR(AH377/AH378,"n/a")</f>
        <v>0.865693700351007</v>
      </c>
      <c r="AI379" s="16"/>
      <c r="AJ379" s="16"/>
      <c r="AK379" s="16"/>
      <c r="AL379" s="16"/>
      <c r="AM379" s="81" t="n">
        <f aca="false">IFERROR(AM377/AM378,"n/a")</f>
        <v>0.694511554621849</v>
      </c>
      <c r="AN379" s="16"/>
      <c r="AO379" s="16"/>
      <c r="AP379" s="16"/>
      <c r="AQ379" s="16"/>
      <c r="AR379" s="81" t="n">
        <f aca="false">IFERROR(AR377/AR378,"n/a")</f>
        <v>1.13575812873258</v>
      </c>
      <c r="AS379" s="16"/>
      <c r="AT379" s="16"/>
      <c r="AU379" s="16"/>
      <c r="AV379" s="16"/>
      <c r="AW379" s="81" t="n">
        <f aca="false">IFERROR(AW377/AW378,"n/a")</f>
        <v>1.09506578791061</v>
      </c>
      <c r="AX379" s="16"/>
      <c r="AY379" s="16"/>
      <c r="AZ379" s="16"/>
      <c r="BA379" s="16"/>
      <c r="BB379" s="81" t="n">
        <f aca="false">IFERROR(BB377/BB378,"n/a")</f>
        <v>1.00776885261367</v>
      </c>
      <c r="BC379" s="16"/>
      <c r="BD379" s="16"/>
      <c r="BE379" s="16"/>
      <c r="BF379" s="16"/>
      <c r="BG379" s="81" t="n">
        <f aca="false">IFERROR(BG377/BG378,"n/a")</f>
        <v>1.40799289520426</v>
      </c>
      <c r="BH379" s="16"/>
      <c r="BI379" s="16"/>
      <c r="BJ379" s="16"/>
      <c r="BK379" s="16"/>
      <c r="BL379" s="81" t="n">
        <f aca="false">IFERROR(BL377/BL378,"n/a")</f>
        <v>0.869663489983423</v>
      </c>
      <c r="BM379" s="16"/>
      <c r="BN379" s="16"/>
      <c r="BO379" s="16"/>
      <c r="BP379" s="16"/>
      <c r="BQ379" s="81" t="n">
        <f aca="false">IFERROR(BQ377/BQ378,"n/a")</f>
        <v>1.10222699456128</v>
      </c>
      <c r="BR379" s="16"/>
      <c r="BS379" s="16"/>
      <c r="BT379" s="16"/>
      <c r="BU379" s="16"/>
      <c r="BV379" s="81" t="n">
        <f aca="false">IFERROR(BV377/BV378,"n/a")</f>
        <v>1.15747704945382</v>
      </c>
      <c r="BW379" s="16"/>
      <c r="BX379" s="16"/>
      <c r="BY379" s="16"/>
      <c r="BZ379" s="16"/>
      <c r="CA379" s="81" t="n">
        <f aca="false">IFERROR(CA377/CA378,"n/a")</f>
        <v>0.970246276509722</v>
      </c>
      <c r="CB379" s="81" t="n">
        <f aca="false">IFERROR(CB377/CB378,"n/a")</f>
        <v>1</v>
      </c>
      <c r="CC379" s="81" t="n">
        <f aca="false">IFERROR(CC377/CC378,"n/a")</f>
        <v>1</v>
      </c>
      <c r="CD379" s="81" t="n">
        <f aca="false">IFERROR(CD377/CD378,"n/a")</f>
        <v>1</v>
      </c>
      <c r="CE379" s="81" t="n">
        <f aca="false">IFERROR(CE377/CE378,"n/a")</f>
        <v>1</v>
      </c>
    </row>
    <row r="381" customFormat="false" ht="15" hidden="false" customHeight="false" outlineLevel="0" collapsed="false">
      <c r="B381" s="10" t="s">
        <v>524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</row>
    <row r="382" customFormat="false" ht="15" hidden="false" customHeight="false" outlineLevel="0" collapsed="false">
      <c r="B382" s="82" t="s">
        <v>525</v>
      </c>
      <c r="CA382" s="75" t="n">
        <v>275.54</v>
      </c>
      <c r="CB382" s="65" t="n">
        <f aca="false">CA382</f>
        <v>275.54</v>
      </c>
      <c r="CC382" s="65" t="n">
        <f aca="false">CB382</f>
        <v>275.54</v>
      </c>
      <c r="CD382" s="65" t="n">
        <f aca="false">CC382</f>
        <v>275.54</v>
      </c>
      <c r="CE382" s="65" t="n">
        <f aca="false">CD382</f>
        <v>275.54</v>
      </c>
      <c r="CF382" s="19" t="s">
        <v>526</v>
      </c>
    </row>
    <row r="383" customFormat="false" ht="15" hidden="false" customHeight="false" outlineLevel="0" collapsed="false">
      <c r="B383" s="26" t="s">
        <v>527</v>
      </c>
      <c r="CA383" s="65" t="n">
        <f aca="false">CA273+N(CA327)+($BX$157-$BX$156)</f>
        <v>54.5013714298469</v>
      </c>
      <c r="CB383" s="65" t="n">
        <f aca="false">CB273+N(CB327)</f>
        <v>53.4881675683766</v>
      </c>
      <c r="CC383" s="65" t="n">
        <f aca="false">CC273+N(CC327)</f>
        <v>52.4780429358119</v>
      </c>
      <c r="CD383" s="65" t="n">
        <f aca="false">CD273+N(CD327)</f>
        <v>51.4078838646583</v>
      </c>
      <c r="CE383" s="65" t="n">
        <f aca="false">CE273+N(CE327)</f>
        <v>50.3359187777953</v>
      </c>
    </row>
    <row r="384" customFormat="false" ht="15" hidden="false" customHeight="false" outlineLevel="0" collapsed="false">
      <c r="B384" s="26" t="s">
        <v>528</v>
      </c>
      <c r="CA384" s="51" t="n">
        <f aca="false">IFERROR(CA382*CA383,"n/a")</f>
        <v>15017.30788378</v>
      </c>
      <c r="CB384" s="51" t="n">
        <f aca="false">IFERROR(CB382*CB383,"n/a")</f>
        <v>14738.1296917905</v>
      </c>
      <c r="CC384" s="51" t="n">
        <f aca="false">IFERROR(CC382*CC383,"n/a")</f>
        <v>14459.7999505336</v>
      </c>
      <c r="CD384" s="51" t="n">
        <f aca="false">IFERROR(CD382*CD383,"n/a")</f>
        <v>14164.9283200679</v>
      </c>
      <c r="CE384" s="51" t="n">
        <f aca="false">IFERROR(CE382*CE383,"n/a")</f>
        <v>13869.5590600337</v>
      </c>
    </row>
    <row r="385" customFormat="false" ht="15" hidden="false" customHeight="false" outlineLevel="0" collapsed="false">
      <c r="B385" s="26" t="s">
        <v>529</v>
      </c>
      <c r="CA385" s="51" t="n">
        <f aca="false">CA377</f>
        <v>926.174617284903</v>
      </c>
      <c r="CB385" s="51" t="n">
        <f aca="false">CB377</f>
        <v>1036.78453855952</v>
      </c>
      <c r="CC385" s="51" t="n">
        <f aca="false">CC377</f>
        <v>1131.18412315021</v>
      </c>
      <c r="CD385" s="51" t="n">
        <f aca="false">CD377</f>
        <v>1223.42424245488</v>
      </c>
      <c r="CE385" s="51" t="n">
        <f aca="false">CE377</f>
        <v>1307.5109406652</v>
      </c>
    </row>
    <row r="386" customFormat="false" ht="15" hidden="false" customHeight="false" outlineLevel="0" collapsed="false">
      <c r="B386" s="26" t="s">
        <v>530</v>
      </c>
      <c r="CA386" s="56" t="n">
        <f aca="false">CA306</f>
        <v>0</v>
      </c>
      <c r="CB386" s="56" t="n">
        <f aca="false">CB306</f>
        <v>0</v>
      </c>
      <c r="CC386" s="56" t="n">
        <f aca="false">CC306</f>
        <v>0</v>
      </c>
      <c r="CD386" s="56" t="n">
        <f aca="false">CD306</f>
        <v>0</v>
      </c>
      <c r="CE386" s="56" t="n">
        <f aca="false">CE306</f>
        <v>0</v>
      </c>
    </row>
    <row r="387" customFormat="false" ht="15" hidden="false" customHeight="false" outlineLevel="0" collapsed="false">
      <c r="B387" s="58" t="s">
        <v>531</v>
      </c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59" t="n">
        <f aca="false">IFERROR(CA384+CA385+CA386,"n/a")</f>
        <v>15943.4825010649</v>
      </c>
      <c r="CB387" s="59" t="n">
        <f aca="false">IFERROR(CB384+CB385+CB386,"n/a")</f>
        <v>15774.91423035</v>
      </c>
      <c r="CC387" s="59" t="n">
        <f aca="false">IFERROR(CC384+CC385+CC386,"n/a")</f>
        <v>15590.9840736838</v>
      </c>
      <c r="CD387" s="59" t="n">
        <f aca="false">IFERROR(CD384+CD385+CD386,"n/a")</f>
        <v>15388.3525625228</v>
      </c>
      <c r="CE387" s="59" t="n">
        <f aca="false">IFERROR(CE384+CE385+CE386,"n/a")</f>
        <v>15177.0700006989</v>
      </c>
    </row>
    <row r="388" customFormat="false" ht="15" hidden="false" customHeight="false" outlineLevel="0" collapsed="false">
      <c r="B388" s="79" t="s">
        <v>532</v>
      </c>
    </row>
    <row r="389" customFormat="false" ht="15" hidden="false" customHeight="false" outlineLevel="0" collapsed="false">
      <c r="B389" s="26" t="s">
        <v>533</v>
      </c>
      <c r="CA389" s="74" t="n">
        <f aca="false">IFERROR(CA387/CA133,"n/a")</f>
        <v>3.37800078216369</v>
      </c>
      <c r="CB389" s="74" t="n">
        <f aca="false">IFERROR(CB387/CB133,"n/a")</f>
        <v>3.14297788972363</v>
      </c>
      <c r="CC389" s="74" t="n">
        <f aca="false">IFERROR(CC387/CC133,"n/a")</f>
        <v>2.88818581177487</v>
      </c>
      <c r="CD389" s="74" t="n">
        <f aca="false">IFERROR(CD387/CD133,"n/a")</f>
        <v>2.66306117077046</v>
      </c>
      <c r="CE389" s="74" t="n">
        <f aca="false">IFERROR(CE387/CE133,"n/a")</f>
        <v>2.4574969168295</v>
      </c>
    </row>
    <row r="390" customFormat="false" ht="15" hidden="false" customHeight="false" outlineLevel="0" collapsed="false">
      <c r="B390" s="26" t="s">
        <v>534</v>
      </c>
      <c r="CA390" s="74" t="n">
        <f aca="false">IFERROR(CA387/CA184,"n/a")</f>
        <v>16.7021469197721</v>
      </c>
      <c r="CB390" s="74" t="n">
        <f aca="false">IFERROR(CB387/CB184,"n/a")</f>
        <v>15.2152290506447</v>
      </c>
      <c r="CC390" s="74" t="n">
        <f aca="false">IFERROR(CC387/CC184,"n/a")</f>
        <v>13.7828879972828</v>
      </c>
      <c r="CD390" s="74" t="n">
        <f aca="false">IFERROR(CD387/CD184,"n/a")</f>
        <v>12.5781000805126</v>
      </c>
      <c r="CE390" s="74" t="n">
        <f aca="false">IFERROR(CE387/CE184,"n/a")</f>
        <v>11.6076045933333</v>
      </c>
    </row>
    <row r="391" customFormat="false" ht="15" hidden="false" customHeight="false" outlineLevel="0" collapsed="false">
      <c r="B391" s="26" t="s">
        <v>535</v>
      </c>
      <c r="CA391" s="74" t="n">
        <f aca="false">IFERROR(CA387/CA178,"n/a")</f>
        <v>18.7140696461226</v>
      </c>
      <c r="CB391" s="74" t="n">
        <f aca="false">IFERROR(CB387/CB178,"n/a")</f>
        <v>17.1798799476572</v>
      </c>
      <c r="CC391" s="74" t="n">
        <f aca="false">IFERROR(CC387/CC178,"n/a")</f>
        <v>15.6316155351203</v>
      </c>
      <c r="CD391" s="74" t="n">
        <f aca="false">IFERROR(CD387/CD178,"n/a")</f>
        <v>14.3262741299747</v>
      </c>
      <c r="CE391" s="74" t="n">
        <f aca="false">IFERROR(CE387/CE178,"n/a")</f>
        <v>13.2893035179701</v>
      </c>
    </row>
    <row r="392" customFormat="false" ht="15" hidden="false" customHeight="false" outlineLevel="0" collapsed="false">
      <c r="B392" s="26" t="s">
        <v>536</v>
      </c>
      <c r="CA392" s="74" t="n">
        <f aca="false">IFERROR(CA387/CA357,"n/a")</f>
        <v>6.23037107110317</v>
      </c>
      <c r="CB392" s="74" t="n">
        <f aca="false">IFERROR(CB387/CB357,"n/a")</f>
        <v>5.61023934719496</v>
      </c>
      <c r="CC392" s="74" t="n">
        <f aca="false">IFERROR(CC387/CC357,"n/a")</f>
        <v>5.07242001422795</v>
      </c>
      <c r="CD392" s="74" t="n">
        <f aca="false">IFERROR(CD387/CD357,"n/a")</f>
        <v>4.621118730442</v>
      </c>
      <c r="CE392" s="74" t="n">
        <f aca="false">IFERROR(CE387/CE357,"n/a")</f>
        <v>4.23455856958919</v>
      </c>
    </row>
    <row r="393" customFormat="false" ht="15" hidden="false" customHeight="false" outlineLevel="0" collapsed="false">
      <c r="B393" s="26" t="s">
        <v>537</v>
      </c>
      <c r="CA393" s="74" t="n">
        <f aca="false">IFERROR(CA382/CA159,"n/a")</f>
        <v>24.8740019134505</v>
      </c>
      <c r="CB393" s="74" t="n">
        <f aca="false">IFERROR(CB382/CB159,"n/a")</f>
        <v>22.4733865732734</v>
      </c>
      <c r="CC393" s="74" t="n">
        <f aca="false">IFERROR(CC382/CC159,"n/a")</f>
        <v>20.3105655152732</v>
      </c>
      <c r="CD393" s="74" t="n">
        <f aca="false">IFERROR(CD382/CD159,"n/a")</f>
        <v>18.4857478962627</v>
      </c>
      <c r="CE393" s="74" t="n">
        <f aca="false">IFERROR(CE382/CE159,"n/a")</f>
        <v>17.03225461972</v>
      </c>
    </row>
    <row r="394" customFormat="false" ht="15" hidden="false" customHeight="false" outlineLevel="0" collapsed="false">
      <c r="B394" s="26" t="s">
        <v>538</v>
      </c>
      <c r="CA394" s="74" t="n">
        <f aca="false">IFERROR(CA382/CA206,"n/a")</f>
        <v>24.4951265619436</v>
      </c>
      <c r="CB394" s="74" t="n">
        <f aca="false">IFERROR(CB382/CB206,"n/a")</f>
        <v>22.164062795634</v>
      </c>
      <c r="CC394" s="74" t="n">
        <f aca="false">IFERROR(CC382/CC206,"n/a")</f>
        <v>20.0527870305944</v>
      </c>
      <c r="CD394" s="74" t="n">
        <f aca="false">IFERROR(CD382/CD206,"n/a")</f>
        <v>18.267734931256</v>
      </c>
      <c r="CE394" s="74" t="n">
        <f aca="false">IFERROR(CE382/CE206,"n/a")</f>
        <v>16.8431488519122</v>
      </c>
    </row>
    <row r="395" customFormat="false" ht="15" hidden="false" customHeight="false" outlineLevel="0" collapsed="false">
      <c r="B395" s="21" t="s">
        <v>539</v>
      </c>
      <c r="CA395" s="23" t="n">
        <f aca="false">IFERROR(CA258/CA384,"n/a")</f>
        <v>0.0334751263012755</v>
      </c>
      <c r="CB395" s="23" t="n">
        <f aca="false">IFERROR(CB258/CB384,"n/a")</f>
        <v>0.0430419694412674</v>
      </c>
      <c r="CC395" s="23" t="n">
        <f aca="false">IFERROR(CC258/CC384,"n/a")</f>
        <v>0.0472971781631274</v>
      </c>
      <c r="CD395" s="23" t="n">
        <f aca="false">IFERROR(CD258/CD384,"n/a")</f>
        <v>0.0527218880397605</v>
      </c>
      <c r="CE395" s="23" t="n">
        <f aca="false">IFERROR(CE258/CE384,"n/a")</f>
        <v>0.0576636910629566</v>
      </c>
    </row>
    <row r="396" customFormat="false" ht="15" hidden="false" customHeight="false" outlineLevel="0" collapsed="false">
      <c r="B396" s="21" t="s">
        <v>540</v>
      </c>
      <c r="CA396" s="23" t="n">
        <f aca="false">IFERROR(CA162/CA382,"n/a")</f>
        <v>0.0114683893445598</v>
      </c>
      <c r="CB396" s="23" t="n">
        <f aca="false">IFERROR(CB162/CB382,"n/a")</f>
        <v>0.0121564927052334</v>
      </c>
      <c r="CC396" s="23" t="n">
        <f aca="false">IFERROR(CC162/CC382,"n/a")</f>
        <v>0.0128858822675474</v>
      </c>
      <c r="CD396" s="23" t="n">
        <f aca="false">IFERROR(CD162/CD382,"n/a")</f>
        <v>0.0136590352036002</v>
      </c>
      <c r="CE396" s="23" t="n">
        <f aca="false">IFERROR(CE162/CE382,"n/a")</f>
        <v>0.0144785773158162</v>
      </c>
    </row>
  </sheetData>
  <dataValidations count="1">
    <dataValidation allowBlank="false" errorStyle="stop" operator="between" showDropDown="false" showErrorMessage="false" showInputMessage="false" sqref="CF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1"/>
    <col collapsed="false" customWidth="true" hidden="false" outlineLevel="0" max="2" min="2" style="0" width="63.9"/>
    <col collapsed="false" customWidth="true" hidden="false" outlineLevel="0" max="8" min="3" style="0" width="11.9"/>
    <col collapsed="false" customWidth="true" hidden="false" outlineLevel="0" max="9" min="9" style="0" width="13.3"/>
    <col collapsed="false" customWidth="true" hidden="false" outlineLevel="0" max="12" min="10" style="0" width="12.61"/>
    <col collapsed="false" customWidth="true" hidden="false" outlineLevel="0" max="13" min="13" style="0" width="3.9"/>
    <col collapsed="false" customWidth="true" hidden="false" outlineLevel="0" max="14" min="14" style="0" width="63.9"/>
    <col collapsed="false" customWidth="true" hidden="false" outlineLevel="0" max="20" min="15" style="0" width="11.9"/>
    <col collapsed="false" customWidth="true" hidden="false" outlineLevel="0" max="21" min="21" style="0" width="13.3"/>
    <col collapsed="false" customWidth="true" hidden="false" outlineLevel="0" max="24" min="22" style="0" width="12.61"/>
    <col collapsed="false" customWidth="true" hidden="false" outlineLevel="0" max="25" min="25" style="0" width="3.9"/>
    <col collapsed="false" customWidth="true" hidden="false" outlineLevel="0" max="26" min="26" style="0" width="63.9"/>
    <col collapsed="false" customWidth="true" hidden="false" outlineLevel="0" max="32" min="27" style="0" width="11.9"/>
    <col collapsed="false" customWidth="true" hidden="false" outlineLevel="0" max="33" min="33" style="0" width="13.3"/>
    <col collapsed="false" customWidth="true" hidden="false" outlineLevel="0" max="36" min="34" style="0" width="12.61"/>
  </cols>
  <sheetData>
    <row r="2" customFormat="false" ht="19.7" hidden="false" customHeight="false" outlineLevel="0" collapsed="false">
      <c r="B2" s="83" t="s">
        <v>541</v>
      </c>
      <c r="J2" s="10" t="s">
        <v>542</v>
      </c>
      <c r="K2" s="84" t="n">
        <f aca="false">Model!$CA$382</f>
        <v>275.54</v>
      </c>
    </row>
    <row r="3" customFormat="false" ht="15" hidden="false" customHeight="false" outlineLevel="0" collapsed="false">
      <c r="B3" s="4" t="s">
        <v>543</v>
      </c>
      <c r="J3" s="10" t="s">
        <v>544</v>
      </c>
      <c r="K3" s="85" t="n">
        <f aca="true">TODAY()</f>
        <v>46302</v>
      </c>
    </row>
    <row r="5" customFormat="false" ht="15" hidden="false" customHeight="false" outlineLevel="0" collapsed="false">
      <c r="B5" s="86" t="s">
        <v>545</v>
      </c>
      <c r="C5" s="87" t="str">
        <f aca="false">Model!$CF$2</f>
        <v>Base</v>
      </c>
      <c r="N5" s="86" t="s">
        <v>545</v>
      </c>
      <c r="O5" s="87" t="s">
        <v>102</v>
      </c>
      <c r="P5" s="4" t="s">
        <v>546</v>
      </c>
      <c r="Z5" s="86" t="s">
        <v>545</v>
      </c>
      <c r="AA5" s="87" t="s">
        <v>103</v>
      </c>
      <c r="AB5" s="4" t="s">
        <v>547</v>
      </c>
    </row>
    <row r="7" customFormat="false" ht="15" hidden="false" customHeight="false" outlineLevel="0" collapsed="false">
      <c r="B7" s="88" t="s">
        <v>548</v>
      </c>
      <c r="C7" s="13" t="s">
        <v>549</v>
      </c>
      <c r="D7" s="13" t="s">
        <v>84</v>
      </c>
      <c r="E7" s="13" t="s">
        <v>85</v>
      </c>
      <c r="F7" s="13" t="s">
        <v>86</v>
      </c>
      <c r="G7" s="13" t="s">
        <v>87</v>
      </c>
      <c r="H7" s="13" t="s">
        <v>88</v>
      </c>
      <c r="I7" s="13" t="s">
        <v>550</v>
      </c>
      <c r="J7" s="24" t="s">
        <v>551</v>
      </c>
      <c r="K7" s="24" t="s">
        <v>552</v>
      </c>
      <c r="L7" s="24" t="s">
        <v>553</v>
      </c>
      <c r="N7" s="88" t="s">
        <v>548</v>
      </c>
      <c r="O7" s="13" t="s">
        <v>549</v>
      </c>
      <c r="P7" s="13" t="s">
        <v>84</v>
      </c>
      <c r="Q7" s="13" t="s">
        <v>85</v>
      </c>
      <c r="R7" s="13" t="s">
        <v>86</v>
      </c>
      <c r="S7" s="13" t="s">
        <v>87</v>
      </c>
      <c r="T7" s="13" t="s">
        <v>88</v>
      </c>
      <c r="U7" s="13" t="s">
        <v>550</v>
      </c>
      <c r="V7" s="24" t="s">
        <v>551</v>
      </c>
      <c r="W7" s="24" t="s">
        <v>552</v>
      </c>
      <c r="X7" s="24" t="s">
        <v>553</v>
      </c>
      <c r="Z7" s="88" t="s">
        <v>548</v>
      </c>
      <c r="AA7" s="13" t="s">
        <v>549</v>
      </c>
      <c r="AB7" s="13" t="s">
        <v>84</v>
      </c>
      <c r="AC7" s="13" t="s">
        <v>85</v>
      </c>
      <c r="AD7" s="13" t="s">
        <v>86</v>
      </c>
      <c r="AE7" s="13" t="s">
        <v>87</v>
      </c>
      <c r="AF7" s="13" t="s">
        <v>88</v>
      </c>
      <c r="AG7" s="13" t="s">
        <v>550</v>
      </c>
      <c r="AH7" s="24" t="s">
        <v>551</v>
      </c>
      <c r="AI7" s="24" t="s">
        <v>552</v>
      </c>
      <c r="AJ7" s="24" t="s">
        <v>553</v>
      </c>
    </row>
    <row r="9" customFormat="false" ht="15" hidden="false" customHeight="false" outlineLevel="0" collapsed="false">
      <c r="B9" s="89" t="s">
        <v>267</v>
      </c>
      <c r="C9" s="90" t="n">
        <f aca="false">Model!BV133</f>
        <v>4233.003</v>
      </c>
      <c r="D9" s="91" t="n">
        <f aca="false">Model!CA133</f>
        <v>4719.798345</v>
      </c>
      <c r="E9" s="91" t="n">
        <f aca="false">Model!CB133</f>
        <v>5019.09806045029</v>
      </c>
      <c r="F9" s="91" t="n">
        <f aca="false">Model!CC133</f>
        <v>5398.19287599876</v>
      </c>
      <c r="G9" s="91" t="n">
        <f aca="false">Model!CD133</f>
        <v>5778.44502087453</v>
      </c>
      <c r="H9" s="91" t="n">
        <f aca="false">Model!CE133</f>
        <v>6175.82463553174</v>
      </c>
      <c r="I9" s="92" t="n">
        <f aca="false">IFERROR((H9/C9)^(1/5)-1,"n/m")</f>
        <v>0.0784729975716656</v>
      </c>
      <c r="N9" s="89" t="s">
        <v>267</v>
      </c>
      <c r="O9" s="90" t="n">
        <v>4233.003</v>
      </c>
      <c r="P9" s="91" t="n">
        <v>4783.29339</v>
      </c>
      <c r="Q9" s="91" t="n">
        <v>5276.16562735243</v>
      </c>
      <c r="R9" s="91" t="n">
        <v>5918.29463526933</v>
      </c>
      <c r="S9" s="91" t="n">
        <v>6585.03807192709</v>
      </c>
      <c r="T9" s="91" t="n">
        <v>7294.59292479683</v>
      </c>
      <c r="U9" s="92" t="n">
        <v>0.114988779511438</v>
      </c>
      <c r="Z9" s="89" t="s">
        <v>267</v>
      </c>
      <c r="AA9" s="90" t="n">
        <v>4233.003</v>
      </c>
      <c r="AB9" s="91" t="n">
        <v>4656.3033</v>
      </c>
      <c r="AC9" s="91" t="n">
        <v>4765.84019624814</v>
      </c>
      <c r="AD9" s="91" t="n">
        <v>4894.58800478442</v>
      </c>
      <c r="AE9" s="91" t="n">
        <v>5011.1703287774</v>
      </c>
      <c r="AF9" s="91" t="n">
        <v>5130.68956456971</v>
      </c>
      <c r="AG9" s="92" t="n">
        <v>0.0392150614565385</v>
      </c>
    </row>
    <row r="10" customFormat="false" ht="15" hidden="false" customHeight="false" outlineLevel="0" collapsed="false">
      <c r="B10" s="93" t="s">
        <v>554</v>
      </c>
      <c r="D10" s="94" t="n">
        <f aca="false">IFERROR(D9/C9-1,"")</f>
        <v>0.115</v>
      </c>
      <c r="E10" s="94" t="n">
        <f aca="false">IFERROR(E9/D9-1,"")</f>
        <v>0.0634136659180273</v>
      </c>
      <c r="F10" s="94" t="n">
        <f aca="false">IFERROR(F9/E9-1,"")</f>
        <v>0.0755304660284852</v>
      </c>
      <c r="G10" s="94" t="n">
        <f aca="false">IFERROR(G9/F9-1,"")</f>
        <v>0.0704406370076971</v>
      </c>
      <c r="H10" s="94" t="n">
        <f aca="false">IFERROR(H9/G9-1,"")</f>
        <v>0.0687692992183333</v>
      </c>
      <c r="N10" s="93" t="s">
        <v>554</v>
      </c>
      <c r="P10" s="95" t="n">
        <v>0.13</v>
      </c>
      <c r="Q10" s="95" t="n">
        <v>0.103040352570226</v>
      </c>
      <c r="R10" s="95" t="n">
        <v>0.121703724497959</v>
      </c>
      <c r="S10" s="95" t="n">
        <v>0.112658033732283</v>
      </c>
      <c r="T10" s="95" t="n">
        <v>0.10775258170407</v>
      </c>
      <c r="Z10" s="93" t="s">
        <v>554</v>
      </c>
      <c r="AB10" s="95" t="n">
        <v>0.1</v>
      </c>
      <c r="AC10" s="95" t="n">
        <v>0.0235244332662226</v>
      </c>
      <c r="AD10" s="95" t="n">
        <v>0.0270147137198677</v>
      </c>
      <c r="AE10" s="95" t="n">
        <v>0.0238186184167113</v>
      </c>
      <c r="AF10" s="95" t="n">
        <v>0.0238505634314523</v>
      </c>
    </row>
    <row r="11" customFormat="false" ht="15" hidden="false" customHeight="false" outlineLevel="0" collapsed="false">
      <c r="B11" s="93" t="s">
        <v>555</v>
      </c>
      <c r="C11" s="96" t="n">
        <f aca="false">Model!BV113</f>
        <v>0.024661</v>
      </c>
      <c r="D11" s="97" t="n">
        <f aca="false">Model!CA113</f>
        <v>0.0967972522308628</v>
      </c>
      <c r="E11" s="97" t="n">
        <f aca="false">Model!CB113</f>
        <v>0.0501715747455918</v>
      </c>
      <c r="F11" s="97" t="n">
        <f aca="false">Model!CC113</f>
        <v>0.0502551977203993</v>
      </c>
      <c r="G11" s="97" t="n">
        <f aca="false">Model!CD113</f>
        <v>0.0470738767562714</v>
      </c>
      <c r="H11" s="97" t="n">
        <f aca="false">Model!CE113</f>
        <v>0.0471076180730999</v>
      </c>
      <c r="J11" s="98" t="n">
        <f aca="false">IFERROR(AVERAGE(Model!C113,Model!D113,Model!E113,Model!F113,Model!G113,Model!H113,Model!I113,Model!N113,Model!S113,Model!X113,Model!AC113,Model!AH113,Model!AM113,Model!AR113,Model!AW113,Model!BB113,Model!BG113,Model!BL113,Model!BQ113,Model!BV113),"n/a")</f>
        <v>0.0431531875</v>
      </c>
      <c r="K11" s="98" t="n">
        <f aca="false">IFERROR(MIN(Model!C113,Model!D113,Model!E113,Model!F113,Model!G113,Model!H113,Model!I113,Model!N113,Model!S113,Model!X113,Model!AC113,Model!AH113,Model!AM113,Model!AR113,Model!AW113,Model!BB113,Model!BG113,Model!BL113,Model!BQ113,Model!BV113),"n/a")</f>
        <v>-0.122112</v>
      </c>
      <c r="L11" s="98" t="n">
        <f aca="false">IFERROR(MAX(Model!C113,Model!D113,Model!E113,Model!F113,Model!G113,Model!H113,Model!I113,Model!N113,Model!S113,Model!X113,Model!AC113,Model!AH113,Model!AM113,Model!AR113,Model!AW113,Model!BB113,Model!BG113,Model!BL113,Model!BQ113,Model!BV113),"n/a")</f>
        <v>0.216856</v>
      </c>
      <c r="N11" s="93" t="s">
        <v>555</v>
      </c>
      <c r="O11" s="96" t="n">
        <v>0.024661</v>
      </c>
      <c r="P11" s="97" t="n">
        <v>0.111797252230863</v>
      </c>
      <c r="Q11" s="97" t="n">
        <v>0.0801743079682665</v>
      </c>
      <c r="R11" s="97" t="n">
        <v>0.0802488503640729</v>
      </c>
      <c r="S11" s="97" t="n">
        <v>0.0770670303912751</v>
      </c>
      <c r="T11" s="97" t="n">
        <v>0.0770998902156004</v>
      </c>
      <c r="V11" s="98" t="n">
        <v>0.0431531875</v>
      </c>
      <c r="W11" s="98" t="n">
        <v>-0.122112</v>
      </c>
      <c r="X11" s="98" t="n">
        <v>0.216856</v>
      </c>
      <c r="Z11" s="93" t="s">
        <v>555</v>
      </c>
      <c r="AA11" s="96" t="n">
        <v>0.024661</v>
      </c>
      <c r="AB11" s="97" t="n">
        <v>0.0817972522308632</v>
      </c>
      <c r="AC11" s="97" t="n">
        <v>0.0201687669804805</v>
      </c>
      <c r="AD11" s="97" t="n">
        <v>0.0202617785847474</v>
      </c>
      <c r="AE11" s="97" t="n">
        <v>0.0170809771809357</v>
      </c>
      <c r="AF11" s="97" t="n">
        <v>0.0171156495903691</v>
      </c>
      <c r="AH11" s="98" t="n">
        <v>0.0431531875</v>
      </c>
      <c r="AI11" s="98" t="n">
        <v>-0.122112</v>
      </c>
      <c r="AJ11" s="98" t="n">
        <v>0.216856</v>
      </c>
    </row>
    <row r="12" customFormat="false" ht="15" hidden="false" customHeight="false" outlineLevel="0" collapsed="false">
      <c r="B12" s="89" t="s">
        <v>556</v>
      </c>
      <c r="C12" s="90" t="n">
        <f aca="false">Model!BV178</f>
        <v>752.632</v>
      </c>
      <c r="D12" s="91" t="n">
        <f aca="false">Model!CA178</f>
        <v>851.95164935</v>
      </c>
      <c r="E12" s="91" t="n">
        <f aca="false">Model!CB178</f>
        <v>918.220283169161</v>
      </c>
      <c r="F12" s="91" t="n">
        <f aca="false">Model!CC178</f>
        <v>997.400687002238</v>
      </c>
      <c r="G12" s="91" t="n">
        <f aca="false">Model!CD178</f>
        <v>1074.13500697477</v>
      </c>
      <c r="H12" s="91" t="n">
        <f aca="false">Model!CE178</f>
        <v>1142.05157404797</v>
      </c>
      <c r="I12" s="92" t="n">
        <f aca="false">IFERROR((H12/C12)^(1/5)-1,"n/m")</f>
        <v>0.0869776326271461</v>
      </c>
      <c r="N12" s="89" t="s">
        <v>556</v>
      </c>
      <c r="O12" s="90" t="n">
        <v>752.632</v>
      </c>
      <c r="P12" s="91" t="n">
        <v>878.6456853</v>
      </c>
      <c r="Q12" s="91" t="n">
        <v>1040.2459892995</v>
      </c>
      <c r="R12" s="91" t="n">
        <v>1169.86712763131</v>
      </c>
      <c r="S12" s="91" t="n">
        <v>1302.152531543</v>
      </c>
      <c r="T12" s="91" t="n">
        <v>1429.94299544839</v>
      </c>
      <c r="U12" s="92" t="n">
        <v>0.136965296736509</v>
      </c>
      <c r="Z12" s="89" t="s">
        <v>556</v>
      </c>
      <c r="AA12" s="90" t="n">
        <v>752.632</v>
      </c>
      <c r="AB12" s="91" t="n">
        <v>828.584574</v>
      </c>
      <c r="AC12" s="91" t="n">
        <v>803.134719701353</v>
      </c>
      <c r="AD12" s="91" t="n">
        <v>839.019938767748</v>
      </c>
      <c r="AE12" s="91" t="n">
        <v>869.758149952518</v>
      </c>
      <c r="AF12" s="91" t="n">
        <v>889.974559506979</v>
      </c>
      <c r="AG12" s="92" t="n">
        <v>0.0340915338430841</v>
      </c>
    </row>
    <row r="13" customFormat="false" ht="15" hidden="false" customHeight="false" outlineLevel="0" collapsed="false">
      <c r="B13" s="93" t="s">
        <v>557</v>
      </c>
      <c r="C13" s="99" t="n">
        <f aca="false">IFERROR(C12/C9,"")</f>
        <v>0.177800960689137</v>
      </c>
      <c r="D13" s="100" t="n">
        <f aca="false">IFERROR(D12/D9,"")</f>
        <v>0.180505942643191</v>
      </c>
      <c r="E13" s="100" t="n">
        <f aca="false">IFERROR(E12/E9,"")</f>
        <v>0.182945276643346</v>
      </c>
      <c r="F13" s="100" t="n">
        <f aca="false">IFERROR(F12/F9,"")</f>
        <v>0.184765663234606</v>
      </c>
      <c r="G13" s="100" t="n">
        <f aca="false">IFERROR(G12/G9,"")</f>
        <v>0.185886514987073</v>
      </c>
      <c r="H13" s="100" t="n">
        <f aca="false">IFERROR(H12/H9,"")</f>
        <v>0.184922927940235</v>
      </c>
      <c r="J13" s="98" t="n">
        <f aca="false">IFERROR(AVERAGE(Model!C179,Model!D179,Model!E179,Model!F179,Model!G179,Model!H179,Model!I179,Model!N179,Model!S179,Model!X179,Model!AC179,Model!AH179,Model!AM179,Model!AR179,Model!AW179,Model!BB179,Model!BG179,Model!BL179,Model!BQ179,Model!BV179),"n/a")</f>
        <v>0.139196804969837</v>
      </c>
      <c r="K13" s="98" t="n">
        <f aca="false">IFERROR(MIN(Model!C179,Model!D179,Model!E179,Model!F179,Model!G179,Model!H179,Model!I179,Model!N179,Model!S179,Model!X179,Model!AC179,Model!AH179,Model!AM179,Model!AR179,Model!AW179,Model!BB179,Model!BG179,Model!BL179,Model!BQ179,Model!BV179),"n/a")</f>
        <v>0.0706476954348185</v>
      </c>
      <c r="L13" s="98" t="n">
        <f aca="false">IFERROR(MAX(Model!C179,Model!D179,Model!E179,Model!F179,Model!G179,Model!H179,Model!I179,Model!N179,Model!S179,Model!X179,Model!AC179,Model!AH179,Model!AM179,Model!AR179,Model!AW179,Model!BB179,Model!BG179,Model!BL179,Model!BQ179,Model!BV179),"n/a")</f>
        <v>0.178015401616995</v>
      </c>
      <c r="N13" s="93" t="s">
        <v>557</v>
      </c>
      <c r="O13" s="101" t="n">
        <v>0.177800960689137</v>
      </c>
      <c r="P13" s="102" t="n">
        <v>0.183690527354418</v>
      </c>
      <c r="Q13" s="102" t="n">
        <v>0.197159464423693</v>
      </c>
      <c r="R13" s="102" t="n">
        <v>0.197669632846536</v>
      </c>
      <c r="S13" s="102" t="n">
        <v>0.197744115875996</v>
      </c>
      <c r="T13" s="102" t="n">
        <v>0.196027798972513</v>
      </c>
      <c r="V13" s="98" t="n">
        <v>0.139196804969837</v>
      </c>
      <c r="W13" s="98" t="n">
        <v>0.0706476954348185</v>
      </c>
      <c r="X13" s="98" t="n">
        <v>0.178015401616995</v>
      </c>
      <c r="Z13" s="93" t="s">
        <v>557</v>
      </c>
      <c r="AA13" s="101" t="n">
        <v>0.177800960689137</v>
      </c>
      <c r="AB13" s="102" t="n">
        <v>0.177949012470902</v>
      </c>
      <c r="AC13" s="102" t="n">
        <v>0.168519020074071</v>
      </c>
      <c r="AD13" s="102" t="n">
        <v>0.171417888073033</v>
      </c>
      <c r="AE13" s="102" t="n">
        <v>0.173563876876785</v>
      </c>
      <c r="AF13" s="102" t="n">
        <v>0.173461003303094</v>
      </c>
      <c r="AH13" s="98" t="n">
        <v>0.139196804969837</v>
      </c>
      <c r="AI13" s="98" t="n">
        <v>0.0706476954348185</v>
      </c>
      <c r="AJ13" s="98" t="n">
        <v>0.178015401616995</v>
      </c>
    </row>
    <row r="15" customFormat="false" ht="15" hidden="false" customHeight="false" outlineLevel="0" collapsed="false">
      <c r="B15" s="89" t="s">
        <v>331</v>
      </c>
      <c r="C15" s="90" t="n">
        <f aca="false">Model!BV140</f>
        <v>718.059</v>
      </c>
      <c r="D15" s="91" t="n">
        <f aca="false">Model!CA140</f>
        <v>838.98164935</v>
      </c>
      <c r="E15" s="91" t="n">
        <f aca="false">Model!CB140</f>
        <v>901.220283169161</v>
      </c>
      <c r="F15" s="91" t="n">
        <f aca="false">Model!CC140</f>
        <v>980.400687002238</v>
      </c>
      <c r="G15" s="91" t="n">
        <f aca="false">Model!CD140</f>
        <v>1057.13500697477</v>
      </c>
      <c r="H15" s="91" t="n">
        <f aca="false">Model!CE140</f>
        <v>1125.05157404797</v>
      </c>
      <c r="I15" s="92" t="n">
        <f aca="false">IFERROR((H15/C15)^(1/5)-1,"n/m")</f>
        <v>0.093962563700783</v>
      </c>
      <c r="N15" s="89" t="s">
        <v>331</v>
      </c>
      <c r="O15" s="90" t="n">
        <v>718.059</v>
      </c>
      <c r="P15" s="91" t="n">
        <v>865.6756853</v>
      </c>
      <c r="Q15" s="91" t="n">
        <v>1023.2459892995</v>
      </c>
      <c r="R15" s="91" t="n">
        <v>1152.86712763131</v>
      </c>
      <c r="S15" s="91" t="n">
        <v>1285.152531543</v>
      </c>
      <c r="T15" s="91" t="n">
        <v>1412.94299544839</v>
      </c>
      <c r="U15" s="92" t="n">
        <v>0.144966821939712</v>
      </c>
      <c r="Z15" s="89" t="s">
        <v>331</v>
      </c>
      <c r="AA15" s="90" t="n">
        <v>718.059</v>
      </c>
      <c r="AB15" s="91" t="n">
        <v>815.614574</v>
      </c>
      <c r="AC15" s="91" t="n">
        <v>786.134719701353</v>
      </c>
      <c r="AD15" s="91" t="n">
        <v>822.019938767748</v>
      </c>
      <c r="AE15" s="91" t="n">
        <v>852.758149952518</v>
      </c>
      <c r="AF15" s="91" t="n">
        <v>872.974559506979</v>
      </c>
      <c r="AG15" s="92" t="n">
        <v>0.0398442425065821</v>
      </c>
    </row>
    <row r="16" customFormat="false" ht="15" hidden="false" customHeight="false" outlineLevel="0" collapsed="false">
      <c r="B16" s="93" t="s">
        <v>558</v>
      </c>
      <c r="D16" s="94" t="n">
        <f aca="false">IFERROR(D15/C15-1,"")</f>
        <v>0.168402108113679</v>
      </c>
      <c r="E16" s="94" t="n">
        <f aca="false">IFERROR(E15/D15-1,"")</f>
        <v>0.0741835460494049</v>
      </c>
      <c r="F16" s="94" t="n">
        <f aca="false">IFERROR(F15/E15-1,"")</f>
        <v>0.0878591009454837</v>
      </c>
      <c r="G16" s="94" t="n">
        <f aca="false">IFERROR(G15/F15-1,"")</f>
        <v>0.0782683253794532</v>
      </c>
      <c r="H16" s="94" t="n">
        <f aca="false">IFERROR(H15/G15-1,"")</f>
        <v>0.064245878364728</v>
      </c>
      <c r="N16" s="93" t="s">
        <v>558</v>
      </c>
      <c r="P16" s="95" t="n">
        <v>0.20557737637158</v>
      </c>
      <c r="Q16" s="95" t="n">
        <v>0.182020018206813</v>
      </c>
      <c r="R16" s="95" t="n">
        <v>0.126676419636441</v>
      </c>
      <c r="S16" s="95" t="n">
        <v>0.114744709725121</v>
      </c>
      <c r="T16" s="95" t="n">
        <v>0.0994360286182987</v>
      </c>
      <c r="Z16" s="93" t="s">
        <v>558</v>
      </c>
      <c r="AB16" s="95" t="n">
        <v>0.135860108988259</v>
      </c>
      <c r="AC16" s="95" t="n">
        <v>-0.0361443446922112</v>
      </c>
      <c r="AD16" s="95" t="n">
        <v>0.0456476710251743</v>
      </c>
      <c r="AE16" s="95" t="n">
        <v>0.0373935104674568</v>
      </c>
      <c r="AF16" s="95" t="n">
        <v>0.0237070845415983</v>
      </c>
    </row>
    <row r="17" customFormat="false" ht="15" hidden="false" customHeight="false" outlineLevel="0" collapsed="false">
      <c r="B17" s="93" t="s">
        <v>559</v>
      </c>
      <c r="C17" s="99" t="n">
        <f aca="false">IFERROR(C15/C9,"")</f>
        <v>0.169633472974151</v>
      </c>
      <c r="D17" s="100" t="n">
        <f aca="false">IFERROR(D15/D9,"")</f>
        <v>0.177757943883088</v>
      </c>
      <c r="E17" s="100" t="n">
        <f aca="false">IFERROR(E15/E9,"")</f>
        <v>0.179558213909116</v>
      </c>
      <c r="F17" s="100" t="n">
        <f aca="false">IFERROR(F15/F9,"")</f>
        <v>0.181616461197831</v>
      </c>
      <c r="G17" s="100" t="n">
        <f aca="false">IFERROR(G15/G9,"")</f>
        <v>0.182944547046115</v>
      </c>
      <c r="H17" s="100" t="n">
        <f aca="false">IFERROR(H15/H9,"")</f>
        <v>0.182170259105989</v>
      </c>
      <c r="J17" s="98" t="n">
        <f aca="false">IFERROR(AVERAGE(Model!C224,Model!D224,Model!E224,Model!F224,Model!G224,Model!H224,Model!I224,Model!N224,Model!S224,Model!X224,Model!AC224,Model!AH224,Model!AM224,Model!AR224,Model!AW224,Model!BB224,Model!BG224,Model!BL224,Model!BQ224,Model!BV224),"n/a")</f>
        <v>0.125830333190832</v>
      </c>
      <c r="K17" s="98" t="n">
        <f aca="false">IFERROR(MIN(Model!C224,Model!D224,Model!E224,Model!F224,Model!G224,Model!H224,Model!I224,Model!N224,Model!S224,Model!X224,Model!AC224,Model!AH224,Model!AM224,Model!AR224,Model!AW224,Model!BB224,Model!BG224,Model!BL224,Model!BQ224,Model!BV224),"n/a")</f>
        <v>0.0537655736330333</v>
      </c>
      <c r="L17" s="98" t="n">
        <f aca="false">IFERROR(MAX(Model!C224,Model!D224,Model!E224,Model!F224,Model!G224,Model!H224,Model!I224,Model!N224,Model!S224,Model!X224,Model!AC224,Model!AH224,Model!AM224,Model!AR224,Model!AW224,Model!BB224,Model!BG224,Model!BL224,Model!BQ224,Model!BV224),"n/a")</f>
        <v>0.171257475601412</v>
      </c>
      <c r="N17" s="93" t="s">
        <v>559</v>
      </c>
      <c r="O17" s="101" t="n">
        <v>0.169633472974151</v>
      </c>
      <c r="P17" s="102" t="n">
        <v>0.180979006453961</v>
      </c>
      <c r="Q17" s="102" t="n">
        <v>0.193937427588482</v>
      </c>
      <c r="R17" s="102" t="n">
        <v>0.194797183763198</v>
      </c>
      <c r="S17" s="102" t="n">
        <v>0.195162505896781</v>
      </c>
      <c r="T17" s="102" t="n">
        <v>0.19369730566394</v>
      </c>
      <c r="V17" s="98" t="n">
        <v>0.125830333190832</v>
      </c>
      <c r="W17" s="98" t="n">
        <v>0.0537655736330333</v>
      </c>
      <c r="X17" s="98" t="n">
        <v>0.171257475601412</v>
      </c>
      <c r="Z17" s="93" t="s">
        <v>559</v>
      </c>
      <c r="AA17" s="101" t="n">
        <v>0.169633472974151</v>
      </c>
      <c r="AB17" s="102" t="n">
        <v>0.175163541000433</v>
      </c>
      <c r="AC17" s="102" t="n">
        <v>0.164951968032883</v>
      </c>
      <c r="AD17" s="102" t="n">
        <v>0.167944664180975</v>
      </c>
      <c r="AE17" s="102" t="n">
        <v>0.170171455768611</v>
      </c>
      <c r="AF17" s="102" t="n">
        <v>0.170147608527196</v>
      </c>
      <c r="AH17" s="98" t="n">
        <v>0.125830333190832</v>
      </c>
      <c r="AI17" s="98" t="n">
        <v>0.0537655736330333</v>
      </c>
      <c r="AJ17" s="98" t="n">
        <v>0.171257475601412</v>
      </c>
    </row>
    <row r="19" customFormat="false" ht="15" hidden="false" customHeight="false" outlineLevel="0" collapsed="false">
      <c r="B19" s="89" t="s">
        <v>560</v>
      </c>
      <c r="C19" s="90" t="n">
        <f aca="false">Model!BV202</f>
        <v>551.330999999999</v>
      </c>
      <c r="D19" s="91" t="n">
        <f aca="false">Model!CA202</f>
        <v>618.90332824625</v>
      </c>
      <c r="E19" s="91" t="n">
        <f aca="false">Model!CB202</f>
        <v>671.316293631698</v>
      </c>
      <c r="F19" s="91" t="n">
        <f aca="false">Model!CC202</f>
        <v>728.026722614095</v>
      </c>
      <c r="G19" s="91" t="n">
        <f aca="false">Model!CD202</f>
        <v>783.477764986202</v>
      </c>
      <c r="H19" s="91" t="n">
        <f aca="false">Model!CE202</f>
        <v>832.222277039333</v>
      </c>
      <c r="I19" s="92" t="n">
        <f aca="false">IFERROR((H19/C19)^(1/5)-1,"n/m")</f>
        <v>0.085838871870032</v>
      </c>
      <c r="N19" s="89" t="s">
        <v>560</v>
      </c>
      <c r="O19" s="90" t="n">
        <v>551.330999999999</v>
      </c>
      <c r="P19" s="91" t="n">
        <v>639.5912061075</v>
      </c>
      <c r="Q19" s="91" t="n">
        <v>763.479652215545</v>
      </c>
      <c r="R19" s="91" t="n">
        <v>844.577008975458</v>
      </c>
      <c r="S19" s="91" t="n">
        <v>938.940574284601</v>
      </c>
      <c r="T19" s="91" t="n">
        <v>1029.66567603705</v>
      </c>
      <c r="U19" s="92" t="n">
        <v>0.133070061717575</v>
      </c>
      <c r="Z19" s="89" t="s">
        <v>560</v>
      </c>
      <c r="AA19" s="90" t="n">
        <v>551.330999999999</v>
      </c>
      <c r="AB19" s="91" t="n">
        <v>600.79384485</v>
      </c>
      <c r="AC19" s="91" t="n">
        <v>584.15757543658</v>
      </c>
      <c r="AD19" s="91" t="n">
        <v>615.474618085349</v>
      </c>
      <c r="AE19" s="91" t="n">
        <v>638.558734590679</v>
      </c>
      <c r="AF19" s="91" t="n">
        <v>653.618475030673</v>
      </c>
      <c r="AG19" s="92" t="n">
        <v>0.0346236019862329</v>
      </c>
    </row>
    <row r="21" customFormat="false" ht="15" hidden="false" customHeight="false" outlineLevel="0" collapsed="false">
      <c r="B21" s="89" t="s">
        <v>561</v>
      </c>
      <c r="C21" s="103" t="n">
        <f aca="false">Model!BV157</f>
        <v>55.875</v>
      </c>
      <c r="D21" s="104" t="n">
        <f aca="false">Model!CA157</f>
        <v>55.0196536074617</v>
      </c>
      <c r="E21" s="104" t="n">
        <f aca="false">Model!CB157</f>
        <v>53.9997694991117</v>
      </c>
      <c r="F21" s="104" t="n">
        <f aca="false">Model!CC157</f>
        <v>52.9831052520943</v>
      </c>
      <c r="G21" s="104" t="n">
        <f aca="false">Model!CD157</f>
        <v>51.9429634002351</v>
      </c>
      <c r="H21" s="104" t="n">
        <f aca="false">Model!CE157</f>
        <v>50.8719013212268</v>
      </c>
      <c r="I21" s="92" t="n">
        <f aca="false">IFERROR((H21/C21)^(1/5)-1,"n/m")</f>
        <v>-0.0185863667057749</v>
      </c>
      <c r="N21" s="89" t="s">
        <v>561</v>
      </c>
      <c r="O21" s="103" t="n">
        <v>55.875</v>
      </c>
      <c r="P21" s="104" t="n">
        <v>54.9742881432823</v>
      </c>
      <c r="Q21" s="104" t="n">
        <v>53.3211616433213</v>
      </c>
      <c r="R21" s="104" t="n">
        <v>51.749416843734</v>
      </c>
      <c r="S21" s="104" t="n">
        <v>50.5277460418629</v>
      </c>
      <c r="T21" s="104" t="n">
        <v>49.1524847775406</v>
      </c>
      <c r="U21" s="92" t="n">
        <v>-0.0253120695258133</v>
      </c>
      <c r="Z21" s="89" t="s">
        <v>561</v>
      </c>
      <c r="AA21" s="103" t="n">
        <v>55.875</v>
      </c>
      <c r="AB21" s="104" t="n">
        <v>55.0650190716411</v>
      </c>
      <c r="AC21" s="104" t="n">
        <v>54.5472893700453</v>
      </c>
      <c r="AD21" s="104" t="n">
        <v>53.892911258413</v>
      </c>
      <c r="AE21" s="104" t="n">
        <v>52.9004092293809</v>
      </c>
      <c r="AF21" s="104" t="n">
        <v>51.9785700636408</v>
      </c>
      <c r="AG21" s="92" t="n">
        <v>-0.0143531045175526</v>
      </c>
    </row>
    <row r="23" customFormat="false" ht="15" hidden="false" customHeight="false" outlineLevel="0" collapsed="false">
      <c r="B23" s="89" t="s">
        <v>562</v>
      </c>
      <c r="C23" s="105" t="n">
        <f aca="false">Model!BV206</f>
        <v>9.86722147651006</v>
      </c>
      <c r="D23" s="106" t="n">
        <f aca="false">Model!CA206</f>
        <v>11.2487681704037</v>
      </c>
      <c r="E23" s="106" t="n">
        <f aca="false">Model!CB206</f>
        <v>12.4318362811297</v>
      </c>
      <c r="F23" s="106" t="n">
        <f aca="false">Model!CC206</f>
        <v>13.7407333743489</v>
      </c>
      <c r="G23" s="106" t="n">
        <f aca="false">Model!CD206</f>
        <v>15.0834244659721</v>
      </c>
      <c r="H23" s="106" t="n">
        <f aca="false">Model!CE206</f>
        <v>16.3591738351655</v>
      </c>
      <c r="I23" s="92" t="n">
        <f aca="false">IFERROR((H23/C23)^(1/5)-1,"n/m")</f>
        <v>0.106402881550862</v>
      </c>
      <c r="N23" s="89" t="s">
        <v>562</v>
      </c>
      <c r="O23" s="105" t="n">
        <v>9.86722147651006</v>
      </c>
      <c r="P23" s="106" t="n">
        <v>11.6343699520129</v>
      </c>
      <c r="Q23" s="106" t="n">
        <v>14.3185112380457</v>
      </c>
      <c r="R23" s="106" t="n">
        <v>16.3205125871427</v>
      </c>
      <c r="S23" s="106" t="n">
        <v>18.5826728448698</v>
      </c>
      <c r="T23" s="106" t="n">
        <v>20.948395197053</v>
      </c>
      <c r="U23" s="92" t="n">
        <v>0.162495221589884</v>
      </c>
      <c r="Z23" s="89" t="s">
        <v>562</v>
      </c>
      <c r="AA23" s="105" t="n">
        <v>9.86722147651006</v>
      </c>
      <c r="AB23" s="106" t="n">
        <v>10.9106262919541</v>
      </c>
      <c r="AC23" s="106" t="n">
        <v>10.7091953089308</v>
      </c>
      <c r="AD23" s="106" t="n">
        <v>11.4203260450004</v>
      </c>
      <c r="AE23" s="106" t="n">
        <v>12.0709602041419</v>
      </c>
      <c r="AF23" s="106" t="n">
        <v>12.5747682983661</v>
      </c>
      <c r="AG23" s="92" t="n">
        <v>0.0496899109896884</v>
      </c>
    </row>
    <row r="24" customFormat="false" ht="15" hidden="false" customHeight="false" outlineLevel="0" collapsed="false">
      <c r="B24" s="93" t="s">
        <v>563</v>
      </c>
      <c r="D24" s="94" t="n">
        <f aca="false">IFERROR(D23/C23-1,"")</f>
        <v>0.14001375130603</v>
      </c>
      <c r="E24" s="94" t="n">
        <f aca="false">IFERROR(E23/D23-1,"")</f>
        <v>0.105173125875133</v>
      </c>
      <c r="F24" s="94" t="n">
        <f aca="false">IFERROR(F23/E23-1,"")</f>
        <v>0.10528590174615</v>
      </c>
      <c r="G24" s="94" t="n">
        <f aca="false">IFERROR(G23/F23-1,"")</f>
        <v>0.0977161156572404</v>
      </c>
      <c r="H24" s="94" t="n">
        <f aca="false">IFERROR(H23/G23-1,"")</f>
        <v>0.0845795576509434</v>
      </c>
      <c r="N24" s="93" t="s">
        <v>563</v>
      </c>
      <c r="P24" s="95" t="n">
        <v>0.179092815511406</v>
      </c>
      <c r="Q24" s="95" t="n">
        <v>0.230707919475126</v>
      </c>
      <c r="R24" s="95" t="n">
        <v>0.139819099612645</v>
      </c>
      <c r="S24" s="95" t="n">
        <v>0.138608407404383</v>
      </c>
      <c r="T24" s="95" t="n">
        <v>0.127307969737857</v>
      </c>
      <c r="Z24" s="93" t="s">
        <v>563</v>
      </c>
      <c r="AB24" s="95" t="n">
        <v>0.105744541959248</v>
      </c>
      <c r="AC24" s="95" t="n">
        <v>-0.0184619083848385</v>
      </c>
      <c r="AD24" s="95" t="n">
        <v>0.0664037507539479</v>
      </c>
      <c r="AE24" s="95" t="n">
        <v>0.0569715922800955</v>
      </c>
      <c r="AF24" s="95" t="n">
        <v>0.0417372011591377</v>
      </c>
    </row>
    <row r="26" customFormat="false" ht="15" hidden="false" customHeight="false" outlineLevel="0" collapsed="false">
      <c r="B26" s="89" t="s">
        <v>564</v>
      </c>
      <c r="G26" s="107" t="n">
        <v>22</v>
      </c>
      <c r="H26" s="107" t="n">
        <v>22</v>
      </c>
      <c r="N26" s="89" t="s">
        <v>564</v>
      </c>
      <c r="S26" s="108" t="n">
        <v>22</v>
      </c>
      <c r="T26" s="108" t="n">
        <v>22</v>
      </c>
      <c r="Z26" s="89" t="s">
        <v>564</v>
      </c>
      <c r="AE26" s="108" t="n">
        <v>22</v>
      </c>
      <c r="AF26" s="108" t="n">
        <v>22</v>
      </c>
    </row>
    <row r="27" customFormat="false" ht="15" hidden="false" customHeight="false" outlineLevel="0" collapsed="false">
      <c r="B27" s="89" t="s">
        <v>565</v>
      </c>
      <c r="G27" s="109" t="n">
        <f aca="false">G26*G23</f>
        <v>331.835338251387</v>
      </c>
      <c r="H27" s="109" t="n">
        <f aca="false">H26*H23</f>
        <v>359.90182437364</v>
      </c>
      <c r="N27" s="89" t="s">
        <v>565</v>
      </c>
      <c r="S27" s="109" t="n">
        <v>408.818802587135</v>
      </c>
      <c r="T27" s="109" t="n">
        <v>460.864694335165</v>
      </c>
      <c r="Z27" s="89" t="s">
        <v>565</v>
      </c>
      <c r="AE27" s="109" t="n">
        <v>265.561124491122</v>
      </c>
      <c r="AF27" s="109" t="n">
        <v>276.644902564055</v>
      </c>
    </row>
    <row r="28" customFormat="false" ht="15" hidden="false" customHeight="false" outlineLevel="0" collapsed="false">
      <c r="B28" s="93" t="s">
        <v>566</v>
      </c>
      <c r="G28" s="94" t="n">
        <f aca="false">IFERROR(G27/$K$2-1,"")</f>
        <v>0.204309132072973</v>
      </c>
      <c r="H28" s="94" t="n">
        <f aca="false">IFERROR(H27/$K$2-1,"")</f>
        <v>0.306169065738697</v>
      </c>
      <c r="N28" s="93" t="s">
        <v>566</v>
      </c>
      <c r="S28" s="95" t="n">
        <v>0.483700379571515</v>
      </c>
      <c r="T28" s="95" t="n">
        <v>0.672587262594052</v>
      </c>
      <c r="Z28" s="93" t="s">
        <v>566</v>
      </c>
      <c r="AE28" s="95" t="n">
        <v>-0.0362157055559195</v>
      </c>
      <c r="AF28" s="95" t="n">
        <v>0.00400995341531085</v>
      </c>
    </row>
    <row r="29" customFormat="false" ht="15" hidden="false" customHeight="false" outlineLevel="0" collapsed="false">
      <c r="B29" s="89" t="s">
        <v>567</v>
      </c>
      <c r="G29" s="110" t="n">
        <f aca="false">IFERROR((G27/$K$2)^(1/((DATE(2029-1,12,31)-$K$3)/365.25))-1,"")</f>
        <v>0.0867737772129111</v>
      </c>
      <c r="H29" s="110" t="n">
        <f aca="false">IFERROR((H27/$K$2)^(1/((DATE(2030-1,12,31)-$K$3)/365.25))-1,"")</f>
        <v>0.0861138250139473</v>
      </c>
      <c r="N29" s="89" t="s">
        <v>567</v>
      </c>
      <c r="S29" s="110" t="n">
        <v>0.193153519022123</v>
      </c>
      <c r="T29" s="110" t="n">
        <v>0.172432510351827</v>
      </c>
      <c r="Z29" s="89" t="s">
        <v>567</v>
      </c>
      <c r="AE29" s="110" t="n">
        <v>-0.0163757806174384</v>
      </c>
      <c r="AF29" s="110" t="n">
        <v>0.00123845189816141</v>
      </c>
    </row>
    <row r="31" customFormat="false" ht="15" hidden="false" customHeight="false" outlineLevel="0" collapsed="false">
      <c r="B31" s="89" t="s">
        <v>568</v>
      </c>
      <c r="C31" s="90" t="n">
        <f aca="false">Model!BV258</f>
        <v>534.199</v>
      </c>
      <c r="D31" s="91" t="n">
        <f aca="false">Model!CA258</f>
        <v>502.706278114676</v>
      </c>
      <c r="E31" s="91" t="n">
        <f aca="false">Model!CB258</f>
        <v>634.358127815482</v>
      </c>
      <c r="F31" s="91" t="n">
        <f aca="false">Model!CC258</f>
        <v>683.907734463569</v>
      </c>
      <c r="G31" s="91" t="n">
        <f aca="false">Model!CD258</f>
        <v>746.801764981855</v>
      </c>
      <c r="H31" s="91" t="n">
        <f aca="false">Model!CE258</f>
        <v>799.769968817215</v>
      </c>
      <c r="I31" s="92" t="n">
        <f aca="false">IFERROR((H31/C31)^(1/5)-1,"n/m")</f>
        <v>0.0840577144635939</v>
      </c>
      <c r="N31" s="89" t="s">
        <v>568</v>
      </c>
      <c r="O31" s="90" t="n">
        <v>534.199</v>
      </c>
      <c r="P31" s="91" t="n">
        <v>505.902270351374</v>
      </c>
      <c r="Q31" s="91" t="n">
        <v>704.246903267975</v>
      </c>
      <c r="R31" s="91" t="n">
        <v>766.665489354636</v>
      </c>
      <c r="S31" s="91" t="n">
        <v>870.667078018609</v>
      </c>
      <c r="T31" s="91" t="n">
        <v>967.607227058339</v>
      </c>
      <c r="U31" s="92" t="n">
        <v>0.126157689428325</v>
      </c>
      <c r="Z31" s="89" t="s">
        <v>568</v>
      </c>
      <c r="AA31" s="90" t="n">
        <v>534.199</v>
      </c>
      <c r="AB31" s="91" t="n">
        <v>502.425933883252</v>
      </c>
      <c r="AC31" s="91" t="n">
        <v>569.161038935221</v>
      </c>
      <c r="AD31" s="91" t="n">
        <v>603.621969958778</v>
      </c>
      <c r="AE31" s="91" t="n">
        <v>630.429529731292</v>
      </c>
      <c r="AF31" s="91" t="n">
        <v>646.006409494463</v>
      </c>
      <c r="AG31" s="92" t="n">
        <v>0.0387397498520892</v>
      </c>
    </row>
    <row r="32" customFormat="false" ht="15" hidden="false" customHeight="false" outlineLevel="0" collapsed="false">
      <c r="B32" s="93" t="s">
        <v>569</v>
      </c>
      <c r="C32" s="99" t="n">
        <f aca="false">IFERROR(C31/C9,"")</f>
        <v>0.126198587622074</v>
      </c>
      <c r="D32" s="100" t="n">
        <f aca="false">IFERROR(D31/D9,"")</f>
        <v>0.106510117884004</v>
      </c>
      <c r="E32" s="100" t="n">
        <f aca="false">IFERROR(E31/E9,"")</f>
        <v>0.126388869110593</v>
      </c>
      <c r="F32" s="100" t="n">
        <f aca="false">IFERROR(F31/F9,"")</f>
        <v>0.126691978255229</v>
      </c>
      <c r="G32" s="100" t="n">
        <f aca="false">IFERROR(G31/G9,"")</f>
        <v>0.129239226519253</v>
      </c>
      <c r="H32" s="100" t="n">
        <f aca="false">IFERROR(H31/H9,"")</f>
        <v>0.129500109866438</v>
      </c>
      <c r="J32" s="98" t="n">
        <f aca="false">IFERROR(AVERAGE(Model!C260,Model!D260,Model!E260,Model!F260,Model!G260,Model!H260,Model!I260,Model!N260,Model!S260,Model!X260,Model!AC260,Model!AH260,Model!AM260,Model!AR260,Model!AW260,Model!BB260,Model!BG260,Model!BL260,Model!BQ260,Model!BV260),"n/a")</f>
        <v>0.0942820016504014</v>
      </c>
      <c r="K32" s="98" t="n">
        <f aca="false">IFERROR(MIN(Model!C260,Model!D260,Model!E260,Model!F260,Model!G260,Model!H260,Model!I260,Model!N260,Model!S260,Model!X260,Model!AC260,Model!AH260,Model!AM260,Model!AR260,Model!AW260,Model!BB260,Model!BG260,Model!BL260,Model!BQ260,Model!BV260),"n/a")</f>
        <v>0.0216429207141282</v>
      </c>
      <c r="L32" s="98" t="n">
        <f aca="false">IFERROR(MAX(Model!C260,Model!D260,Model!E260,Model!F260,Model!G260,Model!H260,Model!I260,Model!N260,Model!S260,Model!X260,Model!AC260,Model!AH260,Model!AM260,Model!AR260,Model!AW260,Model!BB260,Model!BG260,Model!BL260,Model!BQ260,Model!BV260),"n/a")</f>
        <v>0.137548918846961</v>
      </c>
      <c r="N32" s="93" t="s">
        <v>569</v>
      </c>
      <c r="O32" s="101" t="n">
        <v>0.126198587622074</v>
      </c>
      <c r="P32" s="102" t="n">
        <v>0.105764424028227</v>
      </c>
      <c r="Q32" s="102" t="n">
        <v>0.133477027259541</v>
      </c>
      <c r="R32" s="102" t="n">
        <v>0.129541622477832</v>
      </c>
      <c r="S32" s="102" t="n">
        <v>0.132218989246301</v>
      </c>
      <c r="T32" s="102" t="n">
        <v>0.132647186352114</v>
      </c>
      <c r="V32" s="98" t="n">
        <v>0.0942820016504014</v>
      </c>
      <c r="W32" s="98" t="n">
        <v>0.0216429207141282</v>
      </c>
      <c r="X32" s="98" t="n">
        <v>0.137548918846961</v>
      </c>
      <c r="Z32" s="93" t="s">
        <v>569</v>
      </c>
      <c r="AA32" s="101" t="n">
        <v>0.126198587622074</v>
      </c>
      <c r="AB32" s="102" t="n">
        <v>0.107902321114531</v>
      </c>
      <c r="AC32" s="102" t="n">
        <v>0.11942512033519</v>
      </c>
      <c r="AD32" s="102" t="n">
        <v>0.123324367519542</v>
      </c>
      <c r="AE32" s="102" t="n">
        <v>0.125804849639805</v>
      </c>
      <c r="AF32" s="102" t="n">
        <v>0.12591025073033</v>
      </c>
      <c r="AH32" s="98" t="n">
        <v>0.0942820016504014</v>
      </c>
      <c r="AI32" s="98" t="n">
        <v>0.0216429207141282</v>
      </c>
      <c r="AJ32" s="98" t="n">
        <v>0.137548918846961</v>
      </c>
    </row>
    <row r="33" customFormat="false" ht="15" hidden="false" customHeight="false" outlineLevel="0" collapsed="false">
      <c r="B33" s="93" t="s">
        <v>570</v>
      </c>
      <c r="C33" s="111" t="n">
        <f aca="false">IFERROR(C31/C21,"")</f>
        <v>9.56060850111857</v>
      </c>
      <c r="D33" s="112" t="n">
        <f aca="false">IFERROR(D31/D21,"")</f>
        <v>9.13684920121888</v>
      </c>
      <c r="E33" s="112" t="n">
        <f aca="false">IFERROR(E31/E21,"")</f>
        <v>11.7474228816091</v>
      </c>
      <c r="F33" s="112" t="n">
        <f aca="false">IFERROR(F31/F21,"")</f>
        <v>12.9080341971187</v>
      </c>
      <c r="G33" s="112" t="n">
        <f aca="false">IFERROR(G31/G21,"")</f>
        <v>14.377342301931</v>
      </c>
      <c r="H33" s="112" t="n">
        <f aca="false">IFERROR(H31/H21,"")</f>
        <v>15.7212517725085</v>
      </c>
      <c r="N33" s="93" t="s">
        <v>570</v>
      </c>
      <c r="O33" s="113" t="n">
        <v>9.56060850111857</v>
      </c>
      <c r="P33" s="114" t="n">
        <v>9.20252517018166</v>
      </c>
      <c r="Q33" s="114" t="n">
        <v>13.2076436739856</v>
      </c>
      <c r="R33" s="114" t="n">
        <v>14.8149590104505</v>
      </c>
      <c r="S33" s="114" t="n">
        <v>17.2314648133572</v>
      </c>
      <c r="T33" s="114" t="n">
        <v>19.6858252728756</v>
      </c>
      <c r="Z33" s="93" t="s">
        <v>570</v>
      </c>
      <c r="AA33" s="113" t="n">
        <v>9.56060850111857</v>
      </c>
      <c r="AB33" s="114" t="n">
        <v>9.12423063414509</v>
      </c>
      <c r="AC33" s="114" t="n">
        <v>10.4342680545328</v>
      </c>
      <c r="AD33" s="114" t="n">
        <v>11.2003964132583</v>
      </c>
      <c r="AE33" s="114" t="n">
        <v>11.9172902235537</v>
      </c>
      <c r="AF33" s="114" t="n">
        <v>12.4283220701053</v>
      </c>
    </row>
    <row r="34" customFormat="false" ht="15" hidden="false" customHeight="false" outlineLevel="0" collapsed="false">
      <c r="B34" s="93" t="s">
        <v>571</v>
      </c>
      <c r="G34" s="100" t="n">
        <f aca="false">IFERROR(G33/G$27,"")</f>
        <v>0.0433267366209178</v>
      </c>
      <c r="H34" s="100" t="n">
        <f aca="false">IFERROR(H33/H$27,"")</f>
        <v>0.0436820563493091</v>
      </c>
      <c r="N34" s="93" t="s">
        <v>571</v>
      </c>
      <c r="S34" s="102" t="n">
        <v>0.0421493940697224</v>
      </c>
      <c r="T34" s="102" t="n">
        <v>0.0427149779856189</v>
      </c>
      <c r="Z34" s="93" t="s">
        <v>571</v>
      </c>
      <c r="AE34" s="102" t="n">
        <v>0.0448758840225204</v>
      </c>
      <c r="AF34" s="102" t="n">
        <v>0.0449251800951859</v>
      </c>
    </row>
    <row r="35" customFormat="false" ht="15" hidden="false" customHeight="false" outlineLevel="0" collapsed="false">
      <c r="B35" s="89" t="s">
        <v>572</v>
      </c>
      <c r="C35" s="90" t="n">
        <f aca="false">Model!BV184</f>
        <v>851.178</v>
      </c>
      <c r="D35" s="91" t="n">
        <f aca="false">Model!CA184</f>
        <v>954.576832406553</v>
      </c>
      <c r="E35" s="91" t="n">
        <f aca="false">Model!CB184</f>
        <v>1036.78453855952</v>
      </c>
      <c r="F35" s="91" t="n">
        <f aca="false">Model!CC184</f>
        <v>1131.18412315021</v>
      </c>
      <c r="G35" s="91" t="n">
        <f aca="false">Model!CD184</f>
        <v>1223.42424245488</v>
      </c>
      <c r="H35" s="91" t="n">
        <f aca="false">Model!CE184</f>
        <v>1307.5109406652</v>
      </c>
      <c r="I35" s="92" t="n">
        <f aca="false">IFERROR((H35/C35)^(1/5)-1,"n/m")</f>
        <v>0.0896448944216928</v>
      </c>
      <c r="N35" s="89" t="s">
        <v>572</v>
      </c>
      <c r="O35" s="90" t="n">
        <v>851.178</v>
      </c>
      <c r="P35" s="91" t="n">
        <v>982.622801491858</v>
      </c>
      <c r="Q35" s="91" t="n">
        <v>1167.06654872861</v>
      </c>
      <c r="R35" s="91" t="n">
        <v>1322.8316542425</v>
      </c>
      <c r="S35" s="91" t="n">
        <v>1482.28215719732</v>
      </c>
      <c r="T35" s="91" t="n">
        <v>1638.69558271871</v>
      </c>
      <c r="U35" s="92" t="n">
        <v>0.139975659783973</v>
      </c>
      <c r="Z35" s="89" t="s">
        <v>572</v>
      </c>
      <c r="AA35" s="90" t="n">
        <v>851.178</v>
      </c>
      <c r="AB35" s="91" t="n">
        <v>929.857823921249</v>
      </c>
      <c r="AC35" s="91" t="n">
        <v>913.53029421506</v>
      </c>
      <c r="AD35" s="91" t="n">
        <v>954.00171287779</v>
      </c>
      <c r="AE35" s="91" t="n">
        <v>989.111317514398</v>
      </c>
      <c r="AF35" s="91" t="n">
        <v>1013.83426949208</v>
      </c>
      <c r="AG35" s="92" t="n">
        <v>0.0355934988575957</v>
      </c>
    </row>
    <row r="36" customFormat="false" ht="15" hidden="false" customHeight="false" outlineLevel="0" collapsed="false">
      <c r="B36" s="93" t="s">
        <v>573</v>
      </c>
      <c r="C36" s="99" t="n">
        <f aca="false">IFERROR(C35/C9,"")</f>
        <v>0.201081359970687</v>
      </c>
      <c r="D36" s="100" t="n">
        <f aca="false">IFERROR(D35/D9,"")</f>
        <v>0.202249495133156</v>
      </c>
      <c r="E36" s="100" t="n">
        <f aca="false">IFERROR(E35/E9,"")</f>
        <v>0.206567898469492</v>
      </c>
      <c r="F36" s="100" t="n">
        <f aca="false">IFERROR(F35/F9,"")</f>
        <v>0.209548667328957</v>
      </c>
      <c r="G36" s="100" t="n">
        <f aca="false">IFERROR(G35/G9,"")</f>
        <v>0.211722052911343</v>
      </c>
      <c r="H36" s="100" t="n">
        <f aca="false">IFERROR(H35/H9,"")</f>
        <v>0.211714389223848</v>
      </c>
      <c r="J36" s="98" t="n">
        <f aca="false">IFERROR(AVERAGE(Model!C185,Model!D185,Model!E185,Model!F185,Model!G185,Model!H185,Model!I185,Model!N185,Model!S185,Model!X185,Model!AC185,Model!AH185,Model!AM185,Model!AR185,Model!AW185,Model!BB185,Model!BG185,Model!BL185,Model!BQ185,Model!BV185),"n/a")</f>
        <v>0.164120798901086</v>
      </c>
      <c r="K36" s="98" t="n">
        <f aca="false">IFERROR(MIN(Model!C185,Model!D185,Model!E185,Model!F185,Model!G185,Model!H185,Model!I185,Model!N185,Model!S185,Model!X185,Model!AC185,Model!AH185,Model!AM185,Model!AR185,Model!AW185,Model!BB185,Model!BG185,Model!BL185,Model!BQ185,Model!BV185),"n/a")</f>
        <v>0.103376829151933</v>
      </c>
      <c r="L36" s="98" t="n">
        <f aca="false">IFERROR(MAX(Model!C185,Model!D185,Model!E185,Model!F185,Model!G185,Model!H185,Model!I185,Model!N185,Model!S185,Model!X185,Model!AC185,Model!AH185,Model!AM185,Model!AR185,Model!AW185,Model!BB185,Model!BG185,Model!BL185,Model!BQ185,Model!BV185),"n/a")</f>
        <v>0.201081359970687</v>
      </c>
      <c r="N36" s="93" t="s">
        <v>573</v>
      </c>
      <c r="O36" s="101" t="n">
        <v>0.201081359970687</v>
      </c>
      <c r="P36" s="102" t="n">
        <v>0.205428085081743</v>
      </c>
      <c r="Q36" s="102" t="n">
        <v>0.221195965243843</v>
      </c>
      <c r="R36" s="102" t="n">
        <v>0.223515680743445</v>
      </c>
      <c r="S36" s="102" t="n">
        <v>0.225098494649027</v>
      </c>
      <c r="T36" s="102" t="n">
        <v>0.224645240606672</v>
      </c>
      <c r="V36" s="98" t="n">
        <v>0.164120798901086</v>
      </c>
      <c r="W36" s="98" t="n">
        <v>0.103376829151933</v>
      </c>
      <c r="X36" s="98" t="n">
        <v>0.201081359970687</v>
      </c>
      <c r="Z36" s="93" t="s">
        <v>573</v>
      </c>
      <c r="AA36" s="101" t="n">
        <v>0.201081359970687</v>
      </c>
      <c r="AB36" s="102" t="n">
        <v>0.199698723217031</v>
      </c>
      <c r="AC36" s="102" t="n">
        <v>0.191682947098022</v>
      </c>
      <c r="AD36" s="102" t="n">
        <v>0.194909502484225</v>
      </c>
      <c r="AE36" s="102" t="n">
        <v>0.197381300698218</v>
      </c>
      <c r="AF36" s="102" t="n">
        <v>0.197601951303617</v>
      </c>
      <c r="AH36" s="98" t="n">
        <v>0.164120798901086</v>
      </c>
      <c r="AI36" s="98" t="n">
        <v>0.103376829151933</v>
      </c>
      <c r="AJ36" s="98" t="n">
        <v>0.201081359970687</v>
      </c>
    </row>
    <row r="38" customFormat="false" ht="15" hidden="false" customHeight="false" outlineLevel="0" collapsed="false">
      <c r="B38" s="89" t="s">
        <v>574</v>
      </c>
      <c r="C38" s="90" t="n">
        <f aca="false">Model!BV377</f>
        <v>985.219</v>
      </c>
      <c r="D38" s="91" t="n">
        <f aca="false">Model!CA377</f>
        <v>926.174617284903</v>
      </c>
      <c r="E38" s="91" t="n">
        <f aca="false">Model!CB377</f>
        <v>1036.78453855952</v>
      </c>
      <c r="F38" s="91" t="n">
        <f aca="false">Model!CC377</f>
        <v>1131.18412315021</v>
      </c>
      <c r="G38" s="91" t="n">
        <f aca="false">Model!CD377</f>
        <v>1223.42424245488</v>
      </c>
      <c r="H38" s="91" t="n">
        <f aca="false">Model!CE377</f>
        <v>1307.5109406652</v>
      </c>
      <c r="N38" s="89" t="s">
        <v>574</v>
      </c>
      <c r="O38" s="90" t="n">
        <v>985.219</v>
      </c>
      <c r="P38" s="91" t="n">
        <v>972.835270181398</v>
      </c>
      <c r="Q38" s="91" t="n">
        <v>1458.83318591076</v>
      </c>
      <c r="R38" s="91" t="n">
        <v>1653.53956780313</v>
      </c>
      <c r="S38" s="91" t="n">
        <v>1852.85269649665</v>
      </c>
      <c r="T38" s="91" t="n">
        <v>2048.36947839839</v>
      </c>
      <c r="Z38" s="89" t="s">
        <v>574</v>
      </c>
      <c r="AA38" s="90" t="n">
        <v>985.219</v>
      </c>
      <c r="AB38" s="91" t="n">
        <v>876.598316383135</v>
      </c>
      <c r="AC38" s="91" t="n">
        <v>685.147720661295</v>
      </c>
      <c r="AD38" s="91" t="n">
        <v>715.501284658342</v>
      </c>
      <c r="AE38" s="91" t="n">
        <v>741.833488135799</v>
      </c>
      <c r="AF38" s="91" t="n">
        <v>760.375702119062</v>
      </c>
    </row>
    <row r="39" customFormat="false" ht="15" hidden="false" customHeight="false" outlineLevel="0" collapsed="false">
      <c r="B39" s="93" t="s">
        <v>575</v>
      </c>
      <c r="C39" s="115" t="n">
        <f aca="false">IFERROR(C38/C35,"")</f>
        <v>1.15747704945382</v>
      </c>
      <c r="D39" s="116" t="n">
        <f aca="false">IFERROR(D38/D35,"")</f>
        <v>0.970246276509722</v>
      </c>
      <c r="E39" s="116" t="n">
        <f aca="false">IFERROR(E38/E35,"")</f>
        <v>1</v>
      </c>
      <c r="F39" s="116" t="n">
        <f aca="false">IFERROR(F38/F35,"")</f>
        <v>1</v>
      </c>
      <c r="G39" s="116" t="n">
        <f aca="false">IFERROR(G38/G35,"")</f>
        <v>1</v>
      </c>
      <c r="H39" s="116" t="n">
        <f aca="false">IFERROR(H38/H35,"")</f>
        <v>1</v>
      </c>
      <c r="N39" s="93" t="s">
        <v>575</v>
      </c>
      <c r="O39" s="117" t="n">
        <v>1.15747704945382</v>
      </c>
      <c r="P39" s="108" t="n">
        <v>0.990039381036548</v>
      </c>
      <c r="Q39" s="108" t="n">
        <v>1.25</v>
      </c>
      <c r="R39" s="108" t="n">
        <v>1.25</v>
      </c>
      <c r="S39" s="108" t="n">
        <v>1.25</v>
      </c>
      <c r="T39" s="108" t="n">
        <v>1.25</v>
      </c>
      <c r="Z39" s="93" t="s">
        <v>575</v>
      </c>
      <c r="AA39" s="117" t="n">
        <v>1.15747704945382</v>
      </c>
      <c r="AB39" s="108" t="n">
        <v>0.942722955953076</v>
      </c>
      <c r="AC39" s="108" t="n">
        <v>0.75</v>
      </c>
      <c r="AD39" s="108" t="n">
        <v>0.75</v>
      </c>
      <c r="AE39" s="108" t="n">
        <v>0.75</v>
      </c>
      <c r="AF39" s="108" t="n">
        <v>0.75</v>
      </c>
    </row>
    <row r="40" customFormat="false" ht="15" hidden="false" customHeight="false" outlineLevel="0" collapsed="false">
      <c r="B40" s="93" t="s">
        <v>576</v>
      </c>
      <c r="D40" s="118" t="n">
        <f aca="false">Model!CA269</f>
        <v>150</v>
      </c>
      <c r="E40" s="118" t="n">
        <f aca="false">Model!CB269</f>
        <v>378.884079348682</v>
      </c>
      <c r="F40" s="118" t="n">
        <f aca="false">Model!CC269</f>
        <v>404.991274202004</v>
      </c>
      <c r="G40" s="118" t="n">
        <f aca="false">Model!CD269</f>
        <v>458.228592477172</v>
      </c>
      <c r="H40" s="118" t="n">
        <f aca="false">Model!CE269</f>
        <v>495.563899409549</v>
      </c>
      <c r="N40" s="93" t="s">
        <v>576</v>
      </c>
      <c r="P40" s="118" t="n">
        <v>200</v>
      </c>
      <c r="Q40" s="118" t="n">
        <v>674.768673891182</v>
      </c>
      <c r="R40" s="118" t="n">
        <v>442.230429813736</v>
      </c>
      <c r="S40" s="118" t="n">
        <v>544.02808072156</v>
      </c>
      <c r="T40" s="118" t="n">
        <v>630.970218802879</v>
      </c>
      <c r="Z40" s="93" t="s">
        <v>576</v>
      </c>
      <c r="AB40" s="118" t="n">
        <v>100</v>
      </c>
      <c r="AC40" s="118" t="n">
        <v>161.018648836705</v>
      </c>
      <c r="AD40" s="118" t="n">
        <v>407.415761390427</v>
      </c>
      <c r="AE40" s="118" t="n">
        <v>422.538481789458</v>
      </c>
      <c r="AF40" s="118" t="n">
        <v>422.231092191892</v>
      </c>
    </row>
    <row r="41" customFormat="false" ht="15" hidden="false" customHeight="false" outlineLevel="0" collapsed="false">
      <c r="B41" s="93" t="s">
        <v>577</v>
      </c>
      <c r="D41" s="119" t="n">
        <f aca="false">Model!CA268</f>
        <v>275.54</v>
      </c>
      <c r="E41" s="119" t="n">
        <f aca="false">Model!CB268</f>
        <v>297.5832</v>
      </c>
      <c r="F41" s="119" t="n">
        <f aca="false">Model!CC268</f>
        <v>321.389856</v>
      </c>
      <c r="G41" s="119" t="n">
        <f aca="false">Model!CD268</f>
        <v>347.10104448</v>
      </c>
      <c r="H41" s="119" t="n">
        <f aca="false">Model!CE268</f>
        <v>374.8691280384</v>
      </c>
      <c r="N41" s="93" t="s">
        <v>577</v>
      </c>
      <c r="P41" s="119" t="n">
        <v>275.54</v>
      </c>
      <c r="Q41" s="119" t="n">
        <v>297.5832</v>
      </c>
      <c r="R41" s="119" t="n">
        <v>321.389856</v>
      </c>
      <c r="S41" s="119" t="n">
        <v>347.10104448</v>
      </c>
      <c r="T41" s="119" t="n">
        <v>374.8691280384</v>
      </c>
      <c r="Z41" s="93" t="s">
        <v>577</v>
      </c>
      <c r="AB41" s="119" t="n">
        <v>275.54</v>
      </c>
      <c r="AC41" s="119" t="n">
        <v>297.5832</v>
      </c>
      <c r="AD41" s="119" t="n">
        <v>321.389856</v>
      </c>
      <c r="AE41" s="119" t="n">
        <v>347.10104448</v>
      </c>
      <c r="AF41" s="119" t="n">
        <v>374.8691280384</v>
      </c>
    </row>
    <row r="42" customFormat="false" ht="15" hidden="false" customHeight="false" outlineLevel="0" collapsed="false">
      <c r="B42" s="93" t="s">
        <v>578</v>
      </c>
      <c r="D42" s="119" t="n">
        <f aca="false">Model!CA270</f>
        <v>0.544385570153154</v>
      </c>
      <c r="E42" s="119" t="n">
        <f aca="false">Model!CB270</f>
        <v>1.27320386147028</v>
      </c>
      <c r="F42" s="119" t="n">
        <f aca="false">Model!CC270</f>
        <v>1.26012463256465</v>
      </c>
      <c r="G42" s="119" t="n">
        <f aca="false">Model!CD270</f>
        <v>1.32015907115363</v>
      </c>
      <c r="H42" s="119" t="n">
        <f aca="false">Model!CE270</f>
        <v>1.32196508686302</v>
      </c>
      <c r="N42" s="93" t="s">
        <v>578</v>
      </c>
      <c r="P42" s="119" t="n">
        <v>0.725847426870872</v>
      </c>
      <c r="Q42" s="119" t="n">
        <v>2.26749585961567</v>
      </c>
      <c r="R42" s="119" t="n">
        <v>1.3759937395589</v>
      </c>
      <c r="S42" s="119" t="n">
        <v>1.56734786418341</v>
      </c>
      <c r="T42" s="119" t="n">
        <v>1.68317466446115</v>
      </c>
      <c r="Z42" s="93" t="s">
        <v>578</v>
      </c>
      <c r="AB42" s="119" t="n">
        <v>0.362923713435436</v>
      </c>
      <c r="AC42" s="119" t="n">
        <v>0.541087833038641</v>
      </c>
      <c r="AD42" s="119" t="n">
        <v>1.26766839022582</v>
      </c>
      <c r="AE42" s="119" t="n">
        <v>1.21733566783837</v>
      </c>
      <c r="AF42" s="119" t="n">
        <v>1.12634266364191</v>
      </c>
    </row>
    <row r="44" customFormat="false" ht="15" hidden="false" customHeight="false" outlineLevel="0" collapsed="false">
      <c r="B44" s="89" t="s">
        <v>579</v>
      </c>
      <c r="C44" s="96" t="n">
        <f aca="false">Model!BV360</f>
        <v>0.236256597327516</v>
      </c>
      <c r="D44" s="97" t="n">
        <f aca="false">Model!CA360</f>
        <v>0.257780893953048</v>
      </c>
      <c r="E44" s="97" t="n">
        <f aca="false">Model!CB360</f>
        <v>0.251450202824567</v>
      </c>
      <c r="F44" s="97" t="n">
        <f aca="false">Model!CC360</f>
        <v>0.24986306771557</v>
      </c>
      <c r="G44" s="97" t="n">
        <f aca="false">Model!CD360</f>
        <v>0.2483731213125</v>
      </c>
      <c r="H44" s="97" t="n">
        <f aca="false">Model!CE360</f>
        <v>0.245355980783689</v>
      </c>
      <c r="J44" s="98" t="n">
        <f aca="false">IFERROR(AVERAGE(Model!C360,Model!D360,Model!E360,Model!F360,Model!G360,Model!H360,Model!I360,Model!N360,Model!S360,Model!X360,Model!AC360,Model!AH360,Model!AM360,Model!AR360,Model!AW360,Model!BB360,Model!BG360,Model!BL360,Model!BQ360,Model!BV360),"n/a")</f>
        <v>0.231799009024705</v>
      </c>
      <c r="K44" s="98" t="n">
        <f aca="false">IFERROR(MIN(Model!C360,Model!D360,Model!E360,Model!F360,Model!G360,Model!H360,Model!I360,Model!N360,Model!S360,Model!X360,Model!AC360,Model!AH360,Model!AM360,Model!AR360,Model!AW360,Model!BB360,Model!BG360,Model!BL360,Model!BQ360,Model!BV360),"n/a")</f>
        <v>0.0835578131918339</v>
      </c>
      <c r="L44" s="98" t="n">
        <f aca="false">IFERROR(MAX(Model!C360,Model!D360,Model!E360,Model!F360,Model!G360,Model!H360,Model!I360,Model!N360,Model!S360,Model!X360,Model!AC360,Model!AH360,Model!AM360,Model!AR360,Model!AW360,Model!BB360,Model!BG360,Model!BL360,Model!BQ360,Model!BV360),"n/a")</f>
        <v>0.290177612501857</v>
      </c>
      <c r="N44" s="89" t="s">
        <v>579</v>
      </c>
      <c r="O44" s="96" t="n">
        <v>0.236256597327516</v>
      </c>
      <c r="P44" s="97" t="n">
        <v>0.264060884758989</v>
      </c>
      <c r="Q44" s="97" t="n">
        <v>0.266742219652809</v>
      </c>
      <c r="R44" s="97" t="n">
        <v>0.261015854060411</v>
      </c>
      <c r="S44" s="97" t="n">
        <v>0.257548558524979</v>
      </c>
      <c r="T44" s="97" t="n">
        <v>0.254146216556824</v>
      </c>
      <c r="V44" s="98" t="n">
        <v>0.231799009024705</v>
      </c>
      <c r="W44" s="98" t="n">
        <v>0.0835578131918339</v>
      </c>
      <c r="X44" s="98" t="n">
        <v>0.290177612501857</v>
      </c>
      <c r="Z44" s="89" t="s">
        <v>579</v>
      </c>
      <c r="AA44" s="96" t="n">
        <v>0.236256597327516</v>
      </c>
      <c r="AB44" s="97" t="n">
        <v>0.252462516232802</v>
      </c>
      <c r="AC44" s="97" t="n">
        <v>0.235968169858489</v>
      </c>
      <c r="AD44" s="97" t="n">
        <v>0.239467964766236</v>
      </c>
      <c r="AE44" s="97" t="n">
        <v>0.241618549461263</v>
      </c>
      <c r="AF44" s="97" t="n">
        <v>0.240803560264267</v>
      </c>
      <c r="AH44" s="98" t="n">
        <v>0.231799009024705</v>
      </c>
      <c r="AI44" s="98" t="n">
        <v>0.0835578131918339</v>
      </c>
      <c r="AJ44" s="98" t="n">
        <v>0.290177612501857</v>
      </c>
    </row>
    <row r="45" customFormat="false" ht="15" hidden="false" customHeight="false" outlineLevel="0" collapsed="false">
      <c r="B45" s="89" t="s">
        <v>580</v>
      </c>
      <c r="C45" s="96" t="n">
        <f aca="false">Model!BV371</f>
        <v>0.317370859100797</v>
      </c>
      <c r="D45" s="97" t="n">
        <f aca="false">Model!CA371</f>
        <v>0.305432680351071</v>
      </c>
      <c r="E45" s="97" t="n">
        <f aca="false">Model!CB371</f>
        <v>0.3109892970779</v>
      </c>
      <c r="F45" s="97" t="n">
        <f aca="false">Model!CC371</f>
        <v>0.319718923585807</v>
      </c>
      <c r="G45" s="97" t="n">
        <f aca="false">Model!CD371</f>
        <v>0.326779311760116</v>
      </c>
      <c r="H45" s="97" t="n">
        <f aca="false">Model!CE371</f>
        <v>0.330156359701661</v>
      </c>
      <c r="J45" s="98" t="n">
        <f aca="false">IFERROR(AVERAGE(Model!C371,Model!D371,Model!E371,Model!F371,Model!G371,Model!H371,Model!I371,Model!N371,Model!S371,Model!X371,Model!AC371,Model!AH371,Model!AM371,Model!AR371,Model!AW371,Model!BB371,Model!BG371,Model!BL371,Model!BQ371,Model!BV371),"n/a")</f>
        <v>0.219409081035395</v>
      </c>
      <c r="K45" s="98" t="n">
        <f aca="false">IFERROR(MIN(Model!C371,Model!D371,Model!E371,Model!F371,Model!G371,Model!H371,Model!I371,Model!N371,Model!S371,Model!X371,Model!AC371,Model!AH371,Model!AM371,Model!AR371,Model!AW371,Model!BB371,Model!BG371,Model!BL371,Model!BQ371,Model!BV371),"n/a")</f>
        <v>0.0519134820863576</v>
      </c>
      <c r="L45" s="98" t="n">
        <f aca="false">IFERROR(MAX(Model!C371,Model!D371,Model!E371,Model!F371,Model!G371,Model!H371,Model!I371,Model!N371,Model!S371,Model!X371,Model!AC371,Model!AH371,Model!AM371,Model!AR371,Model!AW371,Model!BB371,Model!BG371,Model!BL371,Model!BQ371,Model!BV371),"n/a")</f>
        <v>0.332899663032191</v>
      </c>
      <c r="N45" s="89" t="s">
        <v>580</v>
      </c>
      <c r="O45" s="96" t="n">
        <v>0.317370859100797</v>
      </c>
      <c r="P45" s="97" t="n">
        <v>0.312481393172143</v>
      </c>
      <c r="Q45" s="97" t="n">
        <v>0.342416621531791</v>
      </c>
      <c r="R45" s="97" t="n">
        <v>0.355582689380525</v>
      </c>
      <c r="S45" s="97" t="n">
        <v>0.367101711380303</v>
      </c>
      <c r="T45" s="97" t="n">
        <v>0.374916917841927</v>
      </c>
      <c r="V45" s="98" t="n">
        <v>0.219409081035395</v>
      </c>
      <c r="W45" s="98" t="n">
        <v>0.0519134820863576</v>
      </c>
      <c r="X45" s="98" t="n">
        <v>0.332899663032191</v>
      </c>
      <c r="Z45" s="89" t="s">
        <v>580</v>
      </c>
      <c r="AA45" s="96" t="n">
        <v>0.317370859100797</v>
      </c>
      <c r="AB45" s="97" t="n">
        <v>0.296275210424763</v>
      </c>
      <c r="AC45" s="97" t="n">
        <v>0.255263647596693</v>
      </c>
      <c r="AD45" s="97" t="n">
        <v>0.26293359242214</v>
      </c>
      <c r="AE45" s="97" t="n">
        <v>0.268548792944506</v>
      </c>
      <c r="AF45" s="97" t="n">
        <v>0.269804702996919</v>
      </c>
      <c r="AH45" s="98" t="n">
        <v>0.219409081035395</v>
      </c>
      <c r="AI45" s="98" t="n">
        <v>0.0519134820863576</v>
      </c>
      <c r="AJ45" s="98" t="n">
        <v>0.332899663032191</v>
      </c>
    </row>
    <row r="47" customFormat="false" ht="15" hidden="false" customHeight="false" outlineLevel="0" collapsed="false">
      <c r="B47" s="89" t="s">
        <v>581</v>
      </c>
      <c r="G47" s="120" t="n">
        <f aca="false">G27*G21</f>
        <v>17236.5108296964</v>
      </c>
      <c r="H47" s="120" t="n">
        <f aca="false">H27*H21</f>
        <v>18308.8900948653</v>
      </c>
      <c r="N47" s="89" t="s">
        <v>581</v>
      </c>
      <c r="S47" s="120" t="n">
        <v>20656.6926342612</v>
      </c>
      <c r="T47" s="120" t="n">
        <v>22652.6448728151</v>
      </c>
      <c r="Z47" s="89" t="s">
        <v>581</v>
      </c>
      <c r="AE47" s="120" t="n">
        <v>14048.2921609949</v>
      </c>
      <c r="AF47" s="120" t="n">
        <v>14379.6064506748</v>
      </c>
    </row>
    <row r="48" customFormat="false" ht="15" hidden="false" customHeight="false" outlineLevel="0" collapsed="false">
      <c r="B48" s="89" t="s">
        <v>582</v>
      </c>
      <c r="G48" s="120" t="n">
        <f aca="false">G38+Model!CD306</f>
        <v>1223.42424245488</v>
      </c>
      <c r="H48" s="120" t="n">
        <f aca="false">H38+Model!CE306</f>
        <v>1307.5109406652</v>
      </c>
      <c r="N48" s="89" t="s">
        <v>582</v>
      </c>
      <c r="S48" s="120" t="n">
        <v>1852.85269649665</v>
      </c>
      <c r="T48" s="120" t="n">
        <v>2048.36947839839</v>
      </c>
      <c r="Z48" s="89" t="s">
        <v>582</v>
      </c>
      <c r="AE48" s="120" t="n">
        <v>741.833488135799</v>
      </c>
      <c r="AF48" s="120" t="n">
        <v>760.375702119062</v>
      </c>
    </row>
    <row r="49" customFormat="false" ht="15" hidden="false" customHeight="false" outlineLevel="0" collapsed="false">
      <c r="B49" s="89" t="s">
        <v>583</v>
      </c>
      <c r="G49" s="120" t="n">
        <f aca="false">G47+G48</f>
        <v>18459.9350721513</v>
      </c>
      <c r="H49" s="120" t="n">
        <f aca="false">H47+H48</f>
        <v>19616.4010355305</v>
      </c>
      <c r="N49" s="89" t="s">
        <v>583</v>
      </c>
      <c r="S49" s="120" t="n">
        <v>22509.5453307579</v>
      </c>
      <c r="T49" s="120" t="n">
        <v>24701.0143512135</v>
      </c>
      <c r="Z49" s="89" t="s">
        <v>583</v>
      </c>
      <c r="AE49" s="120" t="n">
        <v>14790.1256491307</v>
      </c>
      <c r="AF49" s="120" t="n">
        <v>15139.9821527939</v>
      </c>
    </row>
    <row r="50" customFormat="false" ht="15" hidden="false" customHeight="false" outlineLevel="0" collapsed="false">
      <c r="B50" s="89" t="s">
        <v>584</v>
      </c>
      <c r="G50" s="108" t="n">
        <f aca="false">IFERROR(G49/G35,"")</f>
        <v>15.0887438973011</v>
      </c>
      <c r="H50" s="108" t="n">
        <f aca="false">IFERROR(H49/H35,"")</f>
        <v>15.0028580453412</v>
      </c>
      <c r="N50" s="89" t="s">
        <v>584</v>
      </c>
      <c r="S50" s="108" t="n">
        <v>15.1857358745508</v>
      </c>
      <c r="T50" s="108" t="n">
        <v>15.0735832888698</v>
      </c>
      <c r="Z50" s="89" t="s">
        <v>584</v>
      </c>
      <c r="AE50" s="108" t="n">
        <v>14.9529435031618</v>
      </c>
      <c r="AF50" s="108" t="n">
        <v>14.9333896164102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4"/>
    <col collapsed="false" customWidth="true" hidden="false" outlineLevel="0" max="2" min="2" style="0" width="58"/>
    <col collapsed="false" customWidth="true" hidden="false" outlineLevel="0" max="14" min="3" style="0" width="12.61"/>
    <col collapsed="false" customWidth="true" hidden="false" outlineLevel="0" max="15" min="15" style="0" width="2.3"/>
    <col collapsed="false" customWidth="true" hidden="false" outlineLevel="0" max="17" min="16" style="0" width="14.9"/>
  </cols>
  <sheetData>
    <row r="2" customFormat="false" ht="17.35" hidden="false" customHeight="false" outlineLevel="0" collapsed="false">
      <c r="B2" s="121" t="s">
        <v>585</v>
      </c>
    </row>
    <row r="4" customFormat="false" ht="15" hidden="false" customHeight="false" outlineLevel="0" collapsed="false">
      <c r="B4" s="42" t="s">
        <v>586</v>
      </c>
    </row>
    <row r="5" customFormat="false" ht="15" hidden="false" customHeight="false" outlineLevel="0" collapsed="false">
      <c r="B5" s="26" t="s">
        <v>587</v>
      </c>
      <c r="C5" s="122" t="n">
        <v>0.055</v>
      </c>
      <c r="D5" s="123" t="s">
        <v>588</v>
      </c>
    </row>
    <row r="6" customFormat="false" ht="15" hidden="false" customHeight="false" outlineLevel="0" collapsed="false">
      <c r="B6" s="26" t="s">
        <v>589</v>
      </c>
      <c r="C6" s="122" t="n">
        <v>0.05</v>
      </c>
      <c r="D6" s="123" t="s">
        <v>590</v>
      </c>
    </row>
    <row r="7" customFormat="false" ht="15" hidden="false" customHeight="false" outlineLevel="0" collapsed="false">
      <c r="B7" s="26" t="s">
        <v>591</v>
      </c>
      <c r="C7" s="124" t="n">
        <v>1.1</v>
      </c>
      <c r="D7" s="123" t="s">
        <v>592</v>
      </c>
    </row>
    <row r="8" customFormat="false" ht="15" hidden="false" customHeight="false" outlineLevel="0" collapsed="false">
      <c r="B8" s="26" t="s">
        <v>593</v>
      </c>
      <c r="C8" s="125" t="n">
        <f aca="false">C5+C7*C6</f>
        <v>0.11</v>
      </c>
    </row>
    <row r="9" customFormat="false" ht="15" hidden="false" customHeight="false" outlineLevel="0" collapsed="false">
      <c r="B9" s="26" t="s">
        <v>594</v>
      </c>
      <c r="C9" s="122" t="n">
        <v>0.0575</v>
      </c>
      <c r="D9" s="123" t="s">
        <v>595</v>
      </c>
    </row>
    <row r="10" customFormat="false" ht="15" hidden="false" customHeight="false" outlineLevel="0" collapsed="false">
      <c r="B10" s="26" t="s">
        <v>596</v>
      </c>
      <c r="C10" s="122" t="n">
        <v>0.23</v>
      </c>
      <c r="D10" s="123" t="s">
        <v>597</v>
      </c>
    </row>
    <row r="11" customFormat="false" ht="15" hidden="false" customHeight="false" outlineLevel="0" collapsed="false">
      <c r="B11" s="26" t="s">
        <v>598</v>
      </c>
      <c r="C11" s="125" t="n">
        <f aca="false">C9*(1-C10)</f>
        <v>0.044275</v>
      </c>
    </row>
    <row r="12" customFormat="false" ht="15" hidden="false" customHeight="false" outlineLevel="0" collapsed="false">
      <c r="B12" s="26" t="s">
        <v>599</v>
      </c>
      <c r="C12" s="122" t="n">
        <v>0.1</v>
      </c>
      <c r="D12" s="123" t="s">
        <v>600</v>
      </c>
    </row>
    <row r="13" customFormat="false" ht="15" hidden="false" customHeight="false" outlineLevel="0" collapsed="false">
      <c r="B13" s="86" t="s">
        <v>601</v>
      </c>
      <c r="C13" s="126" t="n">
        <f aca="false">C8*(1-C12)+C11*C12</f>
        <v>0.1034275</v>
      </c>
    </row>
    <row r="15" customFormat="false" ht="15" hidden="false" customHeight="false" outlineLevel="0" collapsed="false">
      <c r="B15" s="26" t="s">
        <v>602</v>
      </c>
      <c r="C15" s="127" t="n">
        <f aca="true">TODAY()</f>
        <v>46302</v>
      </c>
      <c r="D15" s="123" t="s">
        <v>603</v>
      </c>
    </row>
    <row r="16" customFormat="false" ht="15" hidden="false" customHeight="false" outlineLevel="0" collapsed="false">
      <c r="B16" s="42" t="s">
        <v>604</v>
      </c>
    </row>
    <row r="17" customFormat="false" ht="15" hidden="false" customHeight="false" outlineLevel="0" collapsed="false">
      <c r="D17" s="8" t="s">
        <v>84</v>
      </c>
      <c r="E17" s="8" t="s">
        <v>85</v>
      </c>
      <c r="F17" s="8" t="s">
        <v>86</v>
      </c>
      <c r="G17" s="8" t="s">
        <v>87</v>
      </c>
      <c r="H17" s="8" t="s">
        <v>88</v>
      </c>
      <c r="I17" s="8" t="s">
        <v>605</v>
      </c>
      <c r="J17" s="8" t="s">
        <v>606</v>
      </c>
      <c r="K17" s="8" t="s">
        <v>607</v>
      </c>
      <c r="L17" s="8" t="s">
        <v>608</v>
      </c>
      <c r="M17" s="8" t="s">
        <v>609</v>
      </c>
      <c r="N17" s="8" t="s">
        <v>610</v>
      </c>
      <c r="P17" s="8" t="s">
        <v>611</v>
      </c>
      <c r="Q17" s="8" t="s">
        <v>612</v>
      </c>
    </row>
    <row r="18" customFormat="false" ht="15" hidden="false" customHeight="false" outlineLevel="0" collapsed="false">
      <c r="B18" s="26" t="s">
        <v>613</v>
      </c>
      <c r="D18" s="128" t="n">
        <f aca="false">Model!CA178-Model!CA171-Model!CA172</f>
        <v>839.63964935</v>
      </c>
      <c r="E18" s="128" t="n">
        <f aca="false">Model!CB178-Model!CB171-Model!CB172</f>
        <v>906.220283169161</v>
      </c>
      <c r="F18" s="128" t="n">
        <f aca="false">Model!CC178-Model!CC171-Model!CC172</f>
        <v>985.400687002238</v>
      </c>
      <c r="G18" s="128" t="n">
        <f aca="false">Model!CD178-Model!CD171-Model!CD172</f>
        <v>1062.13500697477</v>
      </c>
      <c r="H18" s="128" t="n">
        <f aca="false">Model!CE178-Model!CE171-Model!CE172</f>
        <v>1130.05157404797</v>
      </c>
      <c r="I18" s="129" t="n">
        <f aca="false">H18*(1+I$26)</f>
        <v>1197.85466849084</v>
      </c>
      <c r="J18" s="129" t="n">
        <f aca="false">I18*(1+J$26)</f>
        <v>1263.73667525784</v>
      </c>
      <c r="K18" s="129" t="n">
        <f aca="false">J18*(1+K$26)</f>
        <v>1326.92350902073</v>
      </c>
      <c r="L18" s="129" t="n">
        <f aca="false">K18*(1+L$26)</f>
        <v>1386.63506692666</v>
      </c>
      <c r="M18" s="129" t="n">
        <f aca="false">L18*(1+M$26)</f>
        <v>1442.10046960373</v>
      </c>
      <c r="P18" s="130" t="n">
        <f aca="false">(H18/D18)^(1/(COLUMNS(D18:H18)-1))-1</f>
        <v>0.077088357417239</v>
      </c>
      <c r="Q18" s="130" t="n">
        <f aca="false">(M18/D18)^(1/(COLUMNS(D18:M18)-1))-1</f>
        <v>0.0619407506553622</v>
      </c>
    </row>
    <row r="19" customFormat="false" ht="15" hidden="false" customHeight="false" outlineLevel="0" collapsed="false">
      <c r="B19" s="26" t="s">
        <v>614</v>
      </c>
      <c r="D19" s="131" t="n">
        <f aca="false">1-$C$10</f>
        <v>0.77</v>
      </c>
      <c r="E19" s="131" t="n">
        <f aca="false">1-$C$10</f>
        <v>0.77</v>
      </c>
      <c r="F19" s="131" t="n">
        <f aca="false">1-$C$10</f>
        <v>0.77</v>
      </c>
      <c r="G19" s="131" t="n">
        <f aca="false">1-$C$10</f>
        <v>0.77</v>
      </c>
      <c r="H19" s="131" t="n">
        <f aca="false">1-$C$10</f>
        <v>0.77</v>
      </c>
      <c r="I19" s="131" t="n">
        <f aca="false">1-$C$10</f>
        <v>0.77</v>
      </c>
      <c r="J19" s="131" t="n">
        <f aca="false">1-$C$10</f>
        <v>0.77</v>
      </c>
      <c r="K19" s="131" t="n">
        <f aca="false">1-$C$10</f>
        <v>0.77</v>
      </c>
      <c r="L19" s="131" t="n">
        <f aca="false">1-$C$10</f>
        <v>0.77</v>
      </c>
      <c r="M19" s="131" t="n">
        <f aca="false">1-$C$10</f>
        <v>0.77</v>
      </c>
    </row>
    <row r="20" customFormat="false" ht="15" hidden="false" customHeight="false" outlineLevel="0" collapsed="false">
      <c r="B20" s="86" t="s">
        <v>615</v>
      </c>
      <c r="D20" s="129" t="n">
        <f aca="false">D18*D19</f>
        <v>646.5225299995</v>
      </c>
      <c r="E20" s="129" t="n">
        <f aca="false">E18*E19</f>
        <v>697.789618040254</v>
      </c>
      <c r="F20" s="129" t="n">
        <f aca="false">F18*F19</f>
        <v>758.758528991723</v>
      </c>
      <c r="G20" s="129" t="n">
        <f aca="false">G18*G19</f>
        <v>817.843955370572</v>
      </c>
      <c r="H20" s="129" t="n">
        <f aca="false">H18*H19</f>
        <v>870.139712016933</v>
      </c>
      <c r="I20" s="129" t="n">
        <f aca="false">I18*I19</f>
        <v>922.348094737949</v>
      </c>
      <c r="J20" s="129" t="n">
        <f aca="false">J18*J19</f>
        <v>973.077239948536</v>
      </c>
      <c r="K20" s="129" t="n">
        <f aca="false">K18*K19</f>
        <v>1021.73110194596</v>
      </c>
      <c r="L20" s="129" t="n">
        <f aca="false">L18*L19</f>
        <v>1067.70900153353</v>
      </c>
      <c r="M20" s="129" t="n">
        <f aca="false">M18*M19</f>
        <v>1110.41736159487</v>
      </c>
    </row>
    <row r="21" customFormat="false" ht="15" hidden="false" customHeight="false" outlineLevel="0" collapsed="false">
      <c r="B21" s="26" t="s">
        <v>616</v>
      </c>
      <c r="D21" s="128" t="n">
        <f aca="false">Model!CA152</f>
        <v>102.625183056553</v>
      </c>
      <c r="E21" s="128" t="n">
        <f aca="false">Model!CB152</f>
        <v>118.564255390357</v>
      </c>
      <c r="F21" s="128" t="n">
        <f aca="false">Model!CC152</f>
        <v>133.783436147972</v>
      </c>
      <c r="G21" s="128" t="n">
        <f aca="false">Model!CD152</f>
        <v>149.289235480114</v>
      </c>
      <c r="H21" s="128" t="n">
        <f aca="false">Model!CE152</f>
        <v>165.45936661723</v>
      </c>
      <c r="I21" s="129" t="n">
        <f aca="false">H21*(1+I$26)</f>
        <v>175.386928614264</v>
      </c>
      <c r="J21" s="129" t="n">
        <f aca="false">I21*(1+J$26)</f>
        <v>185.033209688048</v>
      </c>
      <c r="K21" s="129" t="n">
        <f aca="false">J21*(1+K$26)</f>
        <v>194.284870172451</v>
      </c>
      <c r="L21" s="129" t="n">
        <f aca="false">K21*(1+L$26)</f>
        <v>203.027689330211</v>
      </c>
      <c r="M21" s="129" t="n">
        <f aca="false">L21*(1+M$26)</f>
        <v>211.148796903419</v>
      </c>
    </row>
    <row r="22" customFormat="false" ht="15" hidden="false" customHeight="false" outlineLevel="0" collapsed="false">
      <c r="B22" s="26" t="s">
        <v>617</v>
      </c>
      <c r="D22" s="128" t="n">
        <f aca="false">Model!CA239+Model!CA240</f>
        <v>-119.86</v>
      </c>
      <c r="E22" s="128" t="n">
        <f aca="false">Model!CB239+Model!CB240</f>
        <v>-325.477451511257</v>
      </c>
      <c r="F22" s="128" t="n">
        <f aca="false">Model!CC239+Model!CC240</f>
        <v>-334.954821899969</v>
      </c>
      <c r="G22" s="128" t="n">
        <f aca="false">Model!CD239+Model!CD240</f>
        <v>-344.461125521863</v>
      </c>
      <c r="H22" s="128" t="n">
        <f aca="false">Model!CE239+Model!CE240</f>
        <v>-354.395615888294</v>
      </c>
      <c r="I22" s="129" t="n">
        <f aca="false">H22*(1+I$26)</f>
        <v>-375.659352841591</v>
      </c>
      <c r="J22" s="129" t="n">
        <f aca="false">I22*(1+J$26)</f>
        <v>-396.320617247879</v>
      </c>
      <c r="K22" s="129" t="n">
        <f aca="false">J22*(1+K$26)</f>
        <v>-416.136648110273</v>
      </c>
      <c r="L22" s="129" t="n">
        <f aca="false">K22*(1+L$26)</f>
        <v>-434.862797275235</v>
      </c>
      <c r="M22" s="129" t="n">
        <f aca="false">L22*(1+M$26)</f>
        <v>-452.257309166244</v>
      </c>
    </row>
    <row r="23" customFormat="false" ht="15" hidden="false" customHeight="false" outlineLevel="0" collapsed="false">
      <c r="B23" s="26" t="s">
        <v>618</v>
      </c>
      <c r="D23" s="128" t="n">
        <f aca="false">Model!CA237</f>
        <v>-120.606233188127</v>
      </c>
      <c r="E23" s="128" t="n">
        <f aca="false">Model!CB237</f>
        <v>-45.9004599975671</v>
      </c>
      <c r="F23" s="128" t="n">
        <f aca="false">Model!CC237</f>
        <v>-60.6985667785215</v>
      </c>
      <c r="G23" s="128" t="n">
        <f aca="false">Model!CD237</f>
        <v>-61.1563350669705</v>
      </c>
      <c r="H23" s="128" t="n">
        <f aca="false">Model!CE237</f>
        <v>-65.1551821287139</v>
      </c>
      <c r="I23" s="129" t="n">
        <f aca="false">H23*(1+I$26)</f>
        <v>-69.0644930564367</v>
      </c>
      <c r="J23" s="129" t="n">
        <f aca="false">I23*(1+J$26)</f>
        <v>-72.8630401745407</v>
      </c>
      <c r="K23" s="129" t="n">
        <f aca="false">J23*(1+K$26)</f>
        <v>-76.5061921832677</v>
      </c>
      <c r="L23" s="129" t="n">
        <f aca="false">K23*(1+L$26)</f>
        <v>-79.9489708315148</v>
      </c>
      <c r="M23" s="129" t="n">
        <f aca="false">L23*(1+M$26)</f>
        <v>-83.1469296647754</v>
      </c>
    </row>
    <row r="24" customFormat="false" ht="15" hidden="false" customHeight="false" outlineLevel="0" collapsed="false">
      <c r="B24" s="86" t="s">
        <v>619</v>
      </c>
      <c r="D24" s="132" t="n">
        <f aca="false">D20+D21+D22+D23</f>
        <v>508.681479867926</v>
      </c>
      <c r="E24" s="132" t="n">
        <f aca="false">E20+E21+E22+E23</f>
        <v>444.975961921786</v>
      </c>
      <c r="F24" s="132" t="n">
        <f aca="false">F20+F21+F22+F23</f>
        <v>496.888576461204</v>
      </c>
      <c r="G24" s="132" t="n">
        <f aca="false">G20+G21+G22+G23</f>
        <v>561.515730261852</v>
      </c>
      <c r="H24" s="132" t="n">
        <f aca="false">H20+H21+H22+H23</f>
        <v>616.048280617156</v>
      </c>
      <c r="I24" s="132" t="n">
        <f aca="false">I20+I21+I22+I23</f>
        <v>653.011177454185</v>
      </c>
      <c r="J24" s="132" t="n">
        <f aca="false">J20+J21+J22+J23</f>
        <v>688.926792214166</v>
      </c>
      <c r="K24" s="132" t="n">
        <f aca="false">K20+K21+K22+K23</f>
        <v>723.373131824874</v>
      </c>
      <c r="L24" s="132" t="n">
        <f aca="false">L20+L21+L22+L23</f>
        <v>755.924922756993</v>
      </c>
      <c r="M24" s="132" t="n">
        <f aca="false">M20+M21+M22+M23</f>
        <v>786.161919667273</v>
      </c>
      <c r="N24" s="132" t="n">
        <f aca="false">M24*(1+$C$27)</f>
        <v>809.746777257291</v>
      </c>
      <c r="P24" s="130" t="n">
        <f aca="false">(H24/D24)^(1/(COLUMNS(D24:H24)-1))-1</f>
        <v>0.0490403809965465</v>
      </c>
      <c r="Q24" s="130" t="n">
        <f aca="false">(M24/D24)^(1/(COLUMNS(D24:M24)-1))-1</f>
        <v>0.0495601717745537</v>
      </c>
    </row>
    <row r="25" customFormat="false" ht="15" hidden="false" customHeight="false" outlineLevel="0" collapsed="false">
      <c r="B25" s="26" t="s">
        <v>620</v>
      </c>
      <c r="N25" s="132" t="n">
        <f aca="false">N24/($C$13-$C$27)</f>
        <v>11027.8407579897</v>
      </c>
    </row>
    <row r="26" customFormat="false" ht="15" hidden="false" customHeight="false" outlineLevel="0" collapsed="false">
      <c r="B26" s="26" t="s">
        <v>621</v>
      </c>
      <c r="I26" s="133" t="n">
        <v>0.06</v>
      </c>
      <c r="J26" s="134" t="n">
        <f aca="false">I26+($M$26-$I$26)/4</f>
        <v>0.055</v>
      </c>
      <c r="K26" s="134" t="n">
        <f aca="false">J26+($M$26-$I$26)/4</f>
        <v>0.05</v>
      </c>
      <c r="L26" s="134" t="n">
        <f aca="false">K26+($M$26-$I$26)/4</f>
        <v>0.045</v>
      </c>
      <c r="M26" s="133" t="n">
        <v>0.04</v>
      </c>
    </row>
    <row r="27" customFormat="false" ht="15" hidden="false" customHeight="false" outlineLevel="0" collapsed="false">
      <c r="B27" s="26" t="s">
        <v>622</v>
      </c>
      <c r="C27" s="122" t="n">
        <v>0.03</v>
      </c>
      <c r="D27" s="135" t="s">
        <v>623</v>
      </c>
    </row>
    <row r="29" customFormat="false" ht="15" hidden="false" customHeight="false" outlineLevel="0" collapsed="false">
      <c r="B29" s="26" t="s">
        <v>624</v>
      </c>
      <c r="D29" s="131" t="n">
        <f aca="false">(DATE(2026,12,31)-$C$15)/365.25</f>
        <v>0.232717316906229</v>
      </c>
      <c r="E29" s="131" t="n">
        <f aca="false">(DATE(2027,12,31)-$C$15)/365.25</f>
        <v>1.23203285420945</v>
      </c>
      <c r="F29" s="131" t="n">
        <f aca="false">(DATE(2028,12,31)-$C$15)/365.25</f>
        <v>2.23408624229979</v>
      </c>
      <c r="G29" s="131" t="n">
        <f aca="false">(DATE(2029,12,31)-$C$15)/365.25</f>
        <v>3.23340177960301</v>
      </c>
      <c r="H29" s="131" t="n">
        <f aca="false">(DATE(2030,12,31)-$C$15)/365.25</f>
        <v>4.23271731690623</v>
      </c>
      <c r="I29" s="131" t="n">
        <f aca="false">(DATE(2031,12,31)-$C$15)/365.25</f>
        <v>5.23203285420945</v>
      </c>
      <c r="J29" s="131" t="n">
        <f aca="false">(DATE(2032,12,31)-$C$15)/365.25</f>
        <v>6.2340862422998</v>
      </c>
      <c r="K29" s="131" t="n">
        <f aca="false">(DATE(2033,12,31)-$C$15)/365.25</f>
        <v>7.23340177960301</v>
      </c>
      <c r="L29" s="131" t="n">
        <f aca="false">(DATE(2034,12,31)-$C$15)/365.25</f>
        <v>8.23271731690623</v>
      </c>
      <c r="M29" s="131" t="n">
        <f aca="false">(DATE(2035,12,31)-$C$15)/365.25</f>
        <v>9.23203285420945</v>
      </c>
      <c r="N29" s="131" t="n">
        <f aca="false">M29</f>
        <v>9.23203285420945</v>
      </c>
    </row>
    <row r="30" customFormat="false" ht="15" hidden="false" customHeight="false" outlineLevel="0" collapsed="false">
      <c r="B30" s="26" t="s">
        <v>625</v>
      </c>
      <c r="D30" s="136" t="n">
        <f aca="false">1/(1+$C$13)^D29</f>
        <v>0.97735598495195</v>
      </c>
      <c r="E30" s="136" t="n">
        <f aca="false">1/(1+$C$13)^E29</f>
        <v>0.885805209142304</v>
      </c>
      <c r="F30" s="136" t="n">
        <f aca="false">1/(1+$C$13)^F29</f>
        <v>0.802613863298921</v>
      </c>
      <c r="G30" s="136" t="n">
        <f aca="false">1/(1+$C$13)^G29</f>
        <v>0.727431511124338</v>
      </c>
      <c r="H30" s="136" t="n">
        <f aca="false">1/(1+$C$13)^H29</f>
        <v>0.659291631472309</v>
      </c>
      <c r="I30" s="136" t="n">
        <f aca="false">1/(1+$C$13)^I29</f>
        <v>0.597534542678235</v>
      </c>
      <c r="J30" s="136" t="n">
        <f aca="false">1/(1+$C$13)^J29</f>
        <v>0.541416445516168</v>
      </c>
      <c r="K30" s="136" t="n">
        <f aca="false">1/(1+$C$13)^K29</f>
        <v>0.490700947390331</v>
      </c>
      <c r="L30" s="136" t="n">
        <f aca="false">1/(1+$C$13)^L29</f>
        <v>0.444736065488757</v>
      </c>
      <c r="M30" s="136" t="n">
        <f aca="false">1/(1+$C$13)^M29</f>
        <v>0.403076800642666</v>
      </c>
      <c r="N30" s="136" t="n">
        <f aca="false">1/(1+$C$13)^N29</f>
        <v>0.403076800642666</v>
      </c>
    </row>
    <row r="31" customFormat="false" ht="15" hidden="false" customHeight="false" outlineLevel="0" collapsed="false">
      <c r="B31" s="26" t="s">
        <v>626</v>
      </c>
      <c r="D31" s="129" t="n">
        <f aca="false">D24*D30</f>
        <v>497.162888783132</v>
      </c>
      <c r="E31" s="129" t="n">
        <f aca="false">E24*E30</f>
        <v>394.162025013426</v>
      </c>
      <c r="F31" s="129" t="n">
        <f aca="false">F24*F30</f>
        <v>398.809659982628</v>
      </c>
      <c r="G31" s="129" t="n">
        <f aca="false">G24*G30</f>
        <v>408.464236184465</v>
      </c>
      <c r="H31" s="129" t="n">
        <f aca="false">H24*H30</f>
        <v>406.155475993795</v>
      </c>
      <c r="I31" s="129" t="n">
        <f aca="false">I24*I30</f>
        <v>390.196735283862</v>
      </c>
      <c r="J31" s="129" t="n">
        <f aca="false">J24*J30</f>
        <v>372.996295061449</v>
      </c>
      <c r="K31" s="129" t="n">
        <f aca="false">K24*K30</f>
        <v>354.959881103176</v>
      </c>
      <c r="L31" s="129" t="n">
        <f aca="false">L24*L30</f>
        <v>336.187075951837</v>
      </c>
      <c r="M31" s="129" t="n">
        <f aca="false">M24*M30</f>
        <v>316.883631366581</v>
      </c>
      <c r="N31" s="129" t="n">
        <f aca="false">N25*N30</f>
        <v>4445.06677072729</v>
      </c>
    </row>
    <row r="32" customFormat="false" ht="15" hidden="false" customHeight="false" outlineLevel="0" collapsed="false">
      <c r="D32" s="123" t="s">
        <v>627</v>
      </c>
    </row>
    <row r="33" customFormat="false" ht="15" hidden="false" customHeight="false" outlineLevel="0" collapsed="false">
      <c r="B33" s="42" t="s">
        <v>628</v>
      </c>
    </row>
    <row r="34" customFormat="false" ht="15" hidden="false" customHeight="false" outlineLevel="0" collapsed="false">
      <c r="B34" s="26" t="s">
        <v>629</v>
      </c>
      <c r="D34" s="128" t="n">
        <f aca="false">Model!BV357</f>
        <v>2455.013</v>
      </c>
      <c r="E34" s="129" t="n">
        <f aca="false">D38</f>
        <v>2592.85405013157</v>
      </c>
      <c r="F34" s="129" t="n">
        <f aca="false">E38</f>
        <v>2845.66770625004</v>
      </c>
      <c r="G34" s="129" t="n">
        <f aca="false">F38</f>
        <v>3107.53765878056</v>
      </c>
      <c r="H34" s="129" t="n">
        <f aca="false">G38</f>
        <v>3363.86588388928</v>
      </c>
      <c r="I34" s="129" t="n">
        <f aca="false">H38</f>
        <v>3617.95731528906</v>
      </c>
      <c r="J34" s="129" t="n">
        <f aca="false">I38</f>
        <v>3887.29423257282</v>
      </c>
      <c r="K34" s="129" t="n">
        <f aca="false">J38</f>
        <v>4171.44468030719</v>
      </c>
      <c r="L34" s="129" t="n">
        <f aca="false">K38</f>
        <v>4469.80265042828</v>
      </c>
      <c r="M34" s="129" t="n">
        <f aca="false">L38</f>
        <v>4781.58672920482</v>
      </c>
    </row>
    <row r="35" customFormat="false" ht="15" hidden="false" customHeight="false" outlineLevel="0" collapsed="false">
      <c r="B35" s="26" t="s">
        <v>630</v>
      </c>
      <c r="D35" s="129" t="n">
        <f aca="false">-D22</f>
        <v>119.86</v>
      </c>
      <c r="E35" s="129" t="n">
        <f aca="false">-E22</f>
        <v>325.477451511257</v>
      </c>
      <c r="F35" s="129" t="n">
        <f aca="false">-F22</f>
        <v>334.954821899969</v>
      </c>
      <c r="G35" s="129" t="n">
        <f aca="false">-G22</f>
        <v>344.461125521863</v>
      </c>
      <c r="H35" s="129" t="n">
        <f aca="false">-H22</f>
        <v>354.395615888294</v>
      </c>
      <c r="I35" s="129" t="n">
        <f aca="false">-I22</f>
        <v>375.659352841591</v>
      </c>
      <c r="J35" s="129" t="n">
        <f aca="false">-J22</f>
        <v>396.320617247879</v>
      </c>
      <c r="K35" s="129" t="n">
        <f aca="false">-K22</f>
        <v>416.136648110273</v>
      </c>
      <c r="L35" s="129" t="n">
        <f aca="false">-L22</f>
        <v>434.862797275235</v>
      </c>
      <c r="M35" s="129" t="n">
        <f aca="false">-M22</f>
        <v>452.257309166244</v>
      </c>
    </row>
    <row r="36" customFormat="false" ht="15" hidden="false" customHeight="false" outlineLevel="0" collapsed="false">
      <c r="B36" s="26" t="s">
        <v>631</v>
      </c>
      <c r="D36" s="129" t="n">
        <f aca="false">-D21</f>
        <v>-102.625183056553</v>
      </c>
      <c r="E36" s="129" t="n">
        <f aca="false">-E21</f>
        <v>-118.564255390357</v>
      </c>
      <c r="F36" s="129" t="n">
        <f aca="false">-F21</f>
        <v>-133.783436147972</v>
      </c>
      <c r="G36" s="129" t="n">
        <f aca="false">-G21</f>
        <v>-149.289235480114</v>
      </c>
      <c r="H36" s="129" t="n">
        <f aca="false">-H21</f>
        <v>-165.45936661723</v>
      </c>
      <c r="I36" s="129" t="n">
        <f aca="false">-I21</f>
        <v>-175.386928614264</v>
      </c>
      <c r="J36" s="129" t="n">
        <f aca="false">-J21</f>
        <v>-185.033209688048</v>
      </c>
      <c r="K36" s="129" t="n">
        <f aca="false">-K21</f>
        <v>-194.284870172451</v>
      </c>
      <c r="L36" s="129" t="n">
        <f aca="false">-L21</f>
        <v>-203.027689330211</v>
      </c>
      <c r="M36" s="129" t="n">
        <f aca="false">-M21</f>
        <v>-211.148796903419</v>
      </c>
    </row>
    <row r="37" customFormat="false" ht="15" hidden="false" customHeight="false" outlineLevel="0" collapsed="false">
      <c r="B37" s="26" t="s">
        <v>632</v>
      </c>
      <c r="D37" s="129" t="n">
        <f aca="false">-D23</f>
        <v>120.606233188127</v>
      </c>
      <c r="E37" s="129" t="n">
        <f aca="false">-E23</f>
        <v>45.9004599975671</v>
      </c>
      <c r="F37" s="129" t="n">
        <f aca="false">-F23</f>
        <v>60.6985667785215</v>
      </c>
      <c r="G37" s="129" t="n">
        <f aca="false">-G23</f>
        <v>61.1563350669705</v>
      </c>
      <c r="H37" s="129" t="n">
        <f aca="false">-H23</f>
        <v>65.1551821287139</v>
      </c>
      <c r="I37" s="129" t="n">
        <f aca="false">-I23</f>
        <v>69.0644930564367</v>
      </c>
      <c r="J37" s="129" t="n">
        <f aca="false">-J23</f>
        <v>72.8630401745407</v>
      </c>
      <c r="K37" s="129" t="n">
        <f aca="false">-K23</f>
        <v>76.5061921832677</v>
      </c>
      <c r="L37" s="129" t="n">
        <f aca="false">-L23</f>
        <v>79.9489708315148</v>
      </c>
      <c r="M37" s="129" t="n">
        <f aca="false">-M23</f>
        <v>83.1469296647754</v>
      </c>
    </row>
    <row r="38" customFormat="false" ht="15" hidden="false" customHeight="false" outlineLevel="0" collapsed="false">
      <c r="B38" s="86" t="s">
        <v>633</v>
      </c>
      <c r="D38" s="129" t="n">
        <f aca="false">SUM(D34:D37)</f>
        <v>2592.85405013157</v>
      </c>
      <c r="E38" s="129" t="n">
        <f aca="false">SUM(E34:E37)</f>
        <v>2845.66770625004</v>
      </c>
      <c r="F38" s="129" t="n">
        <f aca="false">SUM(F34:F37)</f>
        <v>3107.53765878056</v>
      </c>
      <c r="G38" s="129" t="n">
        <f aca="false">SUM(G34:G37)</f>
        <v>3363.86588388928</v>
      </c>
      <c r="H38" s="129" t="n">
        <f aca="false">SUM(H34:H37)</f>
        <v>3617.95731528906</v>
      </c>
      <c r="I38" s="129" t="n">
        <f aca="false">SUM(I34:I37)</f>
        <v>3887.29423257282</v>
      </c>
      <c r="J38" s="129" t="n">
        <f aca="false">SUM(J34:J37)</f>
        <v>4171.44468030719</v>
      </c>
      <c r="K38" s="129" t="n">
        <f aca="false">SUM(K34:K37)</f>
        <v>4469.80265042828</v>
      </c>
      <c r="L38" s="129" t="n">
        <f aca="false">SUM(L34:L37)</f>
        <v>4781.58672920482</v>
      </c>
      <c r="M38" s="129" t="n">
        <f aca="false">SUM(M34:M37)</f>
        <v>5105.84217113242</v>
      </c>
    </row>
    <row r="39" customFormat="false" ht="15" hidden="false" customHeight="false" outlineLevel="0" collapsed="false">
      <c r="B39" s="26" t="s">
        <v>634</v>
      </c>
      <c r="D39" s="129" t="n">
        <f aca="false">D20</f>
        <v>646.5225299995</v>
      </c>
      <c r="E39" s="129" t="n">
        <f aca="false">E20</f>
        <v>697.789618040254</v>
      </c>
      <c r="F39" s="129" t="n">
        <f aca="false">F20</f>
        <v>758.758528991723</v>
      </c>
      <c r="G39" s="129" t="n">
        <f aca="false">G20</f>
        <v>817.843955370572</v>
      </c>
      <c r="H39" s="129" t="n">
        <f aca="false">H20</f>
        <v>870.139712016933</v>
      </c>
      <c r="I39" s="129" t="n">
        <f aca="false">I20</f>
        <v>922.348094737949</v>
      </c>
      <c r="J39" s="129" t="n">
        <f aca="false">J20</f>
        <v>973.077239948536</v>
      </c>
      <c r="K39" s="129" t="n">
        <f aca="false">K20</f>
        <v>1021.73110194596</v>
      </c>
      <c r="L39" s="129" t="n">
        <f aca="false">L20</f>
        <v>1067.70900153353</v>
      </c>
      <c r="M39" s="129" t="n">
        <f aca="false">M20</f>
        <v>1110.41736159487</v>
      </c>
    </row>
    <row r="40" customFormat="false" ht="15" hidden="false" customHeight="false" outlineLevel="0" collapsed="false">
      <c r="B40" s="86" t="s">
        <v>635</v>
      </c>
      <c r="D40" s="134" t="n">
        <f aca="false">IFERROR(D39/AVERAGE(D34,D38),"")</f>
        <v>0.256156718700683</v>
      </c>
      <c r="E40" s="134" t="n">
        <f aca="false">IFERROR(E39/AVERAGE(E34,E38),"")</f>
        <v>0.256610030923003</v>
      </c>
      <c r="F40" s="134" t="n">
        <f aca="false">IFERROR(F39/AVERAGE(F34,F38),"")</f>
        <v>0.254907560706273</v>
      </c>
      <c r="G40" s="134" t="n">
        <f aca="false">IFERROR(G39/AVERAGE(G34,G38),"")</f>
        <v>0.252756283850338</v>
      </c>
      <c r="H40" s="134" t="n">
        <f aca="false">IFERROR(H39/AVERAGE(H34,H38),"")</f>
        <v>0.249258592546238</v>
      </c>
      <c r="I40" s="134" t="n">
        <f aca="false">IFERROR(I39/AVERAGE(I34,I38),"")</f>
        <v>0.245787390031107</v>
      </c>
      <c r="J40" s="134" t="n">
        <f aca="false">IFERROR(J39/AVERAGE(J34,J38),"")</f>
        <v>0.241496157269297</v>
      </c>
      <c r="K40" s="134" t="n">
        <f aca="false">IFERROR(K39/AVERAGE(K34,K38),"")</f>
        <v>0.236477689583502</v>
      </c>
      <c r="L40" s="134" t="n">
        <f aca="false">IFERROR(L39/AVERAGE(L34,L38),"")</f>
        <v>0.23082133022832</v>
      </c>
      <c r="M40" s="134" t="n">
        <f aca="false">IFERROR(M39/AVERAGE(M34,M38),"")</f>
        <v>0.224611953782444</v>
      </c>
    </row>
    <row r="41" customFormat="false" ht="15" hidden="false" customHeight="false" outlineLevel="0" collapsed="false">
      <c r="B41" s="26" t="s">
        <v>636</v>
      </c>
      <c r="D41" s="134" t="n">
        <f aca="false">IFERROR(SUM(D35:D37)/D39,"")</f>
        <v>0.213203784455401</v>
      </c>
      <c r="E41" s="134" t="n">
        <f aca="false">IFERROR(SUM(E35:E37)/E39,"")</f>
        <v>0.362306416694041</v>
      </c>
      <c r="F41" s="134" t="n">
        <f aca="false">IFERROR(SUM(F35:F37)/F39,"")</f>
        <v>0.345129501052865</v>
      </c>
      <c r="G41" s="134" t="n">
        <f aca="false">IFERROR(SUM(G35:G37)/G39,"")</f>
        <v>0.313419477426565</v>
      </c>
      <c r="H41" s="134" t="n">
        <f aca="false">IFERROR(SUM(H35:H37)/H39,"")</f>
        <v>0.292012222739275</v>
      </c>
      <c r="I41" s="134" t="n">
        <f aca="false">IFERROR(SUM(I35:I37)/I39,"")</f>
        <v>0.292012222739275</v>
      </c>
      <c r="J41" s="134" t="n">
        <f aca="false">IFERROR(SUM(J35:J37)/J39,"")</f>
        <v>0.292012222739275</v>
      </c>
      <c r="K41" s="134" t="n">
        <f aca="false">IFERROR(SUM(K35:K37)/K39,"")</f>
        <v>0.292012222739275</v>
      </c>
      <c r="L41" s="134" t="n">
        <f aca="false">IFERROR(SUM(L35:L37)/L39,"")</f>
        <v>0.292012222739275</v>
      </c>
      <c r="M41" s="134" t="n">
        <f aca="false">IFERROR(SUM(M35:M37)/M39,"")</f>
        <v>0.292012222739275</v>
      </c>
    </row>
    <row r="42" customFormat="false" ht="15" hidden="false" customHeight="false" outlineLevel="0" collapsed="false">
      <c r="B42" s="26" t="s">
        <v>637</v>
      </c>
      <c r="N42" s="134" t="n">
        <f aca="false">IFERROR($C$27/M41,"")</f>
        <v>0.102735425656431</v>
      </c>
    </row>
    <row r="43" customFormat="false" ht="15" hidden="false" customHeight="false" outlineLevel="0" collapsed="false">
      <c r="D43" s="123" t="s">
        <v>638</v>
      </c>
    </row>
    <row r="44" customFormat="false" ht="15" hidden="false" customHeight="false" outlineLevel="0" collapsed="false">
      <c r="B44" s="42" t="s">
        <v>639</v>
      </c>
    </row>
    <row r="45" customFormat="false" ht="15" hidden="false" customHeight="false" outlineLevel="0" collapsed="false">
      <c r="B45" s="26" t="s">
        <v>640</v>
      </c>
      <c r="C45" s="137" t="n">
        <f aca="false">SUM(D31:M31)</f>
        <v>3875.97790472435</v>
      </c>
    </row>
    <row r="46" customFormat="false" ht="15" hidden="false" customHeight="false" outlineLevel="0" collapsed="false">
      <c r="B46" s="26" t="s">
        <v>641</v>
      </c>
      <c r="C46" s="137" t="n">
        <f aca="false">N31</f>
        <v>4445.06677072729</v>
      </c>
    </row>
    <row r="47" customFormat="false" ht="15" hidden="false" customHeight="false" outlineLevel="0" collapsed="false">
      <c r="B47" s="86" t="s">
        <v>642</v>
      </c>
      <c r="C47" s="132" t="n">
        <f aca="false">C45+C46</f>
        <v>8321.04467545164</v>
      </c>
    </row>
    <row r="48" customFormat="false" ht="15" hidden="false" customHeight="false" outlineLevel="0" collapsed="false">
      <c r="B48" s="26" t="s">
        <v>643</v>
      </c>
      <c r="C48" s="128" t="n">
        <f aca="false">Model!CA377+Model!CA306</f>
        <v>926.174617284903</v>
      </c>
      <c r="D48" s="123" t="s">
        <v>644</v>
      </c>
    </row>
    <row r="49" customFormat="false" ht="15" hidden="false" customHeight="false" outlineLevel="0" collapsed="false">
      <c r="B49" s="26" t="s">
        <v>645</v>
      </c>
      <c r="C49" s="137" t="n">
        <f aca="false">C47-C48</f>
        <v>7394.87005816674</v>
      </c>
    </row>
    <row r="50" customFormat="false" ht="15" hidden="false" customHeight="false" outlineLevel="0" collapsed="false">
      <c r="B50" s="26" t="s">
        <v>646</v>
      </c>
      <c r="C50" s="138" t="n">
        <f aca="false">Model!CA383</f>
        <v>54.5013714298469</v>
      </c>
    </row>
    <row r="51" customFormat="false" ht="15" hidden="false" customHeight="false" outlineLevel="0" collapsed="false">
      <c r="B51" s="86" t="s">
        <v>647</v>
      </c>
      <c r="C51" s="139" t="n">
        <f aca="false">C49/C50</f>
        <v>135.682274852208</v>
      </c>
    </row>
    <row r="52" customFormat="false" ht="15" hidden="false" customHeight="false" outlineLevel="0" collapsed="false">
      <c r="B52" s="26" t="s">
        <v>648</v>
      </c>
      <c r="C52" s="140" t="n">
        <f aca="false">Model!CA382</f>
        <v>275.54</v>
      </c>
    </row>
    <row r="53" customFormat="false" ht="15" hidden="false" customHeight="false" outlineLevel="0" collapsed="false">
      <c r="B53" s="26" t="s">
        <v>649</v>
      </c>
      <c r="C53" s="141" t="n">
        <f aca="false">C51/C52-1</f>
        <v>-0.507576849632693</v>
      </c>
    </row>
    <row r="54" customFormat="false" ht="15" hidden="false" customHeight="false" outlineLevel="0" collapsed="false">
      <c r="B54" s="26" t="s">
        <v>650</v>
      </c>
      <c r="C54" s="142" t="n">
        <f aca="false">1-((1+C13)/(1+H54))^H55</f>
        <v>0.116639675935853</v>
      </c>
      <c r="D54" s="143" t="s">
        <v>651</v>
      </c>
      <c r="E54" s="143" t="s">
        <v>652</v>
      </c>
      <c r="H54" s="144" t="n">
        <v>0.15</v>
      </c>
    </row>
    <row r="55" customFormat="false" ht="15" hidden="false" customHeight="false" outlineLevel="0" collapsed="false">
      <c r="B55" s="26" t="s">
        <v>653</v>
      </c>
      <c r="C55" s="145" t="n">
        <f aca="false">C51*(1-C54)</f>
        <v>119.856338283207</v>
      </c>
      <c r="D55" s="134" t="n">
        <f aca="false">C55/C52-1</f>
        <v>-0.565012926314848</v>
      </c>
      <c r="E55" s="143" t="s">
        <v>654</v>
      </c>
      <c r="H55" s="146" t="n">
        <v>3</v>
      </c>
    </row>
    <row r="58" customFormat="false" ht="15" hidden="false" customHeight="false" outlineLevel="0" collapsed="false">
      <c r="B58" s="42" t="s">
        <v>655</v>
      </c>
    </row>
    <row r="60" customFormat="false" ht="15" hidden="false" customHeight="false" outlineLevel="0" collapsed="false">
      <c r="D60" s="0" t="s">
        <v>656</v>
      </c>
    </row>
    <row r="61" customFormat="false" ht="15" hidden="false" customHeight="false" outlineLevel="0" collapsed="false">
      <c r="B61" s="10" t="s">
        <v>657</v>
      </c>
      <c r="D61" s="147" t="n">
        <f aca="false">F61-0.01</f>
        <v>0.0934275</v>
      </c>
      <c r="E61" s="147" t="n">
        <f aca="false">F61-0.005</f>
        <v>0.0984275</v>
      </c>
      <c r="F61" s="147" t="n">
        <f aca="false">$C$13</f>
        <v>0.1034275</v>
      </c>
      <c r="G61" s="147" t="n">
        <f aca="false">F61+0.005</f>
        <v>0.1084275</v>
      </c>
      <c r="H61" s="147" t="n">
        <f aca="false">F61+0.01</f>
        <v>0.1134275</v>
      </c>
    </row>
    <row r="62" customFormat="false" ht="15" hidden="false" customHeight="false" outlineLevel="0" collapsed="false">
      <c r="B62" s="148" t="n">
        <f aca="false">B64-0.01</f>
        <v>0.02</v>
      </c>
      <c r="D62" s="149" t="n">
        <f aca="false" t="array" ref="D62:D62">IFERROR((SUMPRODUCT($D$24:$M$24/(1+D$61)^$D$29:$M$29)+($M$24*(1+$B62)/(D$61-$B62))/(1+D$61)^$M$29-$C$48)/$C$50,"")</f>
        <v>144.922294602323</v>
      </c>
      <c r="E62" s="149" t="n">
        <f aca="false" t="array" ref="E62:E62">IFERROR((SUMPRODUCT($D$24:$M$24/(1+E$61)^$D$29:$M$29)+($M$24*(1+$B62)/(E$61-$B62))/(1+E$61)^$M$29-$C$48)/$C$50,"")</f>
        <v>134.429778288064</v>
      </c>
      <c r="F62" s="149" t="n">
        <f aca="false" t="array" ref="F62:F62">IFERROR((SUMPRODUCT($D$24:$M$24/(1+F$61)^$D$29:$M$29)+($M$24*(1+$B62)/(F$61-$B62))/(1+F$61)^$M$29-$C$48)/$C$50,"")</f>
        <v>125.209344692056</v>
      </c>
      <c r="G62" s="149" t="n">
        <f aca="false" t="array" ref="G62:G62">IFERROR((SUMPRODUCT($D$24:$M$24/(1+G$61)^$D$29:$M$29)+($M$24*(1+$B62)/(G$61-$B62))/(1+G$61)^$M$29-$C$48)/$C$50,"")</f>
        <v>117.044747969356</v>
      </c>
      <c r="H62" s="149" t="n">
        <f aca="false" t="array" ref="H62:H62">IFERROR((SUMPRODUCT($D$24:$M$24/(1+H$61)^$D$29:$M$29)+($M$24*(1+$B62)/(H$61-$B62))/(1+H$61)^$M$29-$C$48)/$C$50,"")</f>
        <v>109.766051430993</v>
      </c>
    </row>
    <row r="63" customFormat="false" ht="15" hidden="false" customHeight="false" outlineLevel="0" collapsed="false">
      <c r="B63" s="148" t="n">
        <f aca="false">B64-0.005</f>
        <v>0.025</v>
      </c>
      <c r="D63" s="149" t="n">
        <f aca="false" t="array" ref="D63:D63">IFERROR((SUMPRODUCT($D$24:$M$24/(1+D$61)^$D$29:$M$29)+($M$24*(1+$B63)/(D$61-$B63))/(1+D$61)^$M$29-$C$48)/$C$50,"")</f>
        <v>151.803502367223</v>
      </c>
      <c r="E63" s="149" t="n">
        <f aca="false" t="array" ref="E63:E63">IFERROR((SUMPRODUCT($D$24:$M$24/(1+E$61)^$D$29:$M$29)+($M$24*(1+$B63)/(E$61-$B63))/(1+E$61)^$M$29-$C$48)/$C$50,"")</f>
        <v>140.212282822309</v>
      </c>
      <c r="F63" s="149" t="n">
        <f aca="false" t="array" ref="F63:F63">IFERROR((SUMPRODUCT($D$24:$M$24/(1+F$61)^$D$29:$M$29)+($M$24*(1+$B63)/(F$61-$B63))/(1+F$61)^$M$29-$C$48)/$C$50,"")</f>
        <v>130.111968639871</v>
      </c>
      <c r="G63" s="149" t="n">
        <f aca="false" t="array" ref="G63:G63">IFERROR((SUMPRODUCT($D$24:$M$24/(1+G$61)^$D$29:$M$29)+($M$24*(1+$B63)/(G$61-$B63))/(1+G$61)^$M$29-$C$48)/$C$50,"")</f>
        <v>121.23409274586</v>
      </c>
      <c r="H63" s="149" t="n">
        <f aca="false" t="array" ref="H63:H63">IFERROR((SUMPRODUCT($D$24:$M$24/(1+H$61)^$D$29:$M$29)+($M$24*(1+$B63)/(H$61-$B63))/(1+H$61)^$M$29-$C$48)/$C$50,"")</f>
        <v>113.370923444518</v>
      </c>
    </row>
    <row r="64" customFormat="false" ht="15" hidden="false" customHeight="false" outlineLevel="0" collapsed="false">
      <c r="B64" s="148" t="n">
        <f aca="false">$C$27</f>
        <v>0.03</v>
      </c>
      <c r="D64" s="149" t="n">
        <f aca="false" t="array" ref="D64:D64">IFERROR((SUMPRODUCT($D$24:$M$24/(1+D$61)^$D$29:$M$29)+($M$24*(1+$B64)/(D$61-$B64))/(1+D$61)^$M$29-$C$48)/$C$50,"")</f>
        <v>159.769603556095</v>
      </c>
      <c r="E64" s="149" t="n">
        <f aca="false" t="array" ref="E64:E64">IFERROR((SUMPRODUCT($D$24:$M$24/(1+E$61)^$D$29:$M$29)+($M$24*(1+$B64)/(E$61-$B64))/(1+E$61)^$M$29-$C$48)/$C$50,"")</f>
        <v>146.839843004391</v>
      </c>
      <c r="F64" s="150" t="n">
        <f aca="false" t="array" ref="F64:F64">IFERROR((SUMPRODUCT($D$24:$M$24/(1+F$61)^$D$29:$M$29)+($M$24*(1+$B64)/(F$61-$B64))/(1+F$61)^$M$29-$C$48)/$C$50,"")</f>
        <v>135.682274852208</v>
      </c>
      <c r="G64" s="149" t="n">
        <f aca="false" t="array" ref="G64:G64">IFERROR((SUMPRODUCT($D$24:$M$24/(1+G$61)^$D$29:$M$29)+($M$24*(1+$B64)/(G$61-$B64))/(1+G$61)^$M$29-$C$48)/$C$50,"")</f>
        <v>125.957605355904</v>
      </c>
      <c r="H64" s="149" t="n">
        <f aca="false" t="array" ref="H64:H64">IFERROR((SUMPRODUCT($D$24:$M$24/(1+H$61)^$D$29:$M$29)+($M$24*(1+$B64)/(H$61-$B64))/(1+H$61)^$M$29-$C$48)/$C$50,"")</f>
        <v>117.407891830765</v>
      </c>
    </row>
    <row r="65" customFormat="false" ht="15" hidden="false" customHeight="false" outlineLevel="0" collapsed="false">
      <c r="B65" s="148" t="n">
        <f aca="false">B64+0.005</f>
        <v>0.035</v>
      </c>
      <c r="D65" s="149" t="n">
        <f aca="false" t="array" ref="D65:D65">IFERROR((SUMPRODUCT($D$24:$M$24/(1+D$61)^$D$29:$M$29)+($M$24*(1+$B65)/(D$61-$B65))/(1+D$61)^$M$29-$C$48)/$C$50,"")</f>
        <v>169.099121148009</v>
      </c>
      <c r="E65" s="149" t="n">
        <f aca="false" t="array" ref="E65:E65">IFERROR((SUMPRODUCT($D$24:$M$24/(1+E$61)^$D$29:$M$29)+($M$24*(1+$B65)/(E$61-$B65))/(1+E$61)^$M$29-$C$48)/$C$50,"")</f>
        <v>154.512306451159</v>
      </c>
      <c r="F65" s="149" t="n">
        <f aca="false" t="array" ref="F65:F65">IFERROR((SUMPRODUCT($D$24:$M$24/(1+F$61)^$D$29:$M$29)+($M$24*(1+$B65)/(F$61-$B65))/(1+F$61)^$M$29-$C$48)/$C$50,"")</f>
        <v>142.066626033648</v>
      </c>
      <c r="G65" s="149" t="n">
        <f aca="false" t="array" ref="G65:G65">IFERROR((SUMPRODUCT($D$24:$M$24/(1+G$61)^$D$29:$M$29)+($M$24*(1+$B65)/(G$61-$B65))/(1+G$61)^$M$29-$C$48)/$C$50,"")</f>
        <v>131.324407279904</v>
      </c>
      <c r="H65" s="149" t="n">
        <f aca="false" t="array" ref="H65:H65">IFERROR((SUMPRODUCT($D$24:$M$24/(1+H$61)^$D$29:$M$29)+($M$24*(1+$B65)/(H$61-$B65))/(1+H$61)^$M$29-$C$48)/$C$50,"")</f>
        <v>121.959599101491</v>
      </c>
    </row>
    <row r="66" customFormat="false" ht="15" hidden="false" customHeight="false" outlineLevel="0" collapsed="false">
      <c r="B66" s="148" t="n">
        <f aca="false">B64+0.01</f>
        <v>0.04</v>
      </c>
      <c r="D66" s="149" t="n">
        <f aca="false" t="array" ref="D66:D66">IFERROR((SUMPRODUCT($D$24:$M$24/(1+D$61)^$D$29:$M$29)+($M$24*(1+$B66)/(D$61-$B66))/(1+D$61)^$M$29-$C$48)/$C$50,"")</f>
        <v>180.174840151539</v>
      </c>
      <c r="E66" s="149" t="n">
        <f aca="false" t="array" ref="E66:E66">IFERROR((SUMPRODUCT($D$24:$M$24/(1+E$61)^$D$29:$M$29)+($M$24*(1+$B66)/(E$61-$B66))/(1+E$61)^$M$29-$C$48)/$C$50,"")</f>
        <v>163.497929531108</v>
      </c>
      <c r="F66" s="149" t="n">
        <f aca="false" t="array" ref="F66:F66">IFERROR((SUMPRODUCT($D$24:$M$24/(1+F$61)^$D$29:$M$29)+($M$24*(1+$B66)/(F$61-$B66))/(1+F$61)^$M$29-$C$48)/$C$50,"")</f>
        <v>149.457536070702</v>
      </c>
      <c r="G66" s="149" t="n">
        <f aca="false" t="array" ref="G66:G66">IFERROR((SUMPRODUCT($D$24:$M$24/(1+G$61)^$D$29:$M$29)+($M$24*(1+$B66)/(G$61-$B66))/(1+G$61)^$M$29-$C$48)/$C$50,"")</f>
        <v>137.475514040995</v>
      </c>
      <c r="H66" s="149" t="n">
        <f aca="false" t="array" ref="H66:H66">IFERROR((SUMPRODUCT($D$24:$M$24/(1+H$61)^$D$29:$M$29)+($M$24*(1+$B66)/(H$61-$B66))/(1+H$61)^$M$29-$C$48)/$C$50,"")</f>
        <v>127.131197730458</v>
      </c>
    </row>
    <row r="69" customFormat="false" ht="15" hidden="false" customHeight="false" outlineLevel="0" collapsed="false">
      <c r="B69" s="42" t="s">
        <v>658</v>
      </c>
    </row>
    <row r="70" customFormat="false" ht="15" hidden="false" customHeight="false" outlineLevel="0" collapsed="false">
      <c r="B70" s="26" t="s">
        <v>659</v>
      </c>
    </row>
    <row r="72" customFormat="false" ht="15" hidden="false" customHeight="false" outlineLevel="0" collapsed="false">
      <c r="B72" s="42" t="s">
        <v>660</v>
      </c>
    </row>
    <row r="73" customFormat="false" ht="15" hidden="false" customHeight="false" outlineLevel="0" collapsed="false">
      <c r="B73" s="26" t="s">
        <v>661</v>
      </c>
    </row>
    <row r="74" customFormat="false" ht="15" hidden="false" customHeight="false" outlineLevel="0" collapsed="false">
      <c r="B74" s="123" t="s">
        <v>662</v>
      </c>
    </row>
    <row r="76" customFormat="false" ht="15" hidden="false" customHeight="false" outlineLevel="0" collapsed="false">
      <c r="B76" s="10" t="s">
        <v>663</v>
      </c>
      <c r="C76" s="10" t="s">
        <v>664</v>
      </c>
      <c r="D76" s="10" t="s">
        <v>665</v>
      </c>
    </row>
    <row r="77" customFormat="false" ht="15" hidden="false" customHeight="false" outlineLevel="0" collapsed="false">
      <c r="B77" s="26" t="s">
        <v>666</v>
      </c>
      <c r="C77" s="151" t="n">
        <f aca="false">$C$13</f>
        <v>0.1034275</v>
      </c>
      <c r="D77" s="123" t="s">
        <v>667</v>
      </c>
    </row>
    <row r="78" customFormat="false" ht="15" hidden="false" customHeight="false" outlineLevel="0" collapsed="false">
      <c r="B78" s="26" t="s">
        <v>668</v>
      </c>
      <c r="C78" s="144" t="n">
        <v>0.07</v>
      </c>
      <c r="D78" s="123" t="s">
        <v>669</v>
      </c>
    </row>
    <row r="79" customFormat="false" ht="15" hidden="false" customHeight="false" outlineLevel="0" collapsed="false">
      <c r="B79" s="26" t="s">
        <v>670</v>
      </c>
      <c r="C79" s="144" t="n">
        <v>0.25</v>
      </c>
      <c r="D79" s="123" t="s">
        <v>671</v>
      </c>
    </row>
    <row r="80" customFormat="false" ht="15" hidden="false" customHeight="false" outlineLevel="0" collapsed="false">
      <c r="B80" s="26" t="s">
        <v>672</v>
      </c>
      <c r="C80" s="152" t="n">
        <v>10</v>
      </c>
      <c r="D80" s="123" t="s">
        <v>673</v>
      </c>
    </row>
    <row r="82" customFormat="false" ht="15" hidden="false" customHeight="false" outlineLevel="0" collapsed="false">
      <c r="B82" s="10" t="s">
        <v>674</v>
      </c>
      <c r="C82" s="10" t="s">
        <v>664</v>
      </c>
    </row>
    <row r="83" customFormat="false" ht="15" hidden="false" customHeight="false" outlineLevel="0" collapsed="false">
      <c r="B83" s="26" t="s">
        <v>675</v>
      </c>
      <c r="C83" s="153" t="n">
        <f aca="false">1/C77</f>
        <v>9.66860844552948</v>
      </c>
    </row>
    <row r="84" customFormat="false" ht="15" hidden="false" customHeight="false" outlineLevel="0" collapsed="false">
      <c r="B84" s="26" t="s">
        <v>676</v>
      </c>
      <c r="C84" s="130" t="n">
        <f aca="false">1-C77/C79</f>
        <v>0.58629</v>
      </c>
    </row>
    <row r="85" customFormat="false" ht="15" hidden="false" customHeight="false" outlineLevel="0" collapsed="false">
      <c r="B85" s="26" t="s">
        <v>677</v>
      </c>
      <c r="C85" s="153" t="n">
        <f aca="false">C78*C84/(C77*(C77-C78))</f>
        <v>11.8705434503646</v>
      </c>
    </row>
    <row r="86" customFormat="false" ht="15" hidden="false" customHeight="false" outlineLevel="0" collapsed="false">
      <c r="B86" s="26" t="s">
        <v>678</v>
      </c>
      <c r="C86" s="130" t="n">
        <f aca="false">1-((1+C78)/(1+C77))^C80</f>
        <v>0.26480974312286</v>
      </c>
    </row>
    <row r="87" customFormat="false" ht="15" hidden="false" customHeight="false" outlineLevel="0" collapsed="false">
      <c r="B87" s="26" t="s">
        <v>679</v>
      </c>
      <c r="C87" s="153" t="n">
        <f aca="false">C85*C86</f>
        <v>3.14343556181981</v>
      </c>
    </row>
    <row r="88" customFormat="false" ht="15" hidden="false" customHeight="false" outlineLevel="0" collapsed="false">
      <c r="B88" s="86" t="s">
        <v>680</v>
      </c>
      <c r="C88" s="154" t="n">
        <f aca="false">C83+C87</f>
        <v>12.8120440073493</v>
      </c>
    </row>
    <row r="90" customFormat="false" ht="15" hidden="false" customHeight="false" outlineLevel="0" collapsed="false">
      <c r="B90" s="10" t="s">
        <v>681</v>
      </c>
      <c r="C90" s="10" t="s">
        <v>682</v>
      </c>
    </row>
    <row r="91" customFormat="false" ht="15" hidden="false" customHeight="false" outlineLevel="0" collapsed="false">
      <c r="B91" s="26" t="s">
        <v>683</v>
      </c>
      <c r="C91" s="137" t="n">
        <f aca="false">F18</f>
        <v>985.400687002238</v>
      </c>
    </row>
    <row r="92" customFormat="false" ht="15" hidden="false" customHeight="false" outlineLevel="0" collapsed="false">
      <c r="B92" s="26" t="s">
        <v>684</v>
      </c>
      <c r="C92" s="155" t="n">
        <f aca="false">$C$10</f>
        <v>0.23</v>
      </c>
    </row>
    <row r="93" customFormat="false" ht="15" hidden="false" customHeight="false" outlineLevel="0" collapsed="false">
      <c r="B93" s="26" t="s">
        <v>685</v>
      </c>
      <c r="C93" s="137" t="n">
        <f aca="false">C91*(1-C92)</f>
        <v>758.758528991723</v>
      </c>
    </row>
    <row r="94" customFormat="false" ht="15" hidden="false" customHeight="false" outlineLevel="0" collapsed="false">
      <c r="B94" s="26" t="s">
        <v>686</v>
      </c>
      <c r="C94" s="156" t="n">
        <f aca="false">C88</f>
        <v>12.8120440073493</v>
      </c>
    </row>
    <row r="95" customFormat="false" ht="15" hidden="false" customHeight="false" outlineLevel="0" collapsed="false">
      <c r="B95" s="26" t="s">
        <v>687</v>
      </c>
      <c r="C95" s="137" t="n">
        <f aca="false">C93*C94</f>
        <v>9721.24766439356</v>
      </c>
    </row>
    <row r="96" customFormat="false" ht="15" hidden="false" customHeight="false" outlineLevel="0" collapsed="false">
      <c r="B96" s="26" t="s">
        <v>688</v>
      </c>
      <c r="C96" s="128" t="n">
        <f aca="false">Model!CB377+Model!CB306</f>
        <v>1036.78453855952</v>
      </c>
    </row>
    <row r="97" customFormat="false" ht="15" hidden="false" customHeight="false" outlineLevel="0" collapsed="false">
      <c r="B97" s="26" t="s">
        <v>689</v>
      </c>
      <c r="C97" s="137" t="n">
        <f aca="false">C95-C96</f>
        <v>8684.46312583404</v>
      </c>
    </row>
    <row r="98" customFormat="false" ht="15" hidden="false" customHeight="false" outlineLevel="0" collapsed="false">
      <c r="B98" s="26" t="s">
        <v>690</v>
      </c>
      <c r="C98" s="138" t="n">
        <f aca="false">Model!CC383</f>
        <v>52.4780429358119</v>
      </c>
    </row>
    <row r="99" customFormat="false" ht="15" hidden="false" customHeight="false" outlineLevel="0" collapsed="false">
      <c r="B99" s="26" t="s">
        <v>691</v>
      </c>
      <c r="C99" s="157" t="n">
        <f aca="false">C97/C98</f>
        <v>165.487557080899</v>
      </c>
    </row>
    <row r="101" customFormat="false" ht="15" hidden="false" customHeight="false" outlineLevel="0" collapsed="false">
      <c r="B101" s="26" t="s">
        <v>648</v>
      </c>
      <c r="C101" s="158" t="n">
        <f aca="false">C52</f>
        <v>275.54</v>
      </c>
    </row>
    <row r="102" customFormat="false" ht="15" hidden="false" customHeight="false" outlineLevel="0" collapsed="false">
      <c r="B102" s="26" t="s">
        <v>649</v>
      </c>
      <c r="C102" s="155" t="n">
        <f aca="false">C99/C101-1</f>
        <v>-0.399406412568415</v>
      </c>
    </row>
    <row r="104" customFormat="false" ht="15" hidden="false" customHeight="false" outlineLevel="0" collapsed="false">
      <c r="B104" s="10" t="s">
        <v>692</v>
      </c>
      <c r="C104" s="10" t="s">
        <v>682</v>
      </c>
    </row>
    <row r="105" customFormat="false" ht="15" hidden="false" customHeight="false" outlineLevel="0" collapsed="false">
      <c r="B105" s="26" t="s">
        <v>693</v>
      </c>
      <c r="C105" s="137" t="n">
        <f aca="false">C52*C50</f>
        <v>15017.30788378</v>
      </c>
    </row>
    <row r="106" customFormat="false" ht="15" hidden="false" customHeight="false" outlineLevel="0" collapsed="false">
      <c r="B106" s="26" t="s">
        <v>694</v>
      </c>
      <c r="C106" s="137" t="n">
        <f aca="false">C48</f>
        <v>926.174617284903</v>
      </c>
    </row>
    <row r="107" customFormat="false" ht="15" hidden="false" customHeight="false" outlineLevel="0" collapsed="false">
      <c r="B107" s="26" t="s">
        <v>695</v>
      </c>
      <c r="C107" s="137" t="n">
        <f aca="false">C105+C106</f>
        <v>15943.4825010649</v>
      </c>
    </row>
    <row r="108" customFormat="false" ht="15" hidden="false" customHeight="false" outlineLevel="0" collapsed="false">
      <c r="B108" s="26" t="s">
        <v>696</v>
      </c>
      <c r="C108" s="159" t="n">
        <f aca="false">C107/C93</f>
        <v>21.0125908202329</v>
      </c>
    </row>
    <row r="110" customFormat="false" ht="15" hidden="false" customHeight="false" outlineLevel="0" collapsed="false">
      <c r="B110" s="26" t="s">
        <v>697</v>
      </c>
      <c r="C110" s="156" t="n">
        <f aca="false">C88-C108</f>
        <v>-8.20054681288363</v>
      </c>
    </row>
    <row r="111" customFormat="false" ht="15" hidden="false" customHeight="false" outlineLevel="0" collapsed="false">
      <c r="B111" s="26" t="s">
        <v>698</v>
      </c>
      <c r="C111" s="160" t="n">
        <f aca="false">C88/C108-1</f>
        <v>-0.390268238840275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</cols>
  <sheetData>
    <row r="2" customFormat="false" ht="17.35" hidden="false" customHeight="false" outlineLevel="0" collapsed="false">
      <c r="B2" s="161" t="s">
        <v>699</v>
      </c>
    </row>
    <row r="3" customFormat="false" ht="15" hidden="false" customHeight="false" outlineLevel="0" collapsed="false">
      <c r="B3" s="4" t="s">
        <v>700</v>
      </c>
    </row>
    <row r="7" customFormat="false" ht="15" hidden="false" customHeight="false" outlineLevel="0" collapsed="false">
      <c r="C7" s="162" t="n">
        <v>2006</v>
      </c>
      <c r="D7" s="162" t="n">
        <v>2007</v>
      </c>
      <c r="E7" s="162" t="n">
        <v>2008</v>
      </c>
      <c r="F7" s="162" t="n">
        <v>2009</v>
      </c>
      <c r="G7" s="162" t="n">
        <v>2010</v>
      </c>
      <c r="H7" s="162" t="n">
        <v>2011</v>
      </c>
      <c r="I7" s="162" t="n">
        <v>2012</v>
      </c>
      <c r="J7" s="162" t="n">
        <v>2013</v>
      </c>
      <c r="K7" s="162" t="n">
        <v>2014</v>
      </c>
      <c r="L7" s="162" t="n">
        <v>2015</v>
      </c>
      <c r="M7" s="162" t="n">
        <v>2016</v>
      </c>
      <c r="N7" s="162" t="n">
        <v>2017</v>
      </c>
      <c r="O7" s="162" t="n">
        <v>2018</v>
      </c>
      <c r="P7" s="162" t="n">
        <v>2019</v>
      </c>
      <c r="Q7" s="162" t="n">
        <v>2020</v>
      </c>
      <c r="R7" s="162" t="n">
        <v>2021</v>
      </c>
      <c r="S7" s="162" t="n">
        <v>2022</v>
      </c>
      <c r="T7" s="162" t="n">
        <v>2023</v>
      </c>
      <c r="U7" s="162" t="n">
        <v>2024</v>
      </c>
      <c r="V7" s="162" t="n">
        <v>2025</v>
      </c>
    </row>
    <row r="8" customFormat="false" ht="15" hidden="false" customHeight="false" outlineLevel="0" collapsed="false">
      <c r="B8" s="163" t="s">
        <v>701</v>
      </c>
      <c r="C8" s="164" t="n">
        <f aca="false">IFERROR(Model!C109+0,0)</f>
        <v>0</v>
      </c>
      <c r="D8" s="164" t="n">
        <f aca="false">IFERROR(Model!D109+0,0)</f>
        <v>0</v>
      </c>
      <c r="E8" s="164" t="n">
        <f aca="false">IFERROR(Model!E109+0,0)</f>
        <v>0</v>
      </c>
      <c r="F8" s="164" t="n">
        <f aca="false">IFERROR(Model!F109+0,0)</f>
        <v>0</v>
      </c>
      <c r="G8" s="164" t="n">
        <f aca="false">IFERROR(Model!G109+0,0)</f>
        <v>0.140552</v>
      </c>
      <c r="H8" s="164" t="n">
        <f aca="false">IFERROR(Model!H109+0,0)</f>
        <v>0.147826</v>
      </c>
      <c r="I8" s="164" t="n">
        <f aca="false">IFERROR(Model!I109+0,0)</f>
        <v>0.012918</v>
      </c>
      <c r="J8" s="164" t="n">
        <f aca="false">IFERROR(Model!N109+0,0)</f>
        <v>-0.0266</v>
      </c>
      <c r="K8" s="164" t="n">
        <f aca="false">IFERROR(Model!S109+0,0)</f>
        <v>-0.020299</v>
      </c>
      <c r="L8" s="164" t="n">
        <f aca="false">IFERROR(Model!X109+0,0)</f>
        <v>-0.079624</v>
      </c>
      <c r="M8" s="164" t="n">
        <f aca="false">IFERROR(Model!AC109+0,0)</f>
        <v>-0.097666</v>
      </c>
      <c r="N8" s="164" t="n">
        <f aca="false">IFERROR(Model!AH109+0,0)</f>
        <v>0.041841</v>
      </c>
      <c r="O8" s="164" t="n">
        <f aca="false">IFERROR(Model!AM109+0,0)</f>
        <v>0.01059</v>
      </c>
      <c r="P8" s="164" t="n">
        <f aca="false">IFERROR(Model!AR109+0,0)</f>
        <v>-0.046521</v>
      </c>
      <c r="Q8" s="164" t="n">
        <f aca="false">IFERROR(Model!AW109+0,0)</f>
        <v>-0.126925</v>
      </c>
      <c r="R8" s="164" t="n">
        <f aca="false">IFERROR(Model!BB109+0,0)</f>
        <v>0.098064</v>
      </c>
      <c r="S8" s="164" t="n">
        <f aca="false">IFERROR(Model!BG109+0,0)</f>
        <v>0.049584</v>
      </c>
      <c r="T8" s="164" t="n">
        <f aca="false">IFERROR(Model!BL109+0,0)</f>
        <v>0.022781</v>
      </c>
      <c r="U8" s="164" t="n">
        <f aca="false">IFERROR(Model!BQ109+0,0)</f>
        <v>-0.071848</v>
      </c>
      <c r="V8" s="164" t="n">
        <f aca="false">IFERROR(Model!BV109+0,0)</f>
        <v>-0.036841</v>
      </c>
    </row>
    <row r="9" customFormat="false" ht="15" hidden="false" customHeight="false" outlineLevel="0" collapsed="false">
      <c r="B9" s="163" t="s">
        <v>702</v>
      </c>
      <c r="C9" s="164" t="n">
        <f aca="false">IFERROR(Model!C110+0,0)</f>
        <v>0</v>
      </c>
      <c r="D9" s="164" t="n">
        <f aca="false">IFERROR(Model!D110+0,0)</f>
        <v>0</v>
      </c>
      <c r="E9" s="164" t="n">
        <f aca="false">IFERROR(Model!E110+0,0)</f>
        <v>0</v>
      </c>
      <c r="F9" s="164" t="n">
        <f aca="false">IFERROR(Model!F110+0,0)</f>
        <v>0</v>
      </c>
      <c r="G9" s="164" t="n">
        <f aca="false">IFERROR(Model!G110+0,0)</f>
        <v>0.003581</v>
      </c>
      <c r="H9" s="164" t="n">
        <f aca="false">IFERROR(Model!H110+0,0)</f>
        <v>0.06903</v>
      </c>
      <c r="I9" s="164" t="n">
        <f aca="false">IFERROR(Model!I110+0,0)</f>
        <v>0.016997</v>
      </c>
      <c r="J9" s="164" t="n">
        <f aca="false">IFERROR(Model!N110+0,0)</f>
        <v>0.000744</v>
      </c>
      <c r="K9" s="164" t="n">
        <f aca="false">IFERROR(Model!S110+0,0)</f>
        <v>0.017501</v>
      </c>
      <c r="L9" s="164" t="n">
        <f aca="false">IFERROR(Model!X110+0,0)</f>
        <v>0.039514</v>
      </c>
      <c r="M9" s="164" t="n">
        <f aca="false">IFERROR(Model!AC110+0,0)</f>
        <v>0.102411</v>
      </c>
      <c r="N9" s="164" t="n">
        <f aca="false">IFERROR(Model!AH110+0,0)</f>
        <v>0.024214</v>
      </c>
      <c r="O9" s="164" t="n">
        <f aca="false">IFERROR(Model!AM110+0,0)</f>
        <v>0.055705</v>
      </c>
      <c r="P9" s="164" t="n">
        <f aca="false">IFERROR(Model!AR110+0,0)</f>
        <v>0.012453</v>
      </c>
      <c r="Q9" s="164" t="n">
        <f aca="false">IFERROR(Model!AW110+0,0)</f>
        <v>0.004813</v>
      </c>
      <c r="R9" s="164" t="n">
        <f aca="false">IFERROR(Model!BB110+0,0)</f>
        <v>0.094857</v>
      </c>
      <c r="S9" s="164" t="n">
        <f aca="false">IFERROR(Model!BG110+0,0)</f>
        <v>0.14499</v>
      </c>
      <c r="T9" s="164" t="n">
        <f aca="false">IFERROR(Model!BL110+0,0)</f>
        <v>0.017055</v>
      </c>
      <c r="U9" s="164" t="n">
        <f aca="false">IFERROR(Model!BQ110+0,0)</f>
        <v>0.007252</v>
      </c>
      <c r="V9" s="164" t="n">
        <f aca="false">IFERROR(Model!BV110+0,0)</f>
        <v>0.061502</v>
      </c>
    </row>
    <row r="12" customFormat="false" ht="15" hidden="false" customHeight="false" outlineLevel="0" collapsed="false">
      <c r="B12" s="163" t="s">
        <v>499</v>
      </c>
      <c r="C12" s="165" t="n">
        <f aca="false">IFERROR(Model!C178+0,0)</f>
        <v>236.927</v>
      </c>
      <c r="D12" s="165" t="n">
        <f aca="false">IFERROR(Model!D178+0,0)</f>
        <v>290.105</v>
      </c>
      <c r="E12" s="165" t="n">
        <f aca="false">IFERROR(Model!E178+0,0)</f>
        <v>322.49</v>
      </c>
      <c r="F12" s="165" t="n">
        <f aca="false">IFERROR(Model!F178+0,0)</f>
        <v>122.17</v>
      </c>
      <c r="G12" s="165" t="n">
        <f aca="false">IFERROR(Model!G178+0,0)</f>
        <v>194.157</v>
      </c>
      <c r="H12" s="165" t="n">
        <f aca="false">IFERROR(Model!H178+0,0)</f>
        <v>305.196</v>
      </c>
      <c r="I12" s="165" t="n">
        <f aca="false">IFERROR(Model!I178+0,0)</f>
        <v>380.508</v>
      </c>
      <c r="J12" s="165" t="n">
        <f aca="false">IFERROR(Model!N178+0,0)</f>
        <v>437.351</v>
      </c>
      <c r="K12" s="165" t="n">
        <f aca="false">IFERROR(Model!S178+0,0)</f>
        <v>434.34</v>
      </c>
      <c r="L12" s="165" t="n">
        <f aca="false">IFERROR(Model!X178+0,0)</f>
        <v>378.807</v>
      </c>
      <c r="M12" s="165" t="n">
        <f aca="false">IFERROR(Model!AC178+0,0)</f>
        <v>328.723</v>
      </c>
      <c r="N12" s="165" t="n">
        <f aca="false">IFERROR(Model!AH178+0,0)</f>
        <v>370.338</v>
      </c>
      <c r="O12" s="165" t="n">
        <f aca="false">IFERROR(Model!AM178+0,0)</f>
        <v>422.694</v>
      </c>
      <c r="P12" s="165" t="n">
        <f aca="false">IFERROR(Model!AR178+0,0)</f>
        <v>400.753</v>
      </c>
      <c r="Q12" s="165" t="n">
        <f aca="false">IFERROR(Model!AW178+0,0)</f>
        <v>340.406</v>
      </c>
      <c r="R12" s="165" t="n">
        <f aca="false">IFERROR(Model!BB178+0,0)</f>
        <v>491.268</v>
      </c>
      <c r="S12" s="165" t="n">
        <f aca="false">IFERROR(Model!BG178+0,0)</f>
        <v>636.951</v>
      </c>
      <c r="T12" s="165" t="n">
        <f aca="false">IFERROR(Model!BL178+0,0)</f>
        <v>731.374000000001</v>
      </c>
      <c r="U12" s="165" t="n">
        <f aca="false">IFERROR(Model!BQ178+0,0)</f>
        <v>713.605</v>
      </c>
      <c r="V12" s="165" t="n">
        <f aca="false">IFERROR(Model!BV178+0,0)</f>
        <v>752.632</v>
      </c>
    </row>
    <row r="13" customFormat="false" ht="15" hidden="false" customHeight="false" outlineLevel="0" collapsed="false">
      <c r="B13" s="163" t="s">
        <v>331</v>
      </c>
      <c r="C13" s="165" t="n">
        <f aca="false">IFERROR(Model!C140+0,0)</f>
        <v>232.97</v>
      </c>
      <c r="D13" s="165" t="n">
        <f aca="false">IFERROR(Model!D140+0,0)</f>
        <v>277.632</v>
      </c>
      <c r="E13" s="165" t="n">
        <f aca="false">IFERROR(Model!E140+0,0)</f>
        <v>295.404</v>
      </c>
      <c r="F13" s="165" t="n">
        <f aca="false">IFERROR(Model!F140+0,0)</f>
        <v>92.9760000000001</v>
      </c>
      <c r="G13" s="165" t="n">
        <f aca="false">IFERROR(Model!G140+0,0)</f>
        <v>186.43</v>
      </c>
      <c r="H13" s="165" t="n">
        <f aca="false">IFERROR(Model!H140+0,0)</f>
        <v>296.68</v>
      </c>
      <c r="I13" s="165" t="n">
        <f aca="false">IFERROR(Model!I140+0,0)</f>
        <v>362.081</v>
      </c>
      <c r="J13" s="165" t="n">
        <f aca="false">IFERROR(Model!N140+0,0)</f>
        <v>406.985</v>
      </c>
      <c r="K13" s="165" t="n">
        <f aca="false">IFERROR(Model!S140+0,0)</f>
        <v>373.747</v>
      </c>
      <c r="L13" s="165" t="n">
        <f aca="false">IFERROR(Model!X140+0,0)</f>
        <v>181.7</v>
      </c>
      <c r="M13" s="165" t="n">
        <f aca="false">IFERROR(Model!AC140+0,0)</f>
        <v>288.274</v>
      </c>
      <c r="N13" s="165" t="n">
        <f aca="false">IFERROR(Model!AH140+0,0)</f>
        <v>377.711</v>
      </c>
      <c r="O13" s="165" t="n">
        <f aca="false">IFERROR(Model!AM140+0,0)</f>
        <v>375.539</v>
      </c>
      <c r="P13" s="165" t="n">
        <f aca="false">IFERROR(Model!AR140+0,0)</f>
        <v>370.91</v>
      </c>
      <c r="Q13" s="165" t="n">
        <f aca="false">IFERROR(Model!AW140+0,0)</f>
        <v>282.071</v>
      </c>
      <c r="R13" s="165" t="n">
        <f aca="false">IFERROR(Model!BB140+0,0)</f>
        <v>461.669</v>
      </c>
      <c r="S13" s="165" t="n">
        <f aca="false">IFERROR(Model!BG140+0,0)</f>
        <v>612.336</v>
      </c>
      <c r="T13" s="165" t="n">
        <f aca="false">IFERROR(Model!BL140+0,0)</f>
        <v>717.849000000001</v>
      </c>
      <c r="U13" s="165" t="n">
        <f aca="false">IFERROR(Model!BQ140+0,0)</f>
        <v>636.462</v>
      </c>
      <c r="V13" s="165" t="n">
        <f aca="false">IFERROR(Model!BV140+0,0)</f>
        <v>718.059</v>
      </c>
    </row>
    <row r="14" customFormat="false" ht="15" hidden="false" customHeight="false" outlineLevel="0" collapsed="false">
      <c r="B14" s="163" t="s">
        <v>703</v>
      </c>
      <c r="C14" s="164" t="n">
        <f aca="false">IFERROR(Model!C179+0,0)</f>
        <v>0.120150716435546</v>
      </c>
      <c r="D14" s="164" t="n">
        <f aca="false">IFERROR(Model!D179+0,0)</f>
        <v>0.127195297757262</v>
      </c>
      <c r="E14" s="164" t="n">
        <f aca="false">IFERROR(Model!E179+0,0)</f>
        <v>0.130081871429949</v>
      </c>
      <c r="F14" s="164" t="n">
        <f aca="false">IFERROR(Model!F179+0,0)</f>
        <v>0.0706476954348185</v>
      </c>
      <c r="G14" s="164" t="n">
        <f aca="false">IFERROR(Model!G179+0,0)</f>
        <v>0.0937878591730542</v>
      </c>
      <c r="H14" s="164" t="n">
        <f aca="false">IFERROR(Model!H179+0,0)</f>
        <v>0.11326170141939</v>
      </c>
      <c r="I14" s="164" t="n">
        <f aca="false">IFERROR(Model!I179+0,0)</f>
        <v>0.133354034023664</v>
      </c>
      <c r="J14" s="164" t="n">
        <f aca="false">IFERROR(Model!N179+0,0)</f>
        <v>0.153312807540722</v>
      </c>
      <c r="K14" s="164" t="n">
        <f aca="false">IFERROR(Model!S179+0,0)</f>
        <v>0.154386768107762</v>
      </c>
      <c r="L14" s="164" t="n">
        <f aca="false">IFERROR(Model!X179+0,0)</f>
        <v>0.149384156659599</v>
      </c>
      <c r="M14" s="164" t="n">
        <f aca="false">IFERROR(Model!AC179+0,0)</f>
        <v>0.14451814681524</v>
      </c>
      <c r="N14" s="164" t="n">
        <f aca="false">IFERROR(Model!AH179+0,0)</f>
        <v>0.141111730504631</v>
      </c>
      <c r="O14" s="164" t="n">
        <f aca="false">IFERROR(Model!AM179+0,0)</f>
        <v>0.1395640468403</v>
      </c>
      <c r="P14" s="164" t="n">
        <f aca="false">IFERROR(Model!AR179+0,0)</f>
        <v>0.133438796086402</v>
      </c>
      <c r="Q14" s="164" t="n">
        <f aca="false">IFERROR(Model!AW179+0,0)</f>
        <v>0.128193869096935</v>
      </c>
      <c r="R14" s="164" t="n">
        <f aca="false">IFERROR(Model!BB179+0,0)</f>
        <v>0.151898781143907</v>
      </c>
      <c r="S14" s="164" t="n">
        <f aca="false">IFERROR(Model!BG179+0,0)</f>
        <v>0.169347319254357</v>
      </c>
      <c r="T14" s="164" t="n">
        <f aca="false">IFERROR(Model!BL179+0,0)</f>
        <v>0.174484139367064</v>
      </c>
      <c r="U14" s="164" t="n">
        <f aca="false">IFERROR(Model!BQ179+0,0)</f>
        <v>0.178015401616995</v>
      </c>
      <c r="V14" s="164" t="n">
        <f aca="false">IFERROR(Model!BV179+0,0)</f>
        <v>0.177800960689137</v>
      </c>
    </row>
    <row r="15" customFormat="false" ht="15" hidden="false" customHeight="false" outlineLevel="0" collapsed="false">
      <c r="B15" s="163" t="s">
        <v>704</v>
      </c>
      <c r="C15" s="164" t="n">
        <f aca="false">IFERROR(Model!C224+0,0)</f>
        <v>0.118144037648682</v>
      </c>
      <c r="D15" s="164" t="n">
        <f aca="false">IFERROR(Model!D224+0,0)</f>
        <v>0.121726564198977</v>
      </c>
      <c r="E15" s="164" t="n">
        <f aca="false">IFERROR(Model!E224+0,0)</f>
        <v>0.119156268870019</v>
      </c>
      <c r="F15" s="164" t="n">
        <f aca="false">IFERROR(Model!F224+0,0)</f>
        <v>0.0537655736330333</v>
      </c>
      <c r="G15" s="164" t="n">
        <f aca="false">IFERROR(Model!G224+0,0)</f>
        <v>0.0900553190749367</v>
      </c>
      <c r="H15" s="164" t="n">
        <f aca="false">IFERROR(Model!H224+0,0)</f>
        <v>0.110101317111314</v>
      </c>
      <c r="I15" s="164" t="n">
        <f aca="false">IFERROR(Model!I224+0,0)</f>
        <v>0.126896049474183</v>
      </c>
      <c r="J15" s="164" t="n">
        <f aca="false">IFERROR(Model!N224+0,0)</f>
        <v>0.142668046893595</v>
      </c>
      <c r="K15" s="164" t="n">
        <f aca="false">IFERROR(Model!S224+0,0)</f>
        <v>0.132848900446589</v>
      </c>
      <c r="L15" s="164" t="n">
        <f aca="false">IFERROR(Model!X224+0,0)</f>
        <v>0.071654170237216</v>
      </c>
      <c r="M15" s="164" t="n">
        <f aca="false">IFERROR(Model!AC224+0,0)</f>
        <v>0.126735349382357</v>
      </c>
      <c r="N15" s="164" t="n">
        <f aca="false">IFERROR(Model!AH224+0,0)</f>
        <v>0.143921101373974</v>
      </c>
      <c r="O15" s="164" t="n">
        <f aca="false">IFERROR(Model!AM224+0,0)</f>
        <v>0.123994526977813</v>
      </c>
      <c r="P15" s="164" t="n">
        <f aca="false">IFERROR(Model!AR224+0,0)</f>
        <v>0.123501967187787</v>
      </c>
      <c r="Q15" s="164" t="n">
        <f aca="false">IFERROR(Model!AW224+0,0)</f>
        <v>0.106225427430896</v>
      </c>
      <c r="R15" s="164" t="n">
        <f aca="false">IFERROR(Model!BB224+0,0)</f>
        <v>0.142746847732656</v>
      </c>
      <c r="S15" s="164" t="n">
        <f aca="false">IFERROR(Model!BG224+0,0)</f>
        <v>0.162802884496509</v>
      </c>
      <c r="T15" s="164" t="n">
        <f aca="false">IFERROR(Model!BL224+0,0)</f>
        <v>0.171257475601412</v>
      </c>
      <c r="U15" s="164" t="n">
        <f aca="false">IFERROR(Model!BQ224+0,0)</f>
        <v>0.158771363070545</v>
      </c>
      <c r="V15" s="164" t="n">
        <f aca="false">IFERROR(Model!BV224+0,0)</f>
        <v>0.169633472974151</v>
      </c>
    </row>
    <row r="18" customFormat="false" ht="15" hidden="false" customHeight="false" outlineLevel="0" collapsed="false">
      <c r="B18" s="163" t="s">
        <v>579</v>
      </c>
      <c r="C18" s="164" t="n">
        <f aca="false">IFERROR(Model!C360+0,0)</f>
        <v>0.194764945082835</v>
      </c>
      <c r="D18" s="164" t="n">
        <f aca="false">IFERROR(Model!D360+0,0)</f>
        <v>0.204888416701132</v>
      </c>
      <c r="E18" s="164" t="n">
        <f aca="false">IFERROR(Model!E360+0,0)</f>
        <v>0.267631361481935</v>
      </c>
      <c r="F18" s="164" t="n">
        <f aca="false">IFERROR(Model!F360+0,0)</f>
        <v>0.0835578131918339</v>
      </c>
      <c r="G18" s="164" t="n">
        <f aca="false">IFERROR(Model!G360+0,0)</f>
        <v>0.155723452117578</v>
      </c>
      <c r="H18" s="164" t="n">
        <f aca="false">IFERROR(Model!H360+0,0)</f>
        <v>0.234946058122833</v>
      </c>
      <c r="I18" s="164" t="n">
        <f aca="false">IFERROR(Model!I360+0,0)</f>
        <v>0.242487820432187</v>
      </c>
      <c r="J18" s="164" t="n">
        <f aca="false">IFERROR(Model!N360+0,0)</f>
        <v>0.245076165171373</v>
      </c>
      <c r="K18" s="164" t="n">
        <f aca="false">IFERROR(Model!S360+0,0)</f>
        <v>0.272173097983795</v>
      </c>
      <c r="L18" s="164" t="n">
        <f aca="false">IFERROR(Model!X360+0,0)</f>
        <v>0.289213777133601</v>
      </c>
      <c r="M18" s="164" t="n">
        <f aca="false">IFERROR(Model!AC360+0,0)</f>
        <v>0.226343643455223</v>
      </c>
      <c r="N18" s="164" t="n">
        <f aca="false">IFERROR(Model!AH360+0,0)</f>
        <v>0.190734147869624</v>
      </c>
      <c r="O18" s="164" t="n">
        <f aca="false">IFERROR(Model!AM360+0,0)</f>
        <v>0.267221354609464</v>
      </c>
      <c r="P18" s="164" t="n">
        <f aca="false">IFERROR(Model!AR360+0,0)</f>
        <v>0.23320505725855</v>
      </c>
      <c r="Q18" s="164" t="n">
        <f aca="false">IFERROR(Model!AW360+0,0)</f>
        <v>0.212414902536479</v>
      </c>
      <c r="R18" s="164" t="n">
        <f aca="false">IFERROR(Model!BB360+0,0)</f>
        <v>0.290177612501857</v>
      </c>
      <c r="S18" s="164" t="n">
        <f aca="false">IFERROR(Model!BG360+0,0)</f>
        <v>0.248617699114789</v>
      </c>
      <c r="T18" s="164" t="n">
        <f aca="false">IFERROR(Model!BL360+0,0)</f>
        <v>0.287376393127561</v>
      </c>
      <c r="U18" s="164" t="n">
        <f aca="false">IFERROR(Model!BQ360+0,0)</f>
        <v>0.253169865273931</v>
      </c>
      <c r="V18" s="164" t="n">
        <f aca="false">IFERROR(Model!BV360+0,0)</f>
        <v>0.236256597327516</v>
      </c>
    </row>
    <row r="19" customFormat="false" ht="15" hidden="false" customHeight="false" outlineLevel="0" collapsed="false">
      <c r="B19" s="163" t="s">
        <v>580</v>
      </c>
      <c r="C19" s="164" t="n">
        <f aca="false">IFERROR(Model!C371+0,0)</f>
        <v>0.169563624992163</v>
      </c>
      <c r="D19" s="164" t="n">
        <f aca="false">IFERROR(Model!D371+0,0)</f>
        <v>0.163599949215247</v>
      </c>
      <c r="E19" s="164" t="n">
        <f aca="false">IFERROR(Model!E371+0,0)</f>
        <v>0.174122720048011</v>
      </c>
      <c r="F19" s="164" t="n">
        <f aca="false">IFERROR(Model!F371+0,0)</f>
        <v>0.0519134820863576</v>
      </c>
      <c r="G19" s="164" t="n">
        <f aca="false">IFERROR(Model!G371+0,0)</f>
        <v>0.102836748522609</v>
      </c>
      <c r="H19" s="164" t="n">
        <f aca="false">IFERROR(Model!H371+0,0)</f>
        <v>0.151837205093338</v>
      </c>
      <c r="I19" s="164" t="n">
        <f aca="false">IFERROR(Model!I371+0,0)</f>
        <v>0.188830616552294</v>
      </c>
      <c r="J19" s="164" t="n">
        <f aca="false">IFERROR(Model!N371+0,0)</f>
        <v>0.220618481026157</v>
      </c>
      <c r="K19" s="164" t="n">
        <f aca="false">IFERROR(Model!S371+0,0)</f>
        <v>0.243888075412871</v>
      </c>
      <c r="L19" s="164" t="n">
        <f aca="false">IFERROR(Model!X371+0,0)</f>
        <v>0.256070899129132</v>
      </c>
      <c r="M19" s="164" t="n">
        <f aca="false">IFERROR(Model!AC371+0,0)</f>
        <v>0.196688984854121</v>
      </c>
      <c r="N19" s="164" t="n">
        <f aca="false">IFERROR(Model!AH371+0,0)</f>
        <v>0.164863624893937</v>
      </c>
      <c r="O19" s="164" t="n">
        <f aca="false">IFERROR(Model!AM371+0,0)</f>
        <v>0.238013631493177</v>
      </c>
      <c r="P19" s="164" t="n">
        <f aca="false">IFERROR(Model!AR371+0,0)</f>
        <v>0.239990282804946</v>
      </c>
      <c r="Q19" s="164" t="n">
        <f aca="false">IFERROR(Model!AW371+0,0)</f>
        <v>0.204798081729933</v>
      </c>
      <c r="R19" s="164" t="n">
        <f aca="false">IFERROR(Model!BB371+0,0)</f>
        <v>0.319247511802895</v>
      </c>
      <c r="S19" s="164" t="n">
        <f aca="false">IFERROR(Model!BG371+0,0)</f>
        <v>0.326668599374883</v>
      </c>
      <c r="T19" s="164" t="n">
        <f aca="false">IFERROR(Model!BL371+0,0)</f>
        <v>0.332899663032191</v>
      </c>
      <c r="U19" s="164" t="n">
        <f aca="false">IFERROR(Model!BQ371+0,0)</f>
        <v>0.324358579542832</v>
      </c>
      <c r="V19" s="164" t="n">
        <f aca="false">IFERROR(Model!BV371+0,0)</f>
        <v>0.317370859100797</v>
      </c>
    </row>
    <row r="20" customFormat="false" ht="15" hidden="false" customHeight="false" outlineLevel="0" collapsed="false">
      <c r="B20" s="163" t="s">
        <v>705</v>
      </c>
      <c r="C20" s="164" t="n">
        <f aca="false">IFERROR(Model!C185+0,0)</f>
        <v>0.144403790224224</v>
      </c>
      <c r="D20" s="164" t="n">
        <f aca="false">IFERROR(Model!D185+0,0)</f>
        <v>0.150261927477569</v>
      </c>
      <c r="E20" s="164" t="n">
        <f aca="false">IFERROR(Model!E185+0,0)</f>
        <v>0.153043546307154</v>
      </c>
      <c r="F20" s="164" t="n">
        <f aca="false">IFERROR(Model!F185+0,0)</f>
        <v>0.103376829151933</v>
      </c>
      <c r="G20" s="164" t="n">
        <f aca="false">IFERROR(Model!G185+0,0)</f>
        <v>0.12149425265147</v>
      </c>
      <c r="H20" s="164" t="n">
        <f aca="false">IFERROR(Model!H185+0,0)</f>
        <v>0.136289532173313</v>
      </c>
      <c r="I20" s="164" t="n">
        <f aca="false">IFERROR(Model!I185+0,0)</f>
        <v>0.15625119376512</v>
      </c>
      <c r="J20" s="164" t="n">
        <f aca="false">IFERROR(Model!N185+0,0)</f>
        <v>0.17745965097272</v>
      </c>
      <c r="K20" s="164" t="n">
        <f aca="false">IFERROR(Model!S185+0,0)</f>
        <v>0.179128674834466</v>
      </c>
      <c r="L20" s="164" t="n">
        <f aca="false">IFERROR(Model!X185+0,0)</f>
        <v>0.174625590200454</v>
      </c>
      <c r="M20" s="164" t="n">
        <f aca="false">IFERROR(Model!AC185+0,0)</f>
        <v>0.173126517290406</v>
      </c>
      <c r="N20" s="164" t="n">
        <f aca="false">IFERROR(Model!AH185+0,0)</f>
        <v>0.167065927814448</v>
      </c>
      <c r="O20" s="164" t="n">
        <f aca="false">IFERROR(Model!AM185+0,0)</f>
        <v>0.163451068025149</v>
      </c>
      <c r="P20" s="164" t="n">
        <f aca="false">IFERROR(Model!AR185+0,0)</f>
        <v>0.160571536644034</v>
      </c>
      <c r="Q20" s="164" t="n">
        <f aca="false">IFERROR(Model!AW185+0,0)</f>
        <v>0.158506439707765</v>
      </c>
      <c r="R20" s="164" t="n">
        <f aca="false">IFERROR(Model!BB185+0,0)</f>
        <v>0.176988912181759</v>
      </c>
      <c r="S20" s="164" t="n">
        <f aca="false">IFERROR(Model!BG185+0,0)</f>
        <v>0.190101007361725</v>
      </c>
      <c r="T20" s="164" t="n">
        <f aca="false">IFERROR(Model!BL185+0,0)</f>
        <v>0.195161030203959</v>
      </c>
      <c r="U20" s="164" t="n">
        <f aca="false">IFERROR(Model!BQ185+0,0)</f>
        <v>0.20002719106337</v>
      </c>
      <c r="V20" s="164" t="n">
        <f aca="false">IFERROR(Model!BV185+0,0)</f>
        <v>0.201081359970687</v>
      </c>
    </row>
    <row r="21" customFormat="false" ht="15" hidden="false" customHeight="false" outlineLevel="0" collapsed="false">
      <c r="B21" s="163" t="s">
        <v>706</v>
      </c>
      <c r="C21" s="164" t="n">
        <f aca="false">IFERROR(Model!C260+0,0)</f>
        <v>0.0216429207141282</v>
      </c>
      <c r="D21" s="164" t="n">
        <f aca="false">IFERROR(Model!D260+0,0)</f>
        <v>0.0825150474573655</v>
      </c>
      <c r="E21" s="164" t="n">
        <f aca="false">IFERROR(Model!E260+0,0)</f>
        <v>0.0746321997506385</v>
      </c>
      <c r="F21" s="164" t="n">
        <f aca="false">IFERROR(Model!F260+0,0)</f>
        <v>0.122680182850137</v>
      </c>
      <c r="G21" s="164" t="n">
        <f aca="false">IFERROR(Model!G260+0,0)</f>
        <v>0.0465724587135755</v>
      </c>
      <c r="H21" s="164" t="n">
        <f aca="false">IFERROR(Model!H260+0,0)</f>
        <v>0.0473927757236764</v>
      </c>
      <c r="I21" s="164" t="n">
        <f aca="false">IFERROR(Model!I260+0,0)</f>
        <v>0.0962964105213245</v>
      </c>
      <c r="J21" s="164" t="n">
        <f aca="false">IFERROR(Model!N260+0,0)</f>
        <v>0.0921518815173569</v>
      </c>
      <c r="K21" s="164" t="n">
        <f aca="false">IFERROR(Model!S260+0,0)</f>
        <v>0.116841145918494</v>
      </c>
      <c r="L21" s="164" t="n">
        <f aca="false">IFERROR(Model!X260+0,0)</f>
        <v>0.102670527657839</v>
      </c>
      <c r="M21" s="164" t="n">
        <f aca="false">IFERROR(Model!AC260+0,0)</f>
        <v>0.11145891127022</v>
      </c>
      <c r="N21" s="164" t="n">
        <f aca="false">IFERROR(Model!AH260+0,0)</f>
        <v>0.104094563735911</v>
      </c>
      <c r="O21" s="164" t="n">
        <f aca="false">IFERROR(Model!AM260+0,0)</f>
        <v>0.0851547574945339</v>
      </c>
      <c r="P21" s="164" t="n">
        <f aca="false">IFERROR(Model!AR260+0,0)</f>
        <v>0.111068860895716</v>
      </c>
      <c r="Q21" s="164" t="n">
        <f aca="false">IFERROR(Model!AW260+0,0)</f>
        <v>0.110025231603525</v>
      </c>
      <c r="R21" s="164" t="n">
        <f aca="false">IFERROR(Model!BB260+0,0)</f>
        <v>0.0935421034079736</v>
      </c>
      <c r="S21" s="164" t="n">
        <f aca="false">IFERROR(Model!BG260+0,0)</f>
        <v>0.0828198683881335</v>
      </c>
      <c r="T21" s="164" t="n">
        <f aca="false">IFERROR(Model!BL260+0,0)</f>
        <v>0.137548918846961</v>
      </c>
      <c r="U21" s="164" t="n">
        <f aca="false">IFERROR(Model!BQ260+0,0)</f>
        <v>0.120332678918444</v>
      </c>
      <c r="V21" s="164" t="n">
        <f aca="false">IFERROR(Model!BV260+0,0)</f>
        <v>0.126198587622074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2026-10-07T13:34:40Z</dcterms:created>
  <dc:creator>openpyxl</dc:creator>
  <dc:description/>
  <dc:language>en-US</dc:language>
  <cp:lastModifiedBy/>
  <dcterms:modified xsi:type="dcterms:W3CDTF">2026-10-07T13:34:44Z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