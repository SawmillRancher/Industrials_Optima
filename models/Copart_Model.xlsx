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Source: Copart Forms 10-K / 10-Q, segment note (XBRL). US / International segments from the FY2016 10-K (FY2014–15 recast); quarterly segment revenue &amp; operating income from FY2016 (FY2017 10-Q comparatives); service / vehicle-sales split by segment from FY2017 (annual) and FY2018 (quarterly). FY2009–12 = entity-wide geographic revenue (United States). FY2013 not disclosed on a US / International basis (North America / UK segments then).</t>
        </r>
      </text>
    </comment>
    <comment ref="B13" authorId="0">
      <text>
        <r>
          <rPr>
            <sz val="10"/>
            <rFont val="Arial"/>
            <family val="2"/>
          </rPr>
          <t xml:space="preserve">Source: Copart 10-K / 10-Q MD&amp;A volume commentary (units sold growth). Forecast = scenario lever.</t>
        </r>
      </text>
    </comment>
    <comment ref="B26" authorId="0">
      <text>
        <r>
          <rPr>
            <sz val="10"/>
            <rFont val="Arial"/>
            <family val="2"/>
          </rPr>
          <t xml:space="preserve">Source: Copart Forms 10-K / 10-Q, segment note (XBRL). US / International segments from the FY2016 10-K (FY2014–15 recast); quarterly segment revenue &amp; operating income from FY2016 (FY2017 10-Q comparatives); service / vehicle-sales split by segment from FY2017 (annual) and FY2018 (quarterly). FY2009–12 = entity-wide geographic revenue (United States). FY2013 not disclosed on a US / International basis (North America / UK segments then).</t>
        </r>
      </text>
    </comment>
    <comment ref="B27" authorId="0">
      <text>
        <r>
          <rPr>
            <sz val="10"/>
            <rFont val="Arial"/>
            <family val="2"/>
          </rPr>
          <t xml:space="preserve">Source: Copart 10-K / 10-Q MD&amp;A volume commentary (units sold growth). Forecast = scenario lever.</t>
        </r>
      </text>
    </comment>
    <comment ref="B45" authorId="0">
      <text>
        <r>
          <rPr>
            <sz val="10"/>
            <rFont val="Arial"/>
            <family val="2"/>
          </rPr>
          <t xml:space="preserve">Source: Copart 10-K / 10-Q MD&amp;A volume commentary (units sold growth). Forecast = scenario lever.</t>
        </r>
      </text>
    </comment>
    <comment ref="B71" authorId="0">
      <text>
        <r>
          <rPr>
            <sz val="10"/>
            <rFont val="Arial"/>
            <family val="2"/>
          </rPr>
          <t xml:space="preserve">Source: Copart Forms 10-K (annual) and 10-Q (Q1–Q3) consolidated statements of income, SEC EDGAR CIK 900075 (XBRL instance documents). Q4 = fiscal-year 10-K less nine-month 10-Q YTD. Later recasts (re-presented comparatives) used where they differ.</t>
        </r>
      </text>
    </comment>
    <comment ref="B72" authorId="0">
      <text>
        <r>
          <rPr>
            <sz val="10"/>
            <rFont val="Arial"/>
            <family val="2"/>
          </rPr>
          <t xml:space="preserve">Source: Copart Forms 10-K (annual) and 10-Q (Q1–Q3) consolidated statements of income, SEC EDGAR CIK 900075 (XBRL instance documents). Q4 = fiscal-year 10-K less nine-month 10-Q YTD. Later recasts (re-presented comparatives) used where they differ.</t>
        </r>
      </text>
    </comment>
    <comment ref="B74" authorId="0">
      <text>
        <r>
          <rPr>
            <sz val="10"/>
            <rFont val="Arial"/>
            <family val="2"/>
          </rPr>
          <t xml:space="preserve">Source: Copart Forms 10-K (annual) and 10-Q (Q1–Q3) consolidated statements of income, SEC EDGAR CIK 900075 (XBRL instance documents). Q4 = fiscal-year 10-K less nine-month 10-Q YTD. Later recasts (re-presented comparatives) used where they differ. Earnings releases since FY2021 split yard D&amp;A and yard SBC onto separate lines; the 10-K / 10-Q face statement (used here for a consistent series) includes them.</t>
        </r>
      </text>
    </comment>
    <comment ref="B79" authorId="0">
      <text>
        <r>
          <rPr>
            <sz val="10"/>
            <rFont val="Arial"/>
            <family val="2"/>
          </rPr>
          <t xml:space="preserve">Residual of the income-statement face (revenue − yard operations − cost of vehicle sales − G&amp;A − operating income): impairment charges FY2012 ($8.8m), Q3/14 ($29.1m, abandoned enterprise system), Q4/17 ($19.4m), Q4/18 ($1.1m).</t>
        </r>
      </text>
    </comment>
    <comment ref="B85" authorId="0">
      <text>
        <r>
          <rPr>
            <sz val="10"/>
            <rFont val="Arial"/>
            <family val="2"/>
          </rPr>
          <t xml:space="preserve">FY2022: $16.8m loss on redemption of the $400m senior notes (Q4/22).</t>
        </r>
      </text>
    </comment>
    <comment ref="B102" authorId="0">
      <text>
        <r>
          <rPr>
            <sz val="10"/>
            <rFont val="Arial"/>
            <family val="2"/>
          </rPr>
          <t xml:space="preserve">Source: 10-K / 10-Q (cash-flow statement and segment note). Q2–Q4 derived from year-to-date amounts.</t>
        </r>
      </text>
    </comment>
    <comment ref="B115" authorId="0">
      <text>
        <r>
          <rPr>
            <sz val="10"/>
            <rFont val="Arial"/>
            <family val="2"/>
          </rPr>
          <t xml:space="preserve">Copart presents its non-GAAP items net of tax only. Pre-tax amounts are estimated by grossing up at an approximate combined statutory rate: 38% to FY2017, 27% FY2018 (TCJA blended), 25% from FY2019. Impairment and debt-extinguishment use the exact pre-tax income-statement amounts.</t>
        </r>
      </text>
    </comment>
    <comment ref="B136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37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38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39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0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1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2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3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4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5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6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47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51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53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54" authorId="0">
      <text>
        <r>
          <rPr>
            <sz val="10"/>
            <rFont val="Arial"/>
            <family val="2"/>
          </rPr>
          <t xml:space="preserve">Source: Copart quarterly earnings releases (Form 8-K Item 2.02, Ex. 99.1) — 'Reconciliation of GAAP to Non-GAAP' tables, Q3/14 and Q4/16–Q4/23. Items are presented by Copart net of tax. Where a later release re-presented a comparative period (e.g. FX item removed from FY2021 in Q1/22; ASU 2016-09 share adjustment removed Q2/21), the latest presentation is used. Copart has published no non-GAAP measures since the Q4/23 release.</t>
        </r>
      </text>
    </comment>
    <comment ref="B179" authorId="0">
      <text>
        <r>
          <rPr>
            <sz val="10"/>
            <rFont val="Arial"/>
            <family val="2"/>
          </rPr>
          <t xml:space="preserve">Source: Copart Form 10-K consolidated statements of cash flows (XBRL; latest re-presentation). Residual lines capture items not separately modelled so that each section ties to the reported subtotal.</t>
        </r>
      </text>
    </comment>
    <comment ref="B243" authorId="0">
      <text>
        <r>
          <rPr>
            <sz val="10"/>
            <rFont val="Arial"/>
            <family val="2"/>
          </rPr>
          <t xml:space="preserve">Source: Copart Form 10-K consolidated balance sheets (XBRL; latest re-presentation). "Other" lines are residuals so that totals tie to the reported subtotals.</t>
        </r>
      </text>
    </comment>
    <comment ref="B344" authorId="0">
      <text>
        <r>
          <rPr>
            <sz val="10"/>
            <rFont val="Arial"/>
            <family val="2"/>
          </rPr>
          <t xml:space="preserve">User input: CPRT share price $27 (provided by the user for this model). Update to market.</t>
        </r>
      </text>
    </comment>
    <comment ref="S128" authorId="0">
      <text>
        <r>
          <rPr>
            <sz val="10"/>
            <rFont val="Arial"/>
            <family val="2"/>
          </rPr>
          <t xml:space="preserve">Q3/14 release: non-GAAP NI / EPS excluding the $29.1m impairment (abandoned third-party ERP) and Hurricane Sandy revenues / costs (FY2013 comparative).</t>
        </r>
      </text>
    </comment>
    <comment ref="S157" authorId="0">
      <text>
        <r>
          <rPr>
            <sz val="10"/>
            <rFont val="Arial"/>
            <family val="2"/>
          </rPr>
          <t xml:space="preserve">Q3/14 release: non-GAAP NI / EPS excluding the $29.1m impairment (abandoned third-party ERP) and Hurricane Sandy revenues / costs (FY2013 comparative).</t>
        </r>
      </text>
    </comment>
    <comment ref="AF128" authorId="0">
      <text>
        <r>
          <rPr>
            <sz val="10"/>
            <rFont val="Arial"/>
            <family val="2"/>
          </rPr>
          <t xml:space="preserve">Q4/16 release: excludes changes in FX rates and certain tax benefits / foreign tax credit limitations related to stock option exercises; non-GAAP diluted shares exclude the ASU 2016-09 common-equivalent-share effect.</t>
        </r>
      </text>
    </comment>
    <comment ref="AF157" authorId="0">
      <text>
        <r>
          <rPr>
            <sz val="10"/>
            <rFont val="Arial"/>
            <family val="2"/>
          </rPr>
          <t xml:space="preserve">Q4/16 release: excludes changes in FX rates and certain tax benefits / foreign tax credit limitations related to stock option exercises; non-GAAP diluted shares exclude the ASU 2016-09 common-equivalent-share effect.</t>
        </r>
      </text>
    </comment>
    <comment ref="AH128" authorId="0">
      <text>
        <r>
          <rPr>
            <sz val="10"/>
            <rFont val="Arial"/>
            <family val="2"/>
          </rPr>
          <t xml:space="preserve">Q1/17: adds payroll taxes on executive stock compensation.</t>
        </r>
      </text>
    </comment>
    <comment ref="AH157" authorId="0">
      <text>
        <r>
          <rPr>
            <sz val="10"/>
            <rFont val="Arial"/>
            <family val="2"/>
          </rPr>
          <t xml:space="preserve">Q1/17: adds payroll taxes on executive stock compensation.</t>
        </r>
      </text>
    </comment>
    <comment ref="AL128" authorId="0">
      <text>
        <r>
          <rPr>
            <sz val="10"/>
            <rFont val="Arial"/>
            <family val="2"/>
          </rPr>
          <t xml:space="preserve">Q4/17: adds impairment of long-lived assets and acquisition-related fees.</t>
        </r>
      </text>
    </comment>
    <comment ref="AL157" authorId="0">
      <text>
        <r>
          <rPr>
            <sz val="10"/>
            <rFont val="Arial"/>
            <family val="2"/>
          </rPr>
          <t xml:space="preserve">Q4/17: adds impairment of long-lived assets and acquisition-related fees.</t>
        </r>
      </text>
    </comment>
    <comment ref="AN128" authorId="0">
      <text>
        <r>
          <rPr>
            <sz val="10"/>
            <rFont val="Arial"/>
            <family val="2"/>
          </rPr>
          <t xml:space="preserve">Q1/18: adds disposals of non-operating assets.</t>
        </r>
      </text>
    </comment>
    <comment ref="AN157" authorId="0">
      <text>
        <r>
          <rPr>
            <sz val="10"/>
            <rFont val="Arial"/>
            <family val="2"/>
          </rPr>
          <t xml:space="preserve">Q1/18: adds disposals of non-operating assets.</t>
        </r>
      </text>
    </comment>
    <comment ref="AO128" authorId="0">
      <text>
        <r>
          <rPr>
            <sz val="10"/>
            <rFont val="Arial"/>
            <family val="2"/>
          </rPr>
          <t xml:space="preserve">Q2/18: adds income taxes on the deemed repatriation of foreign earnings (TCJA), net of deferred tax changes.</t>
        </r>
      </text>
    </comment>
    <comment ref="AO157" authorId="0">
      <text>
        <r>
          <rPr>
            <sz val="10"/>
            <rFont val="Arial"/>
            <family val="2"/>
          </rPr>
          <t xml:space="preserve">Q2/18: adds income taxes on the deemed repatriation of foreign earnings (TCJA), net of deferred tax changes.</t>
        </r>
      </text>
    </comment>
    <comment ref="AR128" authorId="0">
      <text>
        <r>
          <rPr>
            <sz val="10"/>
            <rFont val="Arial"/>
            <family val="2"/>
          </rPr>
          <t xml:space="preserve">Q4/18: adds acquisition integration charges and the reserve for legacy sales-tax liabilities.</t>
        </r>
      </text>
    </comment>
    <comment ref="AR157" authorId="0">
      <text>
        <r>
          <rPr>
            <sz val="10"/>
            <rFont val="Arial"/>
            <family val="2"/>
          </rPr>
          <t xml:space="preserve">Q4/18: adds acquisition integration charges and the reserve for legacy sales-tax liabilities.</t>
        </r>
      </text>
    </comment>
    <comment ref="AW128" authorId="0">
      <text>
        <r>
          <rPr>
            <sz val="10"/>
            <rFont val="Arial"/>
            <family val="2"/>
          </rPr>
          <t xml:space="preserve">Q3/19: adds discrete income tax items.</t>
        </r>
      </text>
    </comment>
    <comment ref="AW157" authorId="0">
      <text>
        <r>
          <rPr>
            <sz val="10"/>
            <rFont val="Arial"/>
            <family val="2"/>
          </rPr>
          <t xml:space="preserve">Q3/19: adds discrete income tax items.</t>
        </r>
      </text>
    </comment>
    <comment ref="BG128" authorId="0">
      <text>
        <r>
          <rPr>
            <sz val="10"/>
            <rFont val="Arial"/>
            <family val="2"/>
          </rPr>
          <t xml:space="preserve">Q2/21: ASU 2016-09 share-count adjustment removed; non-GAAP EPS on GAAP diluted shares (comparatives recomputed).</t>
        </r>
      </text>
    </comment>
    <comment ref="BG157" authorId="0">
      <text>
        <r>
          <rPr>
            <sz val="10"/>
            <rFont val="Arial"/>
            <family val="2"/>
          </rPr>
          <t xml:space="preserve">Q2/21: ASU 2016-09 share-count adjustment removed; non-GAAP EPS on GAAP diluted shares (comparatives recomputed).</t>
        </r>
      </text>
    </comment>
    <comment ref="BL128" authorId="0">
      <text>
        <r>
          <rPr>
            <sz val="10"/>
            <rFont val="Arial"/>
            <family val="2"/>
          </rPr>
          <t xml:space="preserve">Q1/22: foreign-currency item dropped (FY2021 comparatives recomputed). Recurring item = tax benefit on stock-based comp; one-offs: discrete tax, legal matters (Q3/22), debt extinguishment (Q4/22).</t>
        </r>
      </text>
    </comment>
    <comment ref="BL157" authorId="0">
      <text>
        <r>
          <rPr>
            <sz val="10"/>
            <rFont val="Arial"/>
            <family val="2"/>
          </rPr>
          <t xml:space="preserve">Q1/22: foreign-currency item dropped (FY2021 comparatives recomputed). Recurring item = tax benefit on stock-based comp; one-offs: discrete tax, legal matters (Q3/22), debt extinguishment (Q4/22).</t>
        </r>
      </text>
    </comment>
    <comment ref="BX128" authorId="0">
      <text>
        <r>
          <rPr>
            <sz val="10"/>
            <rFont val="Arial"/>
            <family val="2"/>
          </rPr>
          <t xml:space="preserve">Copart has published no non-GAAP measures from the Q1/24 release (Nov-2023) through Q4/26 (Sep-2026). Adjusted = GAAP.</t>
        </r>
      </text>
    </comment>
    <comment ref="BX157" authorId="0">
      <text>
        <r>
          <rPr>
            <sz val="10"/>
            <rFont val="Arial"/>
            <family val="2"/>
          </rPr>
          <t xml:space="preserve">Copart has published no non-GAAP measures from the Q1/24 release (Nov-2023) through Q4/26 (Sep-2026). Adjusted = GAAP.</t>
        </r>
      </text>
    </comment>
    <comment ref="CU2" authorId="0">
      <text>
        <r>
          <rPr>
            <sz val="10"/>
            <rFont val="Arial"/>
            <family val="2"/>
          </rPr>
          <t xml:space="preserve">Scenario toggle. Choose Bull / Base / Bear. Drives: US and International unit growth, US service revenue per unit growth, adjusted EBITDA margin, buybacks and the net-cash floor (scenario table to the right).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Bull P/E on adjusted EPS (company definition). RB Global traded ~20–30x NTM adjusted EPS 2023–25.</t>
        </r>
      </text>
    </comment>
  </commentList>
</comments>
</file>

<file path=xl/sharedStrings.xml><?xml version="1.0" encoding="utf-8"?>
<sst xmlns="http://schemas.openxmlformats.org/spreadsheetml/2006/main" count="837" uniqueCount="652">
  <si>
    <t xml:space="preserve">SCENARIO SWITCH ▼ (Bull / Base / Bear) — drives all scenario-linked forecast drivers</t>
  </si>
  <si>
    <t xml:space="preserve">Copart, Inc. (NASDAQ: CPRT) — 3-Statement Financial Model</t>
  </si>
  <si>
    <t xml:space="preserve">Base</t>
  </si>
  <si>
    <t xml:space="preserve">US GAAP as reported · fiscal year ends 31-July (FY2026 = Aug-2025 to Jul-2026) · USD millions (per-share data in USD; shares and per-share data restated for the 2-for-1 splits of Mar-2012, Apr-2017, Nov-2022 and Aug-2023) · Source: Copart Forms 10-K / 10-Q and Form 8-K earnings releases (Ex. 99.1), SEC EDGAR CIK 0000900075</t>
  </si>
  <si>
    <t xml:space="preserve">Basis notes: FY2006–12 annual; quarterly from FY2013 (Q4 = 10-K fiscal year less 10-Q nine-month YTD). ASC 606 adopted FY2019 (modified retrospective, no recast); ASC 842 leases from FY2020. Segments: US / International from the FY2016 10-K (FY2014+ recast). Copart issues no financial guidance: FY2027E–31E are model estimates. STANDALONE — the pending ACV Auctions acquisition (merger agreement 10-Sep-2026, $10.50/share cash tender) is excluded.</t>
  </si>
  <si>
    <t xml:space="preserve">Forecast</t>
  </si>
  <si>
    <t xml:space="preserve">Historical</t>
  </si>
  <si>
    <t xml:space="preserve">(USDm; FY = Aug–Jul)</t>
  </si>
  <si>
    <t xml:space="preserve">Q1/13</t>
  </si>
  <si>
    <t xml:space="preserve">Q2/13</t>
  </si>
  <si>
    <t xml:space="preserve">1H/13</t>
  </si>
  <si>
    <t xml:space="preserve">Q3/13</t>
  </si>
  <si>
    <t xml:space="preserve">Q4/13</t>
  </si>
  <si>
    <t xml:space="preserve">Q1/14</t>
  </si>
  <si>
    <t xml:space="preserve">Q2/14</t>
  </si>
  <si>
    <t xml:space="preserve">1H/14</t>
  </si>
  <si>
    <t xml:space="preserve">Q3/14</t>
  </si>
  <si>
    <t xml:space="preserve">Q4/14</t>
  </si>
  <si>
    <t xml:space="preserve">Q1/15</t>
  </si>
  <si>
    <t xml:space="preserve">Q2/15</t>
  </si>
  <si>
    <t xml:space="preserve">1H/15</t>
  </si>
  <si>
    <t xml:space="preserve">Q3/15</t>
  </si>
  <si>
    <t xml:space="preserve">Q4/15</t>
  </si>
  <si>
    <t xml:space="preserve">Q1/16</t>
  </si>
  <si>
    <t xml:space="preserve">Q2/16</t>
  </si>
  <si>
    <t xml:space="preserve">1H/16</t>
  </si>
  <si>
    <t xml:space="preserve">Q3/16</t>
  </si>
  <si>
    <t xml:space="preserve">Q4/16</t>
  </si>
  <si>
    <t xml:space="preserve">Q1/17</t>
  </si>
  <si>
    <t xml:space="preserve">Q2/17</t>
  </si>
  <si>
    <t xml:space="preserve">1H/17</t>
  </si>
  <si>
    <t xml:space="preserve">Q3/17</t>
  </si>
  <si>
    <t xml:space="preserve">Q4/17</t>
  </si>
  <si>
    <t xml:space="preserve">Q1/18</t>
  </si>
  <si>
    <t xml:space="preserve">Q2/18</t>
  </si>
  <si>
    <t xml:space="preserve">1H/18</t>
  </si>
  <si>
    <t xml:space="preserve">Q3/18</t>
  </si>
  <si>
    <t xml:space="preserve">Q4/18</t>
  </si>
  <si>
    <t xml:space="preserve">Q1/19</t>
  </si>
  <si>
    <t xml:space="preserve">Q2/19</t>
  </si>
  <si>
    <t xml:space="preserve">1H/19</t>
  </si>
  <si>
    <t xml:space="preserve">Q3/19</t>
  </si>
  <si>
    <t xml:space="preserve">Q4/19</t>
  </si>
  <si>
    <t xml:space="preserve">Q1/20</t>
  </si>
  <si>
    <t xml:space="preserve">Q2/20</t>
  </si>
  <si>
    <t xml:space="preserve">1H/20</t>
  </si>
  <si>
    <t xml:space="preserve">Q3/20</t>
  </si>
  <si>
    <t xml:space="preserve">Q4/20</t>
  </si>
  <si>
    <t xml:space="preserve">Q1/21</t>
  </si>
  <si>
    <t xml:space="preserve">Q2/21</t>
  </si>
  <si>
    <t xml:space="preserve">1H/21</t>
  </si>
  <si>
    <t xml:space="preserve">Q3/21</t>
  </si>
  <si>
    <t xml:space="preserve">Q4/21</t>
  </si>
  <si>
    <t xml:space="preserve">Q1/22</t>
  </si>
  <si>
    <t xml:space="preserve">Q2/22</t>
  </si>
  <si>
    <t xml:space="preserve">1H/22</t>
  </si>
  <si>
    <t xml:space="preserve">Q3/22</t>
  </si>
  <si>
    <t xml:space="preserve">Q4/22</t>
  </si>
  <si>
    <t xml:space="preserve">Q1/23</t>
  </si>
  <si>
    <t xml:space="preserve">Q2/23</t>
  </si>
  <si>
    <t xml:space="preserve">1H/23</t>
  </si>
  <si>
    <t xml:space="preserve">Q3/23</t>
  </si>
  <si>
    <t xml:space="preserve">Q4/23</t>
  </si>
  <si>
    <t xml:space="preserve">Q1/24</t>
  </si>
  <si>
    <t xml:space="preserve">Q2/24</t>
  </si>
  <si>
    <t xml:space="preserve">1H/24</t>
  </si>
  <si>
    <t xml:space="preserve">Q3/24</t>
  </si>
  <si>
    <t xml:space="preserve">Q4/24</t>
  </si>
  <si>
    <t xml:space="preserve">Q1/25</t>
  </si>
  <si>
    <t xml:space="preserve">Q2/25</t>
  </si>
  <si>
    <t xml:space="preserve">1H/25</t>
  </si>
  <si>
    <t xml:space="preserve">Q3/25</t>
  </si>
  <si>
    <t xml:space="preserve">Q4/25</t>
  </si>
  <si>
    <t xml:space="preserve">Q1/26</t>
  </si>
  <si>
    <t xml:space="preserve">Q2/26</t>
  </si>
  <si>
    <t xml:space="preserve">1H/26</t>
  </si>
  <si>
    <t xml:space="preserve">Q3/26</t>
  </si>
  <si>
    <t xml:space="preserve">Q4/26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</si>
  <si>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</si>
  <si>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</si>
  <si>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</si>
  <si>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</si>
  <si>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</si>
  <si>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Modelling Notes</t>
  </si>
  <si>
    <t xml:space="preserve">5Y CAGR</t>
  </si>
  <si>
    <t xml:space="preserve">10Y CAGR</t>
  </si>
  <si>
    <t xml:space="preserve">20Y CAGR</t>
  </si>
  <si>
    <t xml:space="preserve">26-'31</t>
  </si>
  <si>
    <t xml:space="preserve">21-'26</t>
  </si>
  <si>
    <t xml:space="preserve">16-'26</t>
  </si>
  <si>
    <t xml:space="preserve">06-'26</t>
  </si>
  <si>
    <t xml:space="preserve">REVENUE BUILD — US / INTERNATIONAL SEGMENTS × UNITS (service revenues + vehicle sales)</t>
  </si>
  <si>
    <t xml:space="preserve">REVENUE BUILD — modelling logic (Copart reports two operating segments: United States and International; the build replaces RBA's GTV × take-rate build)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</si>
  <si>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</si>
  <si>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</si>
  <si>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</si>
  <si>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Copart issues no guidance — all cases are model assumptions.</t>
  </si>
  <si>
    <t xml:space="preserve">United States segment</t>
  </si>
  <si>
    <t xml:space="preserve">UNITED STATES — modelling logic</t>
  </si>
  <si>
    <t xml:space="preserve">US_unitGrowth (US units sold y/y)</t>
  </si>
  <si>
    <t xml:space="preserve">Δ →</t>
  </si>
  <si>
    <t xml:space="preserve">US: insurance total-loss frequency (vehicle age, repair cost inflation), insurer share gains, non-insurance (dealer, fleet, Blue Car) volumes.</t>
  </si>
  <si>
    <t xml:space="preserve">  Service revenues (USDm)</t>
  </si>
  <si>
    <t xml:space="preserve">FY2027E+: prior year × (1 + units sold growth, scenario lever) × (1 + service revenue per unit growth).</t>
  </si>
  <si>
    <t xml:space="preserve">  2027E</t>
  </si>
  <si>
    <t xml:space="preserve">  Units sold y/y % (disclosed in MD&amp;A; forecast = scenario lever)</t>
  </si>
  <si>
    <t xml:space="preserve">2027E–2031E: scenario lever (US_unitGrowth, Bull/Base/Bear table →).</t>
  </si>
  <si>
    <t xml:space="preserve">  2028E</t>
  </si>
  <si>
    <t xml:space="preserve">  Service revenue per unit y/y % (implied price / mix; forecast input)</t>
  </si>
  <si>
    <t xml:space="preserve">2027E–2031E: scenario lever (US_RPU) — buyer / seller fee pricing, ASP-linked fees, mix of purchase vs fee units.</t>
  </si>
  <si>
    <t xml:space="preserve">  2029E</t>
  </si>
  <si>
    <t xml:space="preserve">  Service revenues y/y %</t>
  </si>
  <si>
    <t xml:space="preserve">  2030E</t>
  </si>
  <si>
    <t xml:space="preserve">  Vehicle sales (USDm; purchase-model units)</t>
  </si>
  <si>
    <t xml:space="preserve">Vehicle sales = units sold under the purchase model (gross revenue); forecast grows with the input below.</t>
  </si>
  <si>
    <t xml:space="preserve">  2031E</t>
  </si>
  <si>
    <t xml:space="preserve">  Vehicle sales y/y % (forecast input)</t>
  </si>
  <si>
    <t xml:space="preserve">  Total US revenue</t>
  </si>
  <si>
    <t xml:space="preserve">INTL_unitGrowth (International units sold y/y)</t>
  </si>
  <si>
    <t xml:space="preserve">International: UK / Germany / Brazil market-share gains, total-loss adoption in continental Europe, new country entries.</t>
  </si>
  <si>
    <t xml:space="preserve">  Total revenue y/y %</t>
  </si>
  <si>
    <t xml:space="preserve">  Segment operating income (historical disclosure)</t>
  </si>
  <si>
    <t xml:space="preserve">Segment profit is disclosed but not forecast (consolidated cost drivers below).</t>
  </si>
  <si>
    <t xml:space="preserve">  Segment operating margin %</t>
  </si>
  <si>
    <t xml:space="preserve">  Segment depreciation &amp; amortization</t>
  </si>
  <si>
    <t xml:space="preserve">  Segment capital expenditures (incl. acquired productive assets)</t>
  </si>
  <si>
    <t xml:space="preserve">International segment (UK, Canada, Germany, Brazil, Spain, Ireland, Finland, UAE, Oman, Bahrain)</t>
  </si>
  <si>
    <t xml:space="preserve">INTERNATIONAL — modelling logic</t>
  </si>
  <si>
    <t xml:space="preserve">US_RPU (US service revenue per unit y/y)</t>
  </si>
  <si>
    <t xml:space="preserve">Per-unit fees track used-vehicle / salvage ASPs (buyer fees are ASP-linked) plus pricing actions and purchase-vs-fee mix.</t>
  </si>
  <si>
    <t xml:space="preserve">2027E–2031E: scenario lever (INTL_unitGrowth, Bull/Base/Bear table →).</t>
  </si>
  <si>
    <t xml:space="preserve">Input: fee pricing and mix (International units carry lower fees per unit than the US).</t>
  </si>
  <si>
    <t xml:space="preserve">  Total International revenue</t>
  </si>
  <si>
    <t xml:space="preserve">ADJ_EBITDA_margin (% of total revenues)</t>
  </si>
  <si>
    <t xml:space="preserve">FY2026 40.3%, FY2025 41.2%, FY2021 peak ~45%. Yard capacity absorption and fee pricing vs labour / towing inflation.</t>
  </si>
  <si>
    <t xml:space="preserve">Total — segment build, units &amp; mix</t>
  </si>
  <si>
    <t xml:space="preserve">TOTAL — modelling logic</t>
  </si>
  <si>
    <t xml:space="preserve">Buybacks ($m)</t>
  </si>
  <si>
    <t xml:space="preserve">FY2026 repurchases $1,633m (first material buyback since FY2019). ACV deal funding (~$2bn cash) would displace buybacks (not modelled).</t>
  </si>
  <si>
    <t xml:space="preserve">  Service revenues — segment build</t>
  </si>
  <si>
    <t xml:space="preserve">Forecast service revenues = US + International build (links to the income statement).</t>
  </si>
  <si>
    <t xml:space="preserve">  Vehicle sales — segment build</t>
  </si>
  <si>
    <t xml:space="preserve">  Total service revenues and vehicle sales (build)</t>
  </si>
  <si>
    <t xml:space="preserve">Group revenue = service revenues + vehicle sales (ties to the GAAP income statement).</t>
  </si>
  <si>
    <t xml:space="preserve">  Check: service / vehicle segment build vs income statement (should be 0)</t>
  </si>
  <si>
    <t xml:space="preserve">  Check: US + International revenue vs income statement (should be 0)</t>
  </si>
  <si>
    <t xml:space="preserve">  Global units sold y/y % (disclosed; forecast = service-revenue-weighted)</t>
  </si>
  <si>
    <t xml:space="preserve">  International % of service revenues</t>
  </si>
  <si>
    <t xml:space="preserve">Min. net debt / adj. EBITDA (x)</t>
  </si>
  <si>
    <t xml:space="preserve">Net-cash cap: buybacks are stepped up so year-end net debt / adj. EBITDA never falls below this level (i.e. net cash ≤ |x| × EBITDA). Blank = no cap.</t>
  </si>
  <si>
    <t xml:space="preserve">  Service revenues % of total revenues</t>
  </si>
  <si>
    <t xml:space="preserve">  Vehicle sales gross margin % ((vehicle sales − cost of vehicle sales) / vehicle sales)</t>
  </si>
  <si>
    <t xml:space="preserve">Input: FY2026 11.5%, FY2021–26 range ~10–16%. Drives cost of vehicle sales.</t>
  </si>
  <si>
    <t xml:space="preserve">Cost drivers (% of revenue)</t>
  </si>
  <si>
    <t xml:space="preserve">% OF REVENUE drivers — hardcoded inputs that drive forecast cost lines</t>
  </si>
  <si>
    <t xml:space="preserve">  Yard operations % of service revenues (incl. yard D&amp;A and SBC)</t>
  </si>
  <si>
    <t xml:space="preserve">Yard operations: towing, yard labour, facility costs, title processing; incl. facility D&amp;A and SBC (Copart 10-K presentation). FY2026 49.5%.</t>
  </si>
  <si>
    <t xml:space="preserve">  Depreciation &amp; amortization % of revenue</t>
  </si>
  <si>
    <t xml:space="preserve">FY2026 4.9% (yard expansion / land-heavy model: owned facilities). Input.</t>
  </si>
  <si>
    <t xml:space="preserve">  Stock-based compensation % of revenue</t>
  </si>
  <si>
    <t xml:space="preserve">  G&amp;A % of revenue (forecast = balancing-line output)</t>
  </si>
  <si>
    <t xml:space="preserve">Sanity check on the balancing line: FY2021–26 range ~6–9%.</t>
  </si>
  <si>
    <t xml:space="preserve">Group Total — adjusted EBITDA &amp; adjusted EBIT (model KPIs; Copart publishes no EBITDA)</t>
  </si>
  <si>
    <t xml:space="preserve">GROUP TOTAL (CONSOLIDATED) — modelling logic</t>
  </si>
  <si>
    <t xml:space="preserve">  Total revenues</t>
  </si>
  <si>
    <t xml:space="preserve">  Adjusted EBITDA (model; EBITDA + Copart non-GAAP items, pre-tax)</t>
  </si>
  <si>
    <t xml:space="preserve">Historical = model bridge (Copart does not publish EBITDA). 2027E–2031E: revenue × adjusted EBITDA margin (scenario lever).</t>
  </si>
  <si>
    <t xml:space="preserve">  Adjusted EBITDA margin % (of total revenues)</t>
  </si>
  <si>
    <t xml:space="preserve">2027E–2031E: scenario lever (ADJ_EBITDA_margin). FY2026 40.3%, FY2025 41.2%.</t>
  </si>
  <si>
    <t xml:space="preserve">  Adjusted EBITDA y/y %</t>
  </si>
  <si>
    <t xml:space="preserve">  Incremental adjusted EBITDA margin (ΔAdj. EBITDA / ΔRevenue)</t>
  </si>
  <si>
    <t xml:space="preserve">  Depreciation and amortization</t>
  </si>
  <si>
    <t xml:space="preserve">  Adjusted EBIT (adjusted EBITDA − D&amp;A)</t>
  </si>
  <si>
    <t xml:space="preserve">Model measure: GAAP operating income + Copart's pre-tax non-GAAP operating items (Copart has negligible acquired-intangible amortization, so no separate add-back).</t>
  </si>
  <si>
    <t xml:space="preserve">  Adjusted EBIT margin %</t>
  </si>
  <si>
    <t xml:space="preserve">  Gross profit (Copart definition: revenue − yard operations − cost of vehicle sales)</t>
  </si>
  <si>
    <t xml:space="preserve">  Gross margin %</t>
  </si>
  <si>
    <t xml:space="preserve">  EBITDA (GAAP-derived: net income + D&amp;A + interest expense − interest income + tax)</t>
  </si>
  <si>
    <t xml:space="preserve">  Check: adjusted EBITDA model bridge vs KPI (should be 0)</t>
  </si>
  <si>
    <t xml:space="preserve">CONSOLIDATED INCOME STATEMENT (US GAAP)</t>
  </si>
  <si>
    <t xml:space="preserve">CONSOLIDATED IS — forecast logic</t>
  </si>
  <si>
    <t xml:space="preserve">Service revenues</t>
  </si>
  <si>
    <t xml:space="preserve">Forecast linked to the segment build.</t>
  </si>
  <si>
    <t xml:space="preserve">Vehicle sales</t>
  </si>
  <si>
    <t xml:space="preserve">Total service revenues and vehicle sales</t>
  </si>
  <si>
    <t xml:space="preserve">Yard operations (incl. yard D&amp;A and stock-based compensation)</t>
  </si>
  <si>
    <t xml:space="preserve">Yard operations = service revenues × yard-operations % (driver block).</t>
  </si>
  <si>
    <t xml:space="preserve">Cost of vehicle sales</t>
  </si>
  <si>
    <t xml:space="preserve">Cost of vehicle sales = vehicle sales × (1 − vehicle sales gross margin).</t>
  </si>
  <si>
    <t xml:space="preserve">Gross profit</t>
  </si>
  <si>
    <t xml:space="preserve">General and administrative (incl. G&amp;A D&amp;A and stock-based compensation)</t>
  </si>
  <si>
    <t xml:space="preserve">Forecast G&amp;A is the balancing line so that adjusted EBITDA equals the KPI driver (margin lever): G&amp;A = revenue − yard operations − cost of vehicle sales − other operating items − adjusted EBITDA + D&amp;A + pre-tax adjusting items + other income + debt-extinguishment result.</t>
  </si>
  <si>
    <t xml:space="preserve">Impairment of long-lived assets &amp; other operating items</t>
  </si>
  <si>
    <t xml:space="preserve">Total operating expenses</t>
  </si>
  <si>
    <t xml:space="preserve">Operating income</t>
  </si>
  <si>
    <t xml:space="preserve">  Operating margin %</t>
  </si>
  <si>
    <t xml:space="preserve">Interest expense (FY2021+: presented net within interest income)</t>
  </si>
  <si>
    <t xml:space="preserve">No funded debt since the May-2022 redemption of the senior notes; forecast = rate × average debt (debt schedule).</t>
  </si>
  <si>
    <t xml:space="preserve">Interest income (FY2021+: interest income (expense), net)</t>
  </si>
  <si>
    <t xml:space="preserve">Forecast = yield × prior year-end cash + held-to-maturity investments (avoids a circular reference).</t>
  </si>
  <si>
    <t xml:space="preserve">Gain (loss) on extinguishment of debt</t>
  </si>
  <si>
    <t xml:space="preserve">Other income (expense), net (incl. FX and equity-method results)</t>
  </si>
  <si>
    <t xml:space="preserve">Income before income taxes</t>
  </si>
  <si>
    <t xml:space="preserve">Income tax expense</t>
  </si>
  <si>
    <t xml:space="preserve">  Effective tax rate</t>
  </si>
  <si>
    <t xml:space="preserve">Input: FY2026 19.3%, FY2025 18.3% (excess tax benefits on option exercises lower the ETR). 20.5% assumed.</t>
  </si>
  <si>
    <t xml:space="preserve">Income (loss) from discontinued operations / other, net of tax</t>
  </si>
  <si>
    <t xml:space="preserve">Net income</t>
  </si>
  <si>
    <t xml:space="preserve">  Less: net income (loss) attributable to noncontrolling interests</t>
  </si>
  <si>
    <t xml:space="preserve">Net income attributable to Copart, Inc.</t>
  </si>
  <si>
    <t xml:space="preserve">  Check: net income vs as reported (should be 0)</t>
  </si>
  <si>
    <t xml:space="preserve">  Memo: net income attributable to Copart as reported</t>
  </si>
  <si>
    <t xml:space="preserve">(Earnings per share — shares and per-share data restated to the current basis for 2-for-1 splits: Mar-2012, Apr-2017, Nov-2022, Aug-2023)</t>
  </si>
  <si>
    <t xml:space="preserve">  Weighted-average basic shares (m)</t>
  </si>
  <si>
    <t xml:space="preserve">2027E+ = average of beginning and ending shares (buyback schedule).</t>
  </si>
  <si>
    <t xml:space="preserve">  Weighted-average diluted shares (m)</t>
  </si>
  <si>
    <t xml:space="preserve">Diluted = basic + dilutive options / RSUs (input).</t>
  </si>
  <si>
    <t xml:space="preserve">EPS – basic ($)</t>
  </si>
  <si>
    <t xml:space="preserve">EPS – diluted ($)</t>
  </si>
  <si>
    <t xml:space="preserve">EPS computed as net income attributable to Copart / weighted diluted shares (may differ by ±$0.01 vs reported).</t>
  </si>
  <si>
    <t xml:space="preserve">  Memo: EPS – diluted as reported ($, split-adjusted)</t>
  </si>
  <si>
    <t xml:space="preserve">  Memo: depreciation &amp; amortization (within yard operations and G&amp;A)</t>
  </si>
  <si>
    <t xml:space="preserve">  Memo: stock-based compensation (within yard operations and G&amp;A)</t>
  </si>
  <si>
    <t xml:space="preserve">  Memo: amortization of intangible assets (within D&amp;A)</t>
  </si>
  <si>
    <t xml:space="preserve">RECONCILIATION: GAAP NET INCOME → EBITDA → ADJUSTED EBITDA → ADJUSTED EBIT</t>
  </si>
  <si>
    <t xml:space="preserve">ADJUSTED EBITDA RECONCILIATION — Copart publishes no EBITDA; adjusting items = Copart's own non-GAAP items (pre-tax), definition in force in each period</t>
  </si>
  <si>
    <t xml:space="preserve">Net income (GAAP, incl. noncontrolling interests)</t>
  </si>
  <si>
    <t xml:space="preserve">  (+) Depreciation and amortization</t>
  </si>
  <si>
    <t xml:space="preserve">  (+) Interest expense</t>
  </si>
  <si>
    <t xml:space="preserve">  (−) Interest income</t>
  </si>
  <si>
    <t xml:space="preserve">  (+) Income tax expense</t>
  </si>
  <si>
    <t xml:space="preserve">  (−) (Income) loss from discontinued operations / other</t>
  </si>
  <si>
    <t xml:space="preserve">  = EBITDA</t>
  </si>
  <si>
    <t xml:space="preserve">Adjusting items (pre-tax; Copart non-GAAP definition in force in each period — see definition row):</t>
  </si>
  <si>
    <t xml:space="preserve">  Tax rate used to gross up Copart's after-tax items to pre-tax (model estimate)</t>
  </si>
  <si>
    <t xml:space="preserve">  (+) Impairment of long-lived assets (income statement, pre-tax)</t>
  </si>
  <si>
    <t xml:space="preserve">  (+) Foreign currency-related (gains) losses (Q4/15–FY2021)</t>
  </si>
  <si>
    <t xml:space="preserve">  (+) Payroll taxes on executive stock compensation (FY2016–FY2020)</t>
  </si>
  <si>
    <t xml:space="preserve">  (+) Acquisition-related fees and integration charges</t>
  </si>
  <si>
    <t xml:space="preserve">  (+) (Gain) loss on disposal of non-operating assets (FY2018–FY2020)</t>
  </si>
  <si>
    <t xml:space="preserve">  (+) Reserve for legacy sales-tax liabilities</t>
  </si>
  <si>
    <t xml:space="preserve">  (+) Certain legal matters (FY2022–FY2023)</t>
  </si>
  <si>
    <t xml:space="preserve">  (+) Loss on extinguishment of debt (income statement, pre-tax)</t>
  </si>
  <si>
    <t xml:space="preserve">  (+) Hurricane Sandy effect (FY2013, comparative in the Q3/14 release)</t>
  </si>
  <si>
    <t xml:space="preserve">  Total adjusting items (pre-tax)</t>
  </si>
  <si>
    <t xml:space="preserve">  = Adjusted EBITDA (model bridge)</t>
  </si>
  <si>
    <t xml:space="preserve">  Adjusted EBITDA margin %</t>
  </si>
  <si>
    <t xml:space="preserve">  Definition basis (Copart non-GAAP definition in force)</t>
  </si>
  <si>
    <t xml:space="preserve">One-off: impairment + Hurricane Sandy</t>
  </si>
  <si>
    <t xml:space="preserve">Framework starts: FX + ASU 2016-09 tax benefit</t>
  </si>
  <si>
    <t xml:space="preserve">+ payroll taxes on exec. stock comp</t>
  </si>
  <si>
    <t xml:space="preserve">+ impairment, acquisition fees</t>
  </si>
  <si>
    <t xml:space="preserve">+ disposal of non-operating assets</t>
  </si>
  <si>
    <t xml:space="preserve">+ TCJA deemed repatriation</t>
  </si>
  <si>
    <t xml:space="preserve">+ integration charges, legacy sales-tax reserve</t>
  </si>
  <si>
    <t xml:space="preserve">+ discrete income tax items</t>
  </si>
  <si>
    <t xml:space="preserve">Share-count adjustment dropped</t>
  </si>
  <si>
    <t xml:space="preserve">FX item dropped</t>
  </si>
  <si>
    <t xml:space="preserve">No non-GAAP published from Q1/24</t>
  </si>
  <si>
    <t xml:space="preserve">Definition changes are flagged in the column where they take effect (cell comment gives the detail). Income-tax-only items are excluded from the EBITDA bridge and appear in the net-income bridge below.</t>
  </si>
  <si>
    <t xml:space="preserve">To adjusted EBIT:</t>
  </si>
  <si>
    <t xml:space="preserve">  (−) Depreciation and amortization</t>
  </si>
  <si>
    <t xml:space="preserve">  = Adjusted EBIT (model)</t>
  </si>
  <si>
    <t xml:space="preserve">  Check: GAAP operating income + D&amp;A + other income + debt extinguishment = EBITDA (should be 0)</t>
  </si>
  <si>
    <t xml:space="preserve">RECONCILIATION: GAAP NET INCOME → ADJUSTED (NON-GAAP) NET INCOME / ADJUSTED EPS (Copart definition)</t>
  </si>
  <si>
    <t xml:space="preserve">ADJUSTED NET INCOME &amp; EPS RECONCILIATION — Copart's 'Reconciliation of GAAP to Non-GAAP' tables (items net of tax, as Copart presents them)</t>
  </si>
  <si>
    <t xml:space="preserve">Net income attributable to Copart, Inc. (GAAP)</t>
  </si>
  <si>
    <t xml:space="preserve">  (+) Impairment of long-lived assets, net of tax</t>
  </si>
  <si>
    <t xml:space="preserve">  (+/−) Foreign currency-related (gains) losses, net of tax (dropped from Q1/22)</t>
  </si>
  <si>
    <t xml:space="preserve">  (+) Payroll taxes on executive stock compensation, net of tax</t>
  </si>
  <si>
    <t xml:space="preserve">  (+) Acquisition-related fees and integration charges, net of tax</t>
  </si>
  <si>
    <t xml:space="preserve">  (+/−) (Gain) loss on disposal of non-operating assets, net of tax</t>
  </si>
  <si>
    <t xml:space="preserve">  (+) Reserve for legacy sales-tax liabilities, net of tax</t>
  </si>
  <si>
    <t xml:space="preserve">  (+) Certain legal matters, net of tax</t>
  </si>
  <si>
    <t xml:space="preserve">  (+) Loss on extinguishment of debt, net of tax</t>
  </si>
  <si>
    <t xml:space="preserve">  (+) Hurricane Sandy effect, net of tax</t>
  </si>
  <si>
    <t xml:space="preserve">  (−) Income tax benefit on stock-option exercises / stock-based compensation (ASU 2016-09)</t>
  </si>
  <si>
    <t xml:space="preserve">  (+/−) TCJA deemed repatriation of foreign earnings, net of deferred tax changes</t>
  </si>
  <si>
    <t xml:space="preserve">  (+/−) Discrete income tax items</t>
  </si>
  <si>
    <t xml:space="preserve">  = Adjusted net income (model bridge)</t>
  </si>
  <si>
    <t xml:space="preserve">Forecast items default to nil (Copart has published no non-GAAP measures since Q4/23): adjusted = GAAP unless inputs are entered.</t>
  </si>
  <si>
    <t xml:space="preserve">  Memo: implied tax effect on pre-tax operating items (pre-tax bridge − after-tax items)</t>
  </si>
  <si>
    <t xml:space="preserve">  (−) Non-GAAP share-count adjustment — ASU 2016-09 common equivalents (m; Q4/15–Q1/21)</t>
  </si>
  <si>
    <t xml:space="preserve">Adjusted EPS – diluted ($) (model bridge)</t>
  </si>
  <si>
    <t xml:space="preserve">  Company-published non-GAAP net income</t>
  </si>
  <si>
    <t xml:space="preserve">  Company-published non-GAAP diluted EPS ($, split-adjusted)</t>
  </si>
  <si>
    <t xml:space="preserve">  Check: model bridge vs company-published non-GAAP net income (should be 0)</t>
  </si>
  <si>
    <t xml:space="preserve">  Check: model vs company-published non-GAAP diluted EPS ($; ±0.01 = rounding of split-adjusted EPS)</t>
  </si>
  <si>
    <t xml:space="preserve">Definition changes are flagged in the column where they take effect (cell comment gives the detail).</t>
  </si>
  <si>
    <t xml:space="preserve">GROWTH &amp; MARGINS</t>
  </si>
  <si>
    <t xml:space="preserve">GROWTH &amp; MARGINS (consolidated) — forecast outputs</t>
  </si>
  <si>
    <t xml:space="preserve">  Revenue y/y %</t>
  </si>
  <si>
    <t xml:space="preserve">  Vehicle sales y/y %</t>
  </si>
  <si>
    <t xml:space="preserve">  Gross profit y/y %</t>
  </si>
  <si>
    <t xml:space="preserve">  Operating income y/y %</t>
  </si>
  <si>
    <t xml:space="preserve">  Net income y/y %</t>
  </si>
  <si>
    <t xml:space="preserve">  Diluted EPS y/y %</t>
  </si>
  <si>
    <t xml:space="preserve">  Adjusted EPS y/y %</t>
  </si>
  <si>
    <t xml:space="preserve">  Operating margin (GAAP) %</t>
  </si>
  <si>
    <t xml:space="preserve">  Net margin %</t>
  </si>
  <si>
    <t xml:space="preserve">  G&amp;A % of revenue</t>
  </si>
  <si>
    <t xml:space="preserve">  Yard operations % of service revenues</t>
  </si>
  <si>
    <t xml:space="preserve">  Incremental adjusted EBITDA margin (ΔAdj. EBITDA / ΔRev)</t>
  </si>
  <si>
    <t xml:space="preserve">CONSOLIDATED CASH FLOW STATEMENT</t>
  </si>
  <si>
    <t xml:space="preserve">CONSOLIDATED CASH FLOW STATEMENT — forecast logic (annual)</t>
  </si>
  <si>
    <t xml:space="preserve">Adjustments:</t>
  </si>
  <si>
    <t xml:space="preserve">  Depreciation and amortization (incl. debt cost)</t>
  </si>
  <si>
    <t xml:space="preserve">  Stock-based compensation</t>
  </si>
  <si>
    <t xml:space="preserve">  (Gain) loss on sale of property and equipment</t>
  </si>
  <si>
    <t xml:space="preserve">  Deferred income taxes</t>
  </si>
  <si>
    <t xml:space="preserve">Input (FY2026 $47m; FY2021–26 range −$13m to +$47m).</t>
  </si>
  <si>
    <t xml:space="preserve">  Impairment of long-lived assets</t>
  </si>
  <si>
    <t xml:space="preserve">  Loss on extinguishment of debt</t>
  </si>
  <si>
    <t xml:space="preserve">  Other non-cash items, net (credit-loss allowance, equity method; excess tax benefit pre-FY2017)</t>
  </si>
  <si>
    <t xml:space="preserve">  Net changes in operating assets and liabilities</t>
  </si>
  <si>
    <t xml:space="preserve">Linked to BS: −Δ(receivables, vehicle pooling costs, inventories, tax receivable, other current assets) + Δ(AP &amp; accrued, deferred revenue, taxes payable).</t>
  </si>
  <si>
    <t xml:space="preserve">Net cash provided by operating activities</t>
  </si>
  <si>
    <t xml:space="preserve">Purchases of property and equipment</t>
  </si>
  <si>
    <t xml:space="preserve">Capex = revenue × capex % (input). Copart owns most of its land: lumpy land purchases (FY2020–25 ~10–20% of revenue).</t>
  </si>
  <si>
    <t xml:space="preserve">Proceeds from sale of property and equipment</t>
  </si>
  <si>
    <t xml:space="preserve">Acquisitions, net of cash acquired</t>
  </si>
  <si>
    <t xml:space="preserve">Standalone forecast: the pending ACV Auctions acquisition (agreement 10-Sep-2026, $10.50/sh cash tender) is NOT included.</t>
  </si>
  <si>
    <t xml:space="preserve">Purchases of held-to-maturity securities</t>
  </si>
  <si>
    <t xml:space="preserve">Proceeds from held-to-maturity securities</t>
  </si>
  <si>
    <t xml:space="preserve">Forecast holds the HTM (US Treasury) portfolio flat; free cash accumulates in cash.</t>
  </si>
  <si>
    <t xml:space="preserve">Other investing activities, net</t>
  </si>
  <si>
    <t xml:space="preserve">Net cash used in investing activities</t>
  </si>
  <si>
    <t xml:space="preserve">Proceeds from debt (notes, term loans, revolver)</t>
  </si>
  <si>
    <t xml:space="preserve">Repayment of debt (incl. revolver)</t>
  </si>
  <si>
    <t xml:space="preserve">Net debt issuance / (repayment) = change in total debt per the debt schedule.</t>
  </si>
  <si>
    <t xml:space="preserve">Proceeds from stock option exercises and ESPP</t>
  </si>
  <si>
    <t xml:space="preserve">Repurchases of common stock</t>
  </si>
  <si>
    <t xml:space="preserve">Share repurchases: scenario lever (Buybacks), stepped up to hold net cash at the scenario floor (excess capital → repurchases). Copart pays no dividend.</t>
  </si>
  <si>
    <t xml:space="preserve">Employee stock-based tax withholdings</t>
  </si>
  <si>
    <t xml:space="preserve">Other financing activities, net (debt issue costs, finance leases; excess tax benefit pre-FY2017)</t>
  </si>
  <si>
    <t xml:space="preserve">Net cash provided by (used in) financing activities</t>
  </si>
  <si>
    <t xml:space="preserve">Effect of foreign currency translation</t>
  </si>
  <si>
    <t xml:space="preserve">Net increase (decrease) in cash, cash equivalents and restricted cash</t>
  </si>
  <si>
    <t xml:space="preserve">Cash, cash equivalents and restricted cash — beginning</t>
  </si>
  <si>
    <t xml:space="preserve">Cash, cash equivalents and restricted cash — end</t>
  </si>
  <si>
    <t xml:space="preserve">  Check: beginning cash vs prior year-end (should be 0)</t>
  </si>
  <si>
    <t xml:space="preserve">  Check: CFO + CFI + CFF + FX = reported change in cash (should be 0)</t>
  </si>
  <si>
    <t xml:space="preserve">  Memo: change in cash as reported</t>
  </si>
  <si>
    <t xml:space="preserve">(Memo)</t>
  </si>
  <si>
    <t xml:space="preserve">Free cash flow (CFO − purchases of property and equipment + disposal proceeds)</t>
  </si>
  <si>
    <t xml:space="preserve">  FCF y/y %</t>
  </si>
  <si>
    <t xml:space="preserve">  FCF % of revenue</t>
  </si>
  <si>
    <t xml:space="preserve">  FCF / adjusted net income conversion %</t>
  </si>
  <si>
    <t xml:space="preserve">  FCF per diluted share ($)</t>
  </si>
  <si>
    <t xml:space="preserve">Capex / revenue ratios</t>
  </si>
  <si>
    <t xml:space="preserve">  Capex % of revenue (purchases of property and equipment)</t>
  </si>
  <si>
    <t xml:space="preserve">Input: FY2026 7.2%, FY2025 12.2%, FY2021–25 average ~14% (land purchases).</t>
  </si>
  <si>
    <t xml:space="preserve">  Capex / D&amp;A (x)</t>
  </si>
  <si>
    <t xml:space="preserve">SHARE BUYBACK SCHEDULE</t>
  </si>
  <si>
    <t xml:space="preserve">  Avg buyback price ($)</t>
  </si>
  <si>
    <t xml:space="preserve">FY2026A column = current share price ($27, valuation input); appreciates with the share-price input.</t>
  </si>
  <si>
    <t xml:space="preserve">  Buyback cash deployed (USDm)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</si>
  <si>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</si>
  <si>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</si>
  <si>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</si>
  <si>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</si>
  <si>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</si>
  <si>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  Memo: cumulative shares repurchased since FY2026 (m)</t>
  </si>
  <si>
    <t xml:space="preserve">  Scenario buyback (USDm)</t>
  </si>
  <si>
    <t xml:space="preserve">  Net-cash floor → excess-capital buyback</t>
  </si>
  <si>
    <t xml:space="preserve">  Min. net debt / adj. EBITDA (x) — scenario floor (negative = cap on net cash)</t>
  </si>
  <si>
    <t xml:space="preserve">  Target net debt at floor (USDm)</t>
  </si>
  <si>
    <t xml:space="preserve">  Cash &amp; HTM investments before repurchases (USDm)</t>
  </si>
  <si>
    <t xml:space="preserve">  Excess capital over floor (USDm)</t>
  </si>
  <si>
    <t xml:space="preserve">  Buyback required to hold net cash at floor (USDm)</t>
  </si>
  <si>
    <t xml:space="preserve">CONSOLIDATED BALANCE SHEET</t>
  </si>
  <si>
    <t xml:space="preserve">BS FORECAST — first-principles roll-forward from the FY2026 year-end</t>
  </si>
  <si>
    <t xml:space="preserve">ASSETS</t>
  </si>
  <si>
    <t xml:space="preserve">Current assets:</t>
  </si>
  <si>
    <t xml:space="preserve">  Cash, cash equivalents and restricted cash</t>
  </si>
  <si>
    <t xml:space="preserve">Cash = CF ending cash.</t>
  </si>
  <si>
    <t xml:space="preserve">  Investment in held-to-maturity securities</t>
  </si>
  <si>
    <t xml:space="preserve">  Accounts receivable, net</t>
  </si>
  <si>
    <t xml:space="preserve">Receivables = revenue × days / 365.</t>
  </si>
  <si>
    <t xml:space="preserve">  Vehicle pooling costs</t>
  </si>
  <si>
    <t xml:space="preserve">  Inventories</t>
  </si>
  <si>
    <t xml:space="preserve">  Income taxes receivable</t>
  </si>
  <si>
    <t xml:space="preserve">  Prepaid expenses and other current assets (incl. deferred taxes, assets held for sale)</t>
  </si>
  <si>
    <t xml:space="preserve">Total current assets</t>
  </si>
  <si>
    <t xml:space="preserve">  Property and equipment, net</t>
  </si>
  <si>
    <t xml:space="preserve">PP&amp;E roll-forward: prior + capex − NBV of disposals − impairment − depreciation (D&amp;A less intangible amortization).</t>
  </si>
  <si>
    <t xml:space="preserve">  Operating lease right-of-use assets (FY2020+)</t>
  </si>
  <si>
    <t xml:space="preserve">  Intangibles, net</t>
  </si>
  <si>
    <t xml:space="preserve">  Goodwill</t>
  </si>
  <si>
    <t xml:space="preserve">  Other assets (incl. deferred tax assets)</t>
  </si>
  <si>
    <t xml:space="preserve">TOTAL ASSETS</t>
  </si>
  <si>
    <t xml:space="preserve">LIABILITIES, REDEEMABLE NONCONTROLLING INTEREST &amp; STOCKHOLDERS' EQUITY</t>
  </si>
  <si>
    <t xml:space="preserve">Current liabilities:</t>
  </si>
  <si>
    <t xml:space="preserve">  Accounts payable and accrued liabilities</t>
  </si>
  <si>
    <t xml:space="preserve">  Deferred revenue</t>
  </si>
  <si>
    <t xml:space="preserve">  Income taxes payable</t>
  </si>
  <si>
    <t xml:space="preserve">  Current portion of long-term debt</t>
  </si>
  <si>
    <t xml:space="preserve">  Current portion of operating and finance lease liabilities</t>
  </si>
  <si>
    <t xml:space="preserve">  Other current liabilities</t>
  </si>
  <si>
    <t xml:space="preserve">Total current liabilities</t>
  </si>
  <si>
    <t xml:space="preserve">  Long-term debt (and other long-term obligations), net</t>
  </si>
  <si>
    <t xml:space="preserve">  Operating and finance lease liabilities, net of current portion</t>
  </si>
  <si>
    <t xml:space="preserve">  Income taxes payable (non-current)</t>
  </si>
  <si>
    <t xml:space="preserve">  Other liabilities</t>
  </si>
  <si>
    <t xml:space="preserve">Total liabilities</t>
  </si>
  <si>
    <t xml:space="preserve">  Redeemable noncontrolling interest (temporary equity, FY2024+)</t>
  </si>
  <si>
    <t xml:space="preserve">Stockholders' equity:</t>
  </si>
  <si>
    <t xml:space="preserve">  Common stock and additional paid-in capital</t>
  </si>
  <si>
    <t xml:space="preserve">Common stock + APIC + SBC + option / ESPP proceeds − withholding taxes.</t>
  </si>
  <si>
    <t xml:space="preserve">  Accumulated other comprehensive income (loss)</t>
  </si>
  <si>
    <t xml:space="preserve">  Retained earnings</t>
  </si>
  <si>
    <t xml:space="preserve">Retained earnings + net income attributable to Copart − repurchases (Copart retires repurchased shares).</t>
  </si>
  <si>
    <t xml:space="preserve">Stockholders' equity attributable to Copart</t>
  </si>
  <si>
    <t xml:space="preserve">  Noncontrolling interests</t>
  </si>
  <si>
    <t xml:space="preserve">Total stockholders' equity</t>
  </si>
  <si>
    <t xml:space="preserve">TOTAL LIABILITIES, REDEEMABLE NCI AND STOCKHOLDERS' EQUITY</t>
  </si>
  <si>
    <t xml:space="preserve">BS tie-out check (TA − TL, redeemable NCI &amp; equity)</t>
  </si>
  <si>
    <t xml:space="preserve">  Check: model total assets vs reported (should be 0)</t>
  </si>
  <si>
    <t xml:space="preserve">  Memo: total assets as reported</t>
  </si>
  <si>
    <t xml:space="preserve">  Memo: common shares outstanding at period end (m, split-adjusted)</t>
  </si>
  <si>
    <t xml:space="preserve">WORKING CAPITAL &amp; CASH CONVERSION</t>
  </si>
  <si>
    <t xml:space="preserve">WORKING CAPITAL — forecast drivers (blue = input)</t>
  </si>
  <si>
    <t xml:space="preserve">  Receivable days — receivables / revenue × 365</t>
  </si>
  <si>
    <t xml:space="preserve">FY2026 63 days (insurer settlement timing).</t>
  </si>
  <si>
    <t xml:space="preserve">  Vehicle pooling costs % of service revenues</t>
  </si>
  <si>
    <t xml:space="preserve">  Inventory days — inventories / cost of vehicle sales × 365</t>
  </si>
  <si>
    <t xml:space="preserve">  AP &amp; accrued liabilities % of revenue</t>
  </si>
  <si>
    <t xml:space="preserve">  Operating NWC (receivables + vehicle pooling + inventories − AP &amp; accrued − deferred revenue)</t>
  </si>
  <si>
    <t xml:space="preserve">  NWC % of revenue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</si>
  <si>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</si>
  <si>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</si>
  <si>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</si>
  <si>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Asset roll-forwards &amp; non-cash items</t>
  </si>
  <si>
    <t xml:space="preserve">  Amortization of intangible assets (USDm)</t>
  </si>
  <si>
    <t xml:space="preserve">Input: run-off of the FY2026 intangible balance ($50m; FY2026 amortization $13m). No acquisitions assumed.</t>
  </si>
  <si>
    <t xml:space="preserve">  Dilutive securities (m shares)</t>
  </si>
  <si>
    <t xml:space="preserve">  Share-price appreciation % (buyback pricing)</t>
  </si>
  <si>
    <t xml:space="preserve">Debt &amp; liquidity (Copart has had no funded debt since May-2022)</t>
  </si>
  <si>
    <t xml:space="preserve">  Total debt (current + long-term, excl. lease liabilities)</t>
  </si>
  <si>
    <t xml:space="preserve">Input. $400m senior notes redeemed May-2022 (FY2022 loss on extinguishment $16.8m); revolving credit facility undrawn.</t>
  </si>
  <si>
    <t xml:space="preserve">  Interest rate on average total debt %</t>
  </si>
  <si>
    <t xml:space="preserve">  Interest expense on debt (→ income statement)</t>
  </si>
  <si>
    <t xml:space="preserve">  Interest income yield on prior year-end cash &amp; HTM investments %</t>
  </si>
  <si>
    <t xml:space="preserve">FY2026 implied ~3.8% on opening cash + HTM (US Treasury bills). Input steps down with short-term rates.</t>
  </si>
  <si>
    <t xml:space="preserve">  Cash, cash equivalents &amp; HTM investments (USDm)</t>
  </si>
  <si>
    <t xml:space="preserve">Historical reference (driver context)</t>
  </si>
  <si>
    <t xml:space="preserve">  Total D&amp;A % of revenue</t>
  </si>
  <si>
    <t xml:space="preserve">  PP&amp;E y/y growth</t>
  </si>
  <si>
    <t xml:space="preserve">RATIO ANALYSIS</t>
  </si>
  <si>
    <t xml:space="preserve">DuPont decomposition of ROIC</t>
  </si>
  <si>
    <t xml:space="preserve">Adjusted EBIT (model)</t>
  </si>
  <si>
    <t xml:space="preserve">Effective tax rate (actual)</t>
  </si>
  <si>
    <t xml:space="preserve">NOPAT  =  Adj. EBIT × (1 − tax rate)</t>
  </si>
  <si>
    <t xml:space="preserve">Invested capital (IC)  =  Equity + redeemable NCI + net debt</t>
  </si>
  <si>
    <t xml:space="preserve">  Total equity incl. redeemable NCI</t>
  </si>
  <si>
    <t xml:space="preserve">  Net debt  =  Total debt − cash − HTM investments (excl. lease liabilities)</t>
  </si>
  <si>
    <t xml:space="preserve">ROIC  =  NOPAT / IC</t>
  </si>
  <si>
    <t xml:space="preserve">  EBIT margin  =  Adj. EBIT / Revenue</t>
  </si>
  <si>
    <t xml:space="preserve">  Capital turnover  =  Revenue / IC</t>
  </si>
  <si>
    <t xml:space="preserve">  Tax burden  =  (1 − effective tax rate)</t>
  </si>
  <si>
    <t xml:space="preserve">  Check: Margin × Turnover × Tax burden  =  ROIC</t>
  </si>
  <si>
    <t xml:space="preserve">RONTA decomposition</t>
  </si>
  <si>
    <t xml:space="preserve">  Total assets</t>
  </si>
  <si>
    <t xml:space="preserve">  − Goodwill &amp; intangible assets</t>
  </si>
  <si>
    <t xml:space="preserve">  − Non-interest-bearing current liabilities (total CL excl. debt)</t>
  </si>
  <si>
    <t xml:space="preserve">  = Net tangible assets</t>
  </si>
  <si>
    <t xml:space="preserve">RONTA  =  NOPAT / NTA</t>
  </si>
  <si>
    <t xml:space="preserve">Return on Equity (ROE)</t>
  </si>
  <si>
    <t xml:space="preserve">Net income attributable to Copart</t>
  </si>
  <si>
    <t xml:space="preserve">ROE  =  Net income / Equity</t>
  </si>
  <si>
    <t xml:space="preserve">Leverage</t>
  </si>
  <si>
    <t xml:space="preserve">Net debt  =  Total debt − cash − HTM investments (negative = net cash)</t>
  </si>
  <si>
    <t xml:space="preserve">Adjusted EBITDA</t>
  </si>
  <si>
    <t xml:space="preserve">Net debt / adjusted EBITDA (x)</t>
  </si>
  <si>
    <t xml:space="preserve">VALUATION</t>
  </si>
  <si>
    <t xml:space="preserve">VALUATION — current share price input $27 (per user); FY2026A year-end balance sheet, applied to 2026A–2031E</t>
  </si>
  <si>
    <t xml:space="preserve">Share price ($) — current</t>
  </si>
  <si>
    <t xml:space="preserve">Diluted shares (m)</t>
  </si>
  <si>
    <t xml:space="preserve">Market capitalisation (USDm)</t>
  </si>
  <si>
    <t xml:space="preserve">Net debt (USDm; negative = net cash incl. HTM investments)</t>
  </si>
  <si>
    <t xml:space="preserve">Redeemable NCI &amp; NCI (USDm)</t>
  </si>
  <si>
    <t xml:space="preserve">Enterprise value (USDm)</t>
  </si>
  <si>
    <t xml:space="preserve">Multiples</t>
  </si>
  <si>
    <t xml:space="preserve">  EV / Revenue</t>
  </si>
  <si>
    <t xml:space="preserve">  EV / Service revenues</t>
  </si>
  <si>
    <t xml:space="preserve">  EV / Adjusted EBITDA</t>
  </si>
  <si>
    <t xml:space="preserve">  EV / Adjusted EBIT</t>
  </si>
  <si>
    <t xml:space="preserve">  EV / IC</t>
  </si>
  <si>
    <t xml:space="preserve">  P / E (GAAP diluted)</t>
  </si>
  <si>
    <t xml:space="preserve">  P / E (adjusted, Copart definition)</t>
  </si>
  <si>
    <t xml:space="preserve">  FCF yield</t>
  </si>
  <si>
    <t xml:space="preserve">Copart, Inc. (CPRT) — Bull / Base / Bear Case P&amp;L Summary</t>
  </si>
  <si>
    <t xml:space="preserve">Share price ($):</t>
  </si>
  <si>
    <t xml:space="preserve">Adjusted figures (Copart non-GAAP definition; adjusted = GAAP since Q1/24) · USD millions · fiscal years ending 31-July · Live panel linked to Model — toggle scenario via Model!CU2. Bull and Bear panels are value snapshots of the Model run with the switch set to Bull / Bear. Standalone (pending ACV Auctions acquisition excluded).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</si>
  <si>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</si>
  <si>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</si>
  <si>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</si>
  <si>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</si>
  <si>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</si>
  <si>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2026A</t>
  </si>
  <si>
    <t xml:space="preserve">26-'31 CAGR</t>
  </si>
  <si>
    <t xml:space="preserve">LT Hist Avg</t>
  </si>
  <si>
    <t xml:space="preserve">LT Hist Min</t>
  </si>
  <si>
    <t xml:space="preserve">LT Hist Max</t>
  </si>
  <si>
    <t xml:space="preserve">Revenue</t>
  </si>
  <si>
    <t xml:space="preserve">   Revenue y/y %</t>
  </si>
  <si>
    <t xml:space="preserve">   Adjusted EBIT margin %</t>
  </si>
  <si>
    <t xml:space="preserve">Operating Income (GAAP)</t>
  </si>
  <si>
    <t xml:space="preserve">   Operating income y/y %</t>
  </si>
  <si>
    <t xml:space="preserve">   Operating margin (GAAP) %</t>
  </si>
  <si>
    <t xml:space="preserve">Net Income (Adjusted, available to common)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</si>
  <si>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</si>
  <si>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</si>
  <si>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</si>
  <si>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</si>
  <si>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</si>
  <si>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</si>
  <si>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Jul of FY−1)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</si>
  <si>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</si>
  <si>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</si>
  <si>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</si>
  <si>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</si>
  <si>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   Adjusted EBITDA margin %</t>
  </si>
  <si>
    <t xml:space="preserve">Net Debt (negative = net cash)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</si>
  <si>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</si>
  <si>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</si>
  <si>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</si>
  <si>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</si>
  <si>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 (net cash) &amp; NCI</t>
  </si>
  <si>
    <t xml:space="preserve">Implied Enterprise Value (USDm)</t>
  </si>
  <si>
    <t xml:space="preserve">Implied EV / Adjusted EBITDA (x)</t>
  </si>
  <si>
    <t xml:space="preserve">2031E Price Target — P/E Sensitivity</t>
  </si>
  <si>
    <t xml:space="preserve">   P/E step (x)</t>
  </si>
  <si>
    <t xml:space="preserve">P / E (x)</t>
  </si>
  <si>
    <t xml:space="preserve">2031E Price Target ($)</t>
  </si>
  <si>
    <t xml:space="preserve">IRR (to Jul-2030)</t>
  </si>
  <si>
    <t xml:space="preserve">DCF VALUATION — COPART, INC. (CPRT)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</si>
  <si>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</si>
  <si>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</si>
  <si>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</si>
  <si>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</si>
  <si>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Damodaran-style US ERP estimate</t>
  </si>
  <si>
    <t xml:space="preserve">Levered beta</t>
  </si>
  <si>
    <t xml:space="preserve">Online salvage-auction duopoly (with RB Global / IAA); defensive insurance-driven volumes, net-cash balance sheet</t>
  </si>
  <si>
    <t xml:space="preserve">Cost of equity</t>
  </si>
  <si>
    <t xml:space="preserve">Pre-tax cost of debt</t>
  </si>
  <si>
    <t xml:space="preserve">No funded debt since May-2022 (senior notes redeemed); undrawn revolver — notional cost if levered</t>
  </si>
  <si>
    <t xml:space="preserve">Tax rate</t>
  </si>
  <si>
    <t xml:space="preserve">Model effective tax rate (FY2026 19.3%; FY2025 18.3%)</t>
  </si>
  <si>
    <t xml:space="preserve">After-tax cost of debt</t>
  </si>
  <si>
    <t xml:space="preserve">Target D/V</t>
  </si>
  <si>
    <t xml:space="preserve">Debt-free capital structure (net cash $4.5bn incl. HTM Treasuries at FY2026)</t>
  </si>
  <si>
    <t xml:space="preserve">WACC</t>
  </si>
  <si>
    <t xml:space="preserve">Valuation date (live)</t>
  </si>
  <si>
    <t xml:space="preserve">Periods = (31-Jul-FY − today) / 365.25; cash flows assumed at fiscal year-end</t>
  </si>
  <si>
    <t xml:space="preserve">2. UNLEVERED FREE CASH FLOW BUILD (USDm)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</si>
  <si>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</si>
  <si>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</si>
  <si>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</si>
  <si>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</si>
  <si>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</si>
  <si>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Terminal</t>
  </si>
  <si>
    <t xml:space="preserve">Adjusted EBIT (Model)</t>
  </si>
  <si>
    <t xml:space="preserve">(−) Stock-based compensation (economic cost)</t>
  </si>
  <si>
    <t xml:space="preserve">× (1 − tax rate)</t>
  </si>
  <si>
    <t xml:space="preserve">NOPAT  =  (Adj. EBIT − SBC) × (1 − t)</t>
  </si>
  <si>
    <t xml:space="preserve">plus D&amp;A (owned-yard depreciation; minimal acquired-intangible amortization)</t>
  </si>
  <si>
    <t xml:space="preserve">− Capex (purchases of property &amp; equipment, net of disposal proceeds)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</si>
  <si>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</si>
  <si>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</si>
  <si>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</si>
  <si>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(2032E–36E)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</si>
  <si>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</si>
  <si>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</si>
  <si>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</si>
  <si>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</si>
  <si>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SBC is deducted as an economic cost. Copart's D&amp;A is mostly owned-yard depreciation (no acquired-intangible add-back); operating-lease costs sit inside EBITDA (lease liabilities therefore not deducted as debt). Net cash includes HTM Treasury investments.</t>
  </si>
  <si>
    <t xml:space="preserve">2b. IMPLIED ROIC (USDm)</t>
  </si>
  <si>
    <t xml:space="preserve">Capex (net of disposal proceeds)</t>
  </si>
  <si>
    <t xml:space="preserve">(−) D&amp;A</t>
  </si>
  <si>
    <t xml:space="preserve">Net investment  =  Capex − D&amp;A</t>
  </si>
  <si>
    <t xml:space="preserve">Invested capital (YE)</t>
  </si>
  <si>
    <t xml:space="preserve">Implied ROIC  =  NOPAT / IC</t>
  </si>
  <si>
    <t xml:space="preserve">Implied incremental ROIC  =  Δ NOPAT / prior-yr net investment</t>
  </si>
  <si>
    <t xml:space="preserve">n/a</t>
  </si>
  <si>
    <t xml:space="preserve">NOPAT links to DCF row 21 (after SBC, consistent with UFCF). 2027–31E IC links to the Model ROIC build. From 2032E, IC = prior IC + (capex − D&amp;A); working-capital investment excluded. Incremental ROIC = (NOPAT t − NOPAT t−1) / net investment t−1; 2027E n/a.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</si>
  <si>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</si>
  <si>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</si>
  <si>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</si>
  <si>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</si>
  <si>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(negative = net cash; Model FY2026A YE)</t>
  </si>
  <si>
    <t xml:space="preserve">Less: redeemable NCI &amp; NCI (Model FY2026A)</t>
  </si>
  <si>
    <t xml:space="preserve">Equity Value</t>
  </si>
  <si>
    <t xml:space="preserve">Diluted shares (m, Model FY2026A)</t>
  </si>
  <si>
    <t xml:space="preserve">Implied share price ($)</t>
  </si>
  <si>
    <t xml:space="preserve">Current share price ($)</t>
  </si>
  <si>
    <t xml:space="preserve">Implied upside / (downside)</t>
  </si>
  <si>
    <t xml:space="preserve">4. SENSITIVITY: IMPLIED PRICE ($) — WACC × Terminal Growth</t>
  </si>
  <si>
    <t xml:space="preserve">WACC (across):</t>
  </si>
  <si>
    <t xml:space="preserve">WACC step</t>
  </si>
  <si>
    <t xml:space="preserve">g (down) / WACC</t>
  </si>
  <si>
    <t xml:space="preserve">g step</t>
  </si>
  <si>
    <t xml:space="preserve">5. REVERSE DCF</t>
  </si>
  <si>
    <t xml:space="preserve">To solve for the market-implied path: Data ▸ What-If Analysis ▸ Goal Seek — set C56 to the current price (C57) by changing C30 (terminal growth) or the Model scenario levers (unit growth, service revenue per unit, adjusted EBITDA margin).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</si>
  <si>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</si>
  <si>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</si>
  <si>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</si>
  <si>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</si>
  <si>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</si>
  <si>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(Copart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</si>
  <si>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</si>
  <si>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</si>
  <si>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</si>
  <si>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FY2026–31E: low/mid-single-digit units + ~3% fee pricing, modest margin expansion</t>
  </si>
  <si>
    <t xml:space="preserve">ROIIC  (Return on incremental invested capital)</t>
  </si>
  <si>
    <t xml:space="preserve">Land-heavy but high-return yard network: reported ROIC ~30% (equity-funded, net cash); incremental yard capacity earns well above WACC</t>
  </si>
  <si>
    <t xml:space="preserve">N  (Years of value creation / CAP)</t>
  </si>
  <si>
    <t xml:space="preserve">Two-player US salvage market (Copart / IAA) with global buyer network (~1m members, 185+ countries) — long competitive advantage period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</si>
  <si>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</si>
  <si>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</si>
  <si>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</si>
  <si>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</si>
  <si>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</si>
  <si>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</si>
  <si>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</si>
  <si>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2029E NOPAT</t>
  </si>
  <si>
    <t xml:space="preserve">USDm</t>
  </si>
  <si>
    <t xml:space="preserve">2029E Adjusted EBIT (Model)</t>
  </si>
  <si>
    <t xml:space="preserve">(−) 2029E stock-based compensation</t>
  </si>
  <si>
    <t xml:space="preserve">Tax rate (from WACC build)</t>
  </si>
  <si>
    <t xml:space="preserve">2029E NOPAT  =  (EBIT − SBC) × (1 − t)</t>
  </si>
  <si>
    <t xml:space="preserve">× Mauboussin EV/NOPAT multiple</t>
  </si>
  <si>
    <t xml:space="preserve">Implied Enterprise Value (2029E basis)</t>
  </si>
  <si>
    <t xml:space="preserve">Less: FY2028E net debt (net cash) + NCI (Model)</t>
  </si>
  <si>
    <t xml:space="preserve">Implied Equity Value</t>
  </si>
  <si>
    <t xml:space="preserve">Diluted shares 2029E (m, Model)</t>
  </si>
  <si>
    <t xml:space="preserve">Implied share price 2029 ($)</t>
  </si>
  <si>
    <t xml:space="preserve">MARKET-IMPLIED EV/NOPAT TODAY</t>
  </si>
  <si>
    <t xml:space="preserve">Current market cap (spot × diluted shares)</t>
  </si>
  <si>
    <t xml:space="preserve">Plus: FY2026A net debt (net cash) &amp; NCI</t>
  </si>
  <si>
    <t xml:space="preserve">Implied Enterprise Value (today)</t>
  </si>
  <si>
    <t xml:space="preserve">CPRT's market-implied EV/NOPAT (on 2029E NOPAT)</t>
  </si>
  <si>
    <t xml:space="preserve">Multiple gap (Mauboussin − Market)</t>
  </si>
  <si>
    <t xml:space="preserve">Implied re-rating headroom</t>
  </si>
  <si>
    <t xml:space="preserve">Copart — Historical Operating Performance (FY2006–FY2026)</t>
  </si>
  <si>
    <t xml:space="preserve">All historicals · USDm · fiscal years ending 31-July · Linked to Model. Copart does not disclose acquired revenue, so growth is shown in total (M&amp;A series n/d). Adjusted EBITDA = model bridge on Copart's own non-GAAP items.</t>
  </si>
  <si>
    <t xml:space="preserve">Revenue growth % (total)</t>
  </si>
  <si>
    <t xml:space="preserve">M&amp;A % (acquired revenue not disclosed)</t>
  </si>
  <si>
    <t xml:space="preserve">Adj. EBITDA Margin %</t>
  </si>
  <si>
    <t xml:space="preserve">GAAP Op. Margin %</t>
  </si>
  <si>
    <t xml:space="preserve">Adj. EBITDA margin %</t>
  </si>
  <si>
    <t xml:space="preserve">Gross margin %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</si>
</sst>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\+0.0%;\-0.0%"/>
    <numFmt numFmtId="166" formatCode="#,##0;\(#,##0\);\-"/>
    <numFmt numFmtId="167" formatCode="0%;\(0%\);&quot;n/m&quot;"/>
    <numFmt numFmtId="168" formatCode="0.0%;\(0.0%\);\-"/>
    <numFmt numFmtId="169" formatCode="#,##0.0;\(#,##0.0\);\-"/>
    <numFmt numFmtId="170" formatCode="0.0\x"/>
    <numFmt numFmtId="171" formatCode="0.00;\(0.00\);\-"/>
    <numFmt numFmtId="172" formatCode="0.00\x;\(0.00&quot;x)&quot;;\-"/>
    <numFmt numFmtId="173" formatCode="0\d;\(0&quot;)d&quot;;\-"/>
    <numFmt numFmtId="174" formatCode="#,##0.00"/>
    <numFmt numFmtId="175" formatCode="dd\-mmm\-yy"/>
    <numFmt numFmtId="176" formatCode="0%;\(0%\);\-"/>
    <numFmt numFmtId="177" formatCode="0.00%"/>
    <numFmt numFmtId="178" formatCode="0.00"/>
    <numFmt numFmtId="179" formatCode="0.0%"/>
    <numFmt numFmtId="180" formatCode="0.000"/>
    <numFmt numFmtId="181" formatCode="#,##0"/>
    <numFmt numFmtId="182" formatCode="0%"/>
    <numFmt numFmtId="183" formatCode="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i val="true"/>
      <sz val="12"/>
      <color rgb="FF666666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b val="true"/>
      <i val="true"/>
      <sz val="10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1"/>
      <color rgb="FF008000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b val="true"/>
      <sz val="14"/>
      <name val="Calibri"/>
      <family val="0"/>
      <charset val="1"/>
    </font>
    <font>
      <b val="true"/>
      <sz val="14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5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400" spc="-1" strike="noStrike">
                <a:solidFill>
                  <a:srgbClr val="000000"/>
                </a:solidFill>
                <a:latin typeface="Calibri"/>
              </a:rPr>
              <a:t>Revenue Growth (y/y %, total — acquired revenue not disclosed)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Revenue growth % (total)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Charts!$C$8:$W$8</c:f>
              <c:numCache>
                <c:formatCode>0.0%;\(0.0%\);\-</c:formatCode>
                <c:ptCount val="21"/>
                <c:pt idx="0">
                  <c:v>0</c:v>
                </c:pt>
                <c:pt idx="1">
                  <c:v>0.0607468060109238</c:v>
                </c:pt>
                <c:pt idx="2">
                  <c:v>0.399814510950988</c:v>
                </c:pt>
                <c:pt idx="3">
                  <c:v>-0.053215399669745</c:v>
                </c:pt>
                <c:pt idx="4">
                  <c:v>0.0400992084319094</c:v>
                </c:pt>
                <c:pt idx="5">
                  <c:v>0.128567343659227</c:v>
                </c:pt>
                <c:pt idx="6">
                  <c:v>0.0595531535828195</c:v>
                </c:pt>
                <c:pt idx="7">
                  <c:v>0.132218340148303</c:v>
                </c:pt>
                <c:pt idx="8">
                  <c:v>0.111911856618877</c:v>
                </c:pt>
                <c:pt idx="9">
                  <c:v>-0.0149636137513977</c:v>
                </c:pt>
                <c:pt idx="10">
                  <c:v>0.106772744287261</c:v>
                </c:pt>
                <c:pt idx="11">
                  <c:v>0.141536632533117</c:v>
                </c:pt>
                <c:pt idx="12">
                  <c:v>0.24704329683884</c:v>
                </c:pt>
                <c:pt idx="13">
                  <c:v>0.130842694918023</c:v>
                </c:pt>
                <c:pt idx="14">
                  <c:v>0.0801319518481536</c:v>
                </c:pt>
                <c:pt idx="15">
                  <c:v>0.220770653382802</c:v>
                </c:pt>
                <c:pt idx="16">
                  <c:v>0.300243898725019</c:v>
                </c:pt>
                <c:pt idx="17">
                  <c:v>0.105285723385361</c:v>
                </c:pt>
                <c:pt idx="18">
                  <c:v>0.0949226751238785</c:v>
                </c:pt>
                <c:pt idx="19">
                  <c:v>0.0968024862025152</c:v>
                </c:pt>
                <c:pt idx="20">
                  <c:v>0.00414271013424261</c:v>
                </c:pt>
              </c:numCache>
            </c:numRef>
          </c:val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M&amp;A % (acquired revenue not disclosed)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Charts!$C$9:$W$9</c:f>
              <c:numCache>
                <c:formatCode>0.0%;\(0.0%\);\-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gapWidth val="150"/>
        <c:overlap val="100"/>
        <c:axId val="84098356"/>
        <c:axId val="56448337"/>
      </c:barChart>
      <c:catAx>
        <c:axId val="840983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48337"/>
        <c:crosses val="autoZero"/>
        <c:auto val="1"/>
        <c:lblAlgn val="ctr"/>
        <c:lblOffset val="100"/>
        <c:noMultiLvlLbl val="0"/>
      </c:catAx>
      <c:valAx>
        <c:axId val="56448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98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400" spc="-1" strike="noStrike">
                <a:solidFill>
                  <a:srgbClr val="000000"/>
                </a:solidFill>
                <a:latin typeface="Calibri"/>
              </a:rPr>
              <a:t>Adjusted EBITDA &amp; GAAP Operating Income (USDm) with Margins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Charts!$C$12:$W$12</c:f>
              <c:numCache>
                <c:formatCode>#,##0;\(#,##0\);\-</c:formatCode>
                <c:ptCount val="21"/>
                <c:pt idx="0">
                  <c:v>197.868</c:v>
                </c:pt>
                <c:pt idx="1">
                  <c:v>240.866</c:v>
                </c:pt>
                <c:pt idx="2">
                  <c:v>284.902</c:v>
                </c:pt>
                <c:pt idx="3">
                  <c:v>267.668</c:v>
                </c:pt>
                <c:pt idx="4">
                  <c:v>282.748</c:v>
                </c:pt>
                <c:pt idx="5">
                  <c:v>313.156</c:v>
                </c:pt>
                <c:pt idx="6">
                  <c:v>337.207</c:v>
                </c:pt>
                <c:pt idx="7">
                  <c:v>337.475774193548</c:v>
                </c:pt>
                <c:pt idx="8">
                  <c:v>361.142</c:v>
                </c:pt>
                <c:pt idx="9">
                  <c:v>396.807290322581</c:v>
                </c:pt>
                <c:pt idx="10">
                  <c:v>458.835709677419</c:v>
                </c:pt>
                <c:pt idx="11">
                  <c:v>544.754129032258</c:v>
                </c:pt>
                <c:pt idx="12">
                  <c:v>675.695821917808</c:v>
                </c:pt>
                <c:pt idx="13">
                  <c:v>807.989666666667</c:v>
                </c:pt>
                <c:pt idx="14">
                  <c:v>923.008</c:v>
                </c:pt>
                <c:pt idx="15">
                  <c:v>1267.68133333333</c:v>
                </c:pt>
                <c:pt idx="16">
                  <c:v>1519.17533333333</c:v>
                </c:pt>
                <c:pt idx="17">
                  <c:v>1647.878</c:v>
                </c:pt>
                <c:pt idx="18">
                  <c:v>1758.689</c:v>
                </c:pt>
                <c:pt idx="19">
                  <c:v>1932.521</c:v>
                </c:pt>
                <c:pt idx="20">
                  <c:v>1882.427</c:v>
                </c:pt>
              </c:numCache>
            </c:numRef>
          </c:val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Charts!$C$13:$W$13</c:f>
              <c:numCache>
                <c:formatCode>#,##0;\(#,##0\);\-</c:formatCode>
                <c:ptCount val="21"/>
                <c:pt idx="0">
                  <c:v>171.562</c:v>
                </c:pt>
                <c:pt idx="1">
                  <c:v>203.145</c:v>
                </c:pt>
                <c:pt idx="2">
                  <c:v>237.917</c:v>
                </c:pt>
                <c:pt idx="3">
                  <c:v>225.325</c:v>
                </c:pt>
                <c:pt idx="4">
                  <c:v>239.07</c:v>
                </c:pt>
                <c:pt idx="5">
                  <c:v>265.29</c:v>
                </c:pt>
                <c:pt idx="6">
                  <c:v>286.353</c:v>
                </c:pt>
                <c:pt idx="7">
                  <c:v>282.992</c:v>
                </c:pt>
                <c:pt idx="8">
                  <c:v>274.934</c:v>
                </c:pt>
                <c:pt idx="9">
                  <c:v>344.401</c:v>
                </c:pt>
                <c:pt idx="10">
                  <c:v>406.47</c:v>
                </c:pt>
                <c:pt idx="11">
                  <c:v>461.299</c:v>
                </c:pt>
                <c:pt idx="12">
                  <c:v>584.345</c:v>
                </c:pt>
                <c:pt idx="13">
                  <c:v>716.475</c:v>
                </c:pt>
                <c:pt idx="14">
                  <c:v>816.099</c:v>
                </c:pt>
                <c:pt idx="15">
                  <c:v>1136.426</c:v>
                </c:pt>
                <c:pt idx="16">
                  <c:v>1374.997</c:v>
                </c:pt>
                <c:pt idx="17">
                  <c:v>1486.569</c:v>
                </c:pt>
                <c:pt idx="18">
                  <c:v>1572.023</c:v>
                </c:pt>
                <c:pt idx="19">
                  <c:v>1696.714</c:v>
                </c:pt>
                <c:pt idx="20">
                  <c:v>1652.59</c:v>
                </c:pt>
              </c:numCache>
            </c:numRef>
          </c:val>
        </c:ser>
        <c:gapWidth val="150"/>
        <c:overlap val="0"/>
        <c:axId val="28686938"/>
        <c:axId val="31297703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Charts!$C$14:$W$14</c:f>
              <c:numCache>
                <c:formatCode>0.0%;\(0.0%\);\-</c:formatCode>
                <c:ptCount val="21"/>
                <c:pt idx="0">
                  <c:v>0.374345168387974</c:v>
                </c:pt>
                <c:pt idx="1">
                  <c:v>0.429596204608689</c:v>
                </c:pt>
                <c:pt idx="2">
                  <c:v>0.363002772511365</c:v>
                </c:pt>
                <c:pt idx="3">
                  <c:v>0.360213273905168</c:v>
                </c:pt>
                <c:pt idx="4">
                  <c:v>0.365837343232252</c:v>
                </c:pt>
                <c:pt idx="5">
                  <c:v>0.35902256932104</c:v>
                </c:pt>
                <c:pt idx="6">
                  <c:v>0.364867219005595</c:v>
                </c:pt>
                <c:pt idx="7">
                  <c:v>0.322515567098134</c:v>
                </c:pt>
                <c:pt idx="8">
                  <c:v>0.31039571495734</c:v>
                </c:pt>
                <c:pt idx="9">
                  <c:v>0.346230312502524</c:v>
                </c:pt>
                <c:pt idx="10">
                  <c:v>0.361729726364575</c:v>
                </c:pt>
                <c:pt idx="11">
                  <c:v>0.376216351618052</c:v>
                </c:pt>
                <c:pt idx="12">
                  <c:v>0.374202632181962</c:v>
                </c:pt>
                <c:pt idx="13">
                  <c:v>0.395693771546936</c:v>
                </c:pt>
                <c:pt idx="14">
                  <c:v>0.418487084820657</c:v>
                </c:pt>
                <c:pt idx="15">
                  <c:v>0.470817513218454</c:v>
                </c:pt>
                <c:pt idx="16">
                  <c:v>0.43393590810342</c:v>
                </c:pt>
                <c:pt idx="17">
                  <c:v>0.42586130882451</c:v>
                </c:pt>
                <c:pt idx="18">
                  <c:v>0.415096169936766</c:v>
                </c:pt>
                <c:pt idx="19">
                  <c:v>0.415867972122838</c:v>
                </c:pt>
                <c:pt idx="20">
                  <c:v>0.403416777945437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Charts!$C$15:$W$15</c:f>
              <c:numCache>
                <c:formatCode>0.0%;\(0.0%\);\-</c:formatCode>
                <c:ptCount val="21"/>
                <c:pt idx="0">
                  <c:v>0.324577019927313</c:v>
                </c:pt>
                <c:pt idx="1">
                  <c:v>0.362318969822358</c:v>
                </c:pt>
                <c:pt idx="2">
                  <c:v>0.303137677614009</c:v>
                </c:pt>
                <c:pt idx="3">
                  <c:v>0.303230329896297</c:v>
                </c:pt>
                <c:pt idx="4">
                  <c:v>0.309323969211222</c:v>
                </c:pt>
                <c:pt idx="5">
                  <c:v>0.304145848762849</c:v>
                </c:pt>
                <c:pt idx="6">
                  <c:v>0.309841796771447</c:v>
                </c:pt>
                <c:pt idx="7">
                  <c:v>0.270447043442859</c:v>
                </c:pt>
                <c:pt idx="8">
                  <c:v>0.236301331598322</c:v>
                </c:pt>
                <c:pt idx="9">
                  <c:v>0.300503717457523</c:v>
                </c:pt>
                <c:pt idx="10">
                  <c:v>0.320446466511464</c:v>
                </c:pt>
                <c:pt idx="11">
                  <c:v>0.318580837731987</c:v>
                </c:pt>
                <c:pt idx="12">
                  <c:v>0.323612237947162</c:v>
                </c:pt>
                <c:pt idx="13">
                  <c:v>0.350876634522666</c:v>
                </c:pt>
                <c:pt idx="14">
                  <c:v>0.370015093514957</c:v>
                </c:pt>
                <c:pt idx="15">
                  <c:v>0.422069213459109</c:v>
                </c:pt>
                <c:pt idx="16">
                  <c:v>0.392752935584665</c:v>
                </c:pt>
                <c:pt idx="17">
                  <c:v>0.384174204642542</c:v>
                </c:pt>
                <c:pt idx="18">
                  <c:v>0.371038157600636</c:v>
                </c:pt>
                <c:pt idx="19">
                  <c:v>0.365123592681492</c:v>
                </c:pt>
                <c:pt idx="20">
                  <c:v>0.354161161662497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824424"/>
        <c:axId val="73233527"/>
      </c:lineChart>
      <c:catAx>
        <c:axId val="286869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97703"/>
        <c:crosses val="autoZero"/>
        <c:auto val="1"/>
        <c:lblAlgn val="ctr"/>
        <c:lblOffset val="100"/>
        <c:noMultiLvlLbl val="0"/>
      </c:catAx>
      <c:valAx>
        <c:axId val="31297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86938"/>
        <c:crosses val="autoZero"/>
        <c:crossBetween val="between"/>
      </c:valAx>
      <c:catAx>
        <c:axId val="36824424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33527"/>
        <c:crosses val="autoZero"/>
        <c:auto val="1"/>
        <c:lblAlgn val="ctr"/>
        <c:lblOffset val="100"/>
        <c:noMultiLvlLbl val="0"/>
      </c:catAx>
      <c:valAx>
        <c:axId val="7323352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2442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4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Gross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Charts!$C$18:$W$18</c:f>
              <c:numCache>
                <c:formatCode>0.0%;\(0.0%\);\-</c:formatCode>
                <c:ptCount val="21"/>
                <c:pt idx="0">
                  <c:v>0.202642258176006</c:v>
                </c:pt>
                <c:pt idx="1">
                  <c:v>0.190543480095592</c:v>
                </c:pt>
                <c:pt idx="2">
                  <c:v>0.200232029278376</c:v>
                </c:pt>
                <c:pt idx="3">
                  <c:v>0.182766142574505</c:v>
                </c:pt>
                <c:pt idx="4">
                  <c:v>0.184999108426826</c:v>
                </c:pt>
                <c:pt idx="5">
                  <c:v>0.196792637335163</c:v>
                </c:pt>
                <c:pt idx="6">
                  <c:v>0.218827587479538</c:v>
                </c:pt>
                <c:pt idx="7">
                  <c:v>0.17040745606171</c:v>
                </c:pt>
                <c:pt idx="8">
                  <c:v>0.177238830817125</c:v>
                </c:pt>
                <c:pt idx="9">
                  <c:v>0.201051781882616</c:v>
                </c:pt>
                <c:pt idx="10">
                  <c:v>0.222533490473229</c:v>
                </c:pt>
                <c:pt idx="11">
                  <c:v>0.287177626578603</c:v>
                </c:pt>
                <c:pt idx="12">
                  <c:v>0.260014509112254</c:v>
                </c:pt>
                <c:pt idx="13">
                  <c:v>0.304482230868151</c:v>
                </c:pt>
                <c:pt idx="14">
                  <c:v>0.298021316894148</c:v>
                </c:pt>
                <c:pt idx="15">
                  <c:v>0.33225321977019</c:v>
                </c:pt>
                <c:pt idx="16">
                  <c:v>0.346196696253066</c:v>
                </c:pt>
                <c:pt idx="17">
                  <c:v>0.326121133745102</c:v>
                </c:pt>
                <c:pt idx="18">
                  <c:v>0.302104136457213</c:v>
                </c:pt>
                <c:pt idx="19">
                  <c:v>0.317358888950565</c:v>
                </c:pt>
                <c:pt idx="20">
                  <c:v>0.288409433053147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Charts!$C$19:$W$19</c:f>
              <c:numCache>
                <c:formatCode>0.0%;\(0.0%\);\-</c:formatCode>
                <c:ptCount val="21"/>
                <c:pt idx="0">
                  <c:v>0.154078650822875</c:v>
                </c:pt>
                <c:pt idx="1">
                  <c:v>0.180062521396603</c:v>
                </c:pt>
                <c:pt idx="2">
                  <c:v>0.241974070241196</c:v>
                </c:pt>
                <c:pt idx="3">
                  <c:v>0.179422287059631</c:v>
                </c:pt>
                <c:pt idx="4">
                  <c:v>0.162574931998348</c:v>
                </c:pt>
                <c:pt idx="5">
                  <c:v>0.222823303531934</c:v>
                </c:pt>
                <c:pt idx="6">
                  <c:v>0.225795436958493</c:v>
                </c:pt>
                <c:pt idx="7">
                  <c:v>0.205846941739533</c:v>
                </c:pt>
                <c:pt idx="8">
                  <c:v>0.19702164165565</c:v>
                </c:pt>
                <c:pt idx="9">
                  <c:v>0.171771924634251</c:v>
                </c:pt>
                <c:pt idx="10">
                  <c:v>0.238414551820413</c:v>
                </c:pt>
                <c:pt idx="11">
                  <c:v>0.324552129125985</c:v>
                </c:pt>
                <c:pt idx="12">
                  <c:v>0.272303183660385</c:v>
                </c:pt>
                <c:pt idx="13">
                  <c:v>0.323127344811996</c:v>
                </c:pt>
                <c:pt idx="14">
                  <c:v>0.265108933324062</c:v>
                </c:pt>
                <c:pt idx="15">
                  <c:v>0.255759018560772</c:v>
                </c:pt>
                <c:pt idx="16">
                  <c:v>0.254534884191145</c:v>
                </c:pt>
                <c:pt idx="17">
                  <c:v>0.204771408037173</c:v>
                </c:pt>
                <c:pt idx="18">
                  <c:v>0.172870202236054</c:v>
                </c:pt>
                <c:pt idx="19">
                  <c:v>0.158856190202101</c:v>
                </c:pt>
                <c:pt idx="20">
                  <c:v>0.152200732156762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Charts!$C$20:$W$20</c:f>
              <c:numCache>
                <c:formatCode>0.0%;\(0.0%\);\-</c:formatCode>
                <c:ptCount val="21"/>
                <c:pt idx="0">
                  <c:v>0.374345168387974</c:v>
                </c:pt>
                <c:pt idx="1">
                  <c:v>0.429596204608689</c:v>
                </c:pt>
                <c:pt idx="2">
                  <c:v>0.363002772511365</c:v>
                </c:pt>
                <c:pt idx="3">
                  <c:v>0.360213273905168</c:v>
                </c:pt>
                <c:pt idx="4">
                  <c:v>0.365837343232252</c:v>
                </c:pt>
                <c:pt idx="5">
                  <c:v>0.35902256932104</c:v>
                </c:pt>
                <c:pt idx="6">
                  <c:v>0.364867219005595</c:v>
                </c:pt>
                <c:pt idx="7">
                  <c:v>0.322515567098134</c:v>
                </c:pt>
                <c:pt idx="8">
                  <c:v>0.31039571495734</c:v>
                </c:pt>
                <c:pt idx="9">
                  <c:v>0.346230312502524</c:v>
                </c:pt>
                <c:pt idx="10">
                  <c:v>0.361729726364575</c:v>
                </c:pt>
                <c:pt idx="11">
                  <c:v>0.376216351618052</c:v>
                </c:pt>
                <c:pt idx="12">
                  <c:v>0.374202632181962</c:v>
                </c:pt>
                <c:pt idx="13">
                  <c:v>0.395693771546936</c:v>
                </c:pt>
                <c:pt idx="14">
                  <c:v>0.418487084820657</c:v>
                </c:pt>
                <c:pt idx="15">
                  <c:v>0.470817513218454</c:v>
                </c:pt>
                <c:pt idx="16">
                  <c:v>0.43393590810342</c:v>
                </c:pt>
                <c:pt idx="17">
                  <c:v>0.42586130882451</c:v>
                </c:pt>
                <c:pt idx="18">
                  <c:v>0.415096169936766</c:v>
                </c:pt>
                <c:pt idx="19">
                  <c:v>0.415867972122838</c:v>
                </c:pt>
                <c:pt idx="20">
                  <c:v>0.403416777945437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strCache>
            </c:strRef>
          </c:cat>
          <c:val>
            <c:numRef>
              <c:f>Charts!$C$21:$W$21</c:f>
              <c:numCache>
                <c:formatCode>0.0%;\(0.0%\);\-</c:formatCode>
                <c:ptCount val="21"/>
                <c:pt idx="0">
                  <c:v>0.436172245545064</c:v>
                </c:pt>
                <c:pt idx="1">
                  <c:v>0.47581864878362</c:v>
                </c:pt>
                <c:pt idx="2">
                  <c:v>0.410600523923104</c:v>
                </c:pt>
                <c:pt idx="3">
                  <c:v>0.420222801790381</c:v>
                </c:pt>
                <c:pt idx="4">
                  <c:v>0.450256767230058</c:v>
                </c:pt>
                <c:pt idx="5">
                  <c:v>0.427511275488796</c:v>
                </c:pt>
                <c:pt idx="6">
                  <c:v>0.443215742200476</c:v>
                </c:pt>
                <c:pt idx="7">
                  <c:v>0.402262644951289</c:v>
                </c:pt>
                <c:pt idx="8">
                  <c:v>0.402730923970919</c:v>
                </c:pt>
                <c:pt idx="9">
                  <c:v>0.421764991767583</c:v>
                </c:pt>
                <c:pt idx="10">
                  <c:v>0.429332200190942</c:v>
                </c:pt>
                <c:pt idx="11">
                  <c:v>0.436489152827282</c:v>
                </c:pt>
                <c:pt idx="12">
                  <c:v>0.422200870025115</c:v>
                </c:pt>
                <c:pt idx="13">
                  <c:v>0.4399416833949</c:v>
                </c:pt>
                <c:pt idx="14">
                  <c:v>0.456932248752371</c:v>
                </c:pt>
                <c:pt idx="15">
                  <c:v>0.498824703037425</c:v>
                </c:pt>
                <c:pt idx="16">
                  <c:v>0.458799555888293</c:v>
                </c:pt>
                <c:pt idx="17">
                  <c:v>0.448890792083148</c:v>
                </c:pt>
                <c:pt idx="18">
                  <c:v>0.450160887060895</c:v>
                </c:pt>
                <c:pt idx="19">
                  <c:v>0.451831714424791</c:v>
                </c:pt>
                <c:pt idx="20">
                  <c:v>0.446584797209041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020033"/>
        <c:axId val="18536151"/>
      </c:lineChart>
      <c:catAx>
        <c:axId val="560200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36151"/>
        <c:crosses val="autoZero"/>
        <c:auto val="1"/>
        <c:lblAlgn val="ctr"/>
        <c:lblOffset val="100"/>
        <c:noMultiLvlLbl val="0"/>
      </c:catAx>
      <c:valAx>
        <c:axId val="18536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200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160560</xdr:rowOff>
    </xdr:from>
    <xdr:to>
      <xdr:col>12</xdr:col>
      <xdr:colOff>543600</xdr:colOff>
      <xdr:row>37</xdr:row>
      <xdr:rowOff>2160</xdr:rowOff>
    </xdr:to>
    <xdr:graphicFrame>
      <xdr:nvGraphicFramePr>
        <xdr:cNvPr id="0" name="Chart 1"/>
        <xdr:cNvGraphicFramePr/>
      </xdr:nvGraphicFramePr>
      <xdr:xfrm>
        <a:off x="762120" y="4380120"/>
        <a:ext cx="1083060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543600</xdr:colOff>
      <xdr:row>58</xdr:row>
      <xdr:rowOff>1800</xdr:rowOff>
    </xdr:to>
    <xdr:graphicFrame>
      <xdr:nvGraphicFramePr>
        <xdr:cNvPr id="1" name="Chart 2"/>
        <xdr:cNvGraphicFramePr/>
      </xdr:nvGraphicFramePr>
      <xdr:xfrm>
        <a:off x="762120" y="8380800"/>
        <a:ext cx="1083060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543600</xdr:colOff>
      <xdr:row>79</xdr:row>
      <xdr:rowOff>2160</xdr:rowOff>
    </xdr:to>
    <xdr:graphicFrame>
      <xdr:nvGraphicFramePr>
        <xdr:cNvPr id="2" name="Chart 3"/>
        <xdr:cNvGraphicFramePr/>
      </xdr:nvGraphicFramePr>
      <xdr:xfrm>
        <a:off x="762120" y="12381120"/>
        <a:ext cx="1083060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G358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false" outlineLevel="0" max="9" min="3" style="0" width="14.14"/>
    <col collapsed="false" customWidth="true" hidden="true" outlineLevel="1" max="11" min="10" style="0" width="9.57"/>
    <col collapsed="false" customWidth="true" hidden="true" outlineLevel="1" max="12" min="12" style="0" width="10.86"/>
    <col collapsed="false" customWidth="true" hidden="true" outlineLevel="1" max="14" min="13" style="0" width="9.57"/>
    <col collapsed="false" customWidth="true" hidden="false" outlineLevel="0" max="15" min="15" style="0" width="14.14"/>
    <col collapsed="false" customWidth="true" hidden="true" outlineLevel="1" max="17" min="16" style="0" width="9.57"/>
    <col collapsed="false" customWidth="true" hidden="true" outlineLevel="1" max="18" min="18" style="0" width="10.86"/>
    <col collapsed="false" customWidth="true" hidden="true" outlineLevel="1" max="20" min="19" style="0" width="9.57"/>
    <col collapsed="false" customWidth="true" hidden="false" outlineLevel="0" max="21" min="21" style="0" width="14.14"/>
    <col collapsed="false" customWidth="true" hidden="true" outlineLevel="1" max="23" min="22" style="0" width="9.57"/>
    <col collapsed="false" customWidth="true" hidden="true" outlineLevel="1" max="24" min="24" style="0" width="10.86"/>
    <col collapsed="false" customWidth="true" hidden="true" outlineLevel="1" max="26" min="25" style="0" width="9.57"/>
    <col collapsed="false" customWidth="true" hidden="false" outlineLevel="0" max="27" min="27" style="0" width="14.14"/>
    <col collapsed="false" customWidth="true" hidden="true" outlineLevel="1" max="29" min="28" style="0" width="9.57"/>
    <col collapsed="false" customWidth="true" hidden="true" outlineLevel="1" max="30" min="30" style="0" width="10.86"/>
    <col collapsed="false" customWidth="true" hidden="true" outlineLevel="1" max="32" min="31" style="0" width="9.57"/>
    <col collapsed="false" customWidth="true" hidden="false" outlineLevel="0" max="33" min="33" style="0" width="14.14"/>
    <col collapsed="false" customWidth="true" hidden="true" outlineLevel="1" max="35" min="34" style="0" width="9.57"/>
    <col collapsed="false" customWidth="true" hidden="true" outlineLevel="1" max="36" min="36" style="0" width="10.86"/>
    <col collapsed="false" customWidth="true" hidden="true" outlineLevel="1" max="38" min="37" style="0" width="9.57"/>
    <col collapsed="false" customWidth="true" hidden="false" outlineLevel="0" max="39" min="39" style="0" width="14.14"/>
    <col collapsed="false" customWidth="true" hidden="true" outlineLevel="1" max="41" min="40" style="0" width="9.57"/>
    <col collapsed="false" customWidth="true" hidden="true" outlineLevel="1" max="42" min="42" style="0" width="10.86"/>
    <col collapsed="false" customWidth="true" hidden="true" outlineLevel="1" max="44" min="43" style="0" width="9.57"/>
    <col collapsed="false" customWidth="true" hidden="false" outlineLevel="0" max="45" min="45" style="0" width="14.14"/>
    <col collapsed="false" customWidth="true" hidden="true" outlineLevel="1" max="47" min="46" style="0" width="9.57"/>
    <col collapsed="false" customWidth="true" hidden="true" outlineLevel="1" max="48" min="48" style="0" width="10.86"/>
    <col collapsed="false" customWidth="true" hidden="true" outlineLevel="1" max="50" min="49" style="0" width="9.57"/>
    <col collapsed="false" customWidth="true" hidden="false" outlineLevel="0" max="51" min="51" style="0" width="14.14"/>
    <col collapsed="false" customWidth="true" hidden="true" outlineLevel="1" max="53" min="52" style="0" width="9.57"/>
    <col collapsed="false" customWidth="true" hidden="true" outlineLevel="1" max="54" min="54" style="0" width="10.86"/>
    <col collapsed="false" customWidth="true" hidden="true" outlineLevel="1" max="56" min="55" style="0" width="9.57"/>
    <col collapsed="false" customWidth="true" hidden="false" outlineLevel="0" max="57" min="57" style="0" width="14.14"/>
    <col collapsed="false" customWidth="true" hidden="true" outlineLevel="1" max="59" min="58" style="0" width="9.57"/>
    <col collapsed="false" customWidth="true" hidden="true" outlineLevel="1" max="60" min="60" style="0" width="10.86"/>
    <col collapsed="false" customWidth="true" hidden="true" outlineLevel="1" max="62" min="61" style="0" width="9.57"/>
    <col collapsed="false" customWidth="true" hidden="false" outlineLevel="0" max="63" min="63" style="0" width="14.14"/>
    <col collapsed="false" customWidth="true" hidden="true" outlineLevel="1" max="65" min="64" style="0" width="9.57"/>
    <col collapsed="false" customWidth="true" hidden="true" outlineLevel="1" max="66" min="66" style="0" width="10.86"/>
    <col collapsed="false" customWidth="true" hidden="true" outlineLevel="1" max="68" min="67" style="0" width="9.57"/>
    <col collapsed="false" customWidth="true" hidden="false" outlineLevel="0" max="69" min="69" style="0" width="14.14"/>
    <col collapsed="false" customWidth="true" hidden="true" outlineLevel="1" max="71" min="70" style="0" width="9.57"/>
    <col collapsed="false" customWidth="true" hidden="true" outlineLevel="1" max="72" min="72" style="0" width="10.86"/>
    <col collapsed="false" customWidth="true" hidden="true" outlineLevel="1" max="74" min="73" style="0" width="9.57"/>
    <col collapsed="false" customWidth="true" hidden="false" outlineLevel="0" max="75" min="75" style="0" width="14.14"/>
    <col collapsed="false" customWidth="true" hidden="true" outlineLevel="1" max="77" min="76" style="0" width="9.57"/>
    <col collapsed="false" customWidth="true" hidden="true" outlineLevel="1" max="78" min="78" style="0" width="10.86"/>
    <col collapsed="false" customWidth="true" hidden="true" outlineLevel="1" max="80" min="79" style="0" width="9.57"/>
    <col collapsed="false" customWidth="true" hidden="false" outlineLevel="0" max="81" min="81" style="0" width="14.14"/>
    <col collapsed="false" customWidth="true" hidden="true" outlineLevel="1" max="83" min="82" style="0" width="9.57"/>
    <col collapsed="false" customWidth="true" hidden="true" outlineLevel="1" max="84" min="84" style="0" width="10.86"/>
    <col collapsed="false" customWidth="true" hidden="true" outlineLevel="1" max="86" min="85" style="0" width="9.57"/>
    <col collapsed="false" customWidth="true" hidden="false" outlineLevel="0" max="87" min="87" style="0" width="14.14"/>
    <col collapsed="false" customWidth="true" hidden="true" outlineLevel="1" max="89" min="88" style="0" width="9.57"/>
    <col collapsed="false" customWidth="true" hidden="true" outlineLevel="1" max="90" min="90" style="0" width="10.86"/>
    <col collapsed="false" customWidth="true" hidden="true" outlineLevel="1" max="92" min="91" style="0" width="9.57"/>
    <col collapsed="false" customWidth="true" hidden="false" outlineLevel="0" max="98" min="93" style="0" width="14.14"/>
    <col collapsed="false" customWidth="true" hidden="false" outlineLevel="0" max="99" min="99" style="0" width="86.86"/>
    <col collapsed="false" customWidth="true" hidden="false" outlineLevel="0" max="100" min="100" style="0" width="2"/>
    <col collapsed="false" customWidth="true" hidden="false" outlineLevel="0" max="104" min="101" style="0" width="14.14"/>
    <col collapsed="false" customWidth="true" hidden="false" outlineLevel="0" max="105" min="105" style="0" width="2"/>
    <col collapsed="false" customWidth="true" hidden="false" outlineLevel="0" max="106" min="106" style="0" width="6"/>
    <col collapsed="false" customWidth="true" hidden="false" outlineLevel="0" max="107" min="107" style="0" width="40"/>
    <col collapsed="false" customWidth="true" hidden="false" outlineLevel="0" max="110" min="108" style="0" width="11.57"/>
    <col collapsed="false" customWidth="true" hidden="false" outlineLevel="0" max="111" min="111" style="0" width="40"/>
  </cols>
  <sheetData>
    <row r="1" customFormat="false" ht="15" hidden="false" customHeight="false" outlineLevel="0" collapsed="false">
      <c r="CU1" s="1" t="s">
        <v>0</v>
      </c>
    </row>
    <row r="2" customFormat="false" ht="19.7" hidden="false" customHeight="false" outlineLevel="0" collapsed="false">
      <c r="B2" s="2" t="s">
        <v>1</v>
      </c>
      <c r="CU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5" t="s">
        <v>4</v>
      </c>
    </row>
    <row r="5" customFormat="false" ht="15" hidden="false" customHeight="false" outlineLevel="0" collapsed="false">
      <c r="CP5" s="6"/>
      <c r="CQ5" s="6"/>
      <c r="CR5" s="6"/>
      <c r="CS5" s="6"/>
      <c r="CT5" s="6"/>
      <c r="CW5" s="7" t="s">
        <v>5</v>
      </c>
      <c r="CX5" s="7" t="s">
        <v>6</v>
      </c>
      <c r="CY5" s="7" t="s">
        <v>6</v>
      </c>
      <c r="CZ5" s="7" t="s">
        <v>6</v>
      </c>
    </row>
    <row r="6" customFormat="false" ht="15" hidden="false" customHeight="false" outlineLevel="0" collapsed="false">
      <c r="B6" s="8" t="s">
        <v>7</v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n">
        <v>2013</v>
      </c>
      <c r="P6" s="9" t="s">
        <v>13</v>
      </c>
      <c r="Q6" s="9" t="s">
        <v>14</v>
      </c>
      <c r="R6" s="9" t="s">
        <v>15</v>
      </c>
      <c r="S6" s="9" t="s">
        <v>16</v>
      </c>
      <c r="T6" s="9" t="s">
        <v>17</v>
      </c>
      <c r="U6" s="9" t="n">
        <v>2014</v>
      </c>
      <c r="V6" s="9" t="s">
        <v>18</v>
      </c>
      <c r="W6" s="9" t="s">
        <v>19</v>
      </c>
      <c r="X6" s="9" t="s">
        <v>20</v>
      </c>
      <c r="Y6" s="9" t="s">
        <v>21</v>
      </c>
      <c r="Z6" s="9" t="s">
        <v>22</v>
      </c>
      <c r="AA6" s="9" t="n">
        <v>2015</v>
      </c>
      <c r="AB6" s="9" t="s">
        <v>23</v>
      </c>
      <c r="AC6" s="9" t="s">
        <v>24</v>
      </c>
      <c r="AD6" s="9" t="s">
        <v>25</v>
      </c>
      <c r="AE6" s="9" t="s">
        <v>26</v>
      </c>
      <c r="AF6" s="9" t="s">
        <v>27</v>
      </c>
      <c r="AG6" s="9" t="n">
        <v>2016</v>
      </c>
      <c r="AH6" s="9" t="s">
        <v>28</v>
      </c>
      <c r="AI6" s="9" t="s">
        <v>29</v>
      </c>
      <c r="AJ6" s="9" t="s">
        <v>30</v>
      </c>
      <c r="AK6" s="9" t="s">
        <v>31</v>
      </c>
      <c r="AL6" s="9" t="s">
        <v>32</v>
      </c>
      <c r="AM6" s="9" t="n">
        <v>2017</v>
      </c>
      <c r="AN6" s="9" t="s">
        <v>33</v>
      </c>
      <c r="AO6" s="9" t="s">
        <v>34</v>
      </c>
      <c r="AP6" s="9" t="s">
        <v>35</v>
      </c>
      <c r="AQ6" s="9" t="s">
        <v>36</v>
      </c>
      <c r="AR6" s="9" t="s">
        <v>37</v>
      </c>
      <c r="AS6" s="9" t="n">
        <v>2018</v>
      </c>
      <c r="AT6" s="9" t="s">
        <v>38</v>
      </c>
      <c r="AU6" s="9" t="s">
        <v>39</v>
      </c>
      <c r="AV6" s="9" t="s">
        <v>40</v>
      </c>
      <c r="AW6" s="9" t="s">
        <v>41</v>
      </c>
      <c r="AX6" s="9" t="s">
        <v>42</v>
      </c>
      <c r="AY6" s="9" t="n">
        <v>2019</v>
      </c>
      <c r="AZ6" s="9" t="s">
        <v>43</v>
      </c>
      <c r="BA6" s="9" t="s">
        <v>44</v>
      </c>
      <c r="BB6" s="9" t="s">
        <v>45</v>
      </c>
      <c r="BC6" s="9" t="s">
        <v>46</v>
      </c>
      <c r="BD6" s="9" t="s">
        <v>47</v>
      </c>
      <c r="BE6" s="9" t="n">
        <v>2020</v>
      </c>
      <c r="BF6" s="9" t="s">
        <v>48</v>
      </c>
      <c r="BG6" s="9" t="s">
        <v>49</v>
      </c>
      <c r="BH6" s="9" t="s">
        <v>50</v>
      </c>
      <c r="BI6" s="9" t="s">
        <v>51</v>
      </c>
      <c r="BJ6" s="9" t="s">
        <v>52</v>
      </c>
      <c r="BK6" s="9" t="n">
        <v>2021</v>
      </c>
      <c r="BL6" s="9" t="s">
        <v>53</v>
      </c>
      <c r="BM6" s="9" t="s">
        <v>54</v>
      </c>
      <c r="BN6" s="9" t="s">
        <v>55</v>
      </c>
      <c r="BO6" s="9" t="s">
        <v>56</v>
      </c>
      <c r="BP6" s="9" t="s">
        <v>57</v>
      </c>
      <c r="BQ6" s="9" t="n">
        <v>2022</v>
      </c>
      <c r="BR6" s="9" t="s">
        <v>58</v>
      </c>
      <c r="BS6" s="9" t="s">
        <v>59</v>
      </c>
      <c r="BT6" s="9" t="s">
        <v>60</v>
      </c>
      <c r="BU6" s="9" t="s">
        <v>61</v>
      </c>
      <c r="BV6" s="9" t="s">
        <v>62</v>
      </c>
      <c r="BW6" s="9" t="n">
        <v>2023</v>
      </c>
      <c r="BX6" s="9" t="s">
        <v>63</v>
      </c>
      <c r="BY6" s="9" t="s">
        <v>64</v>
      </c>
      <c r="BZ6" s="9" t="s">
        <v>65</v>
      </c>
      <c r="CA6" s="9" t="s">
        <v>66</v>
      </c>
      <c r="CB6" s="9" t="s">
        <v>67</v>
      </c>
      <c r="CC6" s="9" t="n">
        <v>2024</v>
      </c>
      <c r="CD6" s="9" t="s">
        <v>68</v>
      </c>
      <c r="CE6" s="9" t="s">
        <v>69</v>
      </c>
      <c r="CF6" s="9" t="s">
        <v>70</v>
      </c>
      <c r="CG6" s="9" t="s">
        <v>71</v>
      </c>
      <c r="CH6" s="9" t="s">
        <v>72</v>
      </c>
      <c r="CI6" s="9" t="n">
        <v>2025</v>
      </c>
      <c r="CJ6" s="9" t="s">
        <v>73</v>
      </c>
      <c r="CK6" s="9" t="s">
        <v>74</v>
      </c>
      <c r="CL6" s="9" t="s">
        <v>75</v>
      </c>
      <c r="CM6" s="9" t="s">
        <v>76</v>
      </c>
      <c r="CN6" s="9" t="s">
        <v>77</v>
      </c>
      <c r="CO6" s="9" t="n">
        <v>2026</v>
      </c>
      <c r="CP6" s="9" t="s">
        <v>78</v>
      </c>
      <c r="CQ6" s="9" t="s">
        <v>79</v>
      </c>
      <c r="CR6" s="9" t="s">
        <v>80</v>
      </c>
      <c r="CS6" s="9" t="s">
        <v>81</v>
      </c>
      <c r="CT6" s="9" t="s">
        <v>82</v>
      </c>
      <c r="CU6" s="9" t="s">
        <v>83</v>
      </c>
      <c r="CW6" s="7" t="s">
        <v>84</v>
      </c>
      <c r="CX6" s="7" t="s">
        <v>84</v>
      </c>
      <c r="CY6" s="7" t="s">
        <v>85</v>
      </c>
      <c r="CZ6" s="7" t="s">
        <v>86</v>
      </c>
    </row>
    <row r="7" customFormat="false" ht="15" hidden="false" customHeight="false" outlineLevel="0" collapsed="false">
      <c r="CW7" s="10" t="s">
        <v>87</v>
      </c>
      <c r="CX7" s="10" t="s">
        <v>88</v>
      </c>
      <c r="CY7" s="10" t="s">
        <v>89</v>
      </c>
      <c r="CZ7" s="10" t="s">
        <v>90</v>
      </c>
    </row>
    <row r="9" customFormat="false" ht="15" hidden="false" customHeight="false" outlineLevel="0" collapsed="false">
      <c r="B9" s="11" t="s">
        <v>91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 t="s">
        <v>92</v>
      </c>
      <c r="DC9" s="12" t="s">
        <v>93</v>
      </c>
      <c r="DD9" s="13" t="s">
        <v>94</v>
      </c>
      <c r="DE9" s="13" t="s">
        <v>2</v>
      </c>
      <c r="DF9" s="13" t="s">
        <v>95</v>
      </c>
      <c r="DG9" s="14" t="s">
        <v>96</v>
      </c>
    </row>
    <row r="10" customFormat="false" ht="15" hidden="false" customHeight="false" outlineLevel="0" collapsed="false">
      <c r="B10" s="15"/>
      <c r="CP10" s="6"/>
      <c r="CQ10" s="6"/>
      <c r="CR10" s="6"/>
      <c r="CS10" s="6"/>
      <c r="CT10" s="6"/>
      <c r="CU10" s="6"/>
    </row>
    <row r="11" customFormat="false" ht="15" hidden="false" customHeight="false" outlineLevel="0" collapsed="false">
      <c r="B11" s="16" t="s">
        <v>97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7" t="s">
        <v>98</v>
      </c>
      <c r="DC11" s="17" t="s">
        <v>99</v>
      </c>
      <c r="DD11" s="18" t="n">
        <v>0.02</v>
      </c>
      <c r="DE11" s="19" t="s">
        <v>100</v>
      </c>
      <c r="DF11" s="18" t="n">
        <v>-0.03</v>
      </c>
      <c r="DG11" s="14" t="s">
        <v>101</v>
      </c>
    </row>
    <row r="12" customFormat="false" ht="15" hidden="false" customHeight="false" outlineLevel="0" collapsed="false">
      <c r="B12" s="20" t="s">
        <v>102</v>
      </c>
      <c r="C12" s="21"/>
      <c r="D12" s="21"/>
      <c r="E12" s="21"/>
      <c r="F12" s="21"/>
      <c r="G12" s="21"/>
      <c r="H12" s="21"/>
      <c r="I12" s="21"/>
      <c r="J12" s="22"/>
      <c r="K12" s="22"/>
      <c r="L12" s="21"/>
      <c r="M12" s="22"/>
      <c r="N12" s="22"/>
      <c r="O12" s="22"/>
      <c r="P12" s="22"/>
      <c r="Q12" s="22"/>
      <c r="R12" s="21"/>
      <c r="S12" s="22"/>
      <c r="T12" s="22"/>
      <c r="U12" s="22"/>
      <c r="V12" s="22"/>
      <c r="W12" s="22"/>
      <c r="X12" s="21"/>
      <c r="Y12" s="22"/>
      <c r="Z12" s="22"/>
      <c r="AA12" s="22"/>
      <c r="AB12" s="22"/>
      <c r="AC12" s="22"/>
      <c r="AD12" s="21"/>
      <c r="AE12" s="22"/>
      <c r="AF12" s="22"/>
      <c r="AG12" s="22"/>
      <c r="AH12" s="22"/>
      <c r="AI12" s="22"/>
      <c r="AJ12" s="21"/>
      <c r="AK12" s="22"/>
      <c r="AL12" s="22"/>
      <c r="AM12" s="22" t="n">
        <v>1128.99</v>
      </c>
      <c r="AN12" s="22" t="n">
        <v>331.391</v>
      </c>
      <c r="AO12" s="22" t="n">
        <v>355.542</v>
      </c>
      <c r="AP12" s="21" t="n">
        <f aca="false">AN12+AO12</f>
        <v>686.933</v>
      </c>
      <c r="AQ12" s="22" t="n">
        <v>356.252</v>
      </c>
      <c r="AR12" s="22" t="n">
        <v>342.053</v>
      </c>
      <c r="AS12" s="22" t="n">
        <v>1385.238</v>
      </c>
      <c r="AT12" s="22" t="n">
        <v>343.573</v>
      </c>
      <c r="AU12" s="22" t="n">
        <v>362.023</v>
      </c>
      <c r="AV12" s="21" t="n">
        <f aca="false">AT12+AU12</f>
        <v>705.596</v>
      </c>
      <c r="AW12" s="22" t="n">
        <v>416.874</v>
      </c>
      <c r="AX12" s="22" t="n">
        <v>414.961</v>
      </c>
      <c r="AY12" s="22" t="n">
        <v>1537.431</v>
      </c>
      <c r="AZ12" s="22" t="n">
        <v>430.803</v>
      </c>
      <c r="BA12" s="22" t="n">
        <v>447.345</v>
      </c>
      <c r="BB12" s="21" t="n">
        <f aca="false">AZ12+BA12</f>
        <v>878.148</v>
      </c>
      <c r="BC12" s="22" t="n">
        <v>431.875</v>
      </c>
      <c r="BD12" s="22" t="n">
        <v>404.701</v>
      </c>
      <c r="BE12" s="22" t="n">
        <v>1714.724</v>
      </c>
      <c r="BF12" s="22" t="n">
        <v>450.235</v>
      </c>
      <c r="BG12" s="22" t="n">
        <v>465.423</v>
      </c>
      <c r="BH12" s="21" t="n">
        <f aca="false">BF12+BG12</f>
        <v>915.658</v>
      </c>
      <c r="BI12" s="22" t="n">
        <v>550.338</v>
      </c>
      <c r="BJ12" s="22" t="n">
        <v>551.508</v>
      </c>
      <c r="BK12" s="22" t="n">
        <v>2017.504</v>
      </c>
      <c r="BL12" s="22" t="n">
        <v>590.758</v>
      </c>
      <c r="BM12" s="22" t="n">
        <v>630.707</v>
      </c>
      <c r="BN12" s="21" t="n">
        <f aca="false">BL12+BM12</f>
        <v>1221.465</v>
      </c>
      <c r="BO12" s="22" t="n">
        <v>678.865</v>
      </c>
      <c r="BP12" s="22" t="n">
        <v>632.835</v>
      </c>
      <c r="BQ12" s="22" t="n">
        <v>2533.165</v>
      </c>
      <c r="BR12" s="22" t="n">
        <v>651.657</v>
      </c>
      <c r="BS12" s="22" t="n">
        <v>705.733</v>
      </c>
      <c r="BT12" s="21" t="n">
        <f aca="false">BR12+BS12</f>
        <v>1357.39</v>
      </c>
      <c r="BU12" s="22" t="n">
        <v>752.077</v>
      </c>
      <c r="BV12" s="22" t="n">
        <v>732.174</v>
      </c>
      <c r="BW12" s="22" t="n">
        <v>2841.641</v>
      </c>
      <c r="BX12" s="22" t="n">
        <v>762.524</v>
      </c>
      <c r="BY12" s="22" t="n">
        <v>756.036</v>
      </c>
      <c r="BZ12" s="21" t="n">
        <f aca="false">BX12+BY12</f>
        <v>1518.56</v>
      </c>
      <c r="CA12" s="22" t="n">
        <v>830.68</v>
      </c>
      <c r="CB12" s="22" t="n">
        <v>776.861</v>
      </c>
      <c r="CC12" s="22" t="n">
        <v>3126.102</v>
      </c>
      <c r="CD12" s="22" t="n">
        <v>859.99</v>
      </c>
      <c r="CE12" s="22" t="n">
        <v>868.13</v>
      </c>
      <c r="CF12" s="21" t="n">
        <f aca="false">CD12+CE12</f>
        <v>1728.12</v>
      </c>
      <c r="CG12" s="22" t="n">
        <v>898.625</v>
      </c>
      <c r="CH12" s="22" t="n">
        <v>824.813</v>
      </c>
      <c r="CI12" s="22" t="n">
        <v>3451.558</v>
      </c>
      <c r="CJ12" s="22" t="n">
        <v>855.534</v>
      </c>
      <c r="CK12" s="22" t="n">
        <v>819.467</v>
      </c>
      <c r="CL12" s="21" t="n">
        <f aca="false">CJ12+CK12</f>
        <v>1675.001</v>
      </c>
      <c r="CM12" s="22" t="n">
        <v>895.464</v>
      </c>
      <c r="CN12" s="22" t="n">
        <v>817.822</v>
      </c>
      <c r="CO12" s="22" t="n">
        <v>3388.287</v>
      </c>
      <c r="CP12" s="23" t="n">
        <f aca="false">CO12*(1+CP13)*(1+CP14)</f>
        <v>3524.8349661</v>
      </c>
      <c r="CQ12" s="23" t="n">
        <f aca="false">CP12*(1+CQ13)*(1+CQ14)</f>
        <v>3721.34451546007</v>
      </c>
      <c r="CR12" s="23" t="n">
        <f aca="false">CQ12*(1+CR13)*(1+CR14)</f>
        <v>3947.97439645159</v>
      </c>
      <c r="CS12" s="23" t="n">
        <f aca="false">CR12*(1+CS13)*(1+CS14)</f>
        <v>4188.4060371955</v>
      </c>
      <c r="CT12" s="23" t="n">
        <f aca="false">CS12*(1+CT13)*(1+CT14)</f>
        <v>4443.4799648607</v>
      </c>
      <c r="CU12" s="24" t="s">
        <v>103</v>
      </c>
      <c r="CW12" s="25" t="n">
        <f aca="false">IFERROR((CT12/CO12)^(1/5)-1,"n/m")</f>
        <v>0.0557196554818167</v>
      </c>
      <c r="CX12" s="25" t="n">
        <f aca="false">IFERROR((CO12/BK12)^(1/5)-1,"n/m")</f>
        <v>0.109259500489544</v>
      </c>
      <c r="CY12" s="25" t="str">
        <f aca="false">IFERROR((CO12/AG12)^(1/10)-1,"n/m")</f>
        <v>n/m</v>
      </c>
      <c r="CZ12" s="25" t="str">
        <f aca="false">IFERROR((CO12/C12)^(1/20)-1,"n/m")</f>
        <v>n/m</v>
      </c>
      <c r="DC12" s="15" t="s">
        <v>104</v>
      </c>
      <c r="DD12" s="26" t="n">
        <f aca="false">DE12+$DD$11</f>
        <v>0.03</v>
      </c>
      <c r="DE12" s="27" t="n">
        <v>0.01</v>
      </c>
      <c r="DF12" s="26" t="n">
        <f aca="false">DE12+$DF$11</f>
        <v>-0.02</v>
      </c>
    </row>
    <row r="13" customFormat="false" ht="15" hidden="false" customHeight="false" outlineLevel="0" collapsed="false">
      <c r="B13" s="28" t="s">
        <v>105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30" t="n">
        <f aca="false">CHOOSE(MATCH($CU$2,{"Bull","Base","Bear"},0),$DD$12,$DE$12,$DF$12)</f>
        <v>0.01</v>
      </c>
      <c r="CQ13" s="30" t="n">
        <f aca="false">CHOOSE(MATCH($CU$2,{"Bull","Base","Bear"},0),$DD$13,$DE$13,$DF$13)</f>
        <v>0.025</v>
      </c>
      <c r="CR13" s="30" t="n">
        <f aca="false">CHOOSE(MATCH($CU$2,{"Bull","Base","Bear"},0),$DD$14,$DE$14,$DF$14)</f>
        <v>0.03</v>
      </c>
      <c r="CS13" s="30" t="n">
        <f aca="false">CHOOSE(MATCH($CU$2,{"Bull","Base","Bear"},0),$DD$15,$DE$15,$DF$15)</f>
        <v>0.03</v>
      </c>
      <c r="CT13" s="30" t="n">
        <f aca="false">CHOOSE(MATCH($CU$2,{"Bull","Base","Bear"},0),$DD$16,$DE$16,$DF$16)</f>
        <v>0.03</v>
      </c>
      <c r="CU13" s="24" t="s">
        <v>106</v>
      </c>
      <c r="CW13" s="6"/>
      <c r="CX13" s="6"/>
      <c r="CY13" s="6"/>
      <c r="CZ13" s="6"/>
      <c r="DC13" s="15" t="s">
        <v>107</v>
      </c>
      <c r="DD13" s="26" t="n">
        <f aca="false">DE13+$DD$11</f>
        <v>0.045</v>
      </c>
      <c r="DE13" s="27" t="n">
        <v>0.025</v>
      </c>
      <c r="DF13" s="26" t="n">
        <f aca="false">DE13+$DF$11</f>
        <v>-0.005</v>
      </c>
    </row>
    <row r="14" customFormat="false" ht="15" hidden="false" customHeight="false" outlineLevel="0" collapsed="false">
      <c r="B14" s="28" t="s">
        <v>108</v>
      </c>
      <c r="C14" s="29" t="str">
        <f aca="false">IF(ISNUMBER(C13),IFERROR((1+C15)/(1+C13)-1,""),"")</f>
        <v/>
      </c>
      <c r="D14" s="29" t="str">
        <f aca="false">IF(ISNUMBER(D13),IFERROR((1+D15)/(1+D13)-1,""),"")</f>
        <v/>
      </c>
      <c r="E14" s="29" t="str">
        <f aca="false">IF(ISNUMBER(E13),IFERROR((1+E15)/(1+E13)-1,""),"")</f>
        <v/>
      </c>
      <c r="F14" s="29" t="str">
        <f aca="false">IF(ISNUMBER(F13),IFERROR((1+F15)/(1+F13)-1,""),"")</f>
        <v/>
      </c>
      <c r="G14" s="29" t="str">
        <f aca="false">IF(ISNUMBER(G13),IFERROR((1+G15)/(1+G13)-1,""),"")</f>
        <v/>
      </c>
      <c r="H14" s="29" t="str">
        <f aca="false">IF(ISNUMBER(H13),IFERROR((1+H15)/(1+H13)-1,""),"")</f>
        <v/>
      </c>
      <c r="I14" s="29" t="str">
        <f aca="false">IF(ISNUMBER(I13),IFERROR((1+I15)/(1+I13)-1,""),"")</f>
        <v/>
      </c>
      <c r="J14" s="29" t="str">
        <f aca="false">IF(ISNUMBER(J13),IFERROR((1+J15)/(1+J13)-1,""),"")</f>
        <v/>
      </c>
      <c r="K14" s="29" t="str">
        <f aca="false">IF(ISNUMBER(K13),IFERROR((1+K15)/(1+K13)-1,""),"")</f>
        <v/>
      </c>
      <c r="L14" s="29" t="str">
        <f aca="false">IF(ISNUMBER(L13),IFERROR((1+L15)/(1+L13)-1,""),"")</f>
        <v/>
      </c>
      <c r="M14" s="29" t="str">
        <f aca="false">IF(ISNUMBER(M13),IFERROR((1+M15)/(1+M13)-1,""),"")</f>
        <v/>
      </c>
      <c r="N14" s="29" t="str">
        <f aca="false">IF(ISNUMBER(N13),IFERROR((1+N15)/(1+N13)-1,""),"")</f>
        <v/>
      </c>
      <c r="O14" s="29" t="str">
        <f aca="false">IF(ISNUMBER(O13),IFERROR((1+O15)/(1+O13)-1,""),"")</f>
        <v/>
      </c>
      <c r="P14" s="29" t="str">
        <f aca="false">IF(ISNUMBER(P13),IFERROR((1+P15)/(1+P13)-1,""),"")</f>
        <v/>
      </c>
      <c r="Q14" s="29" t="str">
        <f aca="false">IF(ISNUMBER(Q13),IFERROR((1+Q15)/(1+Q13)-1,""),"")</f>
        <v/>
      </c>
      <c r="R14" s="29" t="str">
        <f aca="false">IF(ISNUMBER(R13),IFERROR((1+R15)/(1+R13)-1,""),"")</f>
        <v/>
      </c>
      <c r="S14" s="29" t="str">
        <f aca="false">IF(ISNUMBER(S13),IFERROR((1+S15)/(1+S13)-1,""),"")</f>
        <v/>
      </c>
      <c r="T14" s="29" t="str">
        <f aca="false">IF(ISNUMBER(T13),IFERROR((1+T15)/(1+T13)-1,""),"")</f>
        <v/>
      </c>
      <c r="U14" s="29" t="str">
        <f aca="false">IF(ISNUMBER(U13),IFERROR((1+U15)/(1+U13)-1,""),"")</f>
        <v/>
      </c>
      <c r="V14" s="29" t="str">
        <f aca="false">IF(ISNUMBER(V13),IFERROR((1+V15)/(1+V13)-1,""),"")</f>
        <v/>
      </c>
      <c r="W14" s="29" t="str">
        <f aca="false">IF(ISNUMBER(W13),IFERROR((1+W15)/(1+W13)-1,""),"")</f>
        <v/>
      </c>
      <c r="X14" s="29" t="str">
        <f aca="false">IF(ISNUMBER(X13),IFERROR((1+X15)/(1+X13)-1,""),"")</f>
        <v/>
      </c>
      <c r="Y14" s="29" t="str">
        <f aca="false">IF(ISNUMBER(Y13),IFERROR((1+Y15)/(1+Y13)-1,""),"")</f>
        <v/>
      </c>
      <c r="Z14" s="29" t="str">
        <f aca="false">IF(ISNUMBER(Z13),IFERROR((1+Z15)/(1+Z13)-1,""),"")</f>
        <v/>
      </c>
      <c r="AA14" s="29" t="str">
        <f aca="false">IF(ISNUMBER(AA13),IFERROR((1+AA15)/(1+AA13)-1,""),"")</f>
        <v/>
      </c>
      <c r="AB14" s="29" t="str">
        <f aca="false">IF(ISNUMBER(AB13),IFERROR((1+AB15)/(1+AB13)-1,""),"")</f>
        <v/>
      </c>
      <c r="AC14" s="29" t="str">
        <f aca="false">IF(ISNUMBER(AC13),IFERROR((1+AC15)/(1+AC13)-1,""),"")</f>
        <v/>
      </c>
      <c r="AD14" s="29" t="str">
        <f aca="false">IF(ISNUMBER(AD13),IFERROR((1+AD15)/(1+AD13)-1,""),"")</f>
        <v/>
      </c>
      <c r="AE14" s="29" t="str">
        <f aca="false">IF(ISNUMBER(AE13),IFERROR((1+AE15)/(1+AE13)-1,""),"")</f>
        <v/>
      </c>
      <c r="AF14" s="29" t="str">
        <f aca="false">IF(ISNUMBER(AF13),IFERROR((1+AF15)/(1+AF13)-1,""),"")</f>
        <v/>
      </c>
      <c r="AG14" s="29" t="str">
        <f aca="false">IF(ISNUMBER(AG13),IFERROR((1+AG15)/(1+AG13)-1,""),"")</f>
        <v/>
      </c>
      <c r="AH14" s="29" t="str">
        <f aca="false">IF(ISNUMBER(AH13),IFERROR((1+AH15)/(1+AH13)-1,""),"")</f>
        <v/>
      </c>
      <c r="AI14" s="29" t="str">
        <f aca="false">IF(ISNUMBER(AI13),IFERROR((1+AI15)/(1+AI13)-1,""),"")</f>
        <v/>
      </c>
      <c r="AJ14" s="29" t="str">
        <f aca="false">IF(ISNUMBER(AJ13),IFERROR((1+AJ15)/(1+AJ13)-1,""),"")</f>
        <v/>
      </c>
      <c r="AK14" s="29" t="str">
        <f aca="false">IF(ISNUMBER(AK13),IFERROR((1+AK15)/(1+AK13)-1,""),"")</f>
        <v/>
      </c>
      <c r="AL14" s="29" t="str">
        <f aca="false">IF(ISNUMBER(AL13),IFERROR((1+AL15)/(1+AL13)-1,""),"")</f>
        <v/>
      </c>
      <c r="AM14" s="29" t="str">
        <f aca="false">IF(ISNUMBER(AM13),IFERROR((1+AM15)/(1+AM13)-1,""),"")</f>
        <v/>
      </c>
      <c r="AN14" s="29" t="str">
        <f aca="false">IF(ISNUMBER(AN13),IFERROR((1+AN15)/(1+AN13)-1,""),"")</f>
        <v/>
      </c>
      <c r="AO14" s="29" t="str">
        <f aca="false">IF(ISNUMBER(AO13),IFERROR((1+AO15)/(1+AO13)-1,""),"")</f>
        <v/>
      </c>
      <c r="AP14" s="29" t="str">
        <f aca="false">IF(ISNUMBER(AP13),IFERROR((1+AP15)/(1+AP13)-1,""),"")</f>
        <v/>
      </c>
      <c r="AQ14" s="29" t="str">
        <f aca="false">IF(ISNUMBER(AQ13),IFERROR((1+AQ15)/(1+AQ13)-1,""),"")</f>
        <v/>
      </c>
      <c r="AR14" s="29" t="str">
        <f aca="false">IF(ISNUMBER(AR13),IFERROR((1+AR15)/(1+AR13)-1,""),"")</f>
        <v/>
      </c>
      <c r="AS14" s="29" t="str">
        <f aca="false">IF(ISNUMBER(AS13),IFERROR((1+AS15)/(1+AS13)-1,""),"")</f>
        <v/>
      </c>
      <c r="AT14" s="29" t="str">
        <f aca="false">IF(ISNUMBER(AT13),IFERROR((1+AT15)/(1+AT13)-1,""),"")</f>
        <v/>
      </c>
      <c r="AU14" s="29" t="str">
        <f aca="false">IF(ISNUMBER(AU13),IFERROR((1+AU15)/(1+AU13)-1,""),"")</f>
        <v/>
      </c>
      <c r="AV14" s="29" t="str">
        <f aca="false">IF(ISNUMBER(AV13),IFERROR((1+AV15)/(1+AV13)-1,""),"")</f>
        <v/>
      </c>
      <c r="AW14" s="29" t="str">
        <f aca="false">IF(ISNUMBER(AW13),IFERROR((1+AW15)/(1+AW13)-1,""),"")</f>
        <v/>
      </c>
      <c r="AX14" s="29" t="str">
        <f aca="false">IF(ISNUMBER(AX13),IFERROR((1+AX15)/(1+AX13)-1,""),"")</f>
        <v/>
      </c>
      <c r="AY14" s="29" t="str">
        <f aca="false">IF(ISNUMBER(AY13),IFERROR((1+AY15)/(1+AY13)-1,""),"")</f>
        <v/>
      </c>
      <c r="AZ14" s="29" t="str">
        <f aca="false">IF(ISNUMBER(AZ13),IFERROR((1+AZ15)/(1+AZ13)-1,""),"")</f>
        <v/>
      </c>
      <c r="BA14" s="29" t="str">
        <f aca="false">IF(ISNUMBER(BA13),IFERROR((1+BA15)/(1+BA13)-1,""),"")</f>
        <v/>
      </c>
      <c r="BB14" s="29" t="str">
        <f aca="false">IF(ISNUMBER(BB13),IFERROR((1+BB15)/(1+BB13)-1,""),"")</f>
        <v/>
      </c>
      <c r="BC14" s="29" t="str">
        <f aca="false">IF(ISNUMBER(BC13),IFERROR((1+BC15)/(1+BC13)-1,""),"")</f>
        <v/>
      </c>
      <c r="BD14" s="29" t="str">
        <f aca="false">IF(ISNUMBER(BD13),IFERROR((1+BD15)/(1+BD13)-1,""),"")</f>
        <v/>
      </c>
      <c r="BE14" s="29" t="str">
        <f aca="false">IF(ISNUMBER(BE13),IFERROR((1+BE15)/(1+BE13)-1,""),"")</f>
        <v/>
      </c>
      <c r="BF14" s="29" t="str">
        <f aca="false">IF(ISNUMBER(BF13),IFERROR((1+BF15)/(1+BF13)-1,""),"")</f>
        <v/>
      </c>
      <c r="BG14" s="29" t="str">
        <f aca="false">IF(ISNUMBER(BG13),IFERROR((1+BG15)/(1+BG13)-1,""),"")</f>
        <v/>
      </c>
      <c r="BH14" s="29" t="str">
        <f aca="false">IF(ISNUMBER(BH13),IFERROR((1+BH15)/(1+BH13)-1,""),"")</f>
        <v/>
      </c>
      <c r="BI14" s="29" t="str">
        <f aca="false">IF(ISNUMBER(BI13),IFERROR((1+BI15)/(1+BI13)-1,""),"")</f>
        <v/>
      </c>
      <c r="BJ14" s="29" t="str">
        <f aca="false">IF(ISNUMBER(BJ13),IFERROR((1+BJ15)/(1+BJ13)-1,""),"")</f>
        <v/>
      </c>
      <c r="BK14" s="29" t="str">
        <f aca="false">IF(ISNUMBER(BK13),IFERROR((1+BK15)/(1+BK13)-1,""),"")</f>
        <v/>
      </c>
      <c r="BL14" s="29" t="str">
        <f aca="false">IF(ISNUMBER(BL13),IFERROR((1+BL15)/(1+BL13)-1,""),"")</f>
        <v/>
      </c>
      <c r="BM14" s="29" t="str">
        <f aca="false">IF(ISNUMBER(BM13),IFERROR((1+BM15)/(1+BM13)-1,""),"")</f>
        <v/>
      </c>
      <c r="BN14" s="29" t="str">
        <f aca="false">IF(ISNUMBER(BN13),IFERROR((1+BN15)/(1+BN13)-1,""),"")</f>
        <v/>
      </c>
      <c r="BO14" s="29" t="str">
        <f aca="false">IF(ISNUMBER(BO13),IFERROR((1+BO15)/(1+BO13)-1,""),"")</f>
        <v/>
      </c>
      <c r="BP14" s="29" t="str">
        <f aca="false">IF(ISNUMBER(BP13),IFERROR((1+BP15)/(1+BP13)-1,""),"")</f>
        <v/>
      </c>
      <c r="BQ14" s="29" t="str">
        <f aca="false">IF(ISNUMBER(BQ13),IFERROR((1+BQ15)/(1+BQ13)-1,""),"")</f>
        <v/>
      </c>
      <c r="BR14" s="29" t="str">
        <f aca="false">IF(ISNUMBER(BR13),IFERROR((1+BR15)/(1+BR13)-1,""),"")</f>
        <v/>
      </c>
      <c r="BS14" s="29" t="str">
        <f aca="false">IF(ISNUMBER(BS13),IFERROR((1+BS15)/(1+BS13)-1,""),"")</f>
        <v/>
      </c>
      <c r="BT14" s="29" t="str">
        <f aca="false">IF(ISNUMBER(BT13),IFERROR((1+BT15)/(1+BT13)-1,""),"")</f>
        <v/>
      </c>
      <c r="BU14" s="29" t="str">
        <f aca="false">IF(ISNUMBER(BU13),IFERROR((1+BU15)/(1+BU13)-1,""),"")</f>
        <v/>
      </c>
      <c r="BV14" s="29" t="str">
        <f aca="false">IF(ISNUMBER(BV13),IFERROR((1+BV15)/(1+BV13)-1,""),"")</f>
        <v/>
      </c>
      <c r="BW14" s="29" t="str">
        <f aca="false">IF(ISNUMBER(BW13),IFERROR((1+BW15)/(1+BW13)-1,""),"")</f>
        <v/>
      </c>
      <c r="BX14" s="29" t="str">
        <f aca="false">IF(ISNUMBER(BX13),IFERROR((1+BX15)/(1+BX13)-1,""),"")</f>
        <v/>
      </c>
      <c r="BY14" s="29" t="str">
        <f aca="false">IF(ISNUMBER(BY13),IFERROR((1+BY15)/(1+BY13)-1,""),"")</f>
        <v/>
      </c>
      <c r="BZ14" s="29" t="str">
        <f aca="false">IF(ISNUMBER(BZ13),IFERROR((1+BZ15)/(1+BZ13)-1,""),"")</f>
        <v/>
      </c>
      <c r="CA14" s="29" t="str">
        <f aca="false">IF(ISNUMBER(CA13),IFERROR((1+CA15)/(1+CA13)-1,""),"")</f>
        <v/>
      </c>
      <c r="CB14" s="29" t="str">
        <f aca="false">IF(ISNUMBER(CB13),IFERROR((1+CB15)/(1+CB13)-1,""),"")</f>
        <v/>
      </c>
      <c r="CC14" s="29" t="str">
        <f aca="false">IF(ISNUMBER(CC13),IFERROR((1+CC15)/(1+CC13)-1,""),"")</f>
        <v/>
      </c>
      <c r="CD14" s="29" t="str">
        <f aca="false">IF(ISNUMBER(CD13),IFERROR((1+CD15)/(1+CD13)-1,""),"")</f>
        <v/>
      </c>
      <c r="CE14" s="29" t="str">
        <f aca="false">IF(ISNUMBER(CE13),IFERROR((1+CE15)/(1+CE13)-1,""),"")</f>
        <v/>
      </c>
      <c r="CF14" s="29" t="str">
        <f aca="false">IF(ISNUMBER(CF13),IFERROR((1+CF15)/(1+CF13)-1,""),"")</f>
        <v/>
      </c>
      <c r="CG14" s="29" t="str">
        <f aca="false">IF(ISNUMBER(CG13),IFERROR((1+CG15)/(1+CG13)-1,""),"")</f>
        <v/>
      </c>
      <c r="CH14" s="29" t="str">
        <f aca="false">IF(ISNUMBER(CH13),IFERROR((1+CH15)/(1+CH13)-1,""),"")</f>
        <v/>
      </c>
      <c r="CI14" s="29" t="str">
        <f aca="false">IF(ISNUMBER(CI13),IFERROR((1+CI15)/(1+CI13)-1,""),"")</f>
        <v/>
      </c>
      <c r="CJ14" s="29" t="str">
        <f aca="false">IF(ISNUMBER(CJ13),IFERROR((1+CJ15)/(1+CJ13)-1,""),"")</f>
        <v/>
      </c>
      <c r="CK14" s="29" t="str">
        <f aca="false">IF(ISNUMBER(CK13),IFERROR((1+CK15)/(1+CK13)-1,""),"")</f>
        <v/>
      </c>
      <c r="CL14" s="29" t="str">
        <f aca="false">IF(ISNUMBER(CL13),IFERROR((1+CL15)/(1+CL13)-1,""),"")</f>
        <v/>
      </c>
      <c r="CM14" s="29" t="str">
        <f aca="false">IF(ISNUMBER(CM13),IFERROR((1+CM15)/(1+CM13)-1,""),"")</f>
        <v/>
      </c>
      <c r="CN14" s="29" t="str">
        <f aca="false">IF(ISNUMBER(CN13),IFERROR((1+CN15)/(1+CN13)-1,""),"")</f>
        <v/>
      </c>
      <c r="CO14" s="29" t="str">
        <f aca="false">IF(ISNUMBER(CO13),IFERROR((1+CO15)/(1+CO13)-1,""),"")</f>
        <v/>
      </c>
      <c r="CP14" s="30" t="n">
        <f aca="false">CHOOSE(MATCH($CU$2,{"Bull","Base","Bear"},0),$DD$26,$DE$26,$DF$26)</f>
        <v>0.03</v>
      </c>
      <c r="CQ14" s="30" t="n">
        <f aca="false">CHOOSE(MATCH($CU$2,{"Bull","Base","Bear"},0),$DD$27,$DE$27,$DF$27)</f>
        <v>0.03</v>
      </c>
      <c r="CR14" s="30" t="n">
        <f aca="false">CHOOSE(MATCH($CU$2,{"Bull","Base","Bear"},0),$DD$28,$DE$28,$DF$28)</f>
        <v>0.03</v>
      </c>
      <c r="CS14" s="30" t="n">
        <f aca="false">CHOOSE(MATCH($CU$2,{"Bull","Base","Bear"},0),$DD$29,$DE$29,$DF$29)</f>
        <v>0.03</v>
      </c>
      <c r="CT14" s="30" t="n">
        <f aca="false">CHOOSE(MATCH($CU$2,{"Bull","Base","Bear"},0),$DD$30,$DE$30,$DF$30)</f>
        <v>0.03</v>
      </c>
      <c r="CU14" s="24" t="s">
        <v>109</v>
      </c>
      <c r="CW14" s="6"/>
      <c r="CX14" s="6"/>
      <c r="CY14" s="6"/>
      <c r="CZ14" s="6"/>
      <c r="DC14" s="15" t="s">
        <v>110</v>
      </c>
      <c r="DD14" s="26" t="n">
        <f aca="false">DE14+$DD$11</f>
        <v>0.05</v>
      </c>
      <c r="DE14" s="27" t="n">
        <v>0.03</v>
      </c>
      <c r="DF14" s="26" t="n">
        <f aca="false">DE14+$DF$11</f>
        <v>0</v>
      </c>
    </row>
    <row r="15" customFormat="false" ht="15" hidden="false" customHeight="false" outlineLevel="0" collapsed="false">
      <c r="B15" s="28" t="s">
        <v>111</v>
      </c>
      <c r="C15" s="29"/>
      <c r="D15" s="29" t="str">
        <f aca="false">IFERROR(D12/C12-1,"")</f>
        <v/>
      </c>
      <c r="E15" s="29" t="str">
        <f aca="false">IFERROR(E12/D12-1,"")</f>
        <v/>
      </c>
      <c r="F15" s="29" t="str">
        <f aca="false">IFERROR(F12/E12-1,"")</f>
        <v/>
      </c>
      <c r="G15" s="29" t="str">
        <f aca="false">IFERROR(G12/F12-1,"")</f>
        <v/>
      </c>
      <c r="H15" s="29" t="str">
        <f aca="false">IFERROR(H12/G12-1,"")</f>
        <v/>
      </c>
      <c r="I15" s="29" t="str">
        <f aca="false">IFERROR(I12/H12-1,"")</f>
        <v/>
      </c>
      <c r="J15" s="29"/>
      <c r="K15" s="29"/>
      <c r="L15" s="29"/>
      <c r="M15" s="29"/>
      <c r="N15" s="29"/>
      <c r="O15" s="29" t="str">
        <f aca="false">IFERROR(O12/I12-1,"")</f>
        <v/>
      </c>
      <c r="P15" s="29" t="str">
        <f aca="false">IFERROR(P12/J12-1,"")</f>
        <v/>
      </c>
      <c r="Q15" s="29" t="str">
        <f aca="false">IFERROR(Q12/K12-1,"")</f>
        <v/>
      </c>
      <c r="R15" s="29" t="str">
        <f aca="false">IFERROR(R12/L12-1,"")</f>
        <v/>
      </c>
      <c r="S15" s="29" t="str">
        <f aca="false">IFERROR(S12/M12-1,"")</f>
        <v/>
      </c>
      <c r="T15" s="29" t="str">
        <f aca="false">IFERROR(T12/N12-1,"")</f>
        <v/>
      </c>
      <c r="U15" s="29" t="str">
        <f aca="false">IFERROR(U12/O12-1,"")</f>
        <v/>
      </c>
      <c r="V15" s="29" t="str">
        <f aca="false">IFERROR(V12/P12-1,"")</f>
        <v/>
      </c>
      <c r="W15" s="29" t="str">
        <f aca="false">IFERROR(W12/Q12-1,"")</f>
        <v/>
      </c>
      <c r="X15" s="29" t="str">
        <f aca="false">IFERROR(X12/R12-1,"")</f>
        <v/>
      </c>
      <c r="Y15" s="29" t="str">
        <f aca="false">IFERROR(Y12/S12-1,"")</f>
        <v/>
      </c>
      <c r="Z15" s="29" t="str">
        <f aca="false">IFERROR(Z12/T12-1,"")</f>
        <v/>
      </c>
      <c r="AA15" s="29" t="str">
        <f aca="false">IFERROR(AA12/U12-1,"")</f>
        <v/>
      </c>
      <c r="AB15" s="29" t="str">
        <f aca="false">IFERROR(AB12/V12-1,"")</f>
        <v/>
      </c>
      <c r="AC15" s="29" t="str">
        <f aca="false">IFERROR(AC12/W12-1,"")</f>
        <v/>
      </c>
      <c r="AD15" s="29" t="str">
        <f aca="false">IFERROR(AD12/X12-1,"")</f>
        <v/>
      </c>
      <c r="AE15" s="29" t="str">
        <f aca="false">IFERROR(AE12/Y12-1,"")</f>
        <v/>
      </c>
      <c r="AF15" s="29" t="str">
        <f aca="false">IFERROR(AF12/Z12-1,"")</f>
        <v/>
      </c>
      <c r="AG15" s="29" t="str">
        <f aca="false">IFERROR(AG12/AA12-1,"")</f>
        <v/>
      </c>
      <c r="AH15" s="29" t="str">
        <f aca="false">IFERROR(AH12/AB12-1,"")</f>
        <v/>
      </c>
      <c r="AI15" s="29" t="str">
        <f aca="false">IFERROR(AI12/AC12-1,"")</f>
        <v/>
      </c>
      <c r="AJ15" s="29" t="str">
        <f aca="false">IFERROR(AJ12/AD12-1,"")</f>
        <v/>
      </c>
      <c r="AK15" s="29" t="str">
        <f aca="false">IFERROR(AK12/AE12-1,"")</f>
        <v/>
      </c>
      <c r="AL15" s="29" t="str">
        <f aca="false">IFERROR(AL12/AF12-1,"")</f>
        <v/>
      </c>
      <c r="AM15" s="29" t="str">
        <f aca="false">IFERROR(AM12/AG12-1,"")</f>
        <v/>
      </c>
      <c r="AN15" s="29" t="str">
        <f aca="false">IFERROR(AN12/AH12-1,"")</f>
        <v/>
      </c>
      <c r="AO15" s="29" t="str">
        <f aca="false">IFERROR(AO12/AI12-1,"")</f>
        <v/>
      </c>
      <c r="AP15" s="29" t="str">
        <f aca="false">IFERROR(AP12/AJ12-1,"")</f>
        <v/>
      </c>
      <c r="AQ15" s="29" t="str">
        <f aca="false">IFERROR(AQ12/AK12-1,"")</f>
        <v/>
      </c>
      <c r="AR15" s="29" t="str">
        <f aca="false">IFERROR(AR12/AL12-1,"")</f>
        <v/>
      </c>
      <c r="AS15" s="29" t="n">
        <f aca="false">IFERROR(AS12/AM12-1,"")</f>
        <v>0.226971009486355</v>
      </c>
      <c r="AT15" s="29" t="n">
        <f aca="false">IFERROR(AT12/AN12-1,"")</f>
        <v>0.0367602016952782</v>
      </c>
      <c r="AU15" s="29" t="n">
        <f aca="false">IFERROR(AU12/AO12-1,"")</f>
        <v>0.0182285074618471</v>
      </c>
      <c r="AV15" s="29" t="n">
        <f aca="false">IFERROR(AV12/AP12-1,"")</f>
        <v>0.0271685884940744</v>
      </c>
      <c r="AW15" s="29" t="n">
        <f aca="false">IFERROR(AW12/AQ12-1,"")</f>
        <v>0.170166062225616</v>
      </c>
      <c r="AX15" s="29" t="n">
        <f aca="false">IFERROR(AX12/AR12-1,"")</f>
        <v>0.213148254802618</v>
      </c>
      <c r="AY15" s="29" t="n">
        <f aca="false">IFERROR(AY12/AS12-1,"")</f>
        <v>0.109867762795996</v>
      </c>
      <c r="AZ15" s="29" t="n">
        <f aca="false">IFERROR(AZ12/AT12-1,"")</f>
        <v>0.253890730645307</v>
      </c>
      <c r="BA15" s="29" t="n">
        <f aca="false">IFERROR(BA12/AU12-1,"")</f>
        <v>0.23568115837944</v>
      </c>
      <c r="BB15" s="29" t="n">
        <f aca="false">IFERROR(BB12/AV12-1,"")</f>
        <v>0.244547871586574</v>
      </c>
      <c r="BC15" s="29" t="n">
        <f aca="false">IFERROR(BC12/AW12-1,"")</f>
        <v>0.0359844941157279</v>
      </c>
      <c r="BD15" s="29" t="n">
        <f aca="false">IFERROR(BD12/AX12-1,"")</f>
        <v>-0.0247252151406999</v>
      </c>
      <c r="BE15" s="29" t="n">
        <f aca="false">IFERROR(BE12/AY12-1,"")</f>
        <v>0.11531769555837</v>
      </c>
      <c r="BF15" s="29" t="n">
        <f aca="false">IFERROR(BF12/AZ12-1,"")</f>
        <v>0.0451064639754133</v>
      </c>
      <c r="BG15" s="29" t="n">
        <f aca="false">IFERROR(BG12/BA12-1,"")</f>
        <v>0.0404117627334606</v>
      </c>
      <c r="BH15" s="29" t="n">
        <f aca="false">IFERROR(BH12/BB12-1,"")</f>
        <v>0.0427148954390375</v>
      </c>
      <c r="BI15" s="29" t="n">
        <f aca="false">IFERROR(BI12/BC12-1,"")</f>
        <v>0.274299276410998</v>
      </c>
      <c r="BJ15" s="29" t="n">
        <f aca="false">IFERROR(BJ12/BD12-1,"")</f>
        <v>0.362754230901332</v>
      </c>
      <c r="BK15" s="29" t="n">
        <f aca="false">IFERROR(BK12/BE12-1,"")</f>
        <v>0.176576521935892</v>
      </c>
      <c r="BL15" s="29" t="n">
        <f aca="false">IFERROR(BL12/BF12-1,"")</f>
        <v>0.312110342376759</v>
      </c>
      <c r="BM15" s="29" t="n">
        <f aca="false">IFERROR(BM12/BG12-1,"")</f>
        <v>0.355126411887681</v>
      </c>
      <c r="BN15" s="29" t="n">
        <f aca="false">IFERROR(BN12/BH12-1,"")</f>
        <v>0.333975130452636</v>
      </c>
      <c r="BO15" s="29" t="n">
        <f aca="false">IFERROR(BO12/BI12-1,"")</f>
        <v>0.233541932412445</v>
      </c>
      <c r="BP15" s="29" t="n">
        <f aca="false">IFERROR(BP12/BJ12-1,"")</f>
        <v>0.147462956113057</v>
      </c>
      <c r="BQ15" s="29" t="n">
        <f aca="false">IFERROR(BQ12/BK12-1,"")</f>
        <v>0.255593545291608</v>
      </c>
      <c r="BR15" s="29" t="n">
        <f aca="false">IFERROR(BR12/BL12-1,"")</f>
        <v>0.103086204503367</v>
      </c>
      <c r="BS15" s="29" t="n">
        <f aca="false">IFERROR(BS12/BM12-1,"")</f>
        <v>0.118955394501726</v>
      </c>
      <c r="BT15" s="29" t="n">
        <f aca="false">IFERROR(BT12/BN12-1,"")</f>
        <v>0.11128030684465</v>
      </c>
      <c r="BU15" s="29" t="n">
        <f aca="false">IFERROR(BU12/BO12-1,"")</f>
        <v>0.107844711393281</v>
      </c>
      <c r="BV15" s="29" t="n">
        <f aca="false">IFERROR(BV12/BP12-1,"")</f>
        <v>0.156974566830216</v>
      </c>
      <c r="BW15" s="29" t="n">
        <f aca="false">IFERROR(BW12/BQ12-1,"")</f>
        <v>0.121774933729149</v>
      </c>
      <c r="BX15" s="29" t="n">
        <f aca="false">IFERROR(BX12/BR12-1,"")</f>
        <v>0.170130912427857</v>
      </c>
      <c r="BY15" s="29" t="n">
        <f aca="false">IFERROR(BY12/BS12-1,"")</f>
        <v>0.0712776644991804</v>
      </c>
      <c r="BZ15" s="29" t="n">
        <f aca="false">IFERROR(BZ12/BT12-1,"")</f>
        <v>0.118735219796816</v>
      </c>
      <c r="CA15" s="29" t="n">
        <f aca="false">IFERROR(CA12/BU12-1,"")</f>
        <v>0.104514564333173</v>
      </c>
      <c r="CB15" s="29" t="n">
        <f aca="false">IFERROR(CB12/BV12-1,"")</f>
        <v>0.0610333062905812</v>
      </c>
      <c r="CC15" s="29" t="n">
        <f aca="false">IFERROR(CC12/BW12-1,"")</f>
        <v>0.100104481882124</v>
      </c>
      <c r="CD15" s="29" t="n">
        <f aca="false">IFERROR(CD12/BX12-1,"")</f>
        <v>0.127820239100671</v>
      </c>
      <c r="CE15" s="29" t="n">
        <f aca="false">IFERROR(CE12/BY12-1,"")</f>
        <v>0.148265426514081</v>
      </c>
      <c r="CF15" s="29" t="n">
        <f aca="false">IFERROR(CF12/BZ12-1,"")</f>
        <v>0.137999157096196</v>
      </c>
      <c r="CG15" s="29" t="n">
        <f aca="false">IFERROR(CG12/CA12-1,"")</f>
        <v>0.0817944334761882</v>
      </c>
      <c r="CH15" s="29" t="n">
        <f aca="false">IFERROR(CH12/CB12-1,"")</f>
        <v>0.0617253279544217</v>
      </c>
      <c r="CI15" s="29" t="n">
        <f aca="false">IFERROR(CI12/CC12-1,"")</f>
        <v>0.104109206929269</v>
      </c>
      <c r="CJ15" s="29" t="n">
        <f aca="false">IFERROR(CJ12/CD12-1,"")</f>
        <v>-0.00518145559832095</v>
      </c>
      <c r="CK15" s="29" t="n">
        <f aca="false">IFERROR(CK12/CE12-1,"")</f>
        <v>-0.0560549687258821</v>
      </c>
      <c r="CL15" s="29" t="n">
        <f aca="false">IFERROR(CL12/CF12-1,"")</f>
        <v>-0.0307380274517973</v>
      </c>
      <c r="CM15" s="29" t="n">
        <f aca="false">IFERROR(CM12/CG12-1,"")</f>
        <v>-0.00351759632772286</v>
      </c>
      <c r="CN15" s="29" t="n">
        <f aca="false">IFERROR(CN12/CH12-1,"")</f>
        <v>-0.00847586058900618</v>
      </c>
      <c r="CO15" s="29" t="n">
        <f aca="false">IFERROR(CO12/CI12-1,"")</f>
        <v>-0.0183311420523717</v>
      </c>
      <c r="CP15" s="30" t="n">
        <f aca="false">IFERROR(CP12/CO12-1,"")</f>
        <v>0.0403</v>
      </c>
      <c r="CQ15" s="30" t="n">
        <f aca="false">IFERROR(CQ12/CP12-1,"")</f>
        <v>0.05575</v>
      </c>
      <c r="CR15" s="30" t="n">
        <f aca="false">IFERROR(CR12/CQ12-1,"")</f>
        <v>0.0609000000000002</v>
      </c>
      <c r="CS15" s="30" t="n">
        <f aca="false">IFERROR(CS12/CR12-1,"")</f>
        <v>0.0609000000000002</v>
      </c>
      <c r="CT15" s="30" t="n">
        <f aca="false">IFERROR(CT12/CS12-1,"")</f>
        <v>0.0609</v>
      </c>
      <c r="CU15" s="24"/>
      <c r="CW15" s="6"/>
      <c r="CX15" s="6"/>
      <c r="CY15" s="6"/>
      <c r="CZ15" s="6"/>
      <c r="DC15" s="15" t="s">
        <v>112</v>
      </c>
      <c r="DD15" s="26" t="n">
        <f aca="false">DE15+$DD$11</f>
        <v>0.05</v>
      </c>
      <c r="DE15" s="27" t="n">
        <v>0.03</v>
      </c>
      <c r="DF15" s="26" t="n">
        <f aca="false">DE15+$DF$11</f>
        <v>0</v>
      </c>
    </row>
    <row r="16" customFormat="false" ht="15" hidden="false" customHeight="false" outlineLevel="0" collapsed="false">
      <c r="B16" s="15" t="s">
        <v>113</v>
      </c>
      <c r="C16" s="31"/>
      <c r="D16" s="31"/>
      <c r="E16" s="31"/>
      <c r="F16" s="31"/>
      <c r="G16" s="31"/>
      <c r="H16" s="31"/>
      <c r="I16" s="31"/>
      <c r="J16" s="32"/>
      <c r="K16" s="32"/>
      <c r="L16" s="31"/>
      <c r="M16" s="32"/>
      <c r="N16" s="32"/>
      <c r="O16" s="32"/>
      <c r="P16" s="32"/>
      <c r="Q16" s="32"/>
      <c r="R16" s="31"/>
      <c r="S16" s="32"/>
      <c r="T16" s="32"/>
      <c r="U16" s="32"/>
      <c r="V16" s="32"/>
      <c r="W16" s="32"/>
      <c r="X16" s="31"/>
      <c r="Y16" s="32"/>
      <c r="Z16" s="32"/>
      <c r="AA16" s="32"/>
      <c r="AB16" s="32"/>
      <c r="AC16" s="32"/>
      <c r="AD16" s="31"/>
      <c r="AE16" s="32"/>
      <c r="AF16" s="32"/>
      <c r="AG16" s="32"/>
      <c r="AH16" s="32"/>
      <c r="AI16" s="32"/>
      <c r="AJ16" s="31"/>
      <c r="AK16" s="32"/>
      <c r="AL16" s="32"/>
      <c r="AM16" s="32" t="n">
        <v>64.198</v>
      </c>
      <c r="AN16" s="32" t="n">
        <v>19.714</v>
      </c>
      <c r="AO16" s="32" t="n">
        <v>29.593</v>
      </c>
      <c r="AP16" s="31" t="n">
        <f aca="false">AN16+AO16</f>
        <v>49.307</v>
      </c>
      <c r="AQ16" s="32" t="n">
        <v>29.029</v>
      </c>
      <c r="AR16" s="32" t="n">
        <v>27.448</v>
      </c>
      <c r="AS16" s="32" t="n">
        <v>105.784</v>
      </c>
      <c r="AT16" s="32" t="n">
        <v>27.636</v>
      </c>
      <c r="AU16" s="32" t="n">
        <v>28.049</v>
      </c>
      <c r="AV16" s="31" t="n">
        <f aca="false">AT16+AU16</f>
        <v>55.685</v>
      </c>
      <c r="AW16" s="32" t="n">
        <v>31.325</v>
      </c>
      <c r="AX16" s="32" t="n">
        <v>32.128</v>
      </c>
      <c r="AY16" s="32" t="n">
        <v>119.138</v>
      </c>
      <c r="AZ16" s="32" t="n">
        <v>33.361</v>
      </c>
      <c r="BA16" s="32" t="n">
        <v>35.392</v>
      </c>
      <c r="BB16" s="31" t="n">
        <f aca="false">AZ16+BA16</f>
        <v>68.753</v>
      </c>
      <c r="BC16" s="32" t="n">
        <v>35.323</v>
      </c>
      <c r="BD16" s="32" t="n">
        <v>41.886</v>
      </c>
      <c r="BE16" s="32" t="n">
        <v>145.962</v>
      </c>
      <c r="BF16" s="32" t="n">
        <v>47.02</v>
      </c>
      <c r="BG16" s="32" t="n">
        <v>52.5</v>
      </c>
      <c r="BH16" s="31" t="n">
        <f aca="false">BF16+BG16</f>
        <v>99.52</v>
      </c>
      <c r="BI16" s="32" t="n">
        <v>71.615</v>
      </c>
      <c r="BJ16" s="32" t="n">
        <v>83.433</v>
      </c>
      <c r="BK16" s="32" t="n">
        <v>254.568</v>
      </c>
      <c r="BL16" s="32" t="n">
        <v>87.703</v>
      </c>
      <c r="BM16" s="32" t="n">
        <v>96.679</v>
      </c>
      <c r="BN16" s="31" t="n">
        <f aca="false">BL16+BM16</f>
        <v>184.382</v>
      </c>
      <c r="BO16" s="32" t="n">
        <v>111.385</v>
      </c>
      <c r="BP16" s="32" t="n">
        <v>116.218</v>
      </c>
      <c r="BQ16" s="32" t="n">
        <v>411.985</v>
      </c>
      <c r="BR16" s="32" t="n">
        <v>97.192</v>
      </c>
      <c r="BS16" s="32" t="n">
        <v>82.196</v>
      </c>
      <c r="BT16" s="31" t="n">
        <f aca="false">BR16+BS16</f>
        <v>179.388</v>
      </c>
      <c r="BU16" s="32" t="n">
        <v>81.681</v>
      </c>
      <c r="BV16" s="32" t="n">
        <v>86.938</v>
      </c>
      <c r="BW16" s="32" t="n">
        <v>348.007</v>
      </c>
      <c r="BX16" s="32" t="n">
        <v>78.382</v>
      </c>
      <c r="BY16" s="32" t="n">
        <v>74.69</v>
      </c>
      <c r="BZ16" s="31" t="n">
        <f aca="false">BX16+BY16</f>
        <v>153.072</v>
      </c>
      <c r="CA16" s="32" t="n">
        <v>88.236</v>
      </c>
      <c r="CB16" s="32" t="n">
        <v>97.326</v>
      </c>
      <c r="CC16" s="32" t="n">
        <v>338.633</v>
      </c>
      <c r="CD16" s="32" t="n">
        <v>87.549</v>
      </c>
      <c r="CE16" s="32" t="n">
        <v>106.715</v>
      </c>
      <c r="CF16" s="31" t="n">
        <f aca="false">CD16+CE16</f>
        <v>194.264</v>
      </c>
      <c r="CG16" s="32" t="n">
        <v>107.832</v>
      </c>
      <c r="CH16" s="32" t="n">
        <v>101.449</v>
      </c>
      <c r="CI16" s="32" t="n">
        <v>403.546</v>
      </c>
      <c r="CJ16" s="32" t="n">
        <v>97.08</v>
      </c>
      <c r="CK16" s="32" t="n">
        <v>102.153</v>
      </c>
      <c r="CL16" s="31" t="n">
        <f aca="false">CJ16+CK16</f>
        <v>199.233</v>
      </c>
      <c r="CM16" s="32" t="n">
        <v>107.398</v>
      </c>
      <c r="CN16" s="32" t="n">
        <v>112.512</v>
      </c>
      <c r="CO16" s="32" t="n">
        <v>419.143</v>
      </c>
      <c r="CP16" s="33" t="n">
        <f aca="false">CO16*(1+CP17)</f>
        <v>435.90872</v>
      </c>
      <c r="CQ16" s="33" t="n">
        <f aca="false">CP16*(1+CQ17)</f>
        <v>453.3450688</v>
      </c>
      <c r="CR16" s="33" t="n">
        <f aca="false">CQ16*(1+CR17)</f>
        <v>471.478871552</v>
      </c>
      <c r="CS16" s="33" t="n">
        <f aca="false">CR16*(1+CS17)</f>
        <v>490.33802641408</v>
      </c>
      <c r="CT16" s="33" t="n">
        <f aca="false">CS16*(1+CT17)</f>
        <v>509.951547470643</v>
      </c>
      <c r="CU16" s="24" t="s">
        <v>114</v>
      </c>
      <c r="CW16" s="6"/>
      <c r="CX16" s="6"/>
      <c r="CY16" s="6"/>
      <c r="CZ16" s="6"/>
      <c r="DC16" s="15" t="s">
        <v>115</v>
      </c>
      <c r="DD16" s="26" t="n">
        <f aca="false">DE16+$DD$11</f>
        <v>0.05</v>
      </c>
      <c r="DE16" s="27" t="n">
        <v>0.03</v>
      </c>
      <c r="DF16" s="26" t="n">
        <f aca="false">DE16+$DF$11</f>
        <v>0</v>
      </c>
    </row>
    <row r="17" customFormat="false" ht="15" hidden="false" customHeight="false" outlineLevel="0" collapsed="false">
      <c r="B17" s="28" t="s">
        <v>116</v>
      </c>
      <c r="C17" s="29"/>
      <c r="D17" s="29" t="str">
        <f aca="false">IFERROR(D16/C16-1,"")</f>
        <v/>
      </c>
      <c r="E17" s="29" t="str">
        <f aca="false">IFERROR(E16/D16-1,"")</f>
        <v/>
      </c>
      <c r="F17" s="29" t="str">
        <f aca="false">IFERROR(F16/E16-1,"")</f>
        <v/>
      </c>
      <c r="G17" s="29" t="str">
        <f aca="false">IFERROR(G16/F16-1,"")</f>
        <v/>
      </c>
      <c r="H17" s="29" t="str">
        <f aca="false">IFERROR(H16/G16-1,"")</f>
        <v/>
      </c>
      <c r="I17" s="29" t="str">
        <f aca="false">IFERROR(I16/H16-1,"")</f>
        <v/>
      </c>
      <c r="J17" s="29"/>
      <c r="K17" s="29"/>
      <c r="L17" s="29"/>
      <c r="M17" s="29"/>
      <c r="N17" s="29"/>
      <c r="O17" s="29" t="str">
        <f aca="false">IFERROR(O16/I16-1,"")</f>
        <v/>
      </c>
      <c r="P17" s="29" t="str">
        <f aca="false">IFERROR(P16/J16-1,"")</f>
        <v/>
      </c>
      <c r="Q17" s="29" t="str">
        <f aca="false">IFERROR(Q16/K16-1,"")</f>
        <v/>
      </c>
      <c r="R17" s="29" t="str">
        <f aca="false">IFERROR(R16/L16-1,"")</f>
        <v/>
      </c>
      <c r="S17" s="29" t="str">
        <f aca="false">IFERROR(S16/M16-1,"")</f>
        <v/>
      </c>
      <c r="T17" s="29" t="str">
        <f aca="false">IFERROR(T16/N16-1,"")</f>
        <v/>
      </c>
      <c r="U17" s="29" t="str">
        <f aca="false">IFERROR(U16/O16-1,"")</f>
        <v/>
      </c>
      <c r="V17" s="29" t="str">
        <f aca="false">IFERROR(V16/P16-1,"")</f>
        <v/>
      </c>
      <c r="W17" s="29" t="str">
        <f aca="false">IFERROR(W16/Q16-1,"")</f>
        <v/>
      </c>
      <c r="X17" s="29" t="str">
        <f aca="false">IFERROR(X16/R16-1,"")</f>
        <v/>
      </c>
      <c r="Y17" s="29" t="str">
        <f aca="false">IFERROR(Y16/S16-1,"")</f>
        <v/>
      </c>
      <c r="Z17" s="29" t="str">
        <f aca="false">IFERROR(Z16/T16-1,"")</f>
        <v/>
      </c>
      <c r="AA17" s="29" t="str">
        <f aca="false">IFERROR(AA16/U16-1,"")</f>
        <v/>
      </c>
      <c r="AB17" s="29" t="str">
        <f aca="false">IFERROR(AB16/V16-1,"")</f>
        <v/>
      </c>
      <c r="AC17" s="29" t="str">
        <f aca="false">IFERROR(AC16/W16-1,"")</f>
        <v/>
      </c>
      <c r="AD17" s="29" t="str">
        <f aca="false">IFERROR(AD16/X16-1,"")</f>
        <v/>
      </c>
      <c r="AE17" s="29" t="str">
        <f aca="false">IFERROR(AE16/Y16-1,"")</f>
        <v/>
      </c>
      <c r="AF17" s="29" t="str">
        <f aca="false">IFERROR(AF16/Z16-1,"")</f>
        <v/>
      </c>
      <c r="AG17" s="29" t="str">
        <f aca="false">IFERROR(AG16/AA16-1,"")</f>
        <v/>
      </c>
      <c r="AH17" s="29" t="str">
        <f aca="false">IFERROR(AH16/AB16-1,"")</f>
        <v/>
      </c>
      <c r="AI17" s="29" t="str">
        <f aca="false">IFERROR(AI16/AC16-1,"")</f>
        <v/>
      </c>
      <c r="AJ17" s="29" t="str">
        <f aca="false">IFERROR(AJ16/AD16-1,"")</f>
        <v/>
      </c>
      <c r="AK17" s="29" t="str">
        <f aca="false">IFERROR(AK16/AE16-1,"")</f>
        <v/>
      </c>
      <c r="AL17" s="29" t="str">
        <f aca="false">IFERROR(AL16/AF16-1,"")</f>
        <v/>
      </c>
      <c r="AM17" s="29" t="str">
        <f aca="false">IFERROR(AM16/AG16-1,"")</f>
        <v/>
      </c>
      <c r="AN17" s="29" t="str">
        <f aca="false">IFERROR(AN16/AH16-1,"")</f>
        <v/>
      </c>
      <c r="AO17" s="29" t="str">
        <f aca="false">IFERROR(AO16/AI16-1,"")</f>
        <v/>
      </c>
      <c r="AP17" s="29" t="str">
        <f aca="false">IFERROR(AP16/AJ16-1,"")</f>
        <v/>
      </c>
      <c r="AQ17" s="29" t="str">
        <f aca="false">IFERROR(AQ16/AK16-1,"")</f>
        <v/>
      </c>
      <c r="AR17" s="29" t="str">
        <f aca="false">IFERROR(AR16/AL16-1,"")</f>
        <v/>
      </c>
      <c r="AS17" s="29" t="n">
        <f aca="false">IFERROR(AS16/AM16-1,"")</f>
        <v>0.64777718932054</v>
      </c>
      <c r="AT17" s="29" t="n">
        <f aca="false">IFERROR(AT16/AN16-1,"")</f>
        <v>0.401846403571066</v>
      </c>
      <c r="AU17" s="29" t="n">
        <f aca="false">IFERROR(AU16/AO16-1,"")</f>
        <v>-0.0521745007265232</v>
      </c>
      <c r="AV17" s="29" t="n">
        <f aca="false">IFERROR(AV16/AP16-1,"")</f>
        <v>0.129352830226946</v>
      </c>
      <c r="AW17" s="29" t="n">
        <f aca="false">IFERROR(AW16/AQ16-1,"")</f>
        <v>0.0790933204726307</v>
      </c>
      <c r="AX17" s="29" t="n">
        <f aca="false">IFERROR(AX16/AR16-1,"")</f>
        <v>0.170504226173127</v>
      </c>
      <c r="AY17" s="29" t="n">
        <f aca="false">IFERROR(AY16/AS16-1,"")</f>
        <v>0.126238372532708</v>
      </c>
      <c r="AZ17" s="29" t="n">
        <f aca="false">IFERROR(AZ16/AT16-1,"")</f>
        <v>0.207157331017513</v>
      </c>
      <c r="BA17" s="29" t="n">
        <f aca="false">IFERROR(BA16/AU16-1,"")</f>
        <v>0.261791864237584</v>
      </c>
      <c r="BB17" s="29" t="n">
        <f aca="false">IFERROR(BB16/AV16-1,"")</f>
        <v>0.234677202119063</v>
      </c>
      <c r="BC17" s="29" t="n">
        <f aca="false">IFERROR(BC16/AW16-1,"")</f>
        <v>0.127629688747007</v>
      </c>
      <c r="BD17" s="29" t="n">
        <f aca="false">IFERROR(BD16/AX16-1,"")</f>
        <v>0.303722609561753</v>
      </c>
      <c r="BE17" s="29" t="n">
        <f aca="false">IFERROR(BE16/AY16-1,"")</f>
        <v>0.225150665614665</v>
      </c>
      <c r="BF17" s="29" t="n">
        <f aca="false">IFERROR(BF16/AZ16-1,"")</f>
        <v>0.409430172956446</v>
      </c>
      <c r="BG17" s="29" t="n">
        <f aca="false">IFERROR(BG16/BA16-1,"")</f>
        <v>0.483386075949367</v>
      </c>
      <c r="BH17" s="29" t="n">
        <f aca="false">IFERROR(BH16/BB16-1,"")</f>
        <v>0.447500472706646</v>
      </c>
      <c r="BI17" s="29" t="n">
        <f aca="false">IFERROR(BI16/BC16-1,"")</f>
        <v>1.02743255102907</v>
      </c>
      <c r="BJ17" s="29" t="n">
        <f aca="false">IFERROR(BJ16/BD16-1,"")</f>
        <v>0.991906603638447</v>
      </c>
      <c r="BK17" s="29" t="n">
        <f aca="false">IFERROR(BK16/BE16-1,"")</f>
        <v>0.74407037448103</v>
      </c>
      <c r="BL17" s="29" t="n">
        <f aca="false">IFERROR(BL16/BF16-1,"")</f>
        <v>0.86522756273926</v>
      </c>
      <c r="BM17" s="29" t="n">
        <f aca="false">IFERROR(BM16/BG16-1,"")</f>
        <v>0.841504761904762</v>
      </c>
      <c r="BN17" s="29" t="n">
        <f aca="false">IFERROR(BN16/BH16-1,"")</f>
        <v>0.852713022508038</v>
      </c>
      <c r="BO17" s="29" t="n">
        <f aca="false">IFERROR(BO16/BI16-1,"")</f>
        <v>0.555330587167493</v>
      </c>
      <c r="BP17" s="29" t="n">
        <f aca="false">IFERROR(BP16/BJ16-1,"")</f>
        <v>0.392950031762013</v>
      </c>
      <c r="BQ17" s="29" t="n">
        <f aca="false">IFERROR(BQ16/BK16-1,"")</f>
        <v>0.618369158731655</v>
      </c>
      <c r="BR17" s="29" t="n">
        <f aca="false">IFERROR(BR16/BL16-1,"")</f>
        <v>0.108194702575738</v>
      </c>
      <c r="BS17" s="29" t="n">
        <f aca="false">IFERROR(BS16/BM16-1,"")</f>
        <v>-0.149805024876137</v>
      </c>
      <c r="BT17" s="29" t="n">
        <f aca="false">IFERROR(BT16/BN16-1,"")</f>
        <v>-0.027085073380265</v>
      </c>
      <c r="BU17" s="29" t="n">
        <f aca="false">IFERROR(BU16/BO16-1,"")</f>
        <v>-0.266678637159402</v>
      </c>
      <c r="BV17" s="29" t="n">
        <f aca="false">IFERROR(BV16/BP16-1,"")</f>
        <v>-0.251940319055568</v>
      </c>
      <c r="BW17" s="29" t="n">
        <f aca="false">IFERROR(BW16/BQ16-1,"")</f>
        <v>-0.155292061604185</v>
      </c>
      <c r="BX17" s="29" t="n">
        <f aca="false">IFERROR(BX16/BR16-1,"")</f>
        <v>-0.193534447279611</v>
      </c>
      <c r="BY17" s="29" t="n">
        <f aca="false">IFERROR(BY16/BS16-1,"")</f>
        <v>-0.0913183123266339</v>
      </c>
      <c r="BZ17" s="29" t="n">
        <f aca="false">IFERROR(BZ16/BT16-1,"")</f>
        <v>-0.146698775837849</v>
      </c>
      <c r="CA17" s="29" t="n">
        <f aca="false">IFERROR(CA16/BU16-1,"")</f>
        <v>0.0802512212142359</v>
      </c>
      <c r="CB17" s="29" t="n">
        <f aca="false">IFERROR(CB16/BV16-1,"")</f>
        <v>0.119487450827026</v>
      </c>
      <c r="CC17" s="29" t="n">
        <f aca="false">IFERROR(CC16/BW16-1,"")</f>
        <v>-0.0269362397882802</v>
      </c>
      <c r="CD17" s="29" t="n">
        <f aca="false">IFERROR(CD16/BX16-1,"")</f>
        <v>0.116952871832819</v>
      </c>
      <c r="CE17" s="29" t="n">
        <f aca="false">IFERROR(CE16/BY16-1,"")</f>
        <v>0.428772258669166</v>
      </c>
      <c r="CF17" s="29" t="n">
        <f aca="false">IFERROR(CF16/BZ16-1,"")</f>
        <v>0.269102121877286</v>
      </c>
      <c r="CG17" s="29" t="n">
        <f aca="false">IFERROR(CG16/CA16-1,"")</f>
        <v>0.222086223310213</v>
      </c>
      <c r="CH17" s="29" t="n">
        <f aca="false">IFERROR(CH16/CB16-1,"")</f>
        <v>0.0423627807574545</v>
      </c>
      <c r="CI17" s="29" t="n">
        <f aca="false">IFERROR(CI16/CC16-1,"")</f>
        <v>0.191691300020967</v>
      </c>
      <c r="CJ17" s="29" t="n">
        <f aca="false">IFERROR(CJ16/CD16-1,"")</f>
        <v>0.1088647500257</v>
      </c>
      <c r="CK17" s="29" t="n">
        <f aca="false">IFERROR(CK16/CE16-1,"")</f>
        <v>-0.0427493791875556</v>
      </c>
      <c r="CL17" s="29" t="n">
        <f aca="false">IFERROR(CL16/CF16-1,"")</f>
        <v>0.0255785940781617</v>
      </c>
      <c r="CM17" s="29" t="n">
        <f aca="false">IFERROR(CM16/CG16-1,"")</f>
        <v>-0.00402477928629719</v>
      </c>
      <c r="CN17" s="29" t="n">
        <f aca="false">IFERROR(CN16/CH16-1,"")</f>
        <v>0.109049867421069</v>
      </c>
      <c r="CO17" s="29" t="n">
        <f aca="false">IFERROR(CO16/CI16-1,"")</f>
        <v>0.0386498689120942</v>
      </c>
      <c r="CP17" s="34" t="n">
        <v>0.04</v>
      </c>
      <c r="CQ17" s="34" t="n">
        <v>0.04</v>
      </c>
      <c r="CR17" s="34" t="n">
        <v>0.04</v>
      </c>
      <c r="CS17" s="34" t="n">
        <v>0.04</v>
      </c>
      <c r="CT17" s="34" t="n">
        <v>0.04</v>
      </c>
      <c r="CU17" s="24"/>
      <c r="CW17" s="6"/>
      <c r="CX17" s="6"/>
      <c r="CY17" s="6"/>
      <c r="CZ17" s="6"/>
    </row>
    <row r="18" customFormat="false" ht="15" hidden="false" customHeight="false" outlineLevel="0" collapsed="false">
      <c r="B18" s="20" t="s">
        <v>117</v>
      </c>
      <c r="C18" s="22" t="n">
        <v>526.456</v>
      </c>
      <c r="D18" s="22" t="n">
        <v>541.801</v>
      </c>
      <c r="E18" s="22" t="n">
        <v>591.6</v>
      </c>
      <c r="F18" s="22" t="n">
        <v>591.284</v>
      </c>
      <c r="G18" s="22" t="n">
        <v>602.794</v>
      </c>
      <c r="H18" s="22" t="n">
        <v>674.742</v>
      </c>
      <c r="I18" s="22" t="n">
        <v>724.869</v>
      </c>
      <c r="J18" s="22"/>
      <c r="K18" s="22"/>
      <c r="L18" s="21"/>
      <c r="M18" s="22"/>
      <c r="N18" s="22"/>
      <c r="O18" s="22"/>
      <c r="P18" s="22"/>
      <c r="Q18" s="22"/>
      <c r="R18" s="21"/>
      <c r="S18" s="22"/>
      <c r="T18" s="22"/>
      <c r="U18" s="22" t="n">
        <v>893.659</v>
      </c>
      <c r="V18" s="22"/>
      <c r="W18" s="22"/>
      <c r="X18" s="21"/>
      <c r="Y18" s="22"/>
      <c r="Z18" s="22"/>
      <c r="AA18" s="22" t="n">
        <v>902.88</v>
      </c>
      <c r="AB18" s="22" t="n">
        <v>230.465</v>
      </c>
      <c r="AC18" s="22" t="n">
        <v>238.261</v>
      </c>
      <c r="AD18" s="21" t="n">
        <f aca="false">AB18+AC18</f>
        <v>468.726</v>
      </c>
      <c r="AE18" s="22" t="n">
        <v>279.21</v>
      </c>
      <c r="AF18" s="22" t="n">
        <v>268.1</v>
      </c>
      <c r="AG18" s="22" t="n">
        <v>1016.036</v>
      </c>
      <c r="AH18" s="22" t="n">
        <v>285.062</v>
      </c>
      <c r="AI18" s="22" t="n">
        <v>286.911</v>
      </c>
      <c r="AJ18" s="21" t="n">
        <f aca="false">AH18+AI18</f>
        <v>571.973</v>
      </c>
      <c r="AK18" s="22" t="n">
        <v>307.12</v>
      </c>
      <c r="AL18" s="22" t="n">
        <v>314.095</v>
      </c>
      <c r="AM18" s="21" t="n">
        <f aca="false">AM12+AM16</f>
        <v>1193.188</v>
      </c>
      <c r="AN18" s="21" t="n">
        <f aca="false">AN12+AN16</f>
        <v>351.105</v>
      </c>
      <c r="AO18" s="21" t="n">
        <f aca="false">AO12+AO16</f>
        <v>385.135</v>
      </c>
      <c r="AP18" s="21" t="n">
        <f aca="false">AP12+AP16</f>
        <v>736.24</v>
      </c>
      <c r="AQ18" s="21" t="n">
        <f aca="false">AQ12+AQ16</f>
        <v>385.281</v>
      </c>
      <c r="AR18" s="21" t="n">
        <f aca="false">AR12+AR16</f>
        <v>369.501</v>
      </c>
      <c r="AS18" s="21" t="n">
        <f aca="false">AS12+AS16</f>
        <v>1491.022</v>
      </c>
      <c r="AT18" s="21" t="n">
        <f aca="false">AT12+AT16</f>
        <v>371.209</v>
      </c>
      <c r="AU18" s="21" t="n">
        <f aca="false">AU12+AU16</f>
        <v>390.072</v>
      </c>
      <c r="AV18" s="21" t="n">
        <f aca="false">AV12+AV16</f>
        <v>761.281</v>
      </c>
      <c r="AW18" s="21" t="n">
        <f aca="false">AW12+AW16</f>
        <v>448.199</v>
      </c>
      <c r="AX18" s="21" t="n">
        <f aca="false">AX12+AX16</f>
        <v>447.089</v>
      </c>
      <c r="AY18" s="21" t="n">
        <f aca="false">AY12+AY16</f>
        <v>1656.569</v>
      </c>
      <c r="AZ18" s="21" t="n">
        <f aca="false">AZ12+AZ16</f>
        <v>464.164</v>
      </c>
      <c r="BA18" s="21" t="n">
        <f aca="false">BA12+BA16</f>
        <v>482.737</v>
      </c>
      <c r="BB18" s="21" t="n">
        <f aca="false">BB12+BB16</f>
        <v>946.901</v>
      </c>
      <c r="BC18" s="21" t="n">
        <f aca="false">BC12+BC16</f>
        <v>467.198</v>
      </c>
      <c r="BD18" s="21" t="n">
        <f aca="false">BD12+BD16</f>
        <v>446.587</v>
      </c>
      <c r="BE18" s="21" t="n">
        <f aca="false">BE12+BE16</f>
        <v>1860.686</v>
      </c>
      <c r="BF18" s="21" t="n">
        <f aca="false">BF12+BF16</f>
        <v>497.255</v>
      </c>
      <c r="BG18" s="21" t="n">
        <f aca="false">BG12+BG16</f>
        <v>517.923</v>
      </c>
      <c r="BH18" s="21" t="n">
        <f aca="false">BH12+BH16</f>
        <v>1015.178</v>
      </c>
      <c r="BI18" s="21" t="n">
        <f aca="false">BI12+BI16</f>
        <v>621.953</v>
      </c>
      <c r="BJ18" s="21" t="n">
        <f aca="false">BJ12+BJ16</f>
        <v>634.941</v>
      </c>
      <c r="BK18" s="21" t="n">
        <f aca="false">BK12+BK16</f>
        <v>2272.072</v>
      </c>
      <c r="BL18" s="21" t="n">
        <f aca="false">BL12+BL16</f>
        <v>678.461</v>
      </c>
      <c r="BM18" s="21" t="n">
        <f aca="false">BM12+BM16</f>
        <v>727.386</v>
      </c>
      <c r="BN18" s="21" t="n">
        <f aca="false">BN12+BN16</f>
        <v>1405.847</v>
      </c>
      <c r="BO18" s="21" t="n">
        <f aca="false">BO12+BO16</f>
        <v>790.25</v>
      </c>
      <c r="BP18" s="21" t="n">
        <f aca="false">BP12+BP16</f>
        <v>749.053</v>
      </c>
      <c r="BQ18" s="21" t="n">
        <f aca="false">BQ12+BQ16</f>
        <v>2945.15</v>
      </c>
      <c r="BR18" s="21" t="n">
        <f aca="false">BR12+BR16</f>
        <v>748.849</v>
      </c>
      <c r="BS18" s="21" t="n">
        <f aca="false">BS12+BS16</f>
        <v>787.929</v>
      </c>
      <c r="BT18" s="21" t="n">
        <f aca="false">BT12+BT16</f>
        <v>1536.778</v>
      </c>
      <c r="BU18" s="21" t="n">
        <f aca="false">BU12+BU16</f>
        <v>833.758</v>
      </c>
      <c r="BV18" s="21" t="n">
        <f aca="false">BV12+BV16</f>
        <v>819.112</v>
      </c>
      <c r="BW18" s="21" t="n">
        <f aca="false">BW12+BW16</f>
        <v>3189.648</v>
      </c>
      <c r="BX18" s="21" t="n">
        <f aca="false">BX12+BX16</f>
        <v>840.906</v>
      </c>
      <c r="BY18" s="21" t="n">
        <f aca="false">BY12+BY16</f>
        <v>830.726</v>
      </c>
      <c r="BZ18" s="21" t="n">
        <f aca="false">BZ12+BZ16</f>
        <v>1671.632</v>
      </c>
      <c r="CA18" s="21" t="n">
        <f aca="false">CA12+CA16</f>
        <v>918.916</v>
      </c>
      <c r="CB18" s="21" t="n">
        <f aca="false">CB12+CB16</f>
        <v>874.187</v>
      </c>
      <c r="CC18" s="21" t="n">
        <f aca="false">CC12+CC16</f>
        <v>3464.735</v>
      </c>
      <c r="CD18" s="21" t="n">
        <f aca="false">CD12+CD16</f>
        <v>947.539</v>
      </c>
      <c r="CE18" s="21" t="n">
        <f aca="false">CE12+CE16</f>
        <v>974.845</v>
      </c>
      <c r="CF18" s="21" t="n">
        <f aca="false">CF12+CF16</f>
        <v>1922.384</v>
      </c>
      <c r="CG18" s="21" t="n">
        <f aca="false">CG12+CG16</f>
        <v>1006.457</v>
      </c>
      <c r="CH18" s="21" t="n">
        <f aca="false">CH12+CH16</f>
        <v>926.262</v>
      </c>
      <c r="CI18" s="21" t="n">
        <f aca="false">CI12+CI16</f>
        <v>3855.104</v>
      </c>
      <c r="CJ18" s="21" t="n">
        <f aca="false">CJ12+CJ16</f>
        <v>952.614</v>
      </c>
      <c r="CK18" s="21" t="n">
        <f aca="false">CK12+CK16</f>
        <v>921.62</v>
      </c>
      <c r="CL18" s="21" t="n">
        <f aca="false">CL12+CL16</f>
        <v>1874.234</v>
      </c>
      <c r="CM18" s="21" t="n">
        <f aca="false">CM12+CM16</f>
        <v>1002.862</v>
      </c>
      <c r="CN18" s="21" t="n">
        <f aca="false">CN12+CN16</f>
        <v>930.334</v>
      </c>
      <c r="CO18" s="21" t="n">
        <f aca="false">CO12+CO16</f>
        <v>3807.43</v>
      </c>
      <c r="CP18" s="23" t="n">
        <f aca="false">CP12+CP16</f>
        <v>3960.7436861</v>
      </c>
      <c r="CQ18" s="23" t="n">
        <f aca="false">CQ12+CQ16</f>
        <v>4174.68958426007</v>
      </c>
      <c r="CR18" s="23" t="n">
        <f aca="false">CR12+CR16</f>
        <v>4419.45326800359</v>
      </c>
      <c r="CS18" s="23" t="n">
        <f aca="false">CS12+CS16</f>
        <v>4678.74406360958</v>
      </c>
      <c r="CT18" s="23" t="n">
        <f aca="false">CT12+CT16</f>
        <v>4953.43151233134</v>
      </c>
      <c r="CU18" s="24"/>
      <c r="CW18" s="25" t="n">
        <f aca="false">IFERROR((CT18/CO18)^(1/5)-1,"n/m")</f>
        <v>0.0540345506381401</v>
      </c>
      <c r="CX18" s="25" t="n">
        <f aca="false">IFERROR((CO18/BK18)^(1/5)-1,"n/m")</f>
        <v>0.108771278701172</v>
      </c>
      <c r="CY18" s="25" t="n">
        <f aca="false">IFERROR((CO18/AG18)^(1/10)-1,"n/m")</f>
        <v>0.141227644270596</v>
      </c>
      <c r="CZ18" s="25" t="n">
        <f aca="false">IFERROR((CO18/C18)^(1/20)-1,"n/m")</f>
        <v>0.103985812885446</v>
      </c>
      <c r="DC18" s="17" t="s">
        <v>118</v>
      </c>
      <c r="DD18" s="18" t="n">
        <v>0.02</v>
      </c>
      <c r="DE18" s="19" t="s">
        <v>100</v>
      </c>
      <c r="DF18" s="18" t="n">
        <v>-0.03</v>
      </c>
      <c r="DG18" s="14" t="s">
        <v>119</v>
      </c>
    </row>
    <row r="19" customFormat="false" ht="15" hidden="false" customHeight="false" outlineLevel="0" collapsed="false">
      <c r="B19" s="28" t="s">
        <v>120</v>
      </c>
      <c r="C19" s="29"/>
      <c r="D19" s="29" t="n">
        <f aca="false">IFERROR(D18/C18-1,"")</f>
        <v>0.0291477350433844</v>
      </c>
      <c r="E19" s="29" t="n">
        <f aca="false">IFERROR(E18/D18-1,"")</f>
        <v>0.0919138207570676</v>
      </c>
      <c r="F19" s="29" t="n">
        <f aca="false">IFERROR(F18/E18-1,"")</f>
        <v>-0.000534144692359795</v>
      </c>
      <c r="G19" s="29" t="n">
        <f aca="false">IFERROR(G18/F18-1,"")</f>
        <v>0.0194661110397034</v>
      </c>
      <c r="H19" s="29" t="n">
        <f aca="false">IFERROR(H18/G18-1,"")</f>
        <v>0.119357525124669</v>
      </c>
      <c r="I19" s="29" t="n">
        <f aca="false">IFERROR(I18/H18-1,"")</f>
        <v>0.074290617747228</v>
      </c>
      <c r="J19" s="29"/>
      <c r="K19" s="29"/>
      <c r="L19" s="29"/>
      <c r="M19" s="29"/>
      <c r="N19" s="29"/>
      <c r="O19" s="29" t="n">
        <f aca="false">IFERROR(O18/I18-1,"")</f>
        <v>-1</v>
      </c>
      <c r="P19" s="29" t="str">
        <f aca="false">IFERROR(P18/J18-1,"")</f>
        <v/>
      </c>
      <c r="Q19" s="29" t="str">
        <f aca="false">IFERROR(Q18/K18-1,"")</f>
        <v/>
      </c>
      <c r="R19" s="29" t="str">
        <f aca="false">IFERROR(R18/L18-1,"")</f>
        <v/>
      </c>
      <c r="S19" s="29" t="str">
        <f aca="false">IFERROR(S18/M18-1,"")</f>
        <v/>
      </c>
      <c r="T19" s="29" t="str">
        <f aca="false">IFERROR(T18/N18-1,"")</f>
        <v/>
      </c>
      <c r="U19" s="29" t="str">
        <f aca="false">IFERROR(U18/O18-1,"")</f>
        <v/>
      </c>
      <c r="V19" s="29" t="str">
        <f aca="false">IFERROR(V18/P18-1,"")</f>
        <v/>
      </c>
      <c r="W19" s="29" t="str">
        <f aca="false">IFERROR(W18/Q18-1,"")</f>
        <v/>
      </c>
      <c r="X19" s="29" t="str">
        <f aca="false">IFERROR(X18/R18-1,"")</f>
        <v/>
      </c>
      <c r="Y19" s="29" t="str">
        <f aca="false">IFERROR(Y18/S18-1,"")</f>
        <v/>
      </c>
      <c r="Z19" s="29" t="str">
        <f aca="false">IFERROR(Z18/T18-1,"")</f>
        <v/>
      </c>
      <c r="AA19" s="29" t="n">
        <f aca="false">IFERROR(AA18/U18-1,"")</f>
        <v>0.0103182533830017</v>
      </c>
      <c r="AB19" s="29" t="str">
        <f aca="false">IFERROR(AB18/V18-1,"")</f>
        <v/>
      </c>
      <c r="AC19" s="29" t="str">
        <f aca="false">IFERROR(AC18/W18-1,"")</f>
        <v/>
      </c>
      <c r="AD19" s="29" t="str">
        <f aca="false">IFERROR(AD18/X18-1,"")</f>
        <v/>
      </c>
      <c r="AE19" s="29" t="str">
        <f aca="false">IFERROR(AE18/Y18-1,"")</f>
        <v/>
      </c>
      <c r="AF19" s="29" t="str">
        <f aca="false">IFERROR(AF18/Z18-1,"")</f>
        <v/>
      </c>
      <c r="AG19" s="29" t="n">
        <f aca="false">IFERROR(AG18/AA18-1,"")</f>
        <v>0.125327839801524</v>
      </c>
      <c r="AH19" s="29" t="n">
        <f aca="false">IFERROR(AH18/AB18-1,"")</f>
        <v>0.236899312259996</v>
      </c>
      <c r="AI19" s="29" t="n">
        <f aca="false">IFERROR(AI18/AC18-1,"")</f>
        <v>0.204187844422713</v>
      </c>
      <c r="AJ19" s="29" t="n">
        <f aca="false">IFERROR(AJ18/AD18-1,"")</f>
        <v>0.220271544569749</v>
      </c>
      <c r="AK19" s="29" t="n">
        <f aca="false">IFERROR(AK18/AE18-1,"")</f>
        <v>0.0999606031302605</v>
      </c>
      <c r="AL19" s="29" t="n">
        <f aca="false">IFERROR(AL18/AF18-1,"")</f>
        <v>0.171559119731443</v>
      </c>
      <c r="AM19" s="29" t="n">
        <f aca="false">IFERROR(AM18/AG18-1,"")</f>
        <v>0.174356026754958</v>
      </c>
      <c r="AN19" s="29" t="n">
        <f aca="false">IFERROR(AN18/AH18-1,"")</f>
        <v>0.231679424125278</v>
      </c>
      <c r="AO19" s="29" t="n">
        <f aca="false">IFERROR(AO18/AI18-1,"")</f>
        <v>0.342350066745437</v>
      </c>
      <c r="AP19" s="29" t="n">
        <f aca="false">IFERROR(AP18/AJ18-1,"")</f>
        <v>0.287193626272569</v>
      </c>
      <c r="AQ19" s="29" t="n">
        <f aca="false">IFERROR(AQ18/AK18-1,"")</f>
        <v>0.254496613701485</v>
      </c>
      <c r="AR19" s="29" t="n">
        <f aca="false">IFERROR(AR18/AL18-1,"")</f>
        <v>0.17639886021745</v>
      </c>
      <c r="AS19" s="29" t="n">
        <f aca="false">IFERROR(AS18/AM18-1,"")</f>
        <v>0.249611963915158</v>
      </c>
      <c r="AT19" s="29" t="n">
        <f aca="false">IFERROR(AT18/AN18-1,"")</f>
        <v>0.0572592244485268</v>
      </c>
      <c r="AU19" s="29" t="n">
        <f aca="false">IFERROR(AU18/AO18-1,"")</f>
        <v>0.0128188816908357</v>
      </c>
      <c r="AV19" s="29" t="n">
        <f aca="false">IFERROR(AV18/AP18-1,"")</f>
        <v>0.034012006954254</v>
      </c>
      <c r="AW19" s="29" t="n">
        <f aca="false">IFERROR(AW18/AQ18-1,"")</f>
        <v>0.163304185776096</v>
      </c>
      <c r="AX19" s="29" t="n">
        <f aca="false">IFERROR(AX18/AR18-1,"")</f>
        <v>0.209980487197599</v>
      </c>
      <c r="AY19" s="29" t="n">
        <f aca="false">IFERROR(AY18/AS18-1,"")</f>
        <v>0.111029213519317</v>
      </c>
      <c r="AZ19" s="29" t="n">
        <f aca="false">IFERROR(AZ18/AT18-1,"")</f>
        <v>0.250411493255821</v>
      </c>
      <c r="BA19" s="29" t="n">
        <f aca="false">IFERROR(BA18/AU18-1,"")</f>
        <v>0.237558707110482</v>
      </c>
      <c r="BB19" s="29" t="n">
        <f aca="false">IFERROR(BB18/AV18-1,"")</f>
        <v>0.243825867189645</v>
      </c>
      <c r="BC19" s="29" t="n">
        <f aca="false">IFERROR(BC18/AW18-1,"")</f>
        <v>0.0423896528104704</v>
      </c>
      <c r="BD19" s="29" t="n">
        <f aca="false">IFERROR(BD18/AX18-1,"")</f>
        <v>-0.00112281894656308</v>
      </c>
      <c r="BE19" s="29" t="n">
        <f aca="false">IFERROR(BE18/AY18-1,"")</f>
        <v>0.123216720824789</v>
      </c>
      <c r="BF19" s="29" t="n">
        <f aca="false">IFERROR(BF18/AZ18-1,"")</f>
        <v>0.0712916124473246</v>
      </c>
      <c r="BG19" s="29" t="n">
        <f aca="false">IFERROR(BG18/BA18-1,"")</f>
        <v>0.0728885500800642</v>
      </c>
      <c r="BH19" s="29" t="n">
        <f aca="false">IFERROR(BH18/BB18-1,"")</f>
        <v>0.0721057428390084</v>
      </c>
      <c r="BI19" s="29" t="n">
        <f aca="false">IFERROR(BI18/BC18-1,"")</f>
        <v>0.331240715927722</v>
      </c>
      <c r="BJ19" s="29" t="n">
        <f aca="false">IFERROR(BJ18/BD18-1,"")</f>
        <v>0.421763284645545</v>
      </c>
      <c r="BK19" s="29" t="n">
        <f aca="false">IFERROR(BK18/BE18-1,"")</f>
        <v>0.221093725647423</v>
      </c>
      <c r="BL19" s="29" t="n">
        <f aca="false">IFERROR(BL18/BF18-1,"")</f>
        <v>0.364412625312968</v>
      </c>
      <c r="BM19" s="29" t="n">
        <f aca="false">IFERROR(BM18/BG18-1,"")</f>
        <v>0.404428843669812</v>
      </c>
      <c r="BN19" s="29" t="n">
        <f aca="false">IFERROR(BN18/BH18-1,"")</f>
        <v>0.384828079410705</v>
      </c>
      <c r="BO19" s="29" t="n">
        <f aca="false">IFERROR(BO18/BI18-1,"")</f>
        <v>0.270594401827791</v>
      </c>
      <c r="BP19" s="29" t="n">
        <f aca="false">IFERROR(BP18/BJ18-1,"")</f>
        <v>0.179720635460618</v>
      </c>
      <c r="BQ19" s="29" t="n">
        <f aca="false">IFERROR(BQ18/BK18-1,"")</f>
        <v>0.296239731839484</v>
      </c>
      <c r="BR19" s="29" t="n">
        <f aca="false">IFERROR(BR18/BL18-1,"")</f>
        <v>0.103746567599317</v>
      </c>
      <c r="BS19" s="29" t="n">
        <f aca="false">IFERROR(BS18/BM18-1,"")</f>
        <v>0.0832336613572435</v>
      </c>
      <c r="BT19" s="29" t="n">
        <f aca="false">IFERROR(BT18/BN18-1,"")</f>
        <v>0.0931331787883032</v>
      </c>
      <c r="BU19" s="29" t="n">
        <f aca="false">IFERROR(BU18/BO18-1,"")</f>
        <v>0.0550559949383107</v>
      </c>
      <c r="BV19" s="29" t="n">
        <f aca="false">IFERROR(BV18/BP18-1,"")</f>
        <v>0.0935300973362365</v>
      </c>
      <c r="BW19" s="29" t="n">
        <f aca="false">IFERROR(BW18/BQ18-1,"")</f>
        <v>0.0830171638116903</v>
      </c>
      <c r="BX19" s="29" t="n">
        <f aca="false">IFERROR(BX18/BR18-1,"")</f>
        <v>0.122931325273854</v>
      </c>
      <c r="BY19" s="29" t="n">
        <f aca="false">IFERROR(BY18/BS18-1,"")</f>
        <v>0.0543158076425667</v>
      </c>
      <c r="BZ19" s="29" t="n">
        <f aca="false">IFERROR(BZ18/BT18-1,"")</f>
        <v>0.0877511260572446</v>
      </c>
      <c r="CA19" s="29" t="n">
        <f aca="false">IFERROR(CA18/BU18-1,"")</f>
        <v>0.102137550704161</v>
      </c>
      <c r="CB19" s="29" t="n">
        <f aca="false">IFERROR(CB18/BV18-1,"")</f>
        <v>0.067237447382043</v>
      </c>
      <c r="CC19" s="29" t="n">
        <f aca="false">IFERROR(CC18/BW18-1,"")</f>
        <v>0.0862436858236393</v>
      </c>
      <c r="CD19" s="29" t="n">
        <f aca="false">IFERROR(CD18/BX18-1,"")</f>
        <v>0.126807276913234</v>
      </c>
      <c r="CE19" s="29" t="n">
        <f aca="false">IFERROR(CE18/BY18-1,"")</f>
        <v>0.173485601750758</v>
      </c>
      <c r="CF19" s="29" t="n">
        <f aca="false">IFERROR(CF18/BZ18-1,"")</f>
        <v>0.150004307168085</v>
      </c>
      <c r="CG19" s="29" t="n">
        <f aca="false">IFERROR(CG18/CA18-1,"")</f>
        <v>0.0952655084904388</v>
      </c>
      <c r="CH19" s="29" t="n">
        <f aca="false">IFERROR(CH18/CB18-1,"")</f>
        <v>0.0595696344146046</v>
      </c>
      <c r="CI19" s="29" t="n">
        <f aca="false">IFERROR(CI18/CC18-1,"")</f>
        <v>0.112669222898721</v>
      </c>
      <c r="CJ19" s="29" t="n">
        <f aca="false">IFERROR(CJ18/CD18-1,"")</f>
        <v>0.00535598007047744</v>
      </c>
      <c r="CK19" s="29" t="n">
        <f aca="false">IFERROR(CK18/CE18-1,"")</f>
        <v>-0.0545984233390949</v>
      </c>
      <c r="CL19" s="29" t="n">
        <f aca="false">IFERROR(CL18/CF18-1,"")</f>
        <v>-0.0250470249440279</v>
      </c>
      <c r="CM19" s="29" t="n">
        <f aca="false">IFERROR(CM18/CG18-1,"")</f>
        <v>-0.00357193600918859</v>
      </c>
      <c r="CN19" s="29" t="n">
        <f aca="false">IFERROR(CN18/CH18-1,"")</f>
        <v>0.00439616436818113</v>
      </c>
      <c r="CO19" s="29" t="n">
        <f aca="false">IFERROR(CO18/CI18-1,"")</f>
        <v>-0.0123664627465303</v>
      </c>
      <c r="CP19" s="30" t="n">
        <f aca="false">IFERROR(CP18/CO18-1,"")</f>
        <v>0.0402669743370199</v>
      </c>
      <c r="CQ19" s="30" t="n">
        <f aca="false">IFERROR(CQ18/CP18-1,"")</f>
        <v>0.0540165976684897</v>
      </c>
      <c r="CR19" s="30" t="n">
        <f aca="false">IFERROR(CR18/CQ18-1,"")</f>
        <v>0.0586303912670196</v>
      </c>
      <c r="CS19" s="30" t="n">
        <f aca="false">IFERROR(CS18/CR18-1,"")</f>
        <v>0.0586703331570946</v>
      </c>
      <c r="CT19" s="30" t="n">
        <f aca="false">IFERROR(CT18/CS18-1,"")</f>
        <v>0.0587096547678765</v>
      </c>
      <c r="CU19" s="24"/>
      <c r="CW19" s="6"/>
      <c r="CX19" s="6"/>
      <c r="CY19" s="6"/>
      <c r="CZ19" s="6"/>
      <c r="DC19" s="15" t="s">
        <v>104</v>
      </c>
      <c r="DD19" s="26" t="n">
        <f aca="false">DE19+$DD$18</f>
        <v>0.08</v>
      </c>
      <c r="DE19" s="27" t="n">
        <v>0.06</v>
      </c>
      <c r="DF19" s="26" t="n">
        <f aca="false">DE19+$DF$18</f>
        <v>0.03</v>
      </c>
    </row>
    <row r="20" customFormat="false" ht="15" hidden="false" customHeight="false" outlineLevel="0" collapsed="false">
      <c r="B20" s="15" t="s">
        <v>121</v>
      </c>
      <c r="C20" s="31"/>
      <c r="D20" s="31"/>
      <c r="E20" s="31"/>
      <c r="F20" s="31"/>
      <c r="G20" s="31"/>
      <c r="H20" s="31"/>
      <c r="I20" s="31"/>
      <c r="J20" s="32"/>
      <c r="K20" s="32"/>
      <c r="L20" s="31"/>
      <c r="M20" s="32"/>
      <c r="N20" s="32"/>
      <c r="O20" s="32"/>
      <c r="P20" s="32"/>
      <c r="Q20" s="32"/>
      <c r="R20" s="31"/>
      <c r="S20" s="32"/>
      <c r="T20" s="32"/>
      <c r="U20" s="32" t="n">
        <v>223.384</v>
      </c>
      <c r="V20" s="32"/>
      <c r="W20" s="32"/>
      <c r="X20" s="31"/>
      <c r="Y20" s="32"/>
      <c r="Z20" s="32"/>
      <c r="AA20" s="32" t="n">
        <v>289.991</v>
      </c>
      <c r="AB20" s="32" t="n">
        <v>72.939</v>
      </c>
      <c r="AC20" s="32" t="n">
        <v>79.053</v>
      </c>
      <c r="AD20" s="31" t="n">
        <f aca="false">AB20+AC20</f>
        <v>151.992</v>
      </c>
      <c r="AE20" s="32" t="n">
        <v>104.914</v>
      </c>
      <c r="AF20" s="32" t="n">
        <v>90.803</v>
      </c>
      <c r="AG20" s="32" t="n">
        <v>347.709</v>
      </c>
      <c r="AH20" s="32" t="n">
        <v>88.982</v>
      </c>
      <c r="AI20" s="32" t="n">
        <v>93.592</v>
      </c>
      <c r="AJ20" s="31" t="n">
        <f aca="false">AH20+AI20</f>
        <v>182.574</v>
      </c>
      <c r="AK20" s="32" t="n">
        <v>119.117</v>
      </c>
      <c r="AL20" s="32" t="n">
        <v>94.669</v>
      </c>
      <c r="AM20" s="32" t="n">
        <v>396.36</v>
      </c>
      <c r="AN20" s="32" t="n">
        <v>106.019</v>
      </c>
      <c r="AO20" s="32" t="n">
        <v>133.01</v>
      </c>
      <c r="AP20" s="31" t="n">
        <f aca="false">AN20+AO20</f>
        <v>239.029</v>
      </c>
      <c r="AQ20" s="32" t="n">
        <v>150.888</v>
      </c>
      <c r="AR20" s="32" t="n">
        <v>124.97</v>
      </c>
      <c r="AS20" s="32" t="n">
        <v>514.887</v>
      </c>
      <c r="AT20" s="32" t="n">
        <v>130.292</v>
      </c>
      <c r="AU20" s="32" t="n">
        <v>145.402</v>
      </c>
      <c r="AV20" s="31" t="n">
        <f aca="false">AT20+AU20</f>
        <v>275.694</v>
      </c>
      <c r="AW20" s="32" t="n">
        <v>188.258</v>
      </c>
      <c r="AX20" s="32" t="n">
        <v>173.516</v>
      </c>
      <c r="AY20" s="32" t="n">
        <v>637.468</v>
      </c>
      <c r="AZ20" s="32" t="n">
        <v>189.05</v>
      </c>
      <c r="BA20" s="32" t="n">
        <v>188.989</v>
      </c>
      <c r="BB20" s="31" t="n">
        <f aca="false">AZ20+BA20</f>
        <v>378.039</v>
      </c>
      <c r="BC20" s="32" t="n">
        <v>178.82</v>
      </c>
      <c r="BD20" s="32" t="n">
        <v>187.696</v>
      </c>
      <c r="BE20" s="32" t="n">
        <v>743.179</v>
      </c>
      <c r="BF20" s="32" t="n">
        <v>221.591</v>
      </c>
      <c r="BG20" s="32" t="n">
        <v>229.452</v>
      </c>
      <c r="BH20" s="31" t="n">
        <f aca="false">BF20+BG20</f>
        <v>451.043</v>
      </c>
      <c r="BI20" s="32" t="n">
        <v>296.726</v>
      </c>
      <c r="BJ20" s="32" t="n">
        <v>275.785</v>
      </c>
      <c r="BK20" s="32" t="n">
        <v>1023.555</v>
      </c>
      <c r="BL20" s="32" t="n">
        <v>294.949</v>
      </c>
      <c r="BM20" s="32" t="n">
        <v>312.646</v>
      </c>
      <c r="BN20" s="31" t="n">
        <f aca="false">BL20+BM20</f>
        <v>607.595</v>
      </c>
      <c r="BO20" s="32" t="n">
        <v>340.437</v>
      </c>
      <c r="BP20" s="32" t="n">
        <v>299.537</v>
      </c>
      <c r="BQ20" s="32" t="n">
        <v>1247.569</v>
      </c>
      <c r="BR20" s="32" t="n">
        <v>282.628</v>
      </c>
      <c r="BS20" s="32" t="n">
        <v>336.164</v>
      </c>
      <c r="BT20" s="31" t="n">
        <f aca="false">BR20+BS20</f>
        <v>618.792</v>
      </c>
      <c r="BU20" s="32" t="n">
        <v>384.791</v>
      </c>
      <c r="BV20" s="32" t="n">
        <v>364.515</v>
      </c>
      <c r="BW20" s="32" t="n">
        <v>1368.097</v>
      </c>
      <c r="BX20" s="32" t="n">
        <v>362.291</v>
      </c>
      <c r="BY20" s="32" t="n">
        <v>347.338</v>
      </c>
      <c r="BZ20" s="31" t="n">
        <f aca="false">BX20+BY20</f>
        <v>709.629</v>
      </c>
      <c r="CA20" s="32" t="n">
        <v>392.931</v>
      </c>
      <c r="CB20" s="32" t="n">
        <v>325.474</v>
      </c>
      <c r="CC20" s="32" t="n">
        <v>1428.034</v>
      </c>
      <c r="CD20" s="32" t="n">
        <v>355.059</v>
      </c>
      <c r="CE20" s="32" t="n">
        <v>375.893</v>
      </c>
      <c r="CF20" s="31" t="n">
        <f aca="false">CD20+CE20</f>
        <v>730.952</v>
      </c>
      <c r="CG20" s="32" t="n">
        <v>392.465</v>
      </c>
      <c r="CH20" s="32" t="n">
        <v>357.468</v>
      </c>
      <c r="CI20" s="32" t="n">
        <v>1480.886</v>
      </c>
      <c r="CJ20" s="32" t="n">
        <v>374.972</v>
      </c>
      <c r="CK20" s="32" t="n">
        <v>341.472</v>
      </c>
      <c r="CL20" s="31" t="n">
        <f aca="false">CJ20+CK20</f>
        <v>716.444</v>
      </c>
      <c r="CM20" s="32" t="n">
        <v>390.445</v>
      </c>
      <c r="CN20" s="32" t="n">
        <v>312.15</v>
      </c>
      <c r="CO20" s="32" t="n">
        <v>1419.04</v>
      </c>
      <c r="CP20" s="33"/>
      <c r="CQ20" s="33"/>
      <c r="CR20" s="33"/>
      <c r="CS20" s="33"/>
      <c r="CT20" s="33"/>
      <c r="CU20" s="24" t="s">
        <v>122</v>
      </c>
      <c r="CW20" s="6"/>
      <c r="CX20" s="6"/>
      <c r="CY20" s="6"/>
      <c r="CZ20" s="6"/>
      <c r="DC20" s="15" t="s">
        <v>107</v>
      </c>
      <c r="DD20" s="26" t="n">
        <f aca="false">DE20+$DD$18</f>
        <v>0.08</v>
      </c>
      <c r="DE20" s="27" t="n">
        <v>0.06</v>
      </c>
      <c r="DF20" s="26" t="n">
        <f aca="false">DE20+$DF$18</f>
        <v>0.03</v>
      </c>
    </row>
    <row r="21" customFormat="false" ht="15" hidden="false" customHeight="false" outlineLevel="0" collapsed="false">
      <c r="B21" s="28" t="s">
        <v>123</v>
      </c>
      <c r="C21" s="35" t="str">
        <f aca="false">IF(ISNUMBER(C20),IFERROR(C20/C18,""),"")</f>
        <v/>
      </c>
      <c r="D21" s="35" t="str">
        <f aca="false">IF(ISNUMBER(D20),IFERROR(D20/D18,""),"")</f>
        <v/>
      </c>
      <c r="E21" s="35" t="str">
        <f aca="false">IF(ISNUMBER(E20),IFERROR(E20/E18,""),"")</f>
        <v/>
      </c>
      <c r="F21" s="35" t="str">
        <f aca="false">IF(ISNUMBER(F20),IFERROR(F20/F18,""),"")</f>
        <v/>
      </c>
      <c r="G21" s="35" t="str">
        <f aca="false">IF(ISNUMBER(G20),IFERROR(G20/G18,""),"")</f>
        <v/>
      </c>
      <c r="H21" s="35" t="str">
        <f aca="false">IF(ISNUMBER(H20),IFERROR(H20/H18,""),"")</f>
        <v/>
      </c>
      <c r="I21" s="35" t="str">
        <f aca="false">IF(ISNUMBER(I20),IFERROR(I20/I18,""),"")</f>
        <v/>
      </c>
      <c r="J21" s="35" t="str">
        <f aca="false">IF(ISNUMBER(J20),IFERROR(J20/J18,""),"")</f>
        <v/>
      </c>
      <c r="K21" s="35" t="str">
        <f aca="false">IF(ISNUMBER(K20),IFERROR(K20/K18,""),"")</f>
        <v/>
      </c>
      <c r="L21" s="35" t="str">
        <f aca="false">IF(ISNUMBER(L20),IFERROR(L20/L18,""),"")</f>
        <v/>
      </c>
      <c r="M21" s="35" t="str">
        <f aca="false">IF(ISNUMBER(M20),IFERROR(M20/M18,""),"")</f>
        <v/>
      </c>
      <c r="N21" s="35" t="str">
        <f aca="false">IF(ISNUMBER(N20),IFERROR(N20/N18,""),"")</f>
        <v/>
      </c>
      <c r="O21" s="35" t="str">
        <f aca="false">IF(ISNUMBER(O20),IFERROR(O20/O18,""),"")</f>
        <v/>
      </c>
      <c r="P21" s="35" t="str">
        <f aca="false">IF(ISNUMBER(P20),IFERROR(P20/P18,""),"")</f>
        <v/>
      </c>
      <c r="Q21" s="35" t="str">
        <f aca="false">IF(ISNUMBER(Q20),IFERROR(Q20/Q18,""),"")</f>
        <v/>
      </c>
      <c r="R21" s="35" t="str">
        <f aca="false">IF(ISNUMBER(R20),IFERROR(R20/R18,""),"")</f>
        <v/>
      </c>
      <c r="S21" s="35" t="str">
        <f aca="false">IF(ISNUMBER(S20),IFERROR(S20/S18,""),"")</f>
        <v/>
      </c>
      <c r="T21" s="35" t="str">
        <f aca="false">IF(ISNUMBER(T20),IFERROR(T20/T18,""),"")</f>
        <v/>
      </c>
      <c r="U21" s="35" t="n">
        <f aca="false">IF(ISNUMBER(U20),IFERROR(U20/U18,""),"")</f>
        <v>0.249965590902123</v>
      </c>
      <c r="V21" s="35" t="str">
        <f aca="false">IF(ISNUMBER(V20),IFERROR(V20/V18,""),"")</f>
        <v/>
      </c>
      <c r="W21" s="35" t="str">
        <f aca="false">IF(ISNUMBER(W20),IFERROR(W20/W18,""),"")</f>
        <v/>
      </c>
      <c r="X21" s="35" t="str">
        <f aca="false">IF(ISNUMBER(X20),IFERROR(X20/X18,""),"")</f>
        <v/>
      </c>
      <c r="Y21" s="35" t="str">
        <f aca="false">IF(ISNUMBER(Y20),IFERROR(Y20/Y18,""),"")</f>
        <v/>
      </c>
      <c r="Z21" s="35" t="str">
        <f aca="false">IF(ISNUMBER(Z20),IFERROR(Z20/Z18,""),"")</f>
        <v/>
      </c>
      <c r="AA21" s="35" t="n">
        <f aca="false">IF(ISNUMBER(AA20),IFERROR(AA20/AA18,""),"")</f>
        <v>0.321184432039695</v>
      </c>
      <c r="AB21" s="35" t="n">
        <f aca="false">IF(ISNUMBER(AB20),IFERROR(AB20/AB18,""),"")</f>
        <v>0.316486234352288</v>
      </c>
      <c r="AC21" s="35" t="n">
        <f aca="false">IF(ISNUMBER(AC20),IFERROR(AC20/AC18,""),"")</f>
        <v>0.331791606683427</v>
      </c>
      <c r="AD21" s="35" t="n">
        <f aca="false">IF(ISNUMBER(AD20),IFERROR(AD20/AD18,""),"")</f>
        <v>0.324266202429564</v>
      </c>
      <c r="AE21" s="35" t="n">
        <f aca="false">IF(ISNUMBER(AE20),IFERROR(AE20/AE18,""),"")</f>
        <v>0.375753017442069</v>
      </c>
      <c r="AF21" s="35" t="n">
        <f aca="false">IF(ISNUMBER(AF20),IFERROR(AF20/AF18,""),"")</f>
        <v>0.338690787019769</v>
      </c>
      <c r="AG21" s="35" t="n">
        <f aca="false">IF(ISNUMBER(AG20),IFERROR(AG20/AG18,""),"")</f>
        <v>0.342221141770567</v>
      </c>
      <c r="AH21" s="35" t="n">
        <f aca="false">IF(ISNUMBER(AH20),IFERROR(AH20/AH18,""),"")</f>
        <v>0.312149637622693</v>
      </c>
      <c r="AI21" s="35" t="n">
        <f aca="false">IF(ISNUMBER(AI20),IFERROR(AI20/AI18,""),"")</f>
        <v>0.326205687477998</v>
      </c>
      <c r="AJ21" s="35" t="n">
        <f aca="false">IF(ISNUMBER(AJ20),IFERROR(AJ20/AJ18,""),"")</f>
        <v>0.319200381836206</v>
      </c>
      <c r="AK21" s="35" t="n">
        <f aca="false">IF(ISNUMBER(AK20),IFERROR(AK20/AK18,""),"")</f>
        <v>0.387851654076582</v>
      </c>
      <c r="AL21" s="35" t="n">
        <f aca="false">IF(ISNUMBER(AL20),IFERROR(AL20/AL18,""),"")</f>
        <v>0.301402441936357</v>
      </c>
      <c r="AM21" s="35" t="n">
        <f aca="false">IF(ISNUMBER(AM20),IFERROR(AM20/AM18,""),"")</f>
        <v>0.332185707533096</v>
      </c>
      <c r="AN21" s="35" t="n">
        <f aca="false">IF(ISNUMBER(AN20),IFERROR(AN20/AN18,""),"")</f>
        <v>0.301958103701172</v>
      </c>
      <c r="AO21" s="35" t="n">
        <f aca="false">IF(ISNUMBER(AO20),IFERROR(AO20/AO18,""),"")</f>
        <v>0.345359419424358</v>
      </c>
      <c r="AP21" s="35" t="n">
        <f aca="false">IF(ISNUMBER(AP20),IFERROR(AP20/AP18,""),"")</f>
        <v>0.324661795066826</v>
      </c>
      <c r="AQ21" s="35" t="n">
        <f aca="false">IF(ISNUMBER(AQ20),IFERROR(AQ20/AQ18,""),"")</f>
        <v>0.391631043316437</v>
      </c>
      <c r="AR21" s="35" t="n">
        <f aca="false">IF(ISNUMBER(AR20),IFERROR(AR20/AR18,""),"")</f>
        <v>0.338212887109913</v>
      </c>
      <c r="AS21" s="35" t="n">
        <f aca="false">IF(ISNUMBER(AS20),IFERROR(AS20/AS18,""),"")</f>
        <v>0.34532488454228</v>
      </c>
      <c r="AT21" s="35" t="n">
        <f aca="false">IF(ISNUMBER(AT20),IFERROR(AT20/AT18,""),"")</f>
        <v>0.350993645089424</v>
      </c>
      <c r="AU21" s="35" t="n">
        <f aca="false">IF(ISNUMBER(AU20),IFERROR(AU20/AU18,""),"")</f>
        <v>0.37275682438114</v>
      </c>
      <c r="AV21" s="35" t="n">
        <f aca="false">IF(ISNUMBER(AV20),IFERROR(AV20/AV18,""),"")</f>
        <v>0.362144858468818</v>
      </c>
      <c r="AW21" s="35" t="n">
        <f aca="false">IF(ISNUMBER(AW20),IFERROR(AW20/AW18,""),"")</f>
        <v>0.420032173208776</v>
      </c>
      <c r="AX21" s="35" t="n">
        <f aca="false">IF(ISNUMBER(AX20),IFERROR(AX20/AX18,""),"")</f>
        <v>0.388101697872236</v>
      </c>
      <c r="AY21" s="35" t="n">
        <f aca="false">IF(ISNUMBER(AY20),IFERROR(AY20/AY18,""),"")</f>
        <v>0.384812223336305</v>
      </c>
      <c r="AZ21" s="35" t="n">
        <f aca="false">IF(ISNUMBER(AZ20),IFERROR(AZ20/AZ18,""),"")</f>
        <v>0.407291388388587</v>
      </c>
      <c r="BA21" s="35" t="n">
        <f aca="false">IF(ISNUMBER(BA20),IFERROR(BA20/BA18,""),"")</f>
        <v>0.391494747657627</v>
      </c>
      <c r="BB21" s="35" t="n">
        <f aca="false">IF(ISNUMBER(BB20),IFERROR(BB20/BB18,""),"")</f>
        <v>0.399238146332088</v>
      </c>
      <c r="BC21" s="35" t="n">
        <f aca="false">IF(ISNUMBER(BC20),IFERROR(BC20/BC18,""),"")</f>
        <v>0.382749926155506</v>
      </c>
      <c r="BD21" s="35" t="n">
        <f aca="false">IF(ISNUMBER(BD20),IFERROR(BD20/BD18,""),"")</f>
        <v>0.420289887524715</v>
      </c>
      <c r="BE21" s="35" t="n">
        <f aca="false">IF(ISNUMBER(BE20),IFERROR(BE20/BE18,""),"")</f>
        <v>0.399411292394311</v>
      </c>
      <c r="BF21" s="35" t="n">
        <f aca="false">IF(ISNUMBER(BF20),IFERROR(BF20/BF18,""),"")</f>
        <v>0.445628500467567</v>
      </c>
      <c r="BG21" s="35" t="n">
        <f aca="false">IF(ISNUMBER(BG20),IFERROR(BG20/BG18,""),"")</f>
        <v>0.443023383784848</v>
      </c>
      <c r="BH21" s="35" t="n">
        <f aca="false">IF(ISNUMBER(BH20),IFERROR(BH20/BH18,""),"")</f>
        <v>0.444299423352358</v>
      </c>
      <c r="BI21" s="35" t="n">
        <f aca="false">IF(ISNUMBER(BI20),IFERROR(BI20/BI18,""),"")</f>
        <v>0.477087496965205</v>
      </c>
      <c r="BJ21" s="35" t="n">
        <f aca="false">IF(ISNUMBER(BJ20),IFERROR(BJ20/BJ18,""),"")</f>
        <v>0.434347443305756</v>
      </c>
      <c r="BK21" s="35" t="n">
        <f aca="false">IF(ISNUMBER(BK20),IFERROR(BK20/BK18,""),"")</f>
        <v>0.450494086455007</v>
      </c>
      <c r="BL21" s="35" t="n">
        <f aca="false">IF(ISNUMBER(BL20),IFERROR(BL20/BL18,""),"")</f>
        <v>0.43473243119354</v>
      </c>
      <c r="BM21" s="35" t="n">
        <f aca="false">IF(ISNUMBER(BM20),IFERROR(BM20/BM18,""),"")</f>
        <v>0.429821305331695</v>
      </c>
      <c r="BN21" s="35" t="n">
        <f aca="false">IF(ISNUMBER(BN20),IFERROR(BN20/BN18,""),"")</f>
        <v>0.432191412009984</v>
      </c>
      <c r="BO21" s="35" t="n">
        <f aca="false">IF(ISNUMBER(BO20),IFERROR(BO20/BO18,""),"")</f>
        <v>0.430796583359696</v>
      </c>
      <c r="BP21" s="35" t="n">
        <f aca="false">IF(ISNUMBER(BP20),IFERROR(BP20/BP18,""),"")</f>
        <v>0.39988759139874</v>
      </c>
      <c r="BQ21" s="35" t="n">
        <f aca="false">IF(ISNUMBER(BQ20),IFERROR(BQ20/BQ18,""),"")</f>
        <v>0.423601174812828</v>
      </c>
      <c r="BR21" s="35" t="n">
        <f aca="false">IF(ISNUMBER(BR20),IFERROR(BR20/BR18,""),"")</f>
        <v>0.377416541919666</v>
      </c>
      <c r="BS21" s="35" t="n">
        <f aca="false">IF(ISNUMBER(BS20),IFERROR(BS20/BS18,""),"")</f>
        <v>0.42664250205285</v>
      </c>
      <c r="BT21" s="35" t="n">
        <f aca="false">IF(ISNUMBER(BT20),IFERROR(BT20/BT18,""),"")</f>
        <v>0.402655425832489</v>
      </c>
      <c r="BU21" s="35" t="n">
        <f aca="false">IF(ISNUMBER(BU20),IFERROR(BU20/BU18,""),"")</f>
        <v>0.461514012459251</v>
      </c>
      <c r="BV21" s="35" t="n">
        <f aca="false">IF(ISNUMBER(BV20),IFERROR(BV20/BV18,""),"")</f>
        <v>0.445012403676176</v>
      </c>
      <c r="BW21" s="35" t="n">
        <f aca="false">IF(ISNUMBER(BW20),IFERROR(BW20/BW18,""),"")</f>
        <v>0.428917861782868</v>
      </c>
      <c r="BX21" s="35" t="n">
        <f aca="false">IF(ISNUMBER(BX20),IFERROR(BX20/BX18,""),"")</f>
        <v>0.430834124147051</v>
      </c>
      <c r="BY21" s="35" t="n">
        <f aca="false">IF(ISNUMBER(BY20),IFERROR(BY20/BY18,""),"")</f>
        <v>0.418113794440044</v>
      </c>
      <c r="BZ21" s="35" t="n">
        <f aca="false">IF(ISNUMBER(BZ20),IFERROR(BZ20/BZ18,""),"")</f>
        <v>0.424512691788623</v>
      </c>
      <c r="CA21" s="35" t="n">
        <f aca="false">IF(ISNUMBER(CA20),IFERROR(CA20/CA18,""),"")</f>
        <v>0.42760274062047</v>
      </c>
      <c r="CB21" s="35" t="n">
        <f aca="false">IF(ISNUMBER(CB20),IFERROR(CB20/CB18,""),"")</f>
        <v>0.372316220671321</v>
      </c>
      <c r="CC21" s="35" t="n">
        <f aca="false">IF(ISNUMBER(CC20),IFERROR(CC20/CC18,""),"")</f>
        <v>0.412162546341928</v>
      </c>
      <c r="CD21" s="35" t="n">
        <f aca="false">IF(ISNUMBER(CD20),IFERROR(CD20/CD18,""),"")</f>
        <v>0.374717030116966</v>
      </c>
      <c r="CE21" s="35" t="n">
        <f aca="false">IF(ISNUMBER(CE20),IFERROR(CE20/CE18,""),"")</f>
        <v>0.385592581384733</v>
      </c>
      <c r="CF21" s="35" t="n">
        <f aca="false">IF(ISNUMBER(CF20),IFERROR(CF20/CF18,""),"")</f>
        <v>0.38023204521053</v>
      </c>
      <c r="CG21" s="35" t="n">
        <f aca="false">IF(ISNUMBER(CG20),IFERROR(CG20/CG18,""),"")</f>
        <v>0.389947111501038</v>
      </c>
      <c r="CH21" s="35" t="n">
        <f aca="false">IF(ISNUMBER(CH20),IFERROR(CH20/CH18,""),"")</f>
        <v>0.38592536452969</v>
      </c>
      <c r="CI21" s="35" t="n">
        <f aca="false">IF(ISNUMBER(CI20),IFERROR(CI20/CI18,""),"")</f>
        <v>0.384136459094229</v>
      </c>
      <c r="CJ21" s="35" t="n">
        <f aca="false">IF(ISNUMBER(CJ20),IFERROR(CJ20/CJ18,""),"")</f>
        <v>0.39362428013865</v>
      </c>
      <c r="CK21" s="35" t="n">
        <f aca="false">IF(ISNUMBER(CK20),IFERROR(CK20/CK18,""),"")</f>
        <v>0.370512792691131</v>
      </c>
      <c r="CL21" s="35" t="n">
        <f aca="false">IF(ISNUMBER(CL20),IFERROR(CL20/CL18,""),"")</f>
        <v>0.382259632468518</v>
      </c>
      <c r="CM21" s="35" t="n">
        <f aca="false">IF(ISNUMBER(CM20),IFERROR(CM20/CM18,""),"")</f>
        <v>0.389330735435185</v>
      </c>
      <c r="CN21" s="35" t="n">
        <f aca="false">IF(ISNUMBER(CN20),IFERROR(CN20/CN18,""),"")</f>
        <v>0.335524661035714</v>
      </c>
      <c r="CO21" s="35" t="n">
        <f aca="false">IF(ISNUMBER(CO20),IFERROR(CO20/CO18,""),"")</f>
        <v>0.372702846802174</v>
      </c>
      <c r="CP21" s="34"/>
      <c r="CQ21" s="34"/>
      <c r="CR21" s="34"/>
      <c r="CS21" s="34"/>
      <c r="CT21" s="34"/>
      <c r="CU21" s="24"/>
      <c r="CW21" s="6"/>
      <c r="CX21" s="6"/>
      <c r="CY21" s="6"/>
      <c r="CZ21" s="6"/>
      <c r="DC21" s="15" t="s">
        <v>110</v>
      </c>
      <c r="DD21" s="26" t="n">
        <f aca="false">DE21+$DD$18</f>
        <v>0.075</v>
      </c>
      <c r="DE21" s="27" t="n">
        <v>0.055</v>
      </c>
      <c r="DF21" s="26" t="n">
        <f aca="false">DE21+$DF$18</f>
        <v>0.025</v>
      </c>
    </row>
    <row r="22" customFormat="false" ht="15" hidden="false" customHeight="false" outlineLevel="0" collapsed="false">
      <c r="B22" s="15" t="s">
        <v>124</v>
      </c>
      <c r="C22" s="31"/>
      <c r="D22" s="31"/>
      <c r="E22" s="31"/>
      <c r="F22" s="31"/>
      <c r="G22" s="31"/>
      <c r="H22" s="31"/>
      <c r="I22" s="31"/>
      <c r="J22" s="32"/>
      <c r="K22" s="32"/>
      <c r="L22" s="31"/>
      <c r="M22" s="32"/>
      <c r="N22" s="32"/>
      <c r="O22" s="32"/>
      <c r="P22" s="32"/>
      <c r="Q22" s="32"/>
      <c r="R22" s="31"/>
      <c r="S22" s="32"/>
      <c r="T22" s="32"/>
      <c r="U22" s="32" t="n">
        <v>44.516</v>
      </c>
      <c r="V22" s="32"/>
      <c r="W22" s="32"/>
      <c r="X22" s="31"/>
      <c r="Y22" s="32"/>
      <c r="Z22" s="32"/>
      <c r="AA22" s="32" t="n">
        <v>36.238</v>
      </c>
      <c r="AB22" s="32" t="n">
        <v>9.049</v>
      </c>
      <c r="AC22" s="32" t="n">
        <v>9.286</v>
      </c>
      <c r="AD22" s="31" t="n">
        <f aca="false">AB22+AC22</f>
        <v>18.335</v>
      </c>
      <c r="AE22" s="32" t="n">
        <v>10.048</v>
      </c>
      <c r="AF22" s="32" t="n">
        <v>10.7</v>
      </c>
      <c r="AG22" s="32" t="n">
        <v>39.083</v>
      </c>
      <c r="AH22" s="32" t="n">
        <v>12.386</v>
      </c>
      <c r="AI22" s="32" t="n">
        <v>12.667</v>
      </c>
      <c r="AJ22" s="31" t="n">
        <f aca="false">AH22+AI22</f>
        <v>25.053</v>
      </c>
      <c r="AK22" s="32" t="n">
        <v>10.904</v>
      </c>
      <c r="AL22" s="32" t="n">
        <v>11.55</v>
      </c>
      <c r="AM22" s="32" t="n">
        <v>47.507</v>
      </c>
      <c r="AN22" s="32" t="n">
        <v>13.529</v>
      </c>
      <c r="AO22" s="32" t="n">
        <v>14.054</v>
      </c>
      <c r="AP22" s="31" t="n">
        <f aca="false">AN22+AO22</f>
        <v>27.583</v>
      </c>
      <c r="AQ22" s="32" t="n">
        <v>14.189</v>
      </c>
      <c r="AR22" s="32" t="n">
        <v>26.007</v>
      </c>
      <c r="AS22" s="32" t="n">
        <v>67.779</v>
      </c>
      <c r="AT22" s="32" t="n">
        <v>19.392</v>
      </c>
      <c r="AU22" s="32" t="n">
        <v>17.877</v>
      </c>
      <c r="AV22" s="31" t="n">
        <f aca="false">AT22+AU22</f>
        <v>37.269</v>
      </c>
      <c r="AW22" s="32" t="n">
        <v>18.636</v>
      </c>
      <c r="AX22" s="32" t="n">
        <v>19.36</v>
      </c>
      <c r="AY22" s="32" t="n">
        <v>75.265</v>
      </c>
      <c r="AZ22" s="32" t="n">
        <v>20.567</v>
      </c>
      <c r="BA22" s="32" t="n">
        <v>21.728</v>
      </c>
      <c r="BB22" s="31" t="n">
        <f aca="false">AZ22+BA22</f>
        <v>42.295</v>
      </c>
      <c r="BC22" s="32" t="n">
        <v>23.764</v>
      </c>
      <c r="BD22" s="32" t="n">
        <v>24.717</v>
      </c>
      <c r="BE22" s="32" t="n">
        <v>90.818</v>
      </c>
      <c r="BF22" s="32" t="n">
        <v>26.162</v>
      </c>
      <c r="BG22" s="32" t="n">
        <v>27.745</v>
      </c>
      <c r="BH22" s="31" t="n">
        <f aca="false">BF22+BG22</f>
        <v>53.907</v>
      </c>
      <c r="BI22" s="32" t="n">
        <v>28.161</v>
      </c>
      <c r="BJ22" s="32" t="n">
        <v>25.697</v>
      </c>
      <c r="BK22" s="32" t="n">
        <v>107.765</v>
      </c>
      <c r="BL22" s="32" t="n">
        <v>27.725</v>
      </c>
      <c r="BM22" s="32" t="n">
        <v>29.316</v>
      </c>
      <c r="BN22" s="31" t="n">
        <f aca="false">BL22+BM22</f>
        <v>57.041</v>
      </c>
      <c r="BO22" s="32" t="n">
        <v>31.609</v>
      </c>
      <c r="BP22" s="32" t="n">
        <v>31.98</v>
      </c>
      <c r="BQ22" s="32" t="n">
        <v>120.635</v>
      </c>
      <c r="BR22" s="32" t="n">
        <v>34.935</v>
      </c>
      <c r="BS22" s="32" t="n">
        <v>34.121</v>
      </c>
      <c r="BT22" s="31" t="n">
        <f aca="false">BR22+BS22</f>
        <v>69.056</v>
      </c>
      <c r="BU22" s="32" t="n">
        <v>32.918</v>
      </c>
      <c r="BV22" s="32" t="n">
        <v>33.83</v>
      </c>
      <c r="BW22" s="32" t="n">
        <v>135.804</v>
      </c>
      <c r="BX22" s="32" t="n">
        <v>36.936</v>
      </c>
      <c r="BY22" s="32" t="n">
        <v>38.344</v>
      </c>
      <c r="BZ22" s="31" t="n">
        <f aca="false">BX22+BY22</f>
        <v>75.28</v>
      </c>
      <c r="CA22" s="32" t="n">
        <v>43.477</v>
      </c>
      <c r="CB22" s="32" t="n">
        <v>42.929</v>
      </c>
      <c r="CC22" s="32" t="n">
        <v>161.685</v>
      </c>
      <c r="CD22" s="32" t="n">
        <v>45.915</v>
      </c>
      <c r="CE22" s="32" t="n">
        <v>46.455</v>
      </c>
      <c r="CF22" s="31" t="n">
        <f aca="false">CD22+CE22</f>
        <v>92.37</v>
      </c>
      <c r="CG22" s="32" t="n">
        <v>46.461</v>
      </c>
      <c r="CH22" s="32" t="n">
        <v>45.195</v>
      </c>
      <c r="CI22" s="32" t="n">
        <v>184.026</v>
      </c>
      <c r="CJ22" s="32" t="n">
        <v>45.409</v>
      </c>
      <c r="CK22" s="32" t="n">
        <v>46.829</v>
      </c>
      <c r="CL22" s="31" t="n">
        <f aca="false">CJ22+CK22</f>
        <v>92.238</v>
      </c>
      <c r="CM22" s="32" t="n">
        <v>50.259</v>
      </c>
      <c r="CN22" s="32" t="n">
        <v>52.252</v>
      </c>
      <c r="CO22" s="32" t="n">
        <v>194.749</v>
      </c>
      <c r="CP22" s="33"/>
      <c r="CQ22" s="33"/>
      <c r="CR22" s="33"/>
      <c r="CS22" s="33"/>
      <c r="CT22" s="33"/>
      <c r="CU22" s="24"/>
      <c r="CW22" s="6"/>
      <c r="CX22" s="6"/>
      <c r="CY22" s="6"/>
      <c r="CZ22" s="6"/>
      <c r="DC22" s="15" t="s">
        <v>112</v>
      </c>
      <c r="DD22" s="26" t="n">
        <f aca="false">DE22+$DD$18</f>
        <v>0.07</v>
      </c>
      <c r="DE22" s="27" t="n">
        <v>0.05</v>
      </c>
      <c r="DF22" s="26" t="n">
        <f aca="false">DE22+$DF$18</f>
        <v>0.02</v>
      </c>
    </row>
    <row r="23" customFormat="false" ht="15" hidden="false" customHeight="false" outlineLevel="0" collapsed="false">
      <c r="B23" s="15" t="s">
        <v>125</v>
      </c>
      <c r="C23" s="31"/>
      <c r="D23" s="31"/>
      <c r="E23" s="31"/>
      <c r="F23" s="31"/>
      <c r="G23" s="31"/>
      <c r="H23" s="31"/>
      <c r="I23" s="31"/>
      <c r="J23" s="32"/>
      <c r="K23" s="32"/>
      <c r="L23" s="31"/>
      <c r="M23" s="32"/>
      <c r="N23" s="32"/>
      <c r="O23" s="32"/>
      <c r="P23" s="32"/>
      <c r="Q23" s="32"/>
      <c r="R23" s="31"/>
      <c r="S23" s="32"/>
      <c r="T23" s="32"/>
      <c r="U23" s="32" t="n">
        <v>59.724</v>
      </c>
      <c r="V23" s="32"/>
      <c r="W23" s="32"/>
      <c r="X23" s="31"/>
      <c r="Y23" s="32"/>
      <c r="Z23" s="32"/>
      <c r="AA23" s="32" t="n">
        <v>64.769</v>
      </c>
      <c r="AB23" s="32" t="n">
        <v>19.321</v>
      </c>
      <c r="AC23" s="32" t="n">
        <v>56.997</v>
      </c>
      <c r="AD23" s="31" t="n">
        <f aca="false">AB23+AC23</f>
        <v>76.318</v>
      </c>
      <c r="AE23" s="32" t="n">
        <v>49.866</v>
      </c>
      <c r="AF23" s="32" t="n">
        <v>27.267</v>
      </c>
      <c r="AG23" s="32" t="n">
        <v>153.451</v>
      </c>
      <c r="AH23" s="32" t="n">
        <v>36.521</v>
      </c>
      <c r="AI23" s="32" t="n">
        <v>51.541</v>
      </c>
      <c r="AJ23" s="31" t="n">
        <f aca="false">AH23+AI23</f>
        <v>88.062</v>
      </c>
      <c r="AK23" s="32" t="n">
        <v>40.872</v>
      </c>
      <c r="AL23" s="32" t="n">
        <v>188.712</v>
      </c>
      <c r="AM23" s="32" t="n">
        <v>317.646</v>
      </c>
      <c r="AN23" s="32" t="n">
        <v>38.905</v>
      </c>
      <c r="AO23" s="32" t="n">
        <v>56.804</v>
      </c>
      <c r="AP23" s="31" t="n">
        <f aca="false">AN23+AO23</f>
        <v>95.709</v>
      </c>
      <c r="AQ23" s="32" t="n">
        <v>57.028</v>
      </c>
      <c r="AR23" s="32" t="n">
        <v>103.131</v>
      </c>
      <c r="AS23" s="32" t="n">
        <v>255.868</v>
      </c>
      <c r="AT23" s="32" t="n">
        <v>35.253</v>
      </c>
      <c r="AU23" s="32" t="n">
        <v>66.901</v>
      </c>
      <c r="AV23" s="31" t="n">
        <f aca="false">AT23+AU23</f>
        <v>102.154</v>
      </c>
      <c r="AW23" s="32" t="n">
        <v>107.569</v>
      </c>
      <c r="AX23" s="32" t="n">
        <v>102.104</v>
      </c>
      <c r="AY23" s="32" t="n">
        <v>311.827</v>
      </c>
      <c r="AZ23" s="32" t="n">
        <v>113.266</v>
      </c>
      <c r="BA23" s="32" t="n">
        <v>261.258</v>
      </c>
      <c r="BB23" s="31" t="n">
        <f aca="false">AZ23+BA23</f>
        <v>374.524</v>
      </c>
      <c r="BC23" s="32" t="n">
        <v>86.441</v>
      </c>
      <c r="BD23" s="32" t="n">
        <v>107.701</v>
      </c>
      <c r="BE23" s="32" t="n">
        <v>568.773</v>
      </c>
      <c r="BF23" s="32" t="n">
        <v>122.459</v>
      </c>
      <c r="BG23" s="32" t="n">
        <v>121.595</v>
      </c>
      <c r="BH23" s="31" t="n">
        <f aca="false">BF23+BG23</f>
        <v>244.054</v>
      </c>
      <c r="BI23" s="32" t="n">
        <v>59.006</v>
      </c>
      <c r="BJ23" s="32" t="n">
        <v>87.646</v>
      </c>
      <c r="BK23" s="32" t="n">
        <v>390.706</v>
      </c>
      <c r="BL23" s="32" t="n">
        <v>54.272</v>
      </c>
      <c r="BM23" s="32" t="n">
        <v>86.788</v>
      </c>
      <c r="BN23" s="31" t="n">
        <f aca="false">BL23+BM23</f>
        <v>141.06</v>
      </c>
      <c r="BO23" s="32" t="n">
        <v>64.397</v>
      </c>
      <c r="BP23" s="32" t="n">
        <v>92.175</v>
      </c>
      <c r="BQ23" s="32" t="n">
        <v>297.632</v>
      </c>
      <c r="BR23" s="32" t="n">
        <v>136.283</v>
      </c>
      <c r="BS23" s="32" t="n">
        <v>89.428</v>
      </c>
      <c r="BT23" s="31" t="n">
        <f aca="false">BR23+BS23</f>
        <v>225.711</v>
      </c>
      <c r="BU23" s="32" t="n">
        <v>79.633</v>
      </c>
      <c r="BV23" s="32" t="n">
        <v>67.846</v>
      </c>
      <c r="BW23" s="32" t="n">
        <v>373.19</v>
      </c>
      <c r="BX23" s="32" t="n">
        <v>216.131</v>
      </c>
      <c r="BY23" s="32" t="n">
        <v>83.861</v>
      </c>
      <c r="BZ23" s="31" t="n">
        <f aca="false">BX23+BY23</f>
        <v>299.992</v>
      </c>
      <c r="CA23" s="32" t="n">
        <v>72.186</v>
      </c>
      <c r="CB23" s="32" t="n">
        <v>119.319</v>
      </c>
      <c r="CC23" s="32" t="n">
        <v>491.497</v>
      </c>
      <c r="CD23" s="32" t="n">
        <v>211.917</v>
      </c>
      <c r="CE23" s="32" t="n">
        <v>153.212</v>
      </c>
      <c r="CF23" s="31" t="n">
        <f aca="false">CD23+CE23</f>
        <v>365.129</v>
      </c>
      <c r="CG23" s="32" t="n">
        <v>62.906</v>
      </c>
      <c r="CH23" s="32" t="n">
        <v>62.93</v>
      </c>
      <c r="CI23" s="32" t="n">
        <v>490.965</v>
      </c>
      <c r="CJ23" s="32" t="n">
        <v>71.458</v>
      </c>
      <c r="CK23" s="32" t="n">
        <v>58.875</v>
      </c>
      <c r="CL23" s="31" t="n">
        <f aca="false">CJ23+CK23</f>
        <v>130.333</v>
      </c>
      <c r="CM23" s="32" t="n">
        <v>75.213</v>
      </c>
      <c r="CN23" s="32" t="n">
        <v>51.419</v>
      </c>
      <c r="CO23" s="32" t="n">
        <v>256.965</v>
      </c>
      <c r="CP23" s="33"/>
      <c r="CQ23" s="33"/>
      <c r="CR23" s="33"/>
      <c r="CS23" s="33"/>
      <c r="CT23" s="33"/>
      <c r="CU23" s="24"/>
      <c r="CW23" s="6"/>
      <c r="CX23" s="6"/>
      <c r="CY23" s="6"/>
      <c r="CZ23" s="6"/>
      <c r="DC23" s="15" t="s">
        <v>115</v>
      </c>
      <c r="DD23" s="26" t="n">
        <f aca="false">DE23+$DD$18</f>
        <v>0.07</v>
      </c>
      <c r="DE23" s="27" t="n">
        <v>0.05</v>
      </c>
      <c r="DF23" s="26" t="n">
        <f aca="false">DE23+$DF$18</f>
        <v>0.02</v>
      </c>
    </row>
    <row r="24" customFormat="false" ht="15" hidden="false" customHeight="false" outlineLevel="0" collapsed="false">
      <c r="B24" s="15"/>
      <c r="CP24" s="6"/>
      <c r="CQ24" s="6"/>
      <c r="CR24" s="6"/>
      <c r="CS24" s="6"/>
      <c r="CT24" s="6"/>
      <c r="CU24" s="6"/>
    </row>
    <row r="25" customFormat="false" ht="15" hidden="false" customHeight="false" outlineLevel="0" collapsed="false">
      <c r="B25" s="16" t="s">
        <v>126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7" t="s">
        <v>127</v>
      </c>
      <c r="DC25" s="17" t="s">
        <v>128</v>
      </c>
      <c r="DD25" s="18" t="n">
        <v>0.01</v>
      </c>
      <c r="DE25" s="19" t="s">
        <v>100</v>
      </c>
      <c r="DF25" s="18" t="n">
        <v>-0.015</v>
      </c>
      <c r="DG25" s="14" t="s">
        <v>129</v>
      </c>
    </row>
    <row r="26" customFormat="false" ht="15" hidden="false" customHeight="false" outlineLevel="0" collapsed="false">
      <c r="B26" s="20" t="s">
        <v>102</v>
      </c>
      <c r="C26" s="21"/>
      <c r="D26" s="21"/>
      <c r="E26" s="21"/>
      <c r="F26" s="21"/>
      <c r="G26" s="21"/>
      <c r="H26" s="21"/>
      <c r="I26" s="21"/>
      <c r="J26" s="22"/>
      <c r="K26" s="22"/>
      <c r="L26" s="21"/>
      <c r="M26" s="22"/>
      <c r="N26" s="22"/>
      <c r="O26" s="22"/>
      <c r="P26" s="22"/>
      <c r="Q26" s="22"/>
      <c r="R26" s="21"/>
      <c r="S26" s="22"/>
      <c r="T26" s="22"/>
      <c r="U26" s="22"/>
      <c r="V26" s="22"/>
      <c r="W26" s="22"/>
      <c r="X26" s="21"/>
      <c r="Y26" s="22"/>
      <c r="Z26" s="22"/>
      <c r="AA26" s="22"/>
      <c r="AB26" s="22"/>
      <c r="AC26" s="22"/>
      <c r="AD26" s="21"/>
      <c r="AE26" s="22"/>
      <c r="AF26" s="22"/>
      <c r="AG26" s="22"/>
      <c r="AH26" s="22"/>
      <c r="AI26" s="22"/>
      <c r="AJ26" s="21"/>
      <c r="AK26" s="22"/>
      <c r="AL26" s="22"/>
      <c r="AM26" s="22" t="n">
        <v>157.262</v>
      </c>
      <c r="AN26" s="22" t="n">
        <v>42.734</v>
      </c>
      <c r="AO26" s="22" t="n">
        <v>46.412</v>
      </c>
      <c r="AP26" s="21" t="n">
        <f aca="false">AN26+AO26</f>
        <v>89.146</v>
      </c>
      <c r="AQ26" s="22" t="n">
        <v>54.51</v>
      </c>
      <c r="AR26" s="22" t="n">
        <v>49.608</v>
      </c>
      <c r="AS26" s="22" t="n">
        <v>193.264</v>
      </c>
      <c r="AT26" s="22" t="n">
        <v>51.233</v>
      </c>
      <c r="AU26" s="22" t="n">
        <v>54.784</v>
      </c>
      <c r="AV26" s="21" t="n">
        <f aca="false">AT26+AU26</f>
        <v>106.017</v>
      </c>
      <c r="AW26" s="22" t="n">
        <v>56.808</v>
      </c>
      <c r="AX26" s="22" t="n">
        <v>55.438</v>
      </c>
      <c r="AY26" s="22" t="n">
        <v>218.263</v>
      </c>
      <c r="AZ26" s="22" t="n">
        <v>57.053</v>
      </c>
      <c r="BA26" s="22" t="n">
        <v>62.689</v>
      </c>
      <c r="BB26" s="21" t="n">
        <f aca="false">AZ26+BA26</f>
        <v>119.742</v>
      </c>
      <c r="BC26" s="22" t="n">
        <v>59.707</v>
      </c>
      <c r="BD26" s="22" t="n">
        <v>52.967</v>
      </c>
      <c r="BE26" s="22" t="n">
        <v>232.416</v>
      </c>
      <c r="BF26" s="22" t="n">
        <v>65.137</v>
      </c>
      <c r="BG26" s="22" t="n">
        <v>67.178</v>
      </c>
      <c r="BH26" s="21" t="n">
        <f aca="false">BF26+BG26</f>
        <v>132.315</v>
      </c>
      <c r="BI26" s="22" t="n">
        <v>73.508</v>
      </c>
      <c r="BJ26" s="22" t="n">
        <v>68.54</v>
      </c>
      <c r="BK26" s="22" t="n">
        <v>274.363</v>
      </c>
      <c r="BL26" s="22" t="n">
        <v>77.06</v>
      </c>
      <c r="BM26" s="22" t="n">
        <v>80.383</v>
      </c>
      <c r="BN26" s="21" t="n">
        <f aca="false">BL26+BM26</f>
        <v>157.443</v>
      </c>
      <c r="BO26" s="22" t="n">
        <v>87.451</v>
      </c>
      <c r="BP26" s="22" t="n">
        <v>74.981</v>
      </c>
      <c r="BQ26" s="22" t="n">
        <v>319.875</v>
      </c>
      <c r="BR26" s="22" t="n">
        <v>75.183</v>
      </c>
      <c r="BS26" s="22" t="n">
        <v>84.064</v>
      </c>
      <c r="BT26" s="21" t="n">
        <f aca="false">BR26+BS26</f>
        <v>159.247</v>
      </c>
      <c r="BU26" s="22" t="n">
        <v>95.172</v>
      </c>
      <c r="BV26" s="22" t="n">
        <v>102.068</v>
      </c>
      <c r="BW26" s="22" t="n">
        <v>356.487</v>
      </c>
      <c r="BX26" s="22" t="n">
        <v>97.012</v>
      </c>
      <c r="BY26" s="22" t="n">
        <v>105.709</v>
      </c>
      <c r="BZ26" s="21" t="n">
        <f aca="false">BX26+BY26</f>
        <v>202.721</v>
      </c>
      <c r="CA26" s="22" t="n">
        <v>115.95</v>
      </c>
      <c r="CB26" s="22" t="n">
        <v>116.23</v>
      </c>
      <c r="CC26" s="22" t="n">
        <v>434.9</v>
      </c>
      <c r="CD26" s="22" t="n">
        <v>126.346</v>
      </c>
      <c r="CE26" s="22" t="n">
        <v>123.151</v>
      </c>
      <c r="CF26" s="21" t="n">
        <f aca="false">CD26+CE26</f>
        <v>249.497</v>
      </c>
      <c r="CG26" s="22" t="n">
        <v>136.211</v>
      </c>
      <c r="CH26" s="22" t="n">
        <v>131.396</v>
      </c>
      <c r="CI26" s="22" t="n">
        <v>517.104</v>
      </c>
      <c r="CJ26" s="22" t="n">
        <v>136.311</v>
      </c>
      <c r="CK26" s="22" t="n">
        <v>132.584</v>
      </c>
      <c r="CL26" s="21" t="n">
        <f aca="false">CJ26+CK26</f>
        <v>268.895</v>
      </c>
      <c r="CM26" s="22" t="n">
        <v>160.616</v>
      </c>
      <c r="CN26" s="22" t="n">
        <v>151.722</v>
      </c>
      <c r="CO26" s="22" t="n">
        <v>581.233</v>
      </c>
      <c r="CP26" s="23" t="n">
        <f aca="false">CO26*(1+CP27)*(1+CP28)</f>
        <v>634.5901894</v>
      </c>
      <c r="CQ26" s="23" t="n">
        <f aca="false">CP26*(1+CQ27)*(1+CQ28)</f>
        <v>692.84556878692</v>
      </c>
      <c r="CR26" s="23" t="n">
        <f aca="false">CQ26*(1+CR27)*(1+CR28)</f>
        <v>752.880637322307</v>
      </c>
      <c r="CS26" s="23" t="n">
        <f aca="false">CR26*(1+CS27)*(1+CS28)</f>
        <v>814.240409264075</v>
      </c>
      <c r="CT26" s="23" t="n">
        <f aca="false">CS26*(1+CT27)*(1+CT28)</f>
        <v>880.601002619097</v>
      </c>
      <c r="CU26" s="24" t="s">
        <v>103</v>
      </c>
      <c r="CW26" s="25" t="n">
        <f aca="false">IFERROR((CT26/CO26)^(1/5)-1,"n/m")</f>
        <v>0.0866402369010368</v>
      </c>
      <c r="CX26" s="25" t="n">
        <f aca="false">IFERROR((CO26/BK26)^(1/5)-1,"n/m")</f>
        <v>0.161996832369897</v>
      </c>
      <c r="CY26" s="25" t="str">
        <f aca="false">IFERROR((CO26/AG26)^(1/10)-1,"n/m")</f>
        <v>n/m</v>
      </c>
      <c r="CZ26" s="25" t="str">
        <f aca="false">IFERROR((CO26/C26)^(1/20)-1,"n/m")</f>
        <v>n/m</v>
      </c>
      <c r="DC26" s="15" t="s">
        <v>104</v>
      </c>
      <c r="DD26" s="26" t="n">
        <f aca="false">DE26+$DD$25</f>
        <v>0.04</v>
      </c>
      <c r="DE26" s="27" t="n">
        <v>0.03</v>
      </c>
      <c r="DF26" s="26" t="n">
        <f aca="false">DE26+$DF$25</f>
        <v>0.015</v>
      </c>
    </row>
    <row r="27" customFormat="false" ht="15" hidden="false" customHeight="false" outlineLevel="0" collapsed="false">
      <c r="B27" s="28" t="s">
        <v>105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30" t="n">
        <f aca="false">CHOOSE(MATCH($CU$2,{"Bull","Base","Bear"},0),$DD$19,$DE$19,$DF$19)</f>
        <v>0.06</v>
      </c>
      <c r="CQ27" s="30" t="n">
        <f aca="false">CHOOSE(MATCH($CU$2,{"Bull","Base","Bear"},0),$DD$20,$DE$20,$DF$20)</f>
        <v>0.06</v>
      </c>
      <c r="CR27" s="30" t="n">
        <f aca="false">CHOOSE(MATCH($CU$2,{"Bull","Base","Bear"},0),$DD$21,$DE$21,$DF$21)</f>
        <v>0.055</v>
      </c>
      <c r="CS27" s="30" t="n">
        <f aca="false">CHOOSE(MATCH($CU$2,{"Bull","Base","Bear"},0),$DD$22,$DE$22,$DF$22)</f>
        <v>0.05</v>
      </c>
      <c r="CT27" s="30" t="n">
        <f aca="false">CHOOSE(MATCH($CU$2,{"Bull","Base","Bear"},0),$DD$23,$DE$23,$DF$23)</f>
        <v>0.05</v>
      </c>
      <c r="CU27" s="24" t="s">
        <v>130</v>
      </c>
      <c r="CW27" s="6"/>
      <c r="CX27" s="6"/>
      <c r="CY27" s="6"/>
      <c r="CZ27" s="6"/>
      <c r="DC27" s="15" t="s">
        <v>107</v>
      </c>
      <c r="DD27" s="26" t="n">
        <f aca="false">DE27+$DD$25</f>
        <v>0.04</v>
      </c>
      <c r="DE27" s="27" t="n">
        <v>0.03</v>
      </c>
      <c r="DF27" s="26" t="n">
        <f aca="false">DE27+$DF$25</f>
        <v>0.015</v>
      </c>
    </row>
    <row r="28" customFormat="false" ht="15" hidden="false" customHeight="false" outlineLevel="0" collapsed="false">
      <c r="B28" s="28" t="s">
        <v>108</v>
      </c>
      <c r="C28" s="29" t="str">
        <f aca="false">IF(ISNUMBER(C27),IFERROR((1+C29)/(1+C27)-1,""),"")</f>
        <v/>
      </c>
      <c r="D28" s="29" t="str">
        <f aca="false">IF(ISNUMBER(D27),IFERROR((1+D29)/(1+D27)-1,""),"")</f>
        <v/>
      </c>
      <c r="E28" s="29" t="str">
        <f aca="false">IF(ISNUMBER(E27),IFERROR((1+E29)/(1+E27)-1,""),"")</f>
        <v/>
      </c>
      <c r="F28" s="29" t="str">
        <f aca="false">IF(ISNUMBER(F27),IFERROR((1+F29)/(1+F27)-1,""),"")</f>
        <v/>
      </c>
      <c r="G28" s="29" t="str">
        <f aca="false">IF(ISNUMBER(G27),IFERROR((1+G29)/(1+G27)-1,""),"")</f>
        <v/>
      </c>
      <c r="H28" s="29" t="str">
        <f aca="false">IF(ISNUMBER(H27),IFERROR((1+H29)/(1+H27)-1,""),"")</f>
        <v/>
      </c>
      <c r="I28" s="29" t="str">
        <f aca="false">IF(ISNUMBER(I27),IFERROR((1+I29)/(1+I27)-1,""),"")</f>
        <v/>
      </c>
      <c r="J28" s="29" t="str">
        <f aca="false">IF(ISNUMBER(J27),IFERROR((1+J29)/(1+J27)-1,""),"")</f>
        <v/>
      </c>
      <c r="K28" s="29" t="str">
        <f aca="false">IF(ISNUMBER(K27),IFERROR((1+K29)/(1+K27)-1,""),"")</f>
        <v/>
      </c>
      <c r="L28" s="29" t="str">
        <f aca="false">IF(ISNUMBER(L27),IFERROR((1+L29)/(1+L27)-1,""),"")</f>
        <v/>
      </c>
      <c r="M28" s="29" t="str">
        <f aca="false">IF(ISNUMBER(M27),IFERROR((1+M29)/(1+M27)-1,""),"")</f>
        <v/>
      </c>
      <c r="N28" s="29" t="str">
        <f aca="false">IF(ISNUMBER(N27),IFERROR((1+N29)/(1+N27)-1,""),"")</f>
        <v/>
      </c>
      <c r="O28" s="29" t="str">
        <f aca="false">IF(ISNUMBER(O27),IFERROR((1+O29)/(1+O27)-1,""),"")</f>
        <v/>
      </c>
      <c r="P28" s="29" t="str">
        <f aca="false">IF(ISNUMBER(P27),IFERROR((1+P29)/(1+P27)-1,""),"")</f>
        <v/>
      </c>
      <c r="Q28" s="29" t="str">
        <f aca="false">IF(ISNUMBER(Q27),IFERROR((1+Q29)/(1+Q27)-1,""),"")</f>
        <v/>
      </c>
      <c r="R28" s="29" t="str">
        <f aca="false">IF(ISNUMBER(R27),IFERROR((1+R29)/(1+R27)-1,""),"")</f>
        <v/>
      </c>
      <c r="S28" s="29" t="str">
        <f aca="false">IF(ISNUMBER(S27),IFERROR((1+S29)/(1+S27)-1,""),"")</f>
        <v/>
      </c>
      <c r="T28" s="29" t="str">
        <f aca="false">IF(ISNUMBER(T27),IFERROR((1+T29)/(1+T27)-1,""),"")</f>
        <v/>
      </c>
      <c r="U28" s="29" t="str">
        <f aca="false">IF(ISNUMBER(U27),IFERROR((1+U29)/(1+U27)-1,""),"")</f>
        <v/>
      </c>
      <c r="V28" s="29" t="str">
        <f aca="false">IF(ISNUMBER(V27),IFERROR((1+V29)/(1+V27)-1,""),"")</f>
        <v/>
      </c>
      <c r="W28" s="29" t="str">
        <f aca="false">IF(ISNUMBER(W27),IFERROR((1+W29)/(1+W27)-1,""),"")</f>
        <v/>
      </c>
      <c r="X28" s="29" t="str">
        <f aca="false">IF(ISNUMBER(X27),IFERROR((1+X29)/(1+X27)-1,""),"")</f>
        <v/>
      </c>
      <c r="Y28" s="29" t="str">
        <f aca="false">IF(ISNUMBER(Y27),IFERROR((1+Y29)/(1+Y27)-1,""),"")</f>
        <v/>
      </c>
      <c r="Z28" s="29" t="str">
        <f aca="false">IF(ISNUMBER(Z27),IFERROR((1+Z29)/(1+Z27)-1,""),"")</f>
        <v/>
      </c>
      <c r="AA28" s="29" t="str">
        <f aca="false">IF(ISNUMBER(AA27),IFERROR((1+AA29)/(1+AA27)-1,""),"")</f>
        <v/>
      </c>
      <c r="AB28" s="29" t="str">
        <f aca="false">IF(ISNUMBER(AB27),IFERROR((1+AB29)/(1+AB27)-1,""),"")</f>
        <v/>
      </c>
      <c r="AC28" s="29" t="str">
        <f aca="false">IF(ISNUMBER(AC27),IFERROR((1+AC29)/(1+AC27)-1,""),"")</f>
        <v/>
      </c>
      <c r="AD28" s="29" t="str">
        <f aca="false">IF(ISNUMBER(AD27),IFERROR((1+AD29)/(1+AD27)-1,""),"")</f>
        <v/>
      </c>
      <c r="AE28" s="29" t="str">
        <f aca="false">IF(ISNUMBER(AE27),IFERROR((1+AE29)/(1+AE27)-1,""),"")</f>
        <v/>
      </c>
      <c r="AF28" s="29" t="str">
        <f aca="false">IF(ISNUMBER(AF27),IFERROR((1+AF29)/(1+AF27)-1,""),"")</f>
        <v/>
      </c>
      <c r="AG28" s="29" t="str">
        <f aca="false">IF(ISNUMBER(AG27),IFERROR((1+AG29)/(1+AG27)-1,""),"")</f>
        <v/>
      </c>
      <c r="AH28" s="29" t="str">
        <f aca="false">IF(ISNUMBER(AH27),IFERROR((1+AH29)/(1+AH27)-1,""),"")</f>
        <v/>
      </c>
      <c r="AI28" s="29" t="str">
        <f aca="false">IF(ISNUMBER(AI27),IFERROR((1+AI29)/(1+AI27)-1,""),"")</f>
        <v/>
      </c>
      <c r="AJ28" s="29" t="str">
        <f aca="false">IF(ISNUMBER(AJ27),IFERROR((1+AJ29)/(1+AJ27)-1,""),"")</f>
        <v/>
      </c>
      <c r="AK28" s="29" t="str">
        <f aca="false">IF(ISNUMBER(AK27),IFERROR((1+AK29)/(1+AK27)-1,""),"")</f>
        <v/>
      </c>
      <c r="AL28" s="29" t="str">
        <f aca="false">IF(ISNUMBER(AL27),IFERROR((1+AL29)/(1+AL27)-1,""),"")</f>
        <v/>
      </c>
      <c r="AM28" s="29" t="str">
        <f aca="false">IF(ISNUMBER(AM27),IFERROR((1+AM29)/(1+AM27)-1,""),"")</f>
        <v/>
      </c>
      <c r="AN28" s="29" t="str">
        <f aca="false">IF(ISNUMBER(AN27),IFERROR((1+AN29)/(1+AN27)-1,""),"")</f>
        <v/>
      </c>
      <c r="AO28" s="29" t="str">
        <f aca="false">IF(ISNUMBER(AO27),IFERROR((1+AO29)/(1+AO27)-1,""),"")</f>
        <v/>
      </c>
      <c r="AP28" s="29" t="str">
        <f aca="false">IF(ISNUMBER(AP27),IFERROR((1+AP29)/(1+AP27)-1,""),"")</f>
        <v/>
      </c>
      <c r="AQ28" s="29" t="str">
        <f aca="false">IF(ISNUMBER(AQ27),IFERROR((1+AQ29)/(1+AQ27)-1,""),"")</f>
        <v/>
      </c>
      <c r="AR28" s="29" t="str">
        <f aca="false">IF(ISNUMBER(AR27),IFERROR((1+AR29)/(1+AR27)-1,""),"")</f>
        <v/>
      </c>
      <c r="AS28" s="29" t="str">
        <f aca="false">IF(ISNUMBER(AS27),IFERROR((1+AS29)/(1+AS27)-1,""),"")</f>
        <v/>
      </c>
      <c r="AT28" s="29" t="str">
        <f aca="false">IF(ISNUMBER(AT27),IFERROR((1+AT29)/(1+AT27)-1,""),"")</f>
        <v/>
      </c>
      <c r="AU28" s="29" t="str">
        <f aca="false">IF(ISNUMBER(AU27),IFERROR((1+AU29)/(1+AU27)-1,""),"")</f>
        <v/>
      </c>
      <c r="AV28" s="29" t="str">
        <f aca="false">IF(ISNUMBER(AV27),IFERROR((1+AV29)/(1+AV27)-1,""),"")</f>
        <v/>
      </c>
      <c r="AW28" s="29" t="str">
        <f aca="false">IF(ISNUMBER(AW27),IFERROR((1+AW29)/(1+AW27)-1,""),"")</f>
        <v/>
      </c>
      <c r="AX28" s="29" t="str">
        <f aca="false">IF(ISNUMBER(AX27),IFERROR((1+AX29)/(1+AX27)-1,""),"")</f>
        <v/>
      </c>
      <c r="AY28" s="29" t="str">
        <f aca="false">IF(ISNUMBER(AY27),IFERROR((1+AY29)/(1+AY27)-1,""),"")</f>
        <v/>
      </c>
      <c r="AZ28" s="29" t="str">
        <f aca="false">IF(ISNUMBER(AZ27),IFERROR((1+AZ29)/(1+AZ27)-1,""),"")</f>
        <v/>
      </c>
      <c r="BA28" s="29" t="str">
        <f aca="false">IF(ISNUMBER(BA27),IFERROR((1+BA29)/(1+BA27)-1,""),"")</f>
        <v/>
      </c>
      <c r="BB28" s="29" t="str">
        <f aca="false">IF(ISNUMBER(BB27),IFERROR((1+BB29)/(1+BB27)-1,""),"")</f>
        <v/>
      </c>
      <c r="BC28" s="29" t="str">
        <f aca="false">IF(ISNUMBER(BC27),IFERROR((1+BC29)/(1+BC27)-1,""),"")</f>
        <v/>
      </c>
      <c r="BD28" s="29" t="str">
        <f aca="false">IF(ISNUMBER(BD27),IFERROR((1+BD29)/(1+BD27)-1,""),"")</f>
        <v/>
      </c>
      <c r="BE28" s="29" t="str">
        <f aca="false">IF(ISNUMBER(BE27),IFERROR((1+BE29)/(1+BE27)-1,""),"")</f>
        <v/>
      </c>
      <c r="BF28" s="29" t="str">
        <f aca="false">IF(ISNUMBER(BF27),IFERROR((1+BF29)/(1+BF27)-1,""),"")</f>
        <v/>
      </c>
      <c r="BG28" s="29" t="str">
        <f aca="false">IF(ISNUMBER(BG27),IFERROR((1+BG29)/(1+BG27)-1,""),"")</f>
        <v/>
      </c>
      <c r="BH28" s="29" t="str">
        <f aca="false">IF(ISNUMBER(BH27),IFERROR((1+BH29)/(1+BH27)-1,""),"")</f>
        <v/>
      </c>
      <c r="BI28" s="29" t="str">
        <f aca="false">IF(ISNUMBER(BI27),IFERROR((1+BI29)/(1+BI27)-1,""),"")</f>
        <v/>
      </c>
      <c r="BJ28" s="29" t="str">
        <f aca="false">IF(ISNUMBER(BJ27),IFERROR((1+BJ29)/(1+BJ27)-1,""),"")</f>
        <v/>
      </c>
      <c r="BK28" s="29" t="str">
        <f aca="false">IF(ISNUMBER(BK27),IFERROR((1+BK29)/(1+BK27)-1,""),"")</f>
        <v/>
      </c>
      <c r="BL28" s="29" t="str">
        <f aca="false">IF(ISNUMBER(BL27),IFERROR((1+BL29)/(1+BL27)-1,""),"")</f>
        <v/>
      </c>
      <c r="BM28" s="29" t="str">
        <f aca="false">IF(ISNUMBER(BM27),IFERROR((1+BM29)/(1+BM27)-1,""),"")</f>
        <v/>
      </c>
      <c r="BN28" s="29" t="str">
        <f aca="false">IF(ISNUMBER(BN27),IFERROR((1+BN29)/(1+BN27)-1,""),"")</f>
        <v/>
      </c>
      <c r="BO28" s="29" t="str">
        <f aca="false">IF(ISNUMBER(BO27),IFERROR((1+BO29)/(1+BO27)-1,""),"")</f>
        <v/>
      </c>
      <c r="BP28" s="29" t="str">
        <f aca="false">IF(ISNUMBER(BP27),IFERROR((1+BP29)/(1+BP27)-1,""),"")</f>
        <v/>
      </c>
      <c r="BQ28" s="29" t="str">
        <f aca="false">IF(ISNUMBER(BQ27),IFERROR((1+BQ29)/(1+BQ27)-1,""),"")</f>
        <v/>
      </c>
      <c r="BR28" s="29" t="str">
        <f aca="false">IF(ISNUMBER(BR27),IFERROR((1+BR29)/(1+BR27)-1,""),"")</f>
        <v/>
      </c>
      <c r="BS28" s="29" t="str">
        <f aca="false">IF(ISNUMBER(BS27),IFERROR((1+BS29)/(1+BS27)-1,""),"")</f>
        <v/>
      </c>
      <c r="BT28" s="29" t="str">
        <f aca="false">IF(ISNUMBER(BT27),IFERROR((1+BT29)/(1+BT27)-1,""),"")</f>
        <v/>
      </c>
      <c r="BU28" s="29" t="str">
        <f aca="false">IF(ISNUMBER(BU27),IFERROR((1+BU29)/(1+BU27)-1,""),"")</f>
        <v/>
      </c>
      <c r="BV28" s="29" t="str">
        <f aca="false">IF(ISNUMBER(BV27),IFERROR((1+BV29)/(1+BV27)-1,""),"")</f>
        <v/>
      </c>
      <c r="BW28" s="29" t="str">
        <f aca="false">IF(ISNUMBER(BW27),IFERROR((1+BW29)/(1+BW27)-1,""),"")</f>
        <v/>
      </c>
      <c r="BX28" s="29" t="str">
        <f aca="false">IF(ISNUMBER(BX27),IFERROR((1+BX29)/(1+BX27)-1,""),"")</f>
        <v/>
      </c>
      <c r="BY28" s="29" t="str">
        <f aca="false">IF(ISNUMBER(BY27),IFERROR((1+BY29)/(1+BY27)-1,""),"")</f>
        <v/>
      </c>
      <c r="BZ28" s="29" t="str">
        <f aca="false">IF(ISNUMBER(BZ27),IFERROR((1+BZ29)/(1+BZ27)-1,""),"")</f>
        <v/>
      </c>
      <c r="CA28" s="29" t="str">
        <f aca="false">IF(ISNUMBER(CA27),IFERROR((1+CA29)/(1+CA27)-1,""),"")</f>
        <v/>
      </c>
      <c r="CB28" s="29" t="str">
        <f aca="false">IF(ISNUMBER(CB27),IFERROR((1+CB29)/(1+CB27)-1,""),"")</f>
        <v/>
      </c>
      <c r="CC28" s="29" t="str">
        <f aca="false">IF(ISNUMBER(CC27),IFERROR((1+CC29)/(1+CC27)-1,""),"")</f>
        <v/>
      </c>
      <c r="CD28" s="29" t="str">
        <f aca="false">IF(ISNUMBER(CD27),IFERROR((1+CD29)/(1+CD27)-1,""),"")</f>
        <v/>
      </c>
      <c r="CE28" s="29" t="str">
        <f aca="false">IF(ISNUMBER(CE27),IFERROR((1+CE29)/(1+CE27)-1,""),"")</f>
        <v/>
      </c>
      <c r="CF28" s="29" t="str">
        <f aca="false">IF(ISNUMBER(CF27),IFERROR((1+CF29)/(1+CF27)-1,""),"")</f>
        <v/>
      </c>
      <c r="CG28" s="29" t="str">
        <f aca="false">IF(ISNUMBER(CG27),IFERROR((1+CG29)/(1+CG27)-1,""),"")</f>
        <v/>
      </c>
      <c r="CH28" s="29" t="str">
        <f aca="false">IF(ISNUMBER(CH27),IFERROR((1+CH29)/(1+CH27)-1,""),"")</f>
        <v/>
      </c>
      <c r="CI28" s="29" t="str">
        <f aca="false">IF(ISNUMBER(CI27),IFERROR((1+CI29)/(1+CI27)-1,""),"")</f>
        <v/>
      </c>
      <c r="CJ28" s="29" t="str">
        <f aca="false">IF(ISNUMBER(CJ27),IFERROR((1+CJ29)/(1+CJ27)-1,""),"")</f>
        <v/>
      </c>
      <c r="CK28" s="29" t="str">
        <f aca="false">IF(ISNUMBER(CK27),IFERROR((1+CK29)/(1+CK27)-1,""),"")</f>
        <v/>
      </c>
      <c r="CL28" s="29" t="str">
        <f aca="false">IF(ISNUMBER(CL27),IFERROR((1+CL29)/(1+CL27)-1,""),"")</f>
        <v/>
      </c>
      <c r="CM28" s="29" t="str">
        <f aca="false">IF(ISNUMBER(CM27),IFERROR((1+CM29)/(1+CM27)-1,""),"")</f>
        <v/>
      </c>
      <c r="CN28" s="29" t="str">
        <f aca="false">IF(ISNUMBER(CN27),IFERROR((1+CN29)/(1+CN27)-1,""),"")</f>
        <v/>
      </c>
      <c r="CO28" s="29" t="str">
        <f aca="false">IF(ISNUMBER(CO27),IFERROR((1+CO29)/(1+CO27)-1,""),"")</f>
        <v/>
      </c>
      <c r="CP28" s="34" t="n">
        <v>0.03</v>
      </c>
      <c r="CQ28" s="34" t="n">
        <v>0.03</v>
      </c>
      <c r="CR28" s="34" t="n">
        <v>0.03</v>
      </c>
      <c r="CS28" s="34" t="n">
        <v>0.03</v>
      </c>
      <c r="CT28" s="34" t="n">
        <v>0.03</v>
      </c>
      <c r="CU28" s="24" t="s">
        <v>131</v>
      </c>
      <c r="CW28" s="6"/>
      <c r="CX28" s="6"/>
      <c r="CY28" s="6"/>
      <c r="CZ28" s="6"/>
      <c r="DC28" s="15" t="s">
        <v>110</v>
      </c>
      <c r="DD28" s="26" t="n">
        <f aca="false">DE28+$DD$25</f>
        <v>0.04</v>
      </c>
      <c r="DE28" s="27" t="n">
        <v>0.03</v>
      </c>
      <c r="DF28" s="26" t="n">
        <f aca="false">DE28+$DF$25</f>
        <v>0.015</v>
      </c>
    </row>
    <row r="29" customFormat="false" ht="15" hidden="false" customHeight="false" outlineLevel="0" collapsed="false">
      <c r="B29" s="28" t="s">
        <v>111</v>
      </c>
      <c r="C29" s="29"/>
      <c r="D29" s="29" t="str">
        <f aca="false">IFERROR(D26/C26-1,"")</f>
        <v/>
      </c>
      <c r="E29" s="29" t="str">
        <f aca="false">IFERROR(E26/D26-1,"")</f>
        <v/>
      </c>
      <c r="F29" s="29" t="str">
        <f aca="false">IFERROR(F26/E26-1,"")</f>
        <v/>
      </c>
      <c r="G29" s="29" t="str">
        <f aca="false">IFERROR(G26/F26-1,"")</f>
        <v/>
      </c>
      <c r="H29" s="29" t="str">
        <f aca="false">IFERROR(H26/G26-1,"")</f>
        <v/>
      </c>
      <c r="I29" s="29" t="str">
        <f aca="false">IFERROR(I26/H26-1,"")</f>
        <v/>
      </c>
      <c r="J29" s="29"/>
      <c r="K29" s="29"/>
      <c r="L29" s="29"/>
      <c r="M29" s="29"/>
      <c r="N29" s="29"/>
      <c r="O29" s="29" t="str">
        <f aca="false">IFERROR(O26/I26-1,"")</f>
        <v/>
      </c>
      <c r="P29" s="29" t="str">
        <f aca="false">IFERROR(P26/J26-1,"")</f>
        <v/>
      </c>
      <c r="Q29" s="29" t="str">
        <f aca="false">IFERROR(Q26/K26-1,"")</f>
        <v/>
      </c>
      <c r="R29" s="29" t="str">
        <f aca="false">IFERROR(R26/L26-1,"")</f>
        <v/>
      </c>
      <c r="S29" s="29" t="str">
        <f aca="false">IFERROR(S26/M26-1,"")</f>
        <v/>
      </c>
      <c r="T29" s="29" t="str">
        <f aca="false">IFERROR(T26/N26-1,"")</f>
        <v/>
      </c>
      <c r="U29" s="29" t="str">
        <f aca="false">IFERROR(U26/O26-1,"")</f>
        <v/>
      </c>
      <c r="V29" s="29" t="str">
        <f aca="false">IFERROR(V26/P26-1,"")</f>
        <v/>
      </c>
      <c r="W29" s="29" t="str">
        <f aca="false">IFERROR(W26/Q26-1,"")</f>
        <v/>
      </c>
      <c r="X29" s="29" t="str">
        <f aca="false">IFERROR(X26/R26-1,"")</f>
        <v/>
      </c>
      <c r="Y29" s="29" t="str">
        <f aca="false">IFERROR(Y26/S26-1,"")</f>
        <v/>
      </c>
      <c r="Z29" s="29" t="str">
        <f aca="false">IFERROR(Z26/T26-1,"")</f>
        <v/>
      </c>
      <c r="AA29" s="29" t="str">
        <f aca="false">IFERROR(AA26/U26-1,"")</f>
        <v/>
      </c>
      <c r="AB29" s="29" t="str">
        <f aca="false">IFERROR(AB26/V26-1,"")</f>
        <v/>
      </c>
      <c r="AC29" s="29" t="str">
        <f aca="false">IFERROR(AC26/W26-1,"")</f>
        <v/>
      </c>
      <c r="AD29" s="29" t="str">
        <f aca="false">IFERROR(AD26/X26-1,"")</f>
        <v/>
      </c>
      <c r="AE29" s="29" t="str">
        <f aca="false">IFERROR(AE26/Y26-1,"")</f>
        <v/>
      </c>
      <c r="AF29" s="29" t="str">
        <f aca="false">IFERROR(AF26/Z26-1,"")</f>
        <v/>
      </c>
      <c r="AG29" s="29" t="str">
        <f aca="false">IFERROR(AG26/AA26-1,"")</f>
        <v/>
      </c>
      <c r="AH29" s="29" t="str">
        <f aca="false">IFERROR(AH26/AB26-1,"")</f>
        <v/>
      </c>
      <c r="AI29" s="29" t="str">
        <f aca="false">IFERROR(AI26/AC26-1,"")</f>
        <v/>
      </c>
      <c r="AJ29" s="29" t="str">
        <f aca="false">IFERROR(AJ26/AD26-1,"")</f>
        <v/>
      </c>
      <c r="AK29" s="29" t="str">
        <f aca="false">IFERROR(AK26/AE26-1,"")</f>
        <v/>
      </c>
      <c r="AL29" s="29" t="str">
        <f aca="false">IFERROR(AL26/AF26-1,"")</f>
        <v/>
      </c>
      <c r="AM29" s="29" t="str">
        <f aca="false">IFERROR(AM26/AG26-1,"")</f>
        <v/>
      </c>
      <c r="AN29" s="29" t="str">
        <f aca="false">IFERROR(AN26/AH26-1,"")</f>
        <v/>
      </c>
      <c r="AO29" s="29" t="str">
        <f aca="false">IFERROR(AO26/AI26-1,"")</f>
        <v/>
      </c>
      <c r="AP29" s="29" t="str">
        <f aca="false">IFERROR(AP26/AJ26-1,"")</f>
        <v/>
      </c>
      <c r="AQ29" s="29" t="str">
        <f aca="false">IFERROR(AQ26/AK26-1,"")</f>
        <v/>
      </c>
      <c r="AR29" s="29" t="str">
        <f aca="false">IFERROR(AR26/AL26-1,"")</f>
        <v/>
      </c>
      <c r="AS29" s="29" t="n">
        <f aca="false">IFERROR(AS26/AM26-1,"")</f>
        <v>0.228930065750149</v>
      </c>
      <c r="AT29" s="29" t="n">
        <f aca="false">IFERROR(AT26/AN26-1,"")</f>
        <v>0.198881452707446</v>
      </c>
      <c r="AU29" s="29" t="n">
        <f aca="false">IFERROR(AU26/AO26-1,"")</f>
        <v>0.180384383349134</v>
      </c>
      <c r="AV29" s="29" t="n">
        <f aca="false">IFERROR(AV26/AP26-1,"")</f>
        <v>0.189251340497611</v>
      </c>
      <c r="AW29" s="29" t="n">
        <f aca="false">IFERROR(AW26/AQ26-1,"")</f>
        <v>0.0421574023115026</v>
      </c>
      <c r="AX29" s="29" t="n">
        <f aca="false">IFERROR(AX26/AR26-1,"")</f>
        <v>0.117521367521368</v>
      </c>
      <c r="AY29" s="29" t="n">
        <f aca="false">IFERROR(AY26/AS26-1,"")</f>
        <v>0.129351560559649</v>
      </c>
      <c r="AZ29" s="29" t="n">
        <f aca="false">IFERROR(AZ26/AT26-1,"")</f>
        <v>0.113598657115531</v>
      </c>
      <c r="BA29" s="29" t="n">
        <f aca="false">IFERROR(BA26/AU26-1,"")</f>
        <v>0.144293954439252</v>
      </c>
      <c r="BB29" s="29" t="n">
        <f aca="false">IFERROR(BB26/AV26-1,"")</f>
        <v>0.129460369563372</v>
      </c>
      <c r="BC29" s="29" t="n">
        <f aca="false">IFERROR(BC26/AW26-1,"")</f>
        <v>0.0510315448528376</v>
      </c>
      <c r="BD29" s="29" t="n">
        <f aca="false">IFERROR(BD26/AX26-1,"")</f>
        <v>-0.0445723150185794</v>
      </c>
      <c r="BE29" s="29" t="n">
        <f aca="false">IFERROR(BE26/AY26-1,"")</f>
        <v>0.0648437893733707</v>
      </c>
      <c r="BF29" s="29" t="n">
        <f aca="false">IFERROR(BF26/AZ26-1,"")</f>
        <v>0.141692811946786</v>
      </c>
      <c r="BG29" s="29" t="n">
        <f aca="false">IFERROR(BG26/BA26-1,"")</f>
        <v>0.0716074590438514</v>
      </c>
      <c r="BH29" s="29" t="n">
        <f aca="false">IFERROR(BH26/BB26-1,"")</f>
        <v>0.105000751615974</v>
      </c>
      <c r="BI29" s="29" t="n">
        <f aca="false">IFERROR(BI26/BC26-1,"")</f>
        <v>0.231145426834374</v>
      </c>
      <c r="BJ29" s="29" t="n">
        <f aca="false">IFERROR(BJ26/BD26-1,"")</f>
        <v>0.29401325353522</v>
      </c>
      <c r="BK29" s="29" t="n">
        <f aca="false">IFERROR(BK26/BE26-1,"")</f>
        <v>0.180482410849511</v>
      </c>
      <c r="BL29" s="29" t="n">
        <f aca="false">IFERROR(BL26/BF26-1,"")</f>
        <v>0.183044966762362</v>
      </c>
      <c r="BM29" s="29" t="n">
        <f aca="false">IFERROR(BM26/BG26-1,"")</f>
        <v>0.196567328589717</v>
      </c>
      <c r="BN29" s="29" t="n">
        <f aca="false">IFERROR(BN26/BH26-1,"")</f>
        <v>0.189910440993085</v>
      </c>
      <c r="BO29" s="29" t="n">
        <f aca="false">IFERROR(BO26/BI26-1,"")</f>
        <v>0.189680034826141</v>
      </c>
      <c r="BP29" s="29" t="n">
        <f aca="false">IFERROR(BP26/BJ26-1,"")</f>
        <v>0.0939743215640501</v>
      </c>
      <c r="BQ29" s="29" t="n">
        <f aca="false">IFERROR(BQ26/BK26-1,"")</f>
        <v>0.165882425837303</v>
      </c>
      <c r="BR29" s="29" t="n">
        <f aca="false">IFERROR(BR26/BL26-1,"")</f>
        <v>-0.0243576433947573</v>
      </c>
      <c r="BS29" s="29" t="n">
        <f aca="false">IFERROR(BS26/BM26-1,"")</f>
        <v>0.0457932647450332</v>
      </c>
      <c r="BT29" s="29" t="n">
        <f aca="false">IFERROR(BT26/BN26-1,"")</f>
        <v>0.0114581150003494</v>
      </c>
      <c r="BU29" s="29" t="n">
        <f aca="false">IFERROR(BU26/BO26-1,"")</f>
        <v>0.0882894420875691</v>
      </c>
      <c r="BV29" s="29" t="n">
        <f aca="false">IFERROR(BV26/BP26-1,"")</f>
        <v>0.361251517050986</v>
      </c>
      <c r="BW29" s="29" t="n">
        <f aca="false">IFERROR(BW26/BQ26-1,"")</f>
        <v>0.114457209847597</v>
      </c>
      <c r="BX29" s="29" t="n">
        <f aca="false">IFERROR(BX26/BR26-1,"")</f>
        <v>0.290344891797348</v>
      </c>
      <c r="BY29" s="29" t="n">
        <f aca="false">IFERROR(BY26/BS26-1,"")</f>
        <v>0.257482394366197</v>
      </c>
      <c r="BZ29" s="29" t="n">
        <f aca="false">IFERROR(BZ26/BT26-1,"")</f>
        <v>0.272997293512594</v>
      </c>
      <c r="CA29" s="29" t="n">
        <f aca="false">IFERROR(CA26/BU26-1,"")</f>
        <v>0.218320514437019</v>
      </c>
      <c r="CB29" s="29" t="n">
        <f aca="false">IFERROR(CB26/BV26-1,"")</f>
        <v>0.138750636830348</v>
      </c>
      <c r="CC29" s="29" t="n">
        <f aca="false">IFERROR(CC26/BW26-1,"")</f>
        <v>0.219960335159487</v>
      </c>
      <c r="CD29" s="29" t="n">
        <f aca="false">IFERROR(CD26/BX26-1,"")</f>
        <v>0.302374963921989</v>
      </c>
      <c r="CE29" s="29" t="n">
        <f aca="false">IFERROR(CE26/BY26-1,"")</f>
        <v>0.165000141898987</v>
      </c>
      <c r="CF29" s="29" t="n">
        <f aca="false">IFERROR(CF26/BZ26-1,"")</f>
        <v>0.230740771799666</v>
      </c>
      <c r="CG29" s="29" t="n">
        <f aca="false">IFERROR(CG26/CA26-1,"")</f>
        <v>0.174739111686072</v>
      </c>
      <c r="CH29" s="29" t="n">
        <f aca="false">IFERROR(CH26/CB26-1,"")</f>
        <v>0.130482663684075</v>
      </c>
      <c r="CI29" s="29" t="n">
        <f aca="false">IFERROR(CI26/CC26-1,"")</f>
        <v>0.189018165095424</v>
      </c>
      <c r="CJ29" s="29" t="n">
        <f aca="false">IFERROR(CJ26/CD26-1,"")</f>
        <v>0.0788707200861127</v>
      </c>
      <c r="CK29" s="29" t="n">
        <f aca="false">IFERROR(CK26/CE26-1,"")</f>
        <v>0.0765970231666817</v>
      </c>
      <c r="CL29" s="29" t="n">
        <f aca="false">IFERROR(CL26/CF26-1,"")</f>
        <v>0.0777484298408397</v>
      </c>
      <c r="CM29" s="29" t="n">
        <f aca="false">IFERROR(CM26/CG26-1,"")</f>
        <v>0.179170551570725</v>
      </c>
      <c r="CN29" s="29" t="n">
        <f aca="false">IFERROR(CN26/CH26-1,"")</f>
        <v>0.154692684708819</v>
      </c>
      <c r="CO29" s="29" t="n">
        <f aca="false">IFERROR(CO26/CI26-1,"")</f>
        <v>0.124015671895789</v>
      </c>
      <c r="CP29" s="30" t="n">
        <f aca="false">IFERROR(CP26/CO26-1,"")</f>
        <v>0.0918000000000001</v>
      </c>
      <c r="CQ29" s="30" t="n">
        <f aca="false">IFERROR(CQ26/CP26-1,"")</f>
        <v>0.0918000000000001</v>
      </c>
      <c r="CR29" s="30" t="n">
        <f aca="false">IFERROR(CR26/CQ26-1,"")</f>
        <v>0.0866499999999999</v>
      </c>
      <c r="CS29" s="30" t="n">
        <f aca="false">IFERROR(CS26/CR26-1,"")</f>
        <v>0.0815000000000001</v>
      </c>
      <c r="CT29" s="30" t="n">
        <f aca="false">IFERROR(CT26/CS26-1,"")</f>
        <v>0.0815000000000001</v>
      </c>
      <c r="CU29" s="24"/>
      <c r="CW29" s="6"/>
      <c r="CX29" s="6"/>
      <c r="CY29" s="6"/>
      <c r="CZ29" s="6"/>
      <c r="DC29" s="15" t="s">
        <v>112</v>
      </c>
      <c r="DD29" s="26" t="n">
        <f aca="false">DE29+$DD$25</f>
        <v>0.04</v>
      </c>
      <c r="DE29" s="27" t="n">
        <v>0.03</v>
      </c>
      <c r="DF29" s="26" t="n">
        <f aca="false">DE29+$DF$25</f>
        <v>0.015</v>
      </c>
    </row>
    <row r="30" customFormat="false" ht="15" hidden="false" customHeight="false" outlineLevel="0" collapsed="false">
      <c r="B30" s="15" t="s">
        <v>113</v>
      </c>
      <c r="C30" s="31"/>
      <c r="D30" s="31"/>
      <c r="E30" s="31"/>
      <c r="F30" s="31"/>
      <c r="G30" s="31"/>
      <c r="H30" s="31"/>
      <c r="I30" s="31"/>
      <c r="J30" s="32"/>
      <c r="K30" s="32"/>
      <c r="L30" s="31"/>
      <c r="M30" s="32"/>
      <c r="N30" s="32"/>
      <c r="O30" s="32"/>
      <c r="P30" s="32"/>
      <c r="Q30" s="32"/>
      <c r="R30" s="31"/>
      <c r="S30" s="32"/>
      <c r="T30" s="32"/>
      <c r="U30" s="32"/>
      <c r="V30" s="32"/>
      <c r="W30" s="32"/>
      <c r="X30" s="31"/>
      <c r="Y30" s="32"/>
      <c r="Z30" s="32"/>
      <c r="AA30" s="32"/>
      <c r="AB30" s="32"/>
      <c r="AC30" s="32"/>
      <c r="AD30" s="31"/>
      <c r="AE30" s="32"/>
      <c r="AF30" s="32"/>
      <c r="AG30" s="32"/>
      <c r="AH30" s="32"/>
      <c r="AI30" s="32"/>
      <c r="AJ30" s="31"/>
      <c r="AK30" s="32"/>
      <c r="AL30" s="32"/>
      <c r="AM30" s="32" t="n">
        <v>97.531</v>
      </c>
      <c r="AN30" s="32" t="n">
        <v>25.329</v>
      </c>
      <c r="AO30" s="32" t="n">
        <v>27.559</v>
      </c>
      <c r="AP30" s="31" t="n">
        <f aca="false">AN30+AO30</f>
        <v>52.888</v>
      </c>
      <c r="AQ30" s="32" t="n">
        <v>38.407</v>
      </c>
      <c r="AR30" s="32" t="n">
        <v>30.114</v>
      </c>
      <c r="AS30" s="32" t="n">
        <v>121.409</v>
      </c>
      <c r="AT30" s="32" t="n">
        <v>38.926</v>
      </c>
      <c r="AU30" s="32" t="n">
        <v>40.042</v>
      </c>
      <c r="AV30" s="31" t="n">
        <f aca="false">AT30+AU30</f>
        <v>78.968</v>
      </c>
      <c r="AW30" s="32" t="n">
        <v>48.109</v>
      </c>
      <c r="AX30" s="32" t="n">
        <v>40.048</v>
      </c>
      <c r="AY30" s="32" t="n">
        <v>167.125</v>
      </c>
      <c r="AZ30" s="32" t="n">
        <v>33.207</v>
      </c>
      <c r="BA30" s="32" t="n">
        <v>29.714</v>
      </c>
      <c r="BB30" s="31" t="n">
        <f aca="false">AZ30+BA30</f>
        <v>62.921</v>
      </c>
      <c r="BC30" s="32" t="n">
        <v>23.455</v>
      </c>
      <c r="BD30" s="32" t="n">
        <v>26.105</v>
      </c>
      <c r="BE30" s="32" t="n">
        <v>112.481</v>
      </c>
      <c r="BF30" s="32" t="n">
        <v>30.548</v>
      </c>
      <c r="BG30" s="32" t="n">
        <v>31.93</v>
      </c>
      <c r="BH30" s="31" t="n">
        <f aca="false">BF30+BG30</f>
        <v>62.478</v>
      </c>
      <c r="BI30" s="32" t="n">
        <v>38.449</v>
      </c>
      <c r="BJ30" s="32" t="n">
        <v>45.149</v>
      </c>
      <c r="BK30" s="32" t="n">
        <v>146.076</v>
      </c>
      <c r="BL30" s="32" t="n">
        <v>54.611</v>
      </c>
      <c r="BM30" s="32" t="n">
        <v>59.691</v>
      </c>
      <c r="BN30" s="31" t="n">
        <f aca="false">BL30+BM30</f>
        <v>114.302</v>
      </c>
      <c r="BO30" s="32" t="n">
        <v>62.24</v>
      </c>
      <c r="BP30" s="32" t="n">
        <v>59.354</v>
      </c>
      <c r="BQ30" s="32" t="n">
        <v>235.896</v>
      </c>
      <c r="BR30" s="32" t="n">
        <v>69.34</v>
      </c>
      <c r="BS30" s="32" t="n">
        <v>84.731</v>
      </c>
      <c r="BT30" s="31" t="n">
        <f aca="false">BR30+BS30</f>
        <v>154.071</v>
      </c>
      <c r="BU30" s="32" t="n">
        <v>92.901</v>
      </c>
      <c r="BV30" s="32" t="n">
        <v>76.411</v>
      </c>
      <c r="BW30" s="32" t="n">
        <v>323.383</v>
      </c>
      <c r="BX30" s="32" t="n">
        <v>82.498</v>
      </c>
      <c r="BY30" s="32" t="n">
        <v>83.714</v>
      </c>
      <c r="BZ30" s="31" t="n">
        <f aca="false">BX30+BY30</f>
        <v>166.212</v>
      </c>
      <c r="CA30" s="32" t="n">
        <v>92.393</v>
      </c>
      <c r="CB30" s="32" t="n">
        <v>78.582</v>
      </c>
      <c r="CC30" s="32" t="n">
        <v>337.188</v>
      </c>
      <c r="CD30" s="32" t="n">
        <v>72.944</v>
      </c>
      <c r="CE30" s="32" t="n">
        <v>65.32</v>
      </c>
      <c r="CF30" s="31" t="n">
        <f aca="false">CD30+CE30</f>
        <v>138.264</v>
      </c>
      <c r="CG30" s="32" t="n">
        <v>69.048</v>
      </c>
      <c r="CH30" s="32" t="n">
        <v>67.439</v>
      </c>
      <c r="CI30" s="32" t="n">
        <v>274.75</v>
      </c>
      <c r="CJ30" s="32" t="n">
        <v>66.105</v>
      </c>
      <c r="CK30" s="32" t="n">
        <v>67.47</v>
      </c>
      <c r="CL30" s="31" t="n">
        <f aca="false">CJ30+CK30</f>
        <v>133.575</v>
      </c>
      <c r="CM30" s="32" t="n">
        <v>73.588</v>
      </c>
      <c r="CN30" s="32" t="n">
        <v>70.383</v>
      </c>
      <c r="CO30" s="32" t="n">
        <v>277.546</v>
      </c>
      <c r="CP30" s="33" t="n">
        <f aca="false">CO30*(1+CP31)</f>
        <v>291.4233</v>
      </c>
      <c r="CQ30" s="33" t="n">
        <f aca="false">CP30*(1+CQ31)</f>
        <v>305.994465</v>
      </c>
      <c r="CR30" s="33" t="n">
        <f aca="false">CQ30*(1+CR31)</f>
        <v>321.29418825</v>
      </c>
      <c r="CS30" s="33" t="n">
        <f aca="false">CR30*(1+CS31)</f>
        <v>337.3588976625</v>
      </c>
      <c r="CT30" s="33" t="n">
        <f aca="false">CS30*(1+CT31)</f>
        <v>354.226842545625</v>
      </c>
      <c r="CU30" s="24" t="s">
        <v>114</v>
      </c>
      <c r="CW30" s="6"/>
      <c r="CX30" s="6"/>
      <c r="CY30" s="6"/>
      <c r="CZ30" s="6"/>
      <c r="DC30" s="15" t="s">
        <v>115</v>
      </c>
      <c r="DD30" s="26" t="n">
        <f aca="false">DE30+$DD$25</f>
        <v>0.04</v>
      </c>
      <c r="DE30" s="27" t="n">
        <v>0.03</v>
      </c>
      <c r="DF30" s="26" t="n">
        <f aca="false">DE30+$DF$25</f>
        <v>0.015</v>
      </c>
    </row>
    <row r="31" customFormat="false" ht="15" hidden="false" customHeight="false" outlineLevel="0" collapsed="false">
      <c r="B31" s="28" t="s">
        <v>116</v>
      </c>
      <c r="C31" s="29"/>
      <c r="D31" s="29" t="str">
        <f aca="false">IFERROR(D30/C30-1,"")</f>
        <v/>
      </c>
      <c r="E31" s="29" t="str">
        <f aca="false">IFERROR(E30/D30-1,"")</f>
        <v/>
      </c>
      <c r="F31" s="29" t="str">
        <f aca="false">IFERROR(F30/E30-1,"")</f>
        <v/>
      </c>
      <c r="G31" s="29" t="str">
        <f aca="false">IFERROR(G30/F30-1,"")</f>
        <v/>
      </c>
      <c r="H31" s="29" t="str">
        <f aca="false">IFERROR(H30/G30-1,"")</f>
        <v/>
      </c>
      <c r="I31" s="29" t="str">
        <f aca="false">IFERROR(I30/H30-1,"")</f>
        <v/>
      </c>
      <c r="J31" s="29"/>
      <c r="K31" s="29"/>
      <c r="L31" s="29"/>
      <c r="M31" s="29"/>
      <c r="N31" s="29"/>
      <c r="O31" s="29" t="str">
        <f aca="false">IFERROR(O30/I30-1,"")</f>
        <v/>
      </c>
      <c r="P31" s="29" t="str">
        <f aca="false">IFERROR(P30/J30-1,"")</f>
        <v/>
      </c>
      <c r="Q31" s="29" t="str">
        <f aca="false">IFERROR(Q30/K30-1,"")</f>
        <v/>
      </c>
      <c r="R31" s="29" t="str">
        <f aca="false">IFERROR(R30/L30-1,"")</f>
        <v/>
      </c>
      <c r="S31" s="29" t="str">
        <f aca="false">IFERROR(S30/M30-1,"")</f>
        <v/>
      </c>
      <c r="T31" s="29" t="str">
        <f aca="false">IFERROR(T30/N30-1,"")</f>
        <v/>
      </c>
      <c r="U31" s="29" t="str">
        <f aca="false">IFERROR(U30/O30-1,"")</f>
        <v/>
      </c>
      <c r="V31" s="29" t="str">
        <f aca="false">IFERROR(V30/P30-1,"")</f>
        <v/>
      </c>
      <c r="W31" s="29" t="str">
        <f aca="false">IFERROR(W30/Q30-1,"")</f>
        <v/>
      </c>
      <c r="X31" s="29" t="str">
        <f aca="false">IFERROR(X30/R30-1,"")</f>
        <v/>
      </c>
      <c r="Y31" s="29" t="str">
        <f aca="false">IFERROR(Y30/S30-1,"")</f>
        <v/>
      </c>
      <c r="Z31" s="29" t="str">
        <f aca="false">IFERROR(Z30/T30-1,"")</f>
        <v/>
      </c>
      <c r="AA31" s="29" t="str">
        <f aca="false">IFERROR(AA30/U30-1,"")</f>
        <v/>
      </c>
      <c r="AB31" s="29" t="str">
        <f aca="false">IFERROR(AB30/V30-1,"")</f>
        <v/>
      </c>
      <c r="AC31" s="29" t="str">
        <f aca="false">IFERROR(AC30/W30-1,"")</f>
        <v/>
      </c>
      <c r="AD31" s="29" t="str">
        <f aca="false">IFERROR(AD30/X30-1,"")</f>
        <v/>
      </c>
      <c r="AE31" s="29" t="str">
        <f aca="false">IFERROR(AE30/Y30-1,"")</f>
        <v/>
      </c>
      <c r="AF31" s="29" t="str">
        <f aca="false">IFERROR(AF30/Z30-1,"")</f>
        <v/>
      </c>
      <c r="AG31" s="29" t="str">
        <f aca="false">IFERROR(AG30/AA30-1,"")</f>
        <v/>
      </c>
      <c r="AH31" s="29" t="str">
        <f aca="false">IFERROR(AH30/AB30-1,"")</f>
        <v/>
      </c>
      <c r="AI31" s="29" t="str">
        <f aca="false">IFERROR(AI30/AC30-1,"")</f>
        <v/>
      </c>
      <c r="AJ31" s="29" t="str">
        <f aca="false">IFERROR(AJ30/AD30-1,"")</f>
        <v/>
      </c>
      <c r="AK31" s="29" t="str">
        <f aca="false">IFERROR(AK30/AE30-1,"")</f>
        <v/>
      </c>
      <c r="AL31" s="29" t="str">
        <f aca="false">IFERROR(AL30/AF30-1,"")</f>
        <v/>
      </c>
      <c r="AM31" s="29" t="str">
        <f aca="false">IFERROR(AM30/AG30-1,"")</f>
        <v/>
      </c>
      <c r="AN31" s="29" t="str">
        <f aca="false">IFERROR(AN30/AH30-1,"")</f>
        <v/>
      </c>
      <c r="AO31" s="29" t="str">
        <f aca="false">IFERROR(AO30/AI30-1,"")</f>
        <v/>
      </c>
      <c r="AP31" s="29" t="str">
        <f aca="false">IFERROR(AP30/AJ30-1,"")</f>
        <v/>
      </c>
      <c r="AQ31" s="29" t="str">
        <f aca="false">IFERROR(AQ30/AK30-1,"")</f>
        <v/>
      </c>
      <c r="AR31" s="29" t="str">
        <f aca="false">IFERROR(AR30/AL30-1,"")</f>
        <v/>
      </c>
      <c r="AS31" s="29" t="n">
        <f aca="false">IFERROR(AS30/AM30-1,"")</f>
        <v>0.244824722395956</v>
      </c>
      <c r="AT31" s="29" t="n">
        <f aca="false">IFERROR(AT30/AN30-1,"")</f>
        <v>0.536815507915828</v>
      </c>
      <c r="AU31" s="29" t="n">
        <f aca="false">IFERROR(AU30/AO30-1,"")</f>
        <v>0.452955477339526</v>
      </c>
      <c r="AV31" s="29" t="n">
        <f aca="false">IFERROR(AV30/AP30-1,"")</f>
        <v>0.493117531387082</v>
      </c>
      <c r="AW31" s="29" t="n">
        <f aca="false">IFERROR(AW30/AQ30-1,"")</f>
        <v>0.252610201265395</v>
      </c>
      <c r="AX31" s="29" t="n">
        <f aca="false">IFERROR(AX30/AR30-1,"")</f>
        <v>0.329879790130836</v>
      </c>
      <c r="AY31" s="29" t="n">
        <f aca="false">IFERROR(AY30/AS30-1,"")</f>
        <v>0.376545396140319</v>
      </c>
      <c r="AZ31" s="29" t="n">
        <f aca="false">IFERROR(AZ30/AT30-1,"")</f>
        <v>-0.146919796537019</v>
      </c>
      <c r="BA31" s="29" t="n">
        <f aca="false">IFERROR(BA30/AU30-1,"")</f>
        <v>-0.257929174366915</v>
      </c>
      <c r="BB31" s="29" t="n">
        <f aca="false">IFERROR(BB30/AV30-1,"")</f>
        <v>-0.203208894742174</v>
      </c>
      <c r="BC31" s="29" t="n">
        <f aca="false">IFERROR(BC30/AW30-1,"")</f>
        <v>-0.512461285830094</v>
      </c>
      <c r="BD31" s="29" t="n">
        <f aca="false">IFERROR(BD30/AX30-1,"")</f>
        <v>-0.348157211346384</v>
      </c>
      <c r="BE31" s="29" t="n">
        <f aca="false">IFERROR(BE30/AY30-1,"")</f>
        <v>-0.326964846671653</v>
      </c>
      <c r="BF31" s="29" t="n">
        <f aca="false">IFERROR(BF30/AZ30-1,"")</f>
        <v>-0.0800734784834524</v>
      </c>
      <c r="BG31" s="29" t="n">
        <f aca="false">IFERROR(BG30/BA30-1,"")</f>
        <v>0.074577640169617</v>
      </c>
      <c r="BH31" s="29" t="n">
        <f aca="false">IFERROR(BH30/BB30-1,"")</f>
        <v>-0.00704057468889563</v>
      </c>
      <c r="BI31" s="29" t="n">
        <f aca="false">IFERROR(BI30/BC30-1,"")</f>
        <v>0.639266680878278</v>
      </c>
      <c r="BJ31" s="29" t="n">
        <f aca="false">IFERROR(BJ30/BD30-1,"")</f>
        <v>0.729515418502203</v>
      </c>
      <c r="BK31" s="29" t="n">
        <f aca="false">IFERROR(BK30/BE30-1,"")</f>
        <v>0.298672664716708</v>
      </c>
      <c r="BL31" s="29" t="n">
        <f aca="false">IFERROR(BL30/BF30-1,"")</f>
        <v>0.787711143119026</v>
      </c>
      <c r="BM31" s="29" t="n">
        <f aca="false">IFERROR(BM30/BG30-1,"")</f>
        <v>0.869433134982775</v>
      </c>
      <c r="BN31" s="29" t="n">
        <f aca="false">IFERROR(BN30/BH30-1,"")</f>
        <v>0.829475975543391</v>
      </c>
      <c r="BO31" s="29" t="n">
        <f aca="false">IFERROR(BO30/BI30-1,"")</f>
        <v>0.618767718276158</v>
      </c>
      <c r="BP31" s="29" t="n">
        <f aca="false">IFERROR(BP30/BJ30-1,"")</f>
        <v>0.31462490863585</v>
      </c>
      <c r="BQ31" s="29" t="n">
        <f aca="false">IFERROR(BQ30/BK30-1,"")</f>
        <v>0.614885402119445</v>
      </c>
      <c r="BR31" s="29" t="n">
        <f aca="false">IFERROR(BR30/BL30-1,"")</f>
        <v>0.269707568072366</v>
      </c>
      <c r="BS31" s="29" t="n">
        <f aca="false">IFERROR(BS30/BM30-1,"")</f>
        <v>0.419493726022348</v>
      </c>
      <c r="BT31" s="29" t="n">
        <f aca="false">IFERROR(BT30/BN30-1,"")</f>
        <v>0.347929170093262</v>
      </c>
      <c r="BU31" s="29" t="n">
        <f aca="false">IFERROR(BU30/BO30-1,"")</f>
        <v>0.492625321336761</v>
      </c>
      <c r="BV31" s="29" t="n">
        <f aca="false">IFERROR(BV30/BP30-1,"")</f>
        <v>0.287377430333255</v>
      </c>
      <c r="BW31" s="29" t="n">
        <f aca="false">IFERROR(BW30/BQ30-1,"")</f>
        <v>0.370871061823855</v>
      </c>
      <c r="BX31" s="29" t="n">
        <f aca="false">IFERROR(BX30/BR30-1,"")</f>
        <v>0.189760599942313</v>
      </c>
      <c r="BY31" s="29" t="n">
        <f aca="false">IFERROR(BY30/BS30-1,"")</f>
        <v>-0.0120026908687493</v>
      </c>
      <c r="BZ31" s="29" t="n">
        <f aca="false">IFERROR(BZ30/BT30-1,"")</f>
        <v>0.0788013318534961</v>
      </c>
      <c r="CA31" s="29" t="n">
        <f aca="false">IFERROR(CA30/BU30-1,"")</f>
        <v>-0.0054681865641919</v>
      </c>
      <c r="CB31" s="29" t="n">
        <f aca="false">IFERROR(CB30/BV30-1,"")</f>
        <v>0.0284121396134063</v>
      </c>
      <c r="CC31" s="29" t="n">
        <f aca="false">IFERROR(CC30/BW30-1,"")</f>
        <v>0.0426893188572064</v>
      </c>
      <c r="CD31" s="29" t="n">
        <f aca="false">IFERROR(CD30/BX30-1,"")</f>
        <v>-0.115808868093772</v>
      </c>
      <c r="CE31" s="29" t="n">
        <f aca="false">IFERROR(CE30/BY30-1,"")</f>
        <v>-0.219724299400339</v>
      </c>
      <c r="CF31" s="29" t="n">
        <f aca="false">IFERROR(CF30/BZ30-1,"")</f>
        <v>-0.168146704209082</v>
      </c>
      <c r="CG31" s="29" t="n">
        <f aca="false">IFERROR(CG30/CA30-1,"")</f>
        <v>-0.252670656867945</v>
      </c>
      <c r="CH31" s="29" t="n">
        <f aca="false">IFERROR(CH30/CB30-1,"")</f>
        <v>-0.141800921330585</v>
      </c>
      <c r="CI31" s="29" t="n">
        <f aca="false">IFERROR(CI30/CC30-1,"")</f>
        <v>-0.185172663321352</v>
      </c>
      <c r="CJ31" s="29" t="n">
        <f aca="false">IFERROR(CJ30/CD30-1,"")</f>
        <v>-0.0937568545733714</v>
      </c>
      <c r="CK31" s="29" t="n">
        <f aca="false">IFERROR(CK30/CE30-1,"")</f>
        <v>0.0329148805878752</v>
      </c>
      <c r="CL31" s="29" t="n">
        <f aca="false">IFERROR(CL30/CF30-1,"")</f>
        <v>-0.0339133830932131</v>
      </c>
      <c r="CM31" s="29" t="n">
        <f aca="false">IFERROR(CM30/CG30-1,"")</f>
        <v>0.0657513613717993</v>
      </c>
      <c r="CN31" s="29" t="n">
        <f aca="false">IFERROR(CN30/CH30-1,"")</f>
        <v>0.0436542653360816</v>
      </c>
      <c r="CO31" s="29" t="n">
        <f aca="false">IFERROR(CO30/CI30-1,"")</f>
        <v>0.0101765241128298</v>
      </c>
      <c r="CP31" s="34" t="n">
        <v>0.05</v>
      </c>
      <c r="CQ31" s="34" t="n">
        <v>0.05</v>
      </c>
      <c r="CR31" s="34" t="n">
        <v>0.05</v>
      </c>
      <c r="CS31" s="34" t="n">
        <v>0.05</v>
      </c>
      <c r="CT31" s="34" t="n">
        <v>0.05</v>
      </c>
      <c r="CU31" s="24"/>
      <c r="CW31" s="6"/>
      <c r="CX31" s="6"/>
      <c r="CY31" s="6"/>
      <c r="CZ31" s="6"/>
    </row>
    <row r="32" customFormat="false" ht="15" hidden="false" customHeight="false" outlineLevel="0" collapsed="false">
      <c r="B32" s="20" t="s">
        <v>132</v>
      </c>
      <c r="C32" s="22" t="n">
        <v>2.115</v>
      </c>
      <c r="D32" s="22" t="n">
        <v>18.879</v>
      </c>
      <c r="E32" s="22" t="n">
        <v>193.248</v>
      </c>
      <c r="F32" s="22" t="n">
        <v>151.798</v>
      </c>
      <c r="G32" s="22" t="n">
        <v>170.085</v>
      </c>
      <c r="H32" s="22" t="n">
        <v>197.504</v>
      </c>
      <c r="I32" s="22" t="n">
        <v>199.322</v>
      </c>
      <c r="J32" s="22"/>
      <c r="K32" s="22"/>
      <c r="L32" s="21"/>
      <c r="M32" s="22"/>
      <c r="N32" s="22"/>
      <c r="O32" s="22" t="n">
        <v>228.945</v>
      </c>
      <c r="P32" s="22"/>
      <c r="Q32" s="22"/>
      <c r="R32" s="21"/>
      <c r="S32" s="22"/>
      <c r="T32" s="22"/>
      <c r="U32" s="22" t="n">
        <v>269.83</v>
      </c>
      <c r="V32" s="22"/>
      <c r="W32" s="22"/>
      <c r="X32" s="21"/>
      <c r="Y32" s="22"/>
      <c r="Z32" s="22"/>
      <c r="AA32" s="22" t="n">
        <v>243.199</v>
      </c>
      <c r="AB32" s="22" t="n">
        <v>58.373</v>
      </c>
      <c r="AC32" s="22" t="n">
        <v>61.445</v>
      </c>
      <c r="AD32" s="21" t="n">
        <f aca="false">AB32+AC32</f>
        <v>119.818</v>
      </c>
      <c r="AE32" s="22" t="n">
        <v>68.036</v>
      </c>
      <c r="AF32" s="22" t="n">
        <v>64.559</v>
      </c>
      <c r="AG32" s="22" t="n">
        <v>252.413</v>
      </c>
      <c r="AH32" s="22" t="n">
        <v>60.929</v>
      </c>
      <c r="AI32" s="22" t="n">
        <v>62.621</v>
      </c>
      <c r="AJ32" s="21" t="n">
        <f aca="false">AH32+AI32</f>
        <v>123.55</v>
      </c>
      <c r="AK32" s="22" t="n">
        <v>66.742</v>
      </c>
      <c r="AL32" s="22" t="n">
        <v>64.501</v>
      </c>
      <c r="AM32" s="21" t="n">
        <f aca="false">AM26+AM30</f>
        <v>254.793</v>
      </c>
      <c r="AN32" s="21" t="n">
        <f aca="false">AN26+AN30</f>
        <v>68.063</v>
      </c>
      <c r="AO32" s="21" t="n">
        <f aca="false">AO26+AO30</f>
        <v>73.971</v>
      </c>
      <c r="AP32" s="21" t="n">
        <f aca="false">AP26+AP30</f>
        <v>142.034</v>
      </c>
      <c r="AQ32" s="21" t="n">
        <f aca="false">AQ26+AQ30</f>
        <v>92.917</v>
      </c>
      <c r="AR32" s="21" t="n">
        <f aca="false">AR26+AR30</f>
        <v>79.722</v>
      </c>
      <c r="AS32" s="21" t="n">
        <f aca="false">AS26+AS30</f>
        <v>314.673</v>
      </c>
      <c r="AT32" s="21" t="n">
        <f aca="false">AT26+AT30</f>
        <v>90.159</v>
      </c>
      <c r="AU32" s="21" t="n">
        <f aca="false">AU26+AU30</f>
        <v>94.826</v>
      </c>
      <c r="AV32" s="21" t="n">
        <f aca="false">AV26+AV30</f>
        <v>184.985</v>
      </c>
      <c r="AW32" s="21" t="n">
        <f aca="false">AW26+AW30</f>
        <v>104.917</v>
      </c>
      <c r="AX32" s="21" t="n">
        <f aca="false">AX26+AX30</f>
        <v>95.486</v>
      </c>
      <c r="AY32" s="21" t="n">
        <f aca="false">AY26+AY30</f>
        <v>385.388</v>
      </c>
      <c r="AZ32" s="21" t="n">
        <f aca="false">AZ26+AZ30</f>
        <v>90.26</v>
      </c>
      <c r="BA32" s="21" t="n">
        <f aca="false">BA26+BA30</f>
        <v>92.403</v>
      </c>
      <c r="BB32" s="21" t="n">
        <f aca="false">BB26+BB30</f>
        <v>182.663</v>
      </c>
      <c r="BC32" s="21" t="n">
        <f aca="false">BC26+BC30</f>
        <v>83.162</v>
      </c>
      <c r="BD32" s="21" t="n">
        <f aca="false">BD26+BD30</f>
        <v>79.072</v>
      </c>
      <c r="BE32" s="21" t="n">
        <f aca="false">BE26+BE30</f>
        <v>344.897</v>
      </c>
      <c r="BF32" s="21" t="n">
        <f aca="false">BF26+BF30</f>
        <v>95.685</v>
      </c>
      <c r="BG32" s="21" t="n">
        <f aca="false">BG26+BG30</f>
        <v>99.108</v>
      </c>
      <c r="BH32" s="21" t="n">
        <f aca="false">BH26+BH30</f>
        <v>194.793</v>
      </c>
      <c r="BI32" s="21" t="n">
        <f aca="false">BI26+BI30</f>
        <v>111.957</v>
      </c>
      <c r="BJ32" s="21" t="n">
        <f aca="false">BJ26+BJ30</f>
        <v>113.689</v>
      </c>
      <c r="BK32" s="21" t="n">
        <f aca="false">BK26+BK30</f>
        <v>420.439</v>
      </c>
      <c r="BL32" s="21" t="n">
        <f aca="false">BL26+BL30</f>
        <v>131.671</v>
      </c>
      <c r="BM32" s="21" t="n">
        <f aca="false">BM26+BM30</f>
        <v>140.074</v>
      </c>
      <c r="BN32" s="21" t="n">
        <f aca="false">BN26+BN30</f>
        <v>271.745</v>
      </c>
      <c r="BO32" s="21" t="n">
        <f aca="false">BO26+BO30</f>
        <v>149.691</v>
      </c>
      <c r="BP32" s="21" t="n">
        <f aca="false">BP26+BP30</f>
        <v>134.335</v>
      </c>
      <c r="BQ32" s="21" t="n">
        <f aca="false">BQ26+BQ30</f>
        <v>555.771</v>
      </c>
      <c r="BR32" s="21" t="n">
        <f aca="false">BR26+BR30</f>
        <v>144.523</v>
      </c>
      <c r="BS32" s="21" t="n">
        <f aca="false">BS26+BS30</f>
        <v>168.795</v>
      </c>
      <c r="BT32" s="21" t="n">
        <f aca="false">BT26+BT30</f>
        <v>313.318</v>
      </c>
      <c r="BU32" s="21" t="n">
        <f aca="false">BU26+BU30</f>
        <v>188.073</v>
      </c>
      <c r="BV32" s="21" t="n">
        <f aca="false">BV26+BV30</f>
        <v>178.479</v>
      </c>
      <c r="BW32" s="21" t="n">
        <f aca="false">BW26+BW30</f>
        <v>679.87</v>
      </c>
      <c r="BX32" s="21" t="n">
        <f aca="false">BX26+BX30</f>
        <v>179.51</v>
      </c>
      <c r="BY32" s="21" t="n">
        <f aca="false">BY26+BY30</f>
        <v>189.423</v>
      </c>
      <c r="BZ32" s="21" t="n">
        <f aca="false">BZ26+BZ30</f>
        <v>368.933</v>
      </c>
      <c r="CA32" s="21" t="n">
        <f aca="false">CA26+CA30</f>
        <v>208.343</v>
      </c>
      <c r="CB32" s="21" t="n">
        <f aca="false">CB26+CB30</f>
        <v>194.812</v>
      </c>
      <c r="CC32" s="21" t="n">
        <f aca="false">CC26+CC30</f>
        <v>772.088</v>
      </c>
      <c r="CD32" s="21" t="n">
        <f aca="false">CD26+CD30</f>
        <v>199.29</v>
      </c>
      <c r="CE32" s="21" t="n">
        <f aca="false">CE26+CE30</f>
        <v>188.471</v>
      </c>
      <c r="CF32" s="21" t="n">
        <f aca="false">CF26+CF30</f>
        <v>387.761</v>
      </c>
      <c r="CG32" s="21" t="n">
        <f aca="false">CG26+CG30</f>
        <v>205.259</v>
      </c>
      <c r="CH32" s="21" t="n">
        <f aca="false">CH26+CH30</f>
        <v>198.835</v>
      </c>
      <c r="CI32" s="21" t="n">
        <f aca="false">CI26+CI30</f>
        <v>791.854</v>
      </c>
      <c r="CJ32" s="21" t="n">
        <f aca="false">CJ26+CJ30</f>
        <v>202.416</v>
      </c>
      <c r="CK32" s="21" t="n">
        <f aca="false">CK26+CK30</f>
        <v>200.054</v>
      </c>
      <c r="CL32" s="21" t="n">
        <f aca="false">CL26+CL30</f>
        <v>402.47</v>
      </c>
      <c r="CM32" s="21" t="n">
        <f aca="false">CM26+CM30</f>
        <v>234.204</v>
      </c>
      <c r="CN32" s="21" t="n">
        <f aca="false">CN26+CN30</f>
        <v>222.105</v>
      </c>
      <c r="CO32" s="21" t="n">
        <f aca="false">CO26+CO30</f>
        <v>858.779</v>
      </c>
      <c r="CP32" s="23" t="n">
        <f aca="false">CP26+CP30</f>
        <v>926.0134894</v>
      </c>
      <c r="CQ32" s="23" t="n">
        <f aca="false">CQ26+CQ30</f>
        <v>998.84003378692</v>
      </c>
      <c r="CR32" s="23" t="n">
        <f aca="false">CR26+CR30</f>
        <v>1074.17482557231</v>
      </c>
      <c r="CS32" s="23" t="n">
        <f aca="false">CS26+CS30</f>
        <v>1151.59930692657</v>
      </c>
      <c r="CT32" s="23" t="n">
        <f aca="false">CT26+CT30</f>
        <v>1234.82784516472</v>
      </c>
      <c r="CU32" s="24"/>
      <c r="CW32" s="25" t="n">
        <f aca="false">IFERROR((CT32/CO32)^(1/5)-1,"n/m")</f>
        <v>0.0753380163260518</v>
      </c>
      <c r="CX32" s="25" t="n">
        <f aca="false">IFERROR((CO32/BK32)^(1/5)-1,"n/m")</f>
        <v>0.15354803650773</v>
      </c>
      <c r="CY32" s="25" t="n">
        <f aca="false">IFERROR((CO32/AG32)^(1/10)-1,"n/m")</f>
        <v>0.130256386627649</v>
      </c>
      <c r="CZ32" s="25" t="n">
        <f aca="false">IFERROR((CO32/C32)^(1/20)-1,"n/m")</f>
        <v>0.350294666378566</v>
      </c>
      <c r="DC32" s="17" t="s">
        <v>133</v>
      </c>
      <c r="DD32" s="18" t="n">
        <v>0.015</v>
      </c>
      <c r="DE32" s="19" t="s">
        <v>100</v>
      </c>
      <c r="DF32" s="18" t="n">
        <v>-0.02</v>
      </c>
      <c r="DG32" s="14" t="s">
        <v>134</v>
      </c>
    </row>
    <row r="33" customFormat="false" ht="15" hidden="false" customHeight="false" outlineLevel="0" collapsed="false">
      <c r="B33" s="28" t="s">
        <v>120</v>
      </c>
      <c r="C33" s="29"/>
      <c r="D33" s="29" t="n">
        <f aca="false">IFERROR(D32/C32-1,"")</f>
        <v>7.92624113475177</v>
      </c>
      <c r="E33" s="29" t="n">
        <f aca="false">IFERROR(E32/D32-1,"")</f>
        <v>9.23613538852693</v>
      </c>
      <c r="F33" s="29" t="n">
        <f aca="false">IFERROR(F32/E32-1,"")</f>
        <v>-0.214491223712535</v>
      </c>
      <c r="G33" s="29" t="n">
        <f aca="false">IFERROR(G32/F32-1,"")</f>
        <v>0.12046930789602</v>
      </c>
      <c r="H33" s="29" t="n">
        <f aca="false">IFERROR(H32/G32-1,"")</f>
        <v>0.161207631478378</v>
      </c>
      <c r="I33" s="29" t="n">
        <f aca="false">IFERROR(I32/H32-1,"")</f>
        <v>0.00920487686325355</v>
      </c>
      <c r="J33" s="29"/>
      <c r="K33" s="29"/>
      <c r="L33" s="29"/>
      <c r="M33" s="29"/>
      <c r="N33" s="29"/>
      <c r="O33" s="29" t="n">
        <f aca="false">IFERROR(O32/I32-1,"")</f>
        <v>0.148618817792316</v>
      </c>
      <c r="P33" s="29" t="str">
        <f aca="false">IFERROR(P32/J32-1,"")</f>
        <v/>
      </c>
      <c r="Q33" s="29" t="str">
        <f aca="false">IFERROR(Q32/K32-1,"")</f>
        <v/>
      </c>
      <c r="R33" s="29" t="str">
        <f aca="false">IFERROR(R32/L32-1,"")</f>
        <v/>
      </c>
      <c r="S33" s="29" t="str">
        <f aca="false">IFERROR(S32/M32-1,"")</f>
        <v/>
      </c>
      <c r="T33" s="29" t="str">
        <f aca="false">IFERROR(T32/N32-1,"")</f>
        <v/>
      </c>
      <c r="U33" s="29" t="n">
        <f aca="false">IFERROR(U32/O32-1,"")</f>
        <v>0.178580008298936</v>
      </c>
      <c r="V33" s="29" t="str">
        <f aca="false">IFERROR(V32/P32-1,"")</f>
        <v/>
      </c>
      <c r="W33" s="29" t="str">
        <f aca="false">IFERROR(W32/Q32-1,"")</f>
        <v/>
      </c>
      <c r="X33" s="29" t="str">
        <f aca="false">IFERROR(X32/R32-1,"")</f>
        <v/>
      </c>
      <c r="Y33" s="29" t="str">
        <f aca="false">IFERROR(Y32/S32-1,"")</f>
        <v/>
      </c>
      <c r="Z33" s="29" t="str">
        <f aca="false">IFERROR(Z32/T32-1,"")</f>
        <v/>
      </c>
      <c r="AA33" s="29" t="n">
        <f aca="false">IFERROR(AA32/U32-1,"")</f>
        <v>-0.0986954749286587</v>
      </c>
      <c r="AB33" s="29" t="str">
        <f aca="false">IFERROR(AB32/V32-1,"")</f>
        <v/>
      </c>
      <c r="AC33" s="29" t="str">
        <f aca="false">IFERROR(AC32/W32-1,"")</f>
        <v/>
      </c>
      <c r="AD33" s="29" t="str">
        <f aca="false">IFERROR(AD32/X32-1,"")</f>
        <v/>
      </c>
      <c r="AE33" s="29" t="str">
        <f aca="false">IFERROR(AE32/Y32-1,"")</f>
        <v/>
      </c>
      <c r="AF33" s="29" t="str">
        <f aca="false">IFERROR(AF32/Z32-1,"")</f>
        <v/>
      </c>
      <c r="AG33" s="29" t="n">
        <f aca="false">IFERROR(AG32/AA32-1,"")</f>
        <v>0.0378866689418953</v>
      </c>
      <c r="AH33" s="29" t="n">
        <f aca="false">IFERROR(AH32/AB32-1,"")</f>
        <v>0.0437873674472789</v>
      </c>
      <c r="AI33" s="29" t="n">
        <f aca="false">IFERROR(AI32/AC32-1,"")</f>
        <v>0.0191390674587029</v>
      </c>
      <c r="AJ33" s="29" t="n">
        <f aca="false">IFERROR(AJ32/AD32-1,"")</f>
        <v>0.0311472399806374</v>
      </c>
      <c r="AK33" s="29" t="n">
        <f aca="false">IFERROR(AK32/AE32-1,"")</f>
        <v>-0.019019342700923</v>
      </c>
      <c r="AL33" s="29" t="n">
        <f aca="false">IFERROR(AL32/AF32-1,"")</f>
        <v>-0.000898403011198923</v>
      </c>
      <c r="AM33" s="29" t="n">
        <f aca="false">IFERROR(AM32/AG32-1,"")</f>
        <v>0.00942899137524611</v>
      </c>
      <c r="AN33" s="29" t="n">
        <f aca="false">IFERROR(AN32/AH32-1,"")</f>
        <v>0.117087101380295</v>
      </c>
      <c r="AO33" s="29" t="n">
        <f aca="false">IFERROR(AO32/AI32-1,"")</f>
        <v>0.181249101739033</v>
      </c>
      <c r="AP33" s="29" t="n">
        <f aca="false">IFERROR(AP32/AJ32-1,"")</f>
        <v>0.149607446377984</v>
      </c>
      <c r="AQ33" s="29" t="n">
        <f aca="false">IFERROR(AQ32/AK32-1,"")</f>
        <v>0.392181834526985</v>
      </c>
      <c r="AR33" s="29" t="n">
        <f aca="false">IFERROR(AR32/AL32-1,"")</f>
        <v>0.235980837506395</v>
      </c>
      <c r="AS33" s="29" t="n">
        <f aca="false">IFERROR(AS32/AM32-1,"")</f>
        <v>0.235014305730534</v>
      </c>
      <c r="AT33" s="29" t="n">
        <f aca="false">IFERROR(AT32/AN32-1,"")</f>
        <v>0.324640406682044</v>
      </c>
      <c r="AU33" s="29" t="n">
        <f aca="false">IFERROR(AU32/AO32-1,"")</f>
        <v>0.281934812291303</v>
      </c>
      <c r="AV33" s="29" t="n">
        <f aca="false">IFERROR(AV32/AP32-1,"")</f>
        <v>0.302399425489672</v>
      </c>
      <c r="AW33" s="29" t="n">
        <f aca="false">IFERROR(AW32/AQ32-1,"")</f>
        <v>0.129147518753296</v>
      </c>
      <c r="AX33" s="29" t="n">
        <f aca="false">IFERROR(AX32/AR32-1,"")</f>
        <v>0.19773713654951</v>
      </c>
      <c r="AY33" s="29" t="n">
        <f aca="false">IFERROR(AY32/AS32-1,"")</f>
        <v>0.224725349807578</v>
      </c>
      <c r="AZ33" s="29" t="n">
        <f aca="false">IFERROR(AZ32/AT32-1,"")</f>
        <v>0.00112024312603287</v>
      </c>
      <c r="BA33" s="29" t="n">
        <f aca="false">IFERROR(BA32/AU32-1,"")</f>
        <v>-0.025552063779976</v>
      </c>
      <c r="BB33" s="29" t="n">
        <f aca="false">IFERROR(BB32/AV32-1,"")</f>
        <v>-0.0125523691110092</v>
      </c>
      <c r="BC33" s="29" t="n">
        <f aca="false">IFERROR(BC32/AW32-1,"")</f>
        <v>-0.207354384894726</v>
      </c>
      <c r="BD33" s="29" t="n">
        <f aca="false">IFERROR(BD32/AX32-1,"")</f>
        <v>-0.171899545483107</v>
      </c>
      <c r="BE33" s="29" t="n">
        <f aca="false">IFERROR(BE32/AY32-1,"")</f>
        <v>-0.105065544334541</v>
      </c>
      <c r="BF33" s="29" t="n">
        <f aca="false">IFERROR(BF32/AZ32-1,"")</f>
        <v>0.0601041435851986</v>
      </c>
      <c r="BG33" s="29" t="n">
        <f aca="false">IFERROR(BG32/BA32-1,"")</f>
        <v>0.0725625791370412</v>
      </c>
      <c r="BH33" s="29" t="n">
        <f aca="false">IFERROR(BH32/BB32-1,"")</f>
        <v>0.0664064424650861</v>
      </c>
      <c r="BI33" s="29" t="n">
        <f aca="false">IFERROR(BI32/BC32-1,"")</f>
        <v>0.346251893893846</v>
      </c>
      <c r="BJ33" s="29" t="n">
        <f aca="false">IFERROR(BJ32/BD32-1,"")</f>
        <v>0.437790874140024</v>
      </c>
      <c r="BK33" s="29" t="n">
        <f aca="false">IFERROR(BK32/BE32-1,"")</f>
        <v>0.219027709722033</v>
      </c>
      <c r="BL33" s="29" t="n">
        <f aca="false">IFERROR(BL32/BF32-1,"")</f>
        <v>0.376088206092909</v>
      </c>
      <c r="BM33" s="29" t="n">
        <f aca="false">IFERROR(BM32/BG32-1,"")</f>
        <v>0.413347055737176</v>
      </c>
      <c r="BN33" s="29" t="n">
        <f aca="false">IFERROR(BN32/BH32-1,"")</f>
        <v>0.395044996483447</v>
      </c>
      <c r="BO33" s="29" t="n">
        <f aca="false">IFERROR(BO32/BI32-1,"")</f>
        <v>0.337040113615049</v>
      </c>
      <c r="BP33" s="29" t="n">
        <f aca="false">IFERROR(BP32/BJ32-1,"")</f>
        <v>0.181600682563836</v>
      </c>
      <c r="BQ33" s="29" t="n">
        <f aca="false">IFERROR(BQ32/BK32-1,"")</f>
        <v>0.321882603659508</v>
      </c>
      <c r="BR33" s="29" t="n">
        <f aca="false">IFERROR(BR32/BL32-1,"")</f>
        <v>0.097606914202824</v>
      </c>
      <c r="BS33" s="29" t="n">
        <f aca="false">IFERROR(BS32/BM32-1,"")</f>
        <v>0.205041620857547</v>
      </c>
      <c r="BT33" s="29" t="n">
        <f aca="false">IFERROR(BT32/BN32-1,"")</f>
        <v>0.152985335516753</v>
      </c>
      <c r="BU33" s="29" t="n">
        <f aca="false">IFERROR(BU32/BO32-1,"")</f>
        <v>0.256408200893841</v>
      </c>
      <c r="BV33" s="29" t="n">
        <f aca="false">IFERROR(BV32/BP32-1,"")</f>
        <v>0.328611307552016</v>
      </c>
      <c r="BW33" s="29" t="n">
        <f aca="false">IFERROR(BW32/BQ32-1,"")</f>
        <v>0.223291607514606</v>
      </c>
      <c r="BX33" s="29" t="n">
        <f aca="false">IFERROR(BX32/BR32-1,"")</f>
        <v>0.242086034748794</v>
      </c>
      <c r="BY33" s="29" t="n">
        <f aca="false">IFERROR(BY32/BS32-1,"")</f>
        <v>0.122207411356972</v>
      </c>
      <c r="BZ33" s="29" t="n">
        <f aca="false">IFERROR(BZ32/BT32-1,"")</f>
        <v>0.177503367186054</v>
      </c>
      <c r="CA33" s="29" t="n">
        <f aca="false">IFERROR(CA32/BU32-1,"")</f>
        <v>0.107777299240189</v>
      </c>
      <c r="CB33" s="29" t="n">
        <f aca="false">IFERROR(CB32/BV32-1,"")</f>
        <v>0.0915121666974827</v>
      </c>
      <c r="CC33" s="29" t="n">
        <f aca="false">IFERROR(CC32/BW32-1,"")</f>
        <v>0.135640637180637</v>
      </c>
      <c r="CD33" s="29" t="n">
        <f aca="false">IFERROR(CD32/BX32-1,"")</f>
        <v>0.110188847417971</v>
      </c>
      <c r="CE33" s="29" t="n">
        <f aca="false">IFERROR(CE32/BY32-1,"")</f>
        <v>-0.0050257888429599</v>
      </c>
      <c r="CF33" s="29" t="n">
        <f aca="false">IFERROR(CF32/BZ32-1,"")</f>
        <v>0.0510336565175791</v>
      </c>
      <c r="CG33" s="29" t="n">
        <f aca="false">IFERROR(CG32/CA32-1,"")</f>
        <v>-0.0148025131633892</v>
      </c>
      <c r="CH33" s="29" t="n">
        <f aca="false">IFERROR(CH32/CB32-1,"")</f>
        <v>0.0206506786029605</v>
      </c>
      <c r="CI33" s="29" t="n">
        <f aca="false">IFERROR(CI32/CC32-1,"")</f>
        <v>0.0256007087275028</v>
      </c>
      <c r="CJ33" s="29" t="n">
        <f aca="false">IFERROR(CJ32/CD32-1,"")</f>
        <v>0.0156856841788346</v>
      </c>
      <c r="CK33" s="29" t="n">
        <f aca="false">IFERROR(CK32/CE32-1,"")</f>
        <v>0.0614577308975917</v>
      </c>
      <c r="CL33" s="29" t="n">
        <f aca="false">IFERROR(CL32/CF32-1,"")</f>
        <v>0.0379331598587789</v>
      </c>
      <c r="CM33" s="29" t="n">
        <f aca="false">IFERROR(CM32/CG32-1,"")</f>
        <v>0.141016959061479</v>
      </c>
      <c r="CN33" s="29" t="n">
        <f aca="false">IFERROR(CN32/CH32-1,"")</f>
        <v>0.117031709709055</v>
      </c>
      <c r="CO33" s="29" t="n">
        <f aca="false">IFERROR(CO32/CI32-1,"")</f>
        <v>0.0845168427513152</v>
      </c>
      <c r="CP33" s="30" t="n">
        <f aca="false">IFERROR(CP32/CO32-1,"")</f>
        <v>0.0782907935568988</v>
      </c>
      <c r="CQ33" s="30" t="n">
        <f aca="false">IFERROR(CQ32/CP32-1,"")</f>
        <v>0.0786452305722967</v>
      </c>
      <c r="CR33" s="30" t="n">
        <f aca="false">IFERROR(CR32/CQ32-1,"")</f>
        <v>0.0754222790808339</v>
      </c>
      <c r="CS33" s="30" t="n">
        <f aca="false">IFERROR(CS32/CR32-1,"")</f>
        <v>0.0720781007998557</v>
      </c>
      <c r="CT33" s="30" t="n">
        <f aca="false">IFERROR(CT32/CS32-1,"")</f>
        <v>0.0722721329698175</v>
      </c>
      <c r="CU33" s="24"/>
      <c r="CW33" s="6"/>
      <c r="CX33" s="6"/>
      <c r="CY33" s="6"/>
      <c r="CZ33" s="6"/>
      <c r="DC33" s="15" t="s">
        <v>104</v>
      </c>
      <c r="DD33" s="26" t="n">
        <f aca="false">DE33+$DD$32</f>
        <v>0.415</v>
      </c>
      <c r="DE33" s="27" t="n">
        <v>0.4</v>
      </c>
      <c r="DF33" s="26" t="n">
        <f aca="false">DE33+$DF$32</f>
        <v>0.38</v>
      </c>
    </row>
    <row r="34" customFormat="false" ht="15" hidden="false" customHeight="false" outlineLevel="0" collapsed="false">
      <c r="B34" s="15" t="s">
        <v>121</v>
      </c>
      <c r="C34" s="31"/>
      <c r="D34" s="31"/>
      <c r="E34" s="31"/>
      <c r="F34" s="31"/>
      <c r="G34" s="31"/>
      <c r="H34" s="31"/>
      <c r="I34" s="31"/>
      <c r="J34" s="32"/>
      <c r="K34" s="32"/>
      <c r="L34" s="31"/>
      <c r="M34" s="32"/>
      <c r="N34" s="32"/>
      <c r="O34" s="32"/>
      <c r="P34" s="32"/>
      <c r="Q34" s="32"/>
      <c r="R34" s="31"/>
      <c r="S34" s="32"/>
      <c r="T34" s="32"/>
      <c r="U34" s="32" t="n">
        <v>51.55</v>
      </c>
      <c r="V34" s="32"/>
      <c r="W34" s="32"/>
      <c r="X34" s="31"/>
      <c r="Y34" s="32"/>
      <c r="Z34" s="32"/>
      <c r="AA34" s="32" t="n">
        <v>54.41</v>
      </c>
      <c r="AB34" s="32" t="n">
        <v>13.307</v>
      </c>
      <c r="AC34" s="32" t="n">
        <v>13.032</v>
      </c>
      <c r="AD34" s="31" t="n">
        <f aca="false">AB34+AC34</f>
        <v>26.339</v>
      </c>
      <c r="AE34" s="32" t="n">
        <v>17.034</v>
      </c>
      <c r="AF34" s="32" t="n">
        <v>15.388</v>
      </c>
      <c r="AG34" s="32" t="n">
        <v>58.761</v>
      </c>
      <c r="AH34" s="32" t="n">
        <v>15.842</v>
      </c>
      <c r="AI34" s="32" t="n">
        <v>15.288</v>
      </c>
      <c r="AJ34" s="31" t="n">
        <f aca="false">AH34+AI34</f>
        <v>31.13</v>
      </c>
      <c r="AK34" s="32" t="n">
        <v>17.671</v>
      </c>
      <c r="AL34" s="32" t="n">
        <v>16.138</v>
      </c>
      <c r="AM34" s="32" t="n">
        <v>64.939</v>
      </c>
      <c r="AN34" s="32" t="n">
        <v>17.923</v>
      </c>
      <c r="AO34" s="32" t="n">
        <v>17.937</v>
      </c>
      <c r="AP34" s="31" t="n">
        <f aca="false">AN34+AO34</f>
        <v>35.86</v>
      </c>
      <c r="AQ34" s="32" t="n">
        <v>23.731</v>
      </c>
      <c r="AR34" s="32" t="n">
        <v>9.867</v>
      </c>
      <c r="AS34" s="32" t="n">
        <v>69.458</v>
      </c>
      <c r="AT34" s="32" t="n">
        <v>21.148</v>
      </c>
      <c r="AU34" s="32" t="n">
        <v>19.337</v>
      </c>
      <c r="AV34" s="31" t="n">
        <f aca="false">AT34+AU34</f>
        <v>40.485</v>
      </c>
      <c r="AW34" s="32" t="n">
        <v>19.236</v>
      </c>
      <c r="AX34" s="32" t="n">
        <v>19.286</v>
      </c>
      <c r="AY34" s="32" t="n">
        <v>79.007</v>
      </c>
      <c r="AZ34" s="32" t="n">
        <v>16.341</v>
      </c>
      <c r="BA34" s="32" t="n">
        <v>20.903</v>
      </c>
      <c r="BB34" s="31" t="n">
        <f aca="false">AZ34+BA34</f>
        <v>37.244</v>
      </c>
      <c r="BC34" s="32" t="n">
        <v>16.281</v>
      </c>
      <c r="BD34" s="32" t="n">
        <v>18.019</v>
      </c>
      <c r="BE34" s="32" t="n">
        <v>72.92</v>
      </c>
      <c r="BF34" s="32" t="n">
        <v>27.003</v>
      </c>
      <c r="BG34" s="32" t="n">
        <v>28.769</v>
      </c>
      <c r="BH34" s="31" t="n">
        <f aca="false">BF34+BG34</f>
        <v>55.772</v>
      </c>
      <c r="BI34" s="32" t="n">
        <v>31.385</v>
      </c>
      <c r="BJ34" s="32" t="n">
        <v>25.715</v>
      </c>
      <c r="BK34" s="32" t="n">
        <v>112.871</v>
      </c>
      <c r="BL34" s="32" t="n">
        <v>35.172</v>
      </c>
      <c r="BM34" s="32" t="n">
        <v>34.682</v>
      </c>
      <c r="BN34" s="31" t="n">
        <f aca="false">BL34+BM34</f>
        <v>69.854</v>
      </c>
      <c r="BO34" s="32" t="n">
        <v>32.318</v>
      </c>
      <c r="BP34" s="32" t="n">
        <v>25.256</v>
      </c>
      <c r="BQ34" s="32" t="n">
        <v>127.428</v>
      </c>
      <c r="BR34" s="32" t="n">
        <v>28.875</v>
      </c>
      <c r="BS34" s="32" t="n">
        <v>29.361</v>
      </c>
      <c r="BT34" s="31" t="n">
        <f aca="false">BR34+BS34</f>
        <v>58.236</v>
      </c>
      <c r="BU34" s="32" t="n">
        <v>34.133</v>
      </c>
      <c r="BV34" s="32" t="n">
        <v>26.102</v>
      </c>
      <c r="BW34" s="32" t="n">
        <v>118.472</v>
      </c>
      <c r="BX34" s="32" t="n">
        <v>33.085</v>
      </c>
      <c r="BY34" s="32" t="n">
        <v>32.562</v>
      </c>
      <c r="BZ34" s="31" t="n">
        <f aca="false">BX34+BY34</f>
        <v>65.647</v>
      </c>
      <c r="CA34" s="32" t="n">
        <v>44.272</v>
      </c>
      <c r="CB34" s="32" t="n">
        <v>34.07</v>
      </c>
      <c r="CC34" s="32" t="n">
        <v>143.989</v>
      </c>
      <c r="CD34" s="32" t="n">
        <v>51.308</v>
      </c>
      <c r="CE34" s="32" t="n">
        <v>50.318</v>
      </c>
      <c r="CF34" s="31" t="n">
        <f aca="false">CD34+CE34</f>
        <v>101.626</v>
      </c>
      <c r="CG34" s="32" t="n">
        <v>59.08</v>
      </c>
      <c r="CH34" s="32" t="n">
        <v>55.123</v>
      </c>
      <c r="CI34" s="32" t="n">
        <v>215.828</v>
      </c>
      <c r="CJ34" s="32" t="n">
        <v>55.722</v>
      </c>
      <c r="CK34" s="32" t="n">
        <v>47.238</v>
      </c>
      <c r="CL34" s="31" t="n">
        <f aca="false">CJ34+CK34</f>
        <v>102.96</v>
      </c>
      <c r="CM34" s="32" t="n">
        <v>73.837</v>
      </c>
      <c r="CN34" s="32" t="n">
        <v>56.754</v>
      </c>
      <c r="CO34" s="32" t="n">
        <v>233.55</v>
      </c>
      <c r="CP34" s="33"/>
      <c r="CQ34" s="33"/>
      <c r="CR34" s="33"/>
      <c r="CS34" s="33"/>
      <c r="CT34" s="33"/>
      <c r="CU34" s="24" t="s">
        <v>122</v>
      </c>
      <c r="CW34" s="6"/>
      <c r="CX34" s="6"/>
      <c r="CY34" s="6"/>
      <c r="CZ34" s="6"/>
      <c r="DC34" s="15" t="s">
        <v>107</v>
      </c>
      <c r="DD34" s="26" t="n">
        <f aca="false">DE34+$DD$32</f>
        <v>0.42</v>
      </c>
      <c r="DE34" s="27" t="n">
        <v>0.405</v>
      </c>
      <c r="DF34" s="26" t="n">
        <f aca="false">DE34+$DF$32</f>
        <v>0.385</v>
      </c>
    </row>
    <row r="35" customFormat="false" ht="15" hidden="false" customHeight="false" outlineLevel="0" collapsed="false">
      <c r="B35" s="28" t="s">
        <v>123</v>
      </c>
      <c r="C35" s="35" t="str">
        <f aca="false">IF(ISNUMBER(C34),IFERROR(C34/C32,""),"")</f>
        <v/>
      </c>
      <c r="D35" s="35" t="str">
        <f aca="false">IF(ISNUMBER(D34),IFERROR(D34/D32,""),"")</f>
        <v/>
      </c>
      <c r="E35" s="35" t="str">
        <f aca="false">IF(ISNUMBER(E34),IFERROR(E34/E32,""),"")</f>
        <v/>
      </c>
      <c r="F35" s="35" t="str">
        <f aca="false">IF(ISNUMBER(F34),IFERROR(F34/F32,""),"")</f>
        <v/>
      </c>
      <c r="G35" s="35" t="str">
        <f aca="false">IF(ISNUMBER(G34),IFERROR(G34/G32,""),"")</f>
        <v/>
      </c>
      <c r="H35" s="35" t="str">
        <f aca="false">IF(ISNUMBER(H34),IFERROR(H34/H32,""),"")</f>
        <v/>
      </c>
      <c r="I35" s="35" t="str">
        <f aca="false">IF(ISNUMBER(I34),IFERROR(I34/I32,""),"")</f>
        <v/>
      </c>
      <c r="J35" s="35" t="str">
        <f aca="false">IF(ISNUMBER(J34),IFERROR(J34/J32,""),"")</f>
        <v/>
      </c>
      <c r="K35" s="35" t="str">
        <f aca="false">IF(ISNUMBER(K34),IFERROR(K34/K32,""),"")</f>
        <v/>
      </c>
      <c r="L35" s="35" t="str">
        <f aca="false">IF(ISNUMBER(L34),IFERROR(L34/L32,""),"")</f>
        <v/>
      </c>
      <c r="M35" s="35" t="str">
        <f aca="false">IF(ISNUMBER(M34),IFERROR(M34/M32,""),"")</f>
        <v/>
      </c>
      <c r="N35" s="35" t="str">
        <f aca="false">IF(ISNUMBER(N34),IFERROR(N34/N32,""),"")</f>
        <v/>
      </c>
      <c r="O35" s="35" t="str">
        <f aca="false">IF(ISNUMBER(O34),IFERROR(O34/O32,""),"")</f>
        <v/>
      </c>
      <c r="P35" s="35" t="str">
        <f aca="false">IF(ISNUMBER(P34),IFERROR(P34/P32,""),"")</f>
        <v/>
      </c>
      <c r="Q35" s="35" t="str">
        <f aca="false">IF(ISNUMBER(Q34),IFERROR(Q34/Q32,""),"")</f>
        <v/>
      </c>
      <c r="R35" s="35" t="str">
        <f aca="false">IF(ISNUMBER(R34),IFERROR(R34/R32,""),"")</f>
        <v/>
      </c>
      <c r="S35" s="35" t="str">
        <f aca="false">IF(ISNUMBER(S34),IFERROR(S34/S32,""),"")</f>
        <v/>
      </c>
      <c r="T35" s="35" t="str">
        <f aca="false">IF(ISNUMBER(T34),IFERROR(T34/T32,""),"")</f>
        <v/>
      </c>
      <c r="U35" s="35" t="n">
        <f aca="false">IF(ISNUMBER(U34),IFERROR(U34/U32,""),"")</f>
        <v>0.191046214283067</v>
      </c>
      <c r="V35" s="35" t="str">
        <f aca="false">IF(ISNUMBER(V34),IFERROR(V34/V32,""),"")</f>
        <v/>
      </c>
      <c r="W35" s="35" t="str">
        <f aca="false">IF(ISNUMBER(W34),IFERROR(W34/W32,""),"")</f>
        <v/>
      </c>
      <c r="X35" s="35" t="str">
        <f aca="false">IF(ISNUMBER(X34),IFERROR(X34/X32,""),"")</f>
        <v/>
      </c>
      <c r="Y35" s="35" t="str">
        <f aca="false">IF(ISNUMBER(Y34),IFERROR(Y34/Y32,""),"")</f>
        <v/>
      </c>
      <c r="Z35" s="35" t="str">
        <f aca="false">IF(ISNUMBER(Z34),IFERROR(Z34/Z32,""),"")</f>
        <v/>
      </c>
      <c r="AA35" s="35" t="n">
        <f aca="false">IF(ISNUMBER(AA34),IFERROR(AA34/AA32,""),"")</f>
        <v>0.223726248874379</v>
      </c>
      <c r="AB35" s="35" t="n">
        <f aca="false">IF(ISNUMBER(AB34),IFERROR(AB34/AB32,""),"")</f>
        <v>0.227964983811009</v>
      </c>
      <c r="AC35" s="35" t="n">
        <f aca="false">IF(ISNUMBER(AC34),IFERROR(AC34/AC32,""),"")</f>
        <v>0.212092114899504</v>
      </c>
      <c r="AD35" s="35" t="n">
        <f aca="false">IF(ISNUMBER(AD34),IFERROR(AD34/AD32,""),"")</f>
        <v>0.21982506801983</v>
      </c>
      <c r="AE35" s="35" t="n">
        <f aca="false">IF(ISNUMBER(AE34),IFERROR(AE34/AE32,""),"")</f>
        <v>0.250367452525134</v>
      </c>
      <c r="AF35" s="35" t="n">
        <f aca="false">IF(ISNUMBER(AF34),IFERROR(AF34/AF32,""),"")</f>
        <v>0.238355612695364</v>
      </c>
      <c r="AG35" s="35" t="n">
        <f aca="false">IF(ISNUMBER(AG34),IFERROR(AG34/AG32,""),"")</f>
        <v>0.232797042941528</v>
      </c>
      <c r="AH35" s="35" t="n">
        <f aca="false">IF(ISNUMBER(AH34),IFERROR(AH34/AH32,""),"")</f>
        <v>0.260007549771045</v>
      </c>
      <c r="AI35" s="35" t="n">
        <f aca="false">IF(ISNUMBER(AI34),IFERROR(AI34/AI32,""),"")</f>
        <v>0.244135353954744</v>
      </c>
      <c r="AJ35" s="35" t="n">
        <f aca="false">IF(ISNUMBER(AJ34),IFERROR(AJ34/AJ32,""),"")</f>
        <v>0.251962768110077</v>
      </c>
      <c r="AK35" s="35" t="n">
        <f aca="false">IF(ISNUMBER(AK34),IFERROR(AK34/AK32,""),"")</f>
        <v>0.264765814629469</v>
      </c>
      <c r="AL35" s="35" t="n">
        <f aca="false">IF(ISNUMBER(AL34),IFERROR(AL34/AL32,""),"")</f>
        <v>0.250197671353933</v>
      </c>
      <c r="AM35" s="35" t="n">
        <f aca="false">IF(ISNUMBER(AM34),IFERROR(AM34/AM32,""),"")</f>
        <v>0.254869639275804</v>
      </c>
      <c r="AN35" s="35" t="n">
        <f aca="false">IF(ISNUMBER(AN34),IFERROR(AN34/AN32,""),"")</f>
        <v>0.263329562317265</v>
      </c>
      <c r="AO35" s="35" t="n">
        <f aca="false">IF(ISNUMBER(AO34),IFERROR(AO34/AO32,""),"")</f>
        <v>0.242486920549945</v>
      </c>
      <c r="AP35" s="35" t="n">
        <f aca="false">IF(ISNUMBER(AP34),IFERROR(AP34/AP32,""),"")</f>
        <v>0.252474759564611</v>
      </c>
      <c r="AQ35" s="35" t="n">
        <f aca="false">IF(ISNUMBER(AQ34),IFERROR(AQ34/AQ32,""),"")</f>
        <v>0.255399980627872</v>
      </c>
      <c r="AR35" s="35" t="n">
        <f aca="false">IF(ISNUMBER(AR34),IFERROR(AR34/AR32,""),"")</f>
        <v>0.123767592383533</v>
      </c>
      <c r="AS35" s="35" t="n">
        <f aca="false">IF(ISNUMBER(AS34),IFERROR(AS34/AS32,""),"")</f>
        <v>0.220730726817998</v>
      </c>
      <c r="AT35" s="35" t="n">
        <f aca="false">IF(ISNUMBER(AT34),IFERROR(AT34/AT32,""),"")</f>
        <v>0.23456338246875</v>
      </c>
      <c r="AU35" s="35" t="n">
        <f aca="false">IF(ISNUMBER(AU34),IFERROR(AU34/AU32,""),"")</f>
        <v>0.203920865585388</v>
      </c>
      <c r="AV35" s="35" t="n">
        <f aca="false">IF(ISNUMBER(AV34),IFERROR(AV34/AV32,""),"")</f>
        <v>0.218855582885099</v>
      </c>
      <c r="AW35" s="35" t="n">
        <f aca="false">IF(ISNUMBER(AW34),IFERROR(AW34/AW32,""),"")</f>
        <v>0.183344929801653</v>
      </c>
      <c r="AX35" s="35" t="n">
        <f aca="false">IF(ISNUMBER(AX34),IFERROR(AX34/AX32,""),"")</f>
        <v>0.201977253209895</v>
      </c>
      <c r="AY35" s="35" t="n">
        <f aca="false">IF(ISNUMBER(AY34),IFERROR(AY34/AY32,""),"")</f>
        <v>0.205006383177473</v>
      </c>
      <c r="AZ35" s="35" t="n">
        <f aca="false">IF(ISNUMBER(AZ34),IFERROR(AZ34/AZ32,""),"")</f>
        <v>0.181043651672945</v>
      </c>
      <c r="BA35" s="35" t="n">
        <f aca="false">IF(ISNUMBER(BA34),IFERROR(BA34/BA32,""),"")</f>
        <v>0.226215599060637</v>
      </c>
      <c r="BB35" s="35" t="n">
        <f aca="false">IF(ISNUMBER(BB34),IFERROR(BB34/BB32,""),"")</f>
        <v>0.203894603723797</v>
      </c>
      <c r="BC35" s="35" t="n">
        <f aca="false">IF(ISNUMBER(BC34),IFERROR(BC34/BC32,""),"")</f>
        <v>0.195774512397489</v>
      </c>
      <c r="BD35" s="35" t="n">
        <f aca="false">IF(ISNUMBER(BD34),IFERROR(BD34/BD32,""),"")</f>
        <v>0.227880918656414</v>
      </c>
      <c r="BE35" s="35" t="n">
        <f aca="false">IF(ISNUMBER(BE34),IFERROR(BE34/BE32,""),"")</f>
        <v>0.211425440058916</v>
      </c>
      <c r="BF35" s="35" t="n">
        <f aca="false">IF(ISNUMBER(BF34),IFERROR(BF34/BF32,""),"")</f>
        <v>0.282207242514501</v>
      </c>
      <c r="BG35" s="35" t="n">
        <f aca="false">IF(ISNUMBER(BG34),IFERROR(BG34/BG32,""),"")</f>
        <v>0.290279291278202</v>
      </c>
      <c r="BH35" s="35" t="n">
        <f aca="false">IF(ISNUMBER(BH34),IFERROR(BH34/BH32,""),"")</f>
        <v>0.286314189934957</v>
      </c>
      <c r="BI35" s="35" t="n">
        <f aca="false">IF(ISNUMBER(BI34),IFERROR(BI34/BI32,""),"")</f>
        <v>0.280330841305144</v>
      </c>
      <c r="BJ35" s="35" t="n">
        <f aca="false">IF(ISNUMBER(BJ34),IFERROR(BJ34/BJ32,""),"")</f>
        <v>0.226187230075029</v>
      </c>
      <c r="BK35" s="35" t="n">
        <f aca="false">IF(ISNUMBER(BK34),IFERROR(BK34/BK32,""),"")</f>
        <v>0.268459871705527</v>
      </c>
      <c r="BL35" s="35" t="n">
        <f aca="false">IF(ISNUMBER(BL34),IFERROR(BL34/BL32,""),"")</f>
        <v>0.267120322622293</v>
      </c>
      <c r="BM35" s="35" t="n">
        <f aca="false">IF(ISNUMBER(BM34),IFERROR(BM34/BM32,""),"")</f>
        <v>0.247597698359439</v>
      </c>
      <c r="BN35" s="35" t="n">
        <f aca="false">IF(ISNUMBER(BN34),IFERROR(BN34/BN32,""),"")</f>
        <v>0.257057167565181</v>
      </c>
      <c r="BO35" s="35" t="n">
        <f aca="false">IF(ISNUMBER(BO34),IFERROR(BO34/BO32,""),"")</f>
        <v>0.215898083385107</v>
      </c>
      <c r="BP35" s="35" t="n">
        <f aca="false">IF(ISNUMBER(BP34),IFERROR(BP34/BP32,""),"")</f>
        <v>0.188007592957904</v>
      </c>
      <c r="BQ35" s="35" t="n">
        <f aca="false">IF(ISNUMBER(BQ34),IFERROR(BQ34/BQ32,""),"")</f>
        <v>0.229281484640257</v>
      </c>
      <c r="BR35" s="35" t="n">
        <f aca="false">IF(ISNUMBER(BR34),IFERROR(BR34/BR32,""),"")</f>
        <v>0.199795188309127</v>
      </c>
      <c r="BS35" s="35" t="n">
        <f aca="false">IF(ISNUMBER(BS34),IFERROR(BS34/BS32,""),"")</f>
        <v>0.173944725850884</v>
      </c>
      <c r="BT35" s="35" t="n">
        <f aca="false">IF(ISNUMBER(BT34),IFERROR(BT34/BT32,""),"")</f>
        <v>0.185868670168966</v>
      </c>
      <c r="BU35" s="35" t="n">
        <f aca="false">IF(ISNUMBER(BU34),IFERROR(BU34/BU32,""),"")</f>
        <v>0.181488039218814</v>
      </c>
      <c r="BV35" s="35" t="n">
        <f aca="false">IF(ISNUMBER(BV34),IFERROR(BV34/BV32,""),"")</f>
        <v>0.146246897394091</v>
      </c>
      <c r="BW35" s="35" t="n">
        <f aca="false">IF(ISNUMBER(BW34),IFERROR(BW34/BW32,""),"")</f>
        <v>0.174256843220027</v>
      </c>
      <c r="BX35" s="35" t="n">
        <f aca="false">IF(ISNUMBER(BX34),IFERROR(BX34/BX32,""),"")</f>
        <v>0.184307280931424</v>
      </c>
      <c r="BY35" s="35" t="n">
        <f aca="false">IF(ISNUMBER(BY34),IFERROR(BY34/BY32,""),"")</f>
        <v>0.17190098351309</v>
      </c>
      <c r="BZ35" s="35" t="n">
        <f aca="false">IF(ISNUMBER(BZ34),IFERROR(BZ34/BZ32,""),"")</f>
        <v>0.177937457478729</v>
      </c>
      <c r="CA35" s="35" t="n">
        <f aca="false">IF(ISNUMBER(CA34),IFERROR(CA34/CA32,""),"")</f>
        <v>0.212495740197655</v>
      </c>
      <c r="CB35" s="35" t="n">
        <f aca="false">IF(ISNUMBER(CB34),IFERROR(CB34/CB32,""),"")</f>
        <v>0.174886557296265</v>
      </c>
      <c r="CC35" s="35" t="n">
        <f aca="false">IF(ISNUMBER(CC34),IFERROR(CC34/CC32,""),"")</f>
        <v>0.186492990436323</v>
      </c>
      <c r="CD35" s="35" t="n">
        <f aca="false">IF(ISNUMBER(CD34),IFERROR(CD34/CD32,""),"")</f>
        <v>0.257453961563551</v>
      </c>
      <c r="CE35" s="35" t="n">
        <f aca="false">IF(ISNUMBER(CE34),IFERROR(CE34/CE32,""),"")</f>
        <v>0.266980065898732</v>
      </c>
      <c r="CF35" s="35" t="n">
        <f aca="false">IF(ISNUMBER(CF34),IFERROR(CF34/CF32,""),"")</f>
        <v>0.262084118825772</v>
      </c>
      <c r="CG35" s="35" t="n">
        <f aca="false">IF(ISNUMBER(CG34),IFERROR(CG34/CG32,""),"")</f>
        <v>0.287831471458012</v>
      </c>
      <c r="CH35" s="35" t="n">
        <f aca="false">IF(ISNUMBER(CH34),IFERROR(CH34/CH32,""),"")</f>
        <v>0.277229863957553</v>
      </c>
      <c r="CI35" s="35" t="n">
        <f aca="false">IF(ISNUMBER(CI34),IFERROR(CI34/CI32,""),"")</f>
        <v>0.272560345720297</v>
      </c>
      <c r="CJ35" s="35" t="n">
        <f aca="false">IF(ISNUMBER(CJ34),IFERROR(CJ34/CJ32,""),"")</f>
        <v>0.275284562485179</v>
      </c>
      <c r="CK35" s="35" t="n">
        <f aca="false">IF(ISNUMBER(CK34),IFERROR(CK34/CK32,""),"")</f>
        <v>0.236126245913603</v>
      </c>
      <c r="CL35" s="35" t="n">
        <f aca="false">IF(ISNUMBER(CL34),IFERROR(CL34/CL32,""),"")</f>
        <v>0.255820309588292</v>
      </c>
      <c r="CM35" s="35" t="n">
        <f aca="false">IF(ISNUMBER(CM34),IFERROR(CM34/CM32,""),"")</f>
        <v>0.315267886116377</v>
      </c>
      <c r="CN35" s="35" t="n">
        <f aca="false">IF(ISNUMBER(CN34),IFERROR(CN34/CN32,""),"")</f>
        <v>0.255527790909705</v>
      </c>
      <c r="CO35" s="35" t="n">
        <f aca="false">IF(ISNUMBER(CO34),IFERROR(CO34/CO32,""),"")</f>
        <v>0.271955881548105</v>
      </c>
      <c r="CP35" s="34"/>
      <c r="CQ35" s="34"/>
      <c r="CR35" s="34"/>
      <c r="CS35" s="34"/>
      <c r="CT35" s="34"/>
      <c r="CU35" s="24"/>
      <c r="CW35" s="6"/>
      <c r="CX35" s="6"/>
      <c r="CY35" s="6"/>
      <c r="CZ35" s="6"/>
      <c r="DC35" s="15" t="s">
        <v>110</v>
      </c>
      <c r="DD35" s="26" t="n">
        <f aca="false">DE35+$DD$32</f>
        <v>0.425</v>
      </c>
      <c r="DE35" s="27" t="n">
        <v>0.41</v>
      </c>
      <c r="DF35" s="26" t="n">
        <f aca="false">DE35+$DF$32</f>
        <v>0.39</v>
      </c>
    </row>
    <row r="36" customFormat="false" ht="15" hidden="false" customHeight="false" outlineLevel="0" collapsed="false">
      <c r="B36" s="15" t="s">
        <v>124</v>
      </c>
      <c r="C36" s="31"/>
      <c r="D36" s="31"/>
      <c r="E36" s="31"/>
      <c r="F36" s="31"/>
      <c r="G36" s="31"/>
      <c r="H36" s="31"/>
      <c r="I36" s="31"/>
      <c r="J36" s="32"/>
      <c r="K36" s="32"/>
      <c r="L36" s="31"/>
      <c r="M36" s="32"/>
      <c r="N36" s="32"/>
      <c r="O36" s="32"/>
      <c r="P36" s="32"/>
      <c r="Q36" s="32"/>
      <c r="R36" s="31"/>
      <c r="S36" s="32"/>
      <c r="T36" s="32"/>
      <c r="U36" s="32" t="n">
        <v>9.21</v>
      </c>
      <c r="V36" s="32"/>
      <c r="W36" s="32"/>
      <c r="X36" s="31"/>
      <c r="Y36" s="32"/>
      <c r="Z36" s="32"/>
      <c r="AA36" s="32" t="n">
        <v>10.335</v>
      </c>
      <c r="AB36" s="32" t="n">
        <v>2.472</v>
      </c>
      <c r="AC36" s="32" t="n">
        <v>2.405</v>
      </c>
      <c r="AD36" s="31" t="n">
        <f aca="false">AB36+AC36</f>
        <v>4.877</v>
      </c>
      <c r="AE36" s="32" t="n">
        <v>2.31</v>
      </c>
      <c r="AF36" s="32" t="n">
        <v>2.305</v>
      </c>
      <c r="AG36" s="32" t="n">
        <v>9.492</v>
      </c>
      <c r="AH36" s="32" t="n">
        <v>2.323</v>
      </c>
      <c r="AI36" s="32" t="n">
        <v>2.548</v>
      </c>
      <c r="AJ36" s="31" t="n">
        <f aca="false">AH36+AI36</f>
        <v>4.871</v>
      </c>
      <c r="AK36" s="32" t="n">
        <v>2.304</v>
      </c>
      <c r="AL36" s="32" t="n">
        <v>2.318</v>
      </c>
      <c r="AM36" s="32" t="n">
        <v>9.493</v>
      </c>
      <c r="AN36" s="32" t="n">
        <v>2.373</v>
      </c>
      <c r="AO36" s="32" t="n">
        <v>3.817</v>
      </c>
      <c r="AP36" s="31" t="n">
        <f aca="false">AN36+AO36</f>
        <v>6.19</v>
      </c>
      <c r="AQ36" s="32" t="n">
        <v>2.384</v>
      </c>
      <c r="AR36" s="32" t="n">
        <v>2.245</v>
      </c>
      <c r="AS36" s="32" t="n">
        <v>10.819</v>
      </c>
      <c r="AT36" s="32" t="n">
        <v>2.477</v>
      </c>
      <c r="AU36" s="32" t="n">
        <v>2.522</v>
      </c>
      <c r="AV36" s="31" t="n">
        <f aca="false">AT36+AU36</f>
        <v>4.999</v>
      </c>
      <c r="AW36" s="32" t="n">
        <v>2.476</v>
      </c>
      <c r="AX36" s="32" t="n">
        <v>2.155</v>
      </c>
      <c r="AY36" s="32" t="n">
        <v>9.63</v>
      </c>
      <c r="AZ36" s="32" t="n">
        <v>2.447</v>
      </c>
      <c r="BA36" s="32" t="n">
        <v>2.554</v>
      </c>
      <c r="BB36" s="31" t="n">
        <f aca="false">AZ36+BA36</f>
        <v>5.001</v>
      </c>
      <c r="BC36" s="32" t="n">
        <v>2.951</v>
      </c>
      <c r="BD36" s="32" t="n">
        <v>2.662</v>
      </c>
      <c r="BE36" s="32" t="n">
        <v>10.572</v>
      </c>
      <c r="BF36" s="32" t="n">
        <v>2.787</v>
      </c>
      <c r="BG36" s="32" t="n">
        <v>3.647</v>
      </c>
      <c r="BH36" s="31" t="n">
        <f aca="false">BF36+BG36</f>
        <v>6.434</v>
      </c>
      <c r="BI36" s="32" t="n">
        <v>3.805</v>
      </c>
      <c r="BJ36" s="32" t="n">
        <v>3.967</v>
      </c>
      <c r="BK36" s="32" t="n">
        <v>14.206</v>
      </c>
      <c r="BL36" s="32" t="n">
        <v>4.035</v>
      </c>
      <c r="BM36" s="32" t="n">
        <v>3.987</v>
      </c>
      <c r="BN36" s="31" t="n">
        <f aca="false">BL36+BM36</f>
        <v>8.022</v>
      </c>
      <c r="BO36" s="32" t="n">
        <v>4.97</v>
      </c>
      <c r="BP36" s="32" t="n">
        <v>4.353</v>
      </c>
      <c r="BQ36" s="32" t="n">
        <v>17.35</v>
      </c>
      <c r="BR36" s="32" t="n">
        <v>4.123</v>
      </c>
      <c r="BS36" s="32" t="n">
        <v>4.293</v>
      </c>
      <c r="BT36" s="31" t="n">
        <f aca="false">BR36+BS36</f>
        <v>8.416</v>
      </c>
      <c r="BU36" s="32" t="n">
        <v>4.453</v>
      </c>
      <c r="BV36" s="32" t="n">
        <v>10.805</v>
      </c>
      <c r="BW36" s="32" t="n">
        <v>23.674</v>
      </c>
      <c r="BX36" s="32" t="n">
        <v>6.228</v>
      </c>
      <c r="BY36" s="32" t="n">
        <v>6.918</v>
      </c>
      <c r="BZ36" s="31" t="n">
        <f aca="false">BX36+BY36</f>
        <v>13.146</v>
      </c>
      <c r="CA36" s="32" t="n">
        <v>7.256</v>
      </c>
      <c r="CB36" s="32" t="n">
        <v>7.674</v>
      </c>
      <c r="CC36" s="32" t="n">
        <v>28.076</v>
      </c>
      <c r="CD36" s="32" t="n">
        <v>7.712</v>
      </c>
      <c r="CE36" s="32" t="n">
        <v>7.744</v>
      </c>
      <c r="CF36" s="31" t="n">
        <f aca="false">CD36+CE36</f>
        <v>15.456</v>
      </c>
      <c r="CG36" s="32" t="n">
        <v>7.955</v>
      </c>
      <c r="CH36" s="32" t="n">
        <v>8.412</v>
      </c>
      <c r="CI36" s="32" t="n">
        <v>31.823</v>
      </c>
      <c r="CJ36" s="32" t="n">
        <v>8.633</v>
      </c>
      <c r="CK36" s="32" t="n">
        <v>8.558</v>
      </c>
      <c r="CL36" s="31" t="n">
        <f aca="false">CJ36+CK36</f>
        <v>17.191</v>
      </c>
      <c r="CM36" s="32" t="n">
        <v>8.724</v>
      </c>
      <c r="CN36" s="32" t="n">
        <v>8.709</v>
      </c>
      <c r="CO36" s="32" t="n">
        <v>34.624</v>
      </c>
      <c r="CP36" s="33"/>
      <c r="CQ36" s="33"/>
      <c r="CR36" s="33"/>
      <c r="CS36" s="33"/>
      <c r="CT36" s="33"/>
      <c r="CU36" s="24"/>
      <c r="CW36" s="6"/>
      <c r="CX36" s="6"/>
      <c r="CY36" s="6"/>
      <c r="CZ36" s="6"/>
      <c r="DC36" s="15" t="s">
        <v>112</v>
      </c>
      <c r="DD36" s="26" t="n">
        <f aca="false">DE36+$DD$32</f>
        <v>0.43</v>
      </c>
      <c r="DE36" s="27" t="n">
        <v>0.415</v>
      </c>
      <c r="DF36" s="26" t="n">
        <f aca="false">DE36+$DF$32</f>
        <v>0.395</v>
      </c>
    </row>
    <row r="37" customFormat="false" ht="15" hidden="false" customHeight="false" outlineLevel="0" collapsed="false">
      <c r="B37" s="15" t="s">
        <v>125</v>
      </c>
      <c r="C37" s="31"/>
      <c r="D37" s="31"/>
      <c r="E37" s="31"/>
      <c r="F37" s="31"/>
      <c r="G37" s="31"/>
      <c r="H37" s="31"/>
      <c r="I37" s="31"/>
      <c r="J37" s="32"/>
      <c r="K37" s="32"/>
      <c r="L37" s="31"/>
      <c r="M37" s="32"/>
      <c r="N37" s="32"/>
      <c r="O37" s="32"/>
      <c r="P37" s="32"/>
      <c r="Q37" s="32"/>
      <c r="R37" s="31"/>
      <c r="S37" s="32"/>
      <c r="T37" s="32"/>
      <c r="U37" s="32" t="n">
        <v>36.086</v>
      </c>
      <c r="V37" s="32"/>
      <c r="W37" s="32"/>
      <c r="X37" s="31"/>
      <c r="Y37" s="32"/>
      <c r="Z37" s="32"/>
      <c r="AA37" s="32" t="n">
        <v>14.384</v>
      </c>
      <c r="AB37" s="32" t="n">
        <v>0.846</v>
      </c>
      <c r="AC37" s="32" t="n">
        <v>0.599</v>
      </c>
      <c r="AD37" s="31" t="n">
        <f aca="false">AB37+AC37</f>
        <v>1.445</v>
      </c>
      <c r="AE37" s="32" t="n">
        <v>16.204</v>
      </c>
      <c r="AF37" s="32" t="n">
        <v>2.817</v>
      </c>
      <c r="AG37" s="32" t="n">
        <v>20.466</v>
      </c>
      <c r="AH37" s="32" t="n">
        <v>1.688</v>
      </c>
      <c r="AI37" s="32" t="n">
        <v>2.662</v>
      </c>
      <c r="AJ37" s="31" t="n">
        <f aca="false">AH37+AI37</f>
        <v>4.35</v>
      </c>
      <c r="AK37" s="32" t="n">
        <v>1.426</v>
      </c>
      <c r="AL37" s="32" t="n">
        <v>9.568</v>
      </c>
      <c r="AM37" s="32" t="n">
        <v>15.344</v>
      </c>
      <c r="AN37" s="32" t="n">
        <v>2.456</v>
      </c>
      <c r="AO37" s="32" t="n">
        <v>12.617</v>
      </c>
      <c r="AP37" s="31" t="n">
        <f aca="false">AN37+AO37</f>
        <v>15.073</v>
      </c>
      <c r="AQ37" s="32" t="n">
        <v>20.672</v>
      </c>
      <c r="AR37" s="32" t="n">
        <v>5.084</v>
      </c>
      <c r="AS37" s="32" t="n">
        <v>40.829</v>
      </c>
      <c r="AT37" s="32" t="n">
        <v>27.083</v>
      </c>
      <c r="AU37" s="32" t="n">
        <v>7.49</v>
      </c>
      <c r="AV37" s="31" t="n">
        <f aca="false">AT37+AU37</f>
        <v>34.573</v>
      </c>
      <c r="AW37" s="32" t="n">
        <v>15.785</v>
      </c>
      <c r="AX37" s="32" t="n">
        <v>12.443</v>
      </c>
      <c r="AY37" s="32" t="n">
        <v>62.801</v>
      </c>
      <c r="AZ37" s="32" t="n">
        <v>18.527</v>
      </c>
      <c r="BA37" s="32" t="n">
        <v>7.301</v>
      </c>
      <c r="BB37" s="31" t="n">
        <f aca="false">AZ37+BA37</f>
        <v>25.828</v>
      </c>
      <c r="BC37" s="32" t="n">
        <v>4.205</v>
      </c>
      <c r="BD37" s="32" t="n">
        <v>4.975</v>
      </c>
      <c r="BE37" s="32" t="n">
        <v>34.901</v>
      </c>
      <c r="BF37" s="32" t="n">
        <v>24.634</v>
      </c>
      <c r="BG37" s="32" t="n">
        <v>14.526</v>
      </c>
      <c r="BH37" s="31" t="n">
        <f aca="false">BF37+BG37</f>
        <v>39.16</v>
      </c>
      <c r="BI37" s="32" t="n">
        <v>22.175</v>
      </c>
      <c r="BJ37" s="32" t="n">
        <v>15.955</v>
      </c>
      <c r="BK37" s="32" t="n">
        <v>77.29</v>
      </c>
      <c r="BL37" s="32" t="n">
        <v>10.424</v>
      </c>
      <c r="BM37" s="32" t="n">
        <v>5.185</v>
      </c>
      <c r="BN37" s="31" t="n">
        <f aca="false">BL37+BM37</f>
        <v>15.609</v>
      </c>
      <c r="BO37" s="32" t="n">
        <v>14.237</v>
      </c>
      <c r="BP37" s="32" t="n">
        <v>116.574</v>
      </c>
      <c r="BQ37" s="32" t="n">
        <v>146.42</v>
      </c>
      <c r="BR37" s="32" t="n">
        <v>16.372</v>
      </c>
      <c r="BS37" s="32" t="n">
        <v>14.636</v>
      </c>
      <c r="BT37" s="31" t="n">
        <f aca="false">BR37+BS37</f>
        <v>31.008</v>
      </c>
      <c r="BU37" s="32" t="n">
        <v>10.172</v>
      </c>
      <c r="BV37" s="32" t="n">
        <v>102.266</v>
      </c>
      <c r="BW37" s="32" t="n">
        <v>143.446</v>
      </c>
      <c r="BX37" s="32" t="n">
        <v>40.542</v>
      </c>
      <c r="BY37" s="32" t="n">
        <v>39.168</v>
      </c>
      <c r="BZ37" s="31" t="n">
        <f aca="false">BX37+BY37</f>
        <v>79.71</v>
      </c>
      <c r="CA37" s="32" t="n">
        <v>15.629</v>
      </c>
      <c r="CB37" s="32" t="n">
        <v>18.567</v>
      </c>
      <c r="CC37" s="32" t="n">
        <v>113.906</v>
      </c>
      <c r="CD37" s="32" t="n">
        <v>26.098</v>
      </c>
      <c r="CE37" s="32" t="n">
        <v>20.868</v>
      </c>
      <c r="CF37" s="31" t="n">
        <f aca="false">CD37+CE37</f>
        <v>46.966</v>
      </c>
      <c r="CG37" s="32" t="n">
        <v>7.561</v>
      </c>
      <c r="CH37" s="32" t="n">
        <v>24.721</v>
      </c>
      <c r="CI37" s="32" t="n">
        <v>79.248</v>
      </c>
      <c r="CJ37" s="32" t="n">
        <v>41.283</v>
      </c>
      <c r="CK37" s="32" t="n">
        <v>10.738</v>
      </c>
      <c r="CL37" s="31" t="n">
        <f aca="false">CJ37+CK37</f>
        <v>52.021</v>
      </c>
      <c r="CM37" s="32" t="n">
        <v>5.733</v>
      </c>
      <c r="CN37" s="32" t="n">
        <v>27.648</v>
      </c>
      <c r="CO37" s="32" t="n">
        <v>85.402</v>
      </c>
      <c r="CP37" s="33"/>
      <c r="CQ37" s="33"/>
      <c r="CR37" s="33"/>
      <c r="CS37" s="33"/>
      <c r="CT37" s="33"/>
      <c r="CU37" s="24"/>
      <c r="CW37" s="6"/>
      <c r="CX37" s="6"/>
      <c r="CY37" s="6"/>
      <c r="CZ37" s="6"/>
      <c r="DC37" s="15" t="s">
        <v>115</v>
      </c>
      <c r="DD37" s="26" t="n">
        <f aca="false">DE37+$DD$32</f>
        <v>0.435</v>
      </c>
      <c r="DE37" s="27" t="n">
        <v>0.42</v>
      </c>
      <c r="DF37" s="26" t="n">
        <f aca="false">DE37+$DF$32</f>
        <v>0.4</v>
      </c>
    </row>
    <row r="38" customFormat="false" ht="15" hidden="false" customHeight="false" outlineLevel="0" collapsed="false">
      <c r="B38" s="15"/>
      <c r="CP38" s="6"/>
      <c r="CQ38" s="6"/>
      <c r="CR38" s="6"/>
      <c r="CS38" s="6"/>
      <c r="CT38" s="6"/>
      <c r="CU38" s="6"/>
    </row>
    <row r="39" customFormat="false" ht="15" hidden="false" customHeight="false" outlineLevel="0" collapsed="false">
      <c r="B39" s="16" t="s">
        <v>135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7" t="s">
        <v>136</v>
      </c>
      <c r="DC39" s="17" t="s">
        <v>137</v>
      </c>
      <c r="DD39" s="36" t="n">
        <v>500</v>
      </c>
      <c r="DE39" s="19" t="s">
        <v>100</v>
      </c>
      <c r="DF39" s="36" t="n">
        <v>-700</v>
      </c>
      <c r="DG39" s="14" t="s">
        <v>138</v>
      </c>
    </row>
    <row r="40" customFormat="false" ht="15" hidden="false" customHeight="false" outlineLevel="0" collapsed="false">
      <c r="B40" s="20" t="s">
        <v>139</v>
      </c>
      <c r="C40" s="21" t="str">
        <f aca="false">IF(ISNUMBER(C12),C12+C26,"n/d")</f>
        <v>n/d</v>
      </c>
      <c r="D40" s="21" t="str">
        <f aca="false">IF(ISNUMBER(D12),D12+D26,"n/d")</f>
        <v>n/d</v>
      </c>
      <c r="E40" s="21" t="str">
        <f aca="false">IF(ISNUMBER(E12),E12+E26,"n/d")</f>
        <v>n/d</v>
      </c>
      <c r="F40" s="21" t="str">
        <f aca="false">IF(ISNUMBER(F12),F12+F26,"n/d")</f>
        <v>n/d</v>
      </c>
      <c r="G40" s="21" t="str">
        <f aca="false">IF(ISNUMBER(G12),G12+G26,"n/d")</f>
        <v>n/d</v>
      </c>
      <c r="H40" s="21" t="str">
        <f aca="false">IF(ISNUMBER(H12),H12+H26,"n/d")</f>
        <v>n/d</v>
      </c>
      <c r="I40" s="21" t="str">
        <f aca="false">IF(ISNUMBER(I12),I12+I26,"n/d")</f>
        <v>n/d</v>
      </c>
      <c r="J40" s="21" t="str">
        <f aca="false">IF(ISNUMBER(J12),J12+J26,"n/d")</f>
        <v>n/d</v>
      </c>
      <c r="K40" s="21" t="str">
        <f aca="false">IF(ISNUMBER(K12),K12+K26,"n/d")</f>
        <v>n/d</v>
      </c>
      <c r="L40" s="21" t="str">
        <f aca="false">IF(ISNUMBER(L12),L12+L26,"n/d")</f>
        <v>n/d</v>
      </c>
      <c r="M40" s="21" t="str">
        <f aca="false">IF(ISNUMBER(M12),M12+M26,"n/d")</f>
        <v>n/d</v>
      </c>
      <c r="N40" s="21" t="str">
        <f aca="false">IF(ISNUMBER(N12),N12+N26,"n/d")</f>
        <v>n/d</v>
      </c>
      <c r="O40" s="21" t="str">
        <f aca="false">IF(ISNUMBER(O12),O12+O26,"n/d")</f>
        <v>n/d</v>
      </c>
      <c r="P40" s="21" t="str">
        <f aca="false">IF(ISNUMBER(P12),P12+P26,"n/d")</f>
        <v>n/d</v>
      </c>
      <c r="Q40" s="21" t="str">
        <f aca="false">IF(ISNUMBER(Q12),Q12+Q26,"n/d")</f>
        <v>n/d</v>
      </c>
      <c r="R40" s="21" t="str">
        <f aca="false">IF(ISNUMBER(R12),R12+R26,"n/d")</f>
        <v>n/d</v>
      </c>
      <c r="S40" s="21" t="str">
        <f aca="false">IF(ISNUMBER(S12),S12+S26,"n/d")</f>
        <v>n/d</v>
      </c>
      <c r="T40" s="21" t="str">
        <f aca="false">IF(ISNUMBER(T12),T12+T26,"n/d")</f>
        <v>n/d</v>
      </c>
      <c r="U40" s="21" t="str">
        <f aca="false">IF(ISNUMBER(U12),U12+U26,"n/d")</f>
        <v>n/d</v>
      </c>
      <c r="V40" s="21" t="str">
        <f aca="false">IF(ISNUMBER(V12),V12+V26,"n/d")</f>
        <v>n/d</v>
      </c>
      <c r="W40" s="21" t="str">
        <f aca="false">IF(ISNUMBER(W12),W12+W26,"n/d")</f>
        <v>n/d</v>
      </c>
      <c r="X40" s="21" t="str">
        <f aca="false">IF(ISNUMBER(X12),X12+X26,"n/d")</f>
        <v>n/d</v>
      </c>
      <c r="Y40" s="21" t="str">
        <f aca="false">IF(ISNUMBER(Y12),Y12+Y26,"n/d")</f>
        <v>n/d</v>
      </c>
      <c r="Z40" s="21" t="str">
        <f aca="false">IF(ISNUMBER(Z12),Z12+Z26,"n/d")</f>
        <v>n/d</v>
      </c>
      <c r="AA40" s="21" t="str">
        <f aca="false">IF(ISNUMBER(AA12),AA12+AA26,"n/d")</f>
        <v>n/d</v>
      </c>
      <c r="AB40" s="21" t="str">
        <f aca="false">IF(ISNUMBER(AB12),AB12+AB26,"n/d")</f>
        <v>n/d</v>
      </c>
      <c r="AC40" s="21" t="str">
        <f aca="false">IF(ISNUMBER(AC12),AC12+AC26,"n/d")</f>
        <v>n/d</v>
      </c>
      <c r="AD40" s="21" t="str">
        <f aca="false">IF(ISNUMBER(AD12),AD12+AD26,"n/d")</f>
        <v>n/d</v>
      </c>
      <c r="AE40" s="21" t="str">
        <f aca="false">IF(ISNUMBER(AE12),AE12+AE26,"n/d")</f>
        <v>n/d</v>
      </c>
      <c r="AF40" s="21" t="str">
        <f aca="false">IF(ISNUMBER(AF12),AF12+AF26,"n/d")</f>
        <v>n/d</v>
      </c>
      <c r="AG40" s="21" t="str">
        <f aca="false">IF(ISNUMBER(AG12),AG12+AG26,"n/d")</f>
        <v>n/d</v>
      </c>
      <c r="AH40" s="21" t="str">
        <f aca="false">IF(ISNUMBER(AH12),AH12+AH26,"n/d")</f>
        <v>n/d</v>
      </c>
      <c r="AI40" s="21" t="str">
        <f aca="false">IF(ISNUMBER(AI12),AI12+AI26,"n/d")</f>
        <v>n/d</v>
      </c>
      <c r="AJ40" s="21" t="str">
        <f aca="false">IF(ISNUMBER(AJ12),AJ12+AJ26,"n/d")</f>
        <v>n/d</v>
      </c>
      <c r="AK40" s="21" t="str">
        <f aca="false">IF(ISNUMBER(AK12),AK12+AK26,"n/d")</f>
        <v>n/d</v>
      </c>
      <c r="AL40" s="21" t="str">
        <f aca="false">IF(ISNUMBER(AL12),AL12+AL26,"n/d")</f>
        <v>n/d</v>
      </c>
      <c r="AM40" s="21" t="n">
        <f aca="false">IF(ISNUMBER(AM12),AM12+AM26,"n/d")</f>
        <v>1286.252</v>
      </c>
      <c r="AN40" s="21" t="n">
        <f aca="false">IF(ISNUMBER(AN12),AN12+AN26,"n/d")</f>
        <v>374.125</v>
      </c>
      <c r="AO40" s="21" t="n">
        <f aca="false">IF(ISNUMBER(AO12),AO12+AO26,"n/d")</f>
        <v>401.954</v>
      </c>
      <c r="AP40" s="21" t="n">
        <f aca="false">IF(ISNUMBER(AP12),AP12+AP26,"n/d")</f>
        <v>776.079</v>
      </c>
      <c r="AQ40" s="21" t="n">
        <f aca="false">IF(ISNUMBER(AQ12),AQ12+AQ26,"n/d")</f>
        <v>410.762</v>
      </c>
      <c r="AR40" s="21" t="n">
        <f aca="false">IF(ISNUMBER(AR12),AR12+AR26,"n/d")</f>
        <v>391.661</v>
      </c>
      <c r="AS40" s="21" t="n">
        <f aca="false">IF(ISNUMBER(AS12),AS12+AS26,"n/d")</f>
        <v>1578.502</v>
      </c>
      <c r="AT40" s="21" t="n">
        <f aca="false">IF(ISNUMBER(AT12),AT12+AT26,"n/d")</f>
        <v>394.806</v>
      </c>
      <c r="AU40" s="21" t="n">
        <f aca="false">IF(ISNUMBER(AU12),AU12+AU26,"n/d")</f>
        <v>416.807</v>
      </c>
      <c r="AV40" s="21" t="n">
        <f aca="false">IF(ISNUMBER(AV12),AV12+AV26,"n/d")</f>
        <v>811.613</v>
      </c>
      <c r="AW40" s="21" t="n">
        <f aca="false">IF(ISNUMBER(AW12),AW12+AW26,"n/d")</f>
        <v>473.682</v>
      </c>
      <c r="AX40" s="21" t="n">
        <f aca="false">IF(ISNUMBER(AX12),AX12+AX26,"n/d")</f>
        <v>470.399</v>
      </c>
      <c r="AY40" s="21" t="n">
        <f aca="false">IF(ISNUMBER(AY12),AY12+AY26,"n/d")</f>
        <v>1755.694</v>
      </c>
      <c r="AZ40" s="21" t="n">
        <f aca="false">IF(ISNUMBER(AZ12),AZ12+AZ26,"n/d")</f>
        <v>487.856</v>
      </c>
      <c r="BA40" s="21" t="n">
        <f aca="false">IF(ISNUMBER(BA12),BA12+BA26,"n/d")</f>
        <v>510.034</v>
      </c>
      <c r="BB40" s="21" t="n">
        <f aca="false">IF(ISNUMBER(BB12),BB12+BB26,"n/d")</f>
        <v>997.89</v>
      </c>
      <c r="BC40" s="21" t="n">
        <f aca="false">IF(ISNUMBER(BC12),BC12+BC26,"n/d")</f>
        <v>491.582</v>
      </c>
      <c r="BD40" s="21" t="n">
        <f aca="false">IF(ISNUMBER(BD12),BD12+BD26,"n/d")</f>
        <v>457.668</v>
      </c>
      <c r="BE40" s="21" t="n">
        <f aca="false">IF(ISNUMBER(BE12),BE12+BE26,"n/d")</f>
        <v>1947.14</v>
      </c>
      <c r="BF40" s="21" t="n">
        <f aca="false">IF(ISNUMBER(BF12),BF12+BF26,"n/d")</f>
        <v>515.372</v>
      </c>
      <c r="BG40" s="21" t="n">
        <f aca="false">IF(ISNUMBER(BG12),BG12+BG26,"n/d")</f>
        <v>532.601</v>
      </c>
      <c r="BH40" s="21" t="n">
        <f aca="false">IF(ISNUMBER(BH12),BH12+BH26,"n/d")</f>
        <v>1047.973</v>
      </c>
      <c r="BI40" s="21" t="n">
        <f aca="false">IF(ISNUMBER(BI12),BI12+BI26,"n/d")</f>
        <v>623.846</v>
      </c>
      <c r="BJ40" s="21" t="n">
        <f aca="false">IF(ISNUMBER(BJ12),BJ12+BJ26,"n/d")</f>
        <v>620.048</v>
      </c>
      <c r="BK40" s="21" t="n">
        <f aca="false">IF(ISNUMBER(BK12),BK12+BK26,"n/d")</f>
        <v>2291.867</v>
      </c>
      <c r="BL40" s="21" t="n">
        <f aca="false">IF(ISNUMBER(BL12),BL12+BL26,"n/d")</f>
        <v>667.818</v>
      </c>
      <c r="BM40" s="21" t="n">
        <f aca="false">IF(ISNUMBER(BM12),BM12+BM26,"n/d")</f>
        <v>711.09</v>
      </c>
      <c r="BN40" s="21" t="n">
        <f aca="false">IF(ISNUMBER(BN12),BN12+BN26,"n/d")</f>
        <v>1378.908</v>
      </c>
      <c r="BO40" s="21" t="n">
        <f aca="false">IF(ISNUMBER(BO12),BO12+BO26,"n/d")</f>
        <v>766.316</v>
      </c>
      <c r="BP40" s="21" t="n">
        <f aca="false">IF(ISNUMBER(BP12),BP12+BP26,"n/d")</f>
        <v>707.816</v>
      </c>
      <c r="BQ40" s="21" t="n">
        <f aca="false">IF(ISNUMBER(BQ12),BQ12+BQ26,"n/d")</f>
        <v>2853.04</v>
      </c>
      <c r="BR40" s="21" t="n">
        <f aca="false">IF(ISNUMBER(BR12),BR12+BR26,"n/d")</f>
        <v>726.84</v>
      </c>
      <c r="BS40" s="21" t="n">
        <f aca="false">IF(ISNUMBER(BS12),BS12+BS26,"n/d")</f>
        <v>789.797</v>
      </c>
      <c r="BT40" s="21" t="n">
        <f aca="false">IF(ISNUMBER(BT12),BT12+BT26,"n/d")</f>
        <v>1516.637</v>
      </c>
      <c r="BU40" s="21" t="n">
        <f aca="false">IF(ISNUMBER(BU12),BU12+BU26,"n/d")</f>
        <v>847.249</v>
      </c>
      <c r="BV40" s="21" t="n">
        <f aca="false">IF(ISNUMBER(BV12),BV12+BV26,"n/d")</f>
        <v>834.242</v>
      </c>
      <c r="BW40" s="21" t="n">
        <f aca="false">IF(ISNUMBER(BW12),BW12+BW26,"n/d")</f>
        <v>3198.128</v>
      </c>
      <c r="BX40" s="21" t="n">
        <f aca="false">IF(ISNUMBER(BX12),BX12+BX26,"n/d")</f>
        <v>859.536</v>
      </c>
      <c r="BY40" s="21" t="n">
        <f aca="false">IF(ISNUMBER(BY12),BY12+BY26,"n/d")</f>
        <v>861.745</v>
      </c>
      <c r="BZ40" s="21" t="n">
        <f aca="false">IF(ISNUMBER(BZ12),BZ12+BZ26,"n/d")</f>
        <v>1721.281</v>
      </c>
      <c r="CA40" s="21" t="n">
        <f aca="false">IF(ISNUMBER(CA12),CA12+CA26,"n/d")</f>
        <v>946.63</v>
      </c>
      <c r="CB40" s="21" t="n">
        <f aca="false">IF(ISNUMBER(CB12),CB12+CB26,"n/d")</f>
        <v>893.091</v>
      </c>
      <c r="CC40" s="21" t="n">
        <f aca="false">IF(ISNUMBER(CC12),CC12+CC26,"n/d")</f>
        <v>3561.002</v>
      </c>
      <c r="CD40" s="21" t="n">
        <f aca="false">IF(ISNUMBER(CD12),CD12+CD26,"n/d")</f>
        <v>986.336</v>
      </c>
      <c r="CE40" s="21" t="n">
        <f aca="false">IF(ISNUMBER(CE12),CE12+CE26,"n/d")</f>
        <v>991.281</v>
      </c>
      <c r="CF40" s="21" t="n">
        <f aca="false">IF(ISNUMBER(CF12),CF12+CF26,"n/d")</f>
        <v>1977.617</v>
      </c>
      <c r="CG40" s="21" t="n">
        <f aca="false">IF(ISNUMBER(CG12),CG12+CG26,"n/d")</f>
        <v>1034.836</v>
      </c>
      <c r="CH40" s="21" t="n">
        <f aca="false">IF(ISNUMBER(CH12),CH12+CH26,"n/d")</f>
        <v>956.209</v>
      </c>
      <c r="CI40" s="21" t="n">
        <f aca="false">IF(ISNUMBER(CI12),CI12+CI26,"n/d")</f>
        <v>3968.662</v>
      </c>
      <c r="CJ40" s="21" t="n">
        <f aca="false">IF(ISNUMBER(CJ12),CJ12+CJ26,"n/d")</f>
        <v>991.845</v>
      </c>
      <c r="CK40" s="21" t="n">
        <f aca="false">IF(ISNUMBER(CK12),CK12+CK26,"n/d")</f>
        <v>952.051</v>
      </c>
      <c r="CL40" s="21" t="n">
        <f aca="false">IF(ISNUMBER(CL12),CL12+CL26,"n/d")</f>
        <v>1943.896</v>
      </c>
      <c r="CM40" s="21" t="n">
        <f aca="false">IF(ISNUMBER(CM12),CM12+CM26,"n/d")</f>
        <v>1056.08</v>
      </c>
      <c r="CN40" s="21" t="n">
        <f aca="false">IF(ISNUMBER(CN12),CN12+CN26,"n/d")</f>
        <v>969.544</v>
      </c>
      <c r="CO40" s="21" t="n">
        <f aca="false">IF(ISNUMBER(CO12),CO12+CO26,"n/d")</f>
        <v>3969.52</v>
      </c>
      <c r="CP40" s="23" t="n">
        <f aca="false">CP12+CP26</f>
        <v>4159.4251555</v>
      </c>
      <c r="CQ40" s="23" t="n">
        <f aca="false">CQ12+CQ26</f>
        <v>4414.190084247</v>
      </c>
      <c r="CR40" s="23" t="n">
        <f aca="false">CR12+CR26</f>
        <v>4700.8550337739</v>
      </c>
      <c r="CS40" s="23" t="n">
        <f aca="false">CS12+CS26</f>
        <v>5002.64644645957</v>
      </c>
      <c r="CT40" s="23" t="n">
        <f aca="false">CT12+CT26</f>
        <v>5324.0809674798</v>
      </c>
      <c r="CU40" s="24" t="s">
        <v>140</v>
      </c>
      <c r="CW40" s="25"/>
      <c r="CX40" s="25"/>
      <c r="CY40" s="25"/>
      <c r="CZ40" s="25"/>
      <c r="DC40" s="15" t="s">
        <v>104</v>
      </c>
      <c r="DD40" s="37" t="n">
        <f aca="false">MAX(0,DE40+$DD$39)</f>
        <v>1500</v>
      </c>
      <c r="DE40" s="38" t="n">
        <v>1000</v>
      </c>
      <c r="DF40" s="37" t="n">
        <f aca="false">MAX(0,DE40+$DF$39)</f>
        <v>300</v>
      </c>
    </row>
    <row r="41" customFormat="false" ht="15" hidden="false" customHeight="false" outlineLevel="0" collapsed="false">
      <c r="B41" s="28" t="s">
        <v>141</v>
      </c>
      <c r="C41" s="39" t="str">
        <f aca="false">IF(ISNUMBER(C16),C16+C30,"n/d")</f>
        <v>n/d</v>
      </c>
      <c r="D41" s="39" t="str">
        <f aca="false">IF(ISNUMBER(D16),D16+D30,"n/d")</f>
        <v>n/d</v>
      </c>
      <c r="E41" s="39" t="str">
        <f aca="false">IF(ISNUMBER(E16),E16+E30,"n/d")</f>
        <v>n/d</v>
      </c>
      <c r="F41" s="39" t="str">
        <f aca="false">IF(ISNUMBER(F16),F16+F30,"n/d")</f>
        <v>n/d</v>
      </c>
      <c r="G41" s="39" t="str">
        <f aca="false">IF(ISNUMBER(G16),G16+G30,"n/d")</f>
        <v>n/d</v>
      </c>
      <c r="H41" s="39" t="str">
        <f aca="false">IF(ISNUMBER(H16),H16+H30,"n/d")</f>
        <v>n/d</v>
      </c>
      <c r="I41" s="39" t="str">
        <f aca="false">IF(ISNUMBER(I16),I16+I30,"n/d")</f>
        <v>n/d</v>
      </c>
      <c r="J41" s="39" t="str">
        <f aca="false">IF(ISNUMBER(J16),J16+J30,"n/d")</f>
        <v>n/d</v>
      </c>
      <c r="K41" s="39" t="str">
        <f aca="false">IF(ISNUMBER(K16),K16+K30,"n/d")</f>
        <v>n/d</v>
      </c>
      <c r="L41" s="39" t="str">
        <f aca="false">IF(ISNUMBER(L16),L16+L30,"n/d")</f>
        <v>n/d</v>
      </c>
      <c r="M41" s="39" t="str">
        <f aca="false">IF(ISNUMBER(M16),M16+M30,"n/d")</f>
        <v>n/d</v>
      </c>
      <c r="N41" s="39" t="str">
        <f aca="false">IF(ISNUMBER(N16),N16+N30,"n/d")</f>
        <v>n/d</v>
      </c>
      <c r="O41" s="39" t="str">
        <f aca="false">IF(ISNUMBER(O16),O16+O30,"n/d")</f>
        <v>n/d</v>
      </c>
      <c r="P41" s="39" t="str">
        <f aca="false">IF(ISNUMBER(P16),P16+P30,"n/d")</f>
        <v>n/d</v>
      </c>
      <c r="Q41" s="39" t="str">
        <f aca="false">IF(ISNUMBER(Q16),Q16+Q30,"n/d")</f>
        <v>n/d</v>
      </c>
      <c r="R41" s="39" t="str">
        <f aca="false">IF(ISNUMBER(R16),R16+R30,"n/d")</f>
        <v>n/d</v>
      </c>
      <c r="S41" s="39" t="str">
        <f aca="false">IF(ISNUMBER(S16),S16+S30,"n/d")</f>
        <v>n/d</v>
      </c>
      <c r="T41" s="39" t="str">
        <f aca="false">IF(ISNUMBER(T16),T16+T30,"n/d")</f>
        <v>n/d</v>
      </c>
      <c r="U41" s="39" t="str">
        <f aca="false">IF(ISNUMBER(U16),U16+U30,"n/d")</f>
        <v>n/d</v>
      </c>
      <c r="V41" s="39" t="str">
        <f aca="false">IF(ISNUMBER(V16),V16+V30,"n/d")</f>
        <v>n/d</v>
      </c>
      <c r="W41" s="39" t="str">
        <f aca="false">IF(ISNUMBER(W16),W16+W30,"n/d")</f>
        <v>n/d</v>
      </c>
      <c r="X41" s="39" t="str">
        <f aca="false">IF(ISNUMBER(X16),X16+X30,"n/d")</f>
        <v>n/d</v>
      </c>
      <c r="Y41" s="39" t="str">
        <f aca="false">IF(ISNUMBER(Y16),Y16+Y30,"n/d")</f>
        <v>n/d</v>
      </c>
      <c r="Z41" s="39" t="str">
        <f aca="false">IF(ISNUMBER(Z16),Z16+Z30,"n/d")</f>
        <v>n/d</v>
      </c>
      <c r="AA41" s="39" t="str">
        <f aca="false">IF(ISNUMBER(AA16),AA16+AA30,"n/d")</f>
        <v>n/d</v>
      </c>
      <c r="AB41" s="39" t="str">
        <f aca="false">IF(ISNUMBER(AB16),AB16+AB30,"n/d")</f>
        <v>n/d</v>
      </c>
      <c r="AC41" s="39" t="str">
        <f aca="false">IF(ISNUMBER(AC16),AC16+AC30,"n/d")</f>
        <v>n/d</v>
      </c>
      <c r="AD41" s="39" t="str">
        <f aca="false">IF(ISNUMBER(AD16),AD16+AD30,"n/d")</f>
        <v>n/d</v>
      </c>
      <c r="AE41" s="39" t="str">
        <f aca="false">IF(ISNUMBER(AE16),AE16+AE30,"n/d")</f>
        <v>n/d</v>
      </c>
      <c r="AF41" s="39" t="str">
        <f aca="false">IF(ISNUMBER(AF16),AF16+AF30,"n/d")</f>
        <v>n/d</v>
      </c>
      <c r="AG41" s="39" t="str">
        <f aca="false">IF(ISNUMBER(AG16),AG16+AG30,"n/d")</f>
        <v>n/d</v>
      </c>
      <c r="AH41" s="39" t="str">
        <f aca="false">IF(ISNUMBER(AH16),AH16+AH30,"n/d")</f>
        <v>n/d</v>
      </c>
      <c r="AI41" s="39" t="str">
        <f aca="false">IF(ISNUMBER(AI16),AI16+AI30,"n/d")</f>
        <v>n/d</v>
      </c>
      <c r="AJ41" s="39" t="str">
        <f aca="false">IF(ISNUMBER(AJ16),AJ16+AJ30,"n/d")</f>
        <v>n/d</v>
      </c>
      <c r="AK41" s="39" t="str">
        <f aca="false">IF(ISNUMBER(AK16),AK16+AK30,"n/d")</f>
        <v>n/d</v>
      </c>
      <c r="AL41" s="39" t="str">
        <f aca="false">IF(ISNUMBER(AL16),AL16+AL30,"n/d")</f>
        <v>n/d</v>
      </c>
      <c r="AM41" s="39" t="n">
        <f aca="false">IF(ISNUMBER(AM16),AM16+AM30,"n/d")</f>
        <v>161.729</v>
      </c>
      <c r="AN41" s="39" t="n">
        <f aca="false">IF(ISNUMBER(AN16),AN16+AN30,"n/d")</f>
        <v>45.043</v>
      </c>
      <c r="AO41" s="39" t="n">
        <f aca="false">IF(ISNUMBER(AO16),AO16+AO30,"n/d")</f>
        <v>57.152</v>
      </c>
      <c r="AP41" s="39" t="n">
        <f aca="false">IF(ISNUMBER(AP16),AP16+AP30,"n/d")</f>
        <v>102.195</v>
      </c>
      <c r="AQ41" s="39" t="n">
        <f aca="false">IF(ISNUMBER(AQ16),AQ16+AQ30,"n/d")</f>
        <v>67.436</v>
      </c>
      <c r="AR41" s="39" t="n">
        <f aca="false">IF(ISNUMBER(AR16),AR16+AR30,"n/d")</f>
        <v>57.562</v>
      </c>
      <c r="AS41" s="39" t="n">
        <f aca="false">IF(ISNUMBER(AS16),AS16+AS30,"n/d")</f>
        <v>227.193</v>
      </c>
      <c r="AT41" s="39" t="n">
        <f aca="false">IF(ISNUMBER(AT16),AT16+AT30,"n/d")</f>
        <v>66.562</v>
      </c>
      <c r="AU41" s="39" t="n">
        <f aca="false">IF(ISNUMBER(AU16),AU16+AU30,"n/d")</f>
        <v>68.091</v>
      </c>
      <c r="AV41" s="39" t="n">
        <f aca="false">IF(ISNUMBER(AV16),AV16+AV30,"n/d")</f>
        <v>134.653</v>
      </c>
      <c r="AW41" s="39" t="n">
        <f aca="false">IF(ISNUMBER(AW16),AW16+AW30,"n/d")</f>
        <v>79.434</v>
      </c>
      <c r="AX41" s="39" t="n">
        <f aca="false">IF(ISNUMBER(AX16),AX16+AX30,"n/d")</f>
        <v>72.176</v>
      </c>
      <c r="AY41" s="39" t="n">
        <f aca="false">IF(ISNUMBER(AY16),AY16+AY30,"n/d")</f>
        <v>286.263</v>
      </c>
      <c r="AZ41" s="39" t="n">
        <f aca="false">IF(ISNUMBER(AZ16),AZ16+AZ30,"n/d")</f>
        <v>66.568</v>
      </c>
      <c r="BA41" s="39" t="n">
        <f aca="false">IF(ISNUMBER(BA16),BA16+BA30,"n/d")</f>
        <v>65.106</v>
      </c>
      <c r="BB41" s="39" t="n">
        <f aca="false">IF(ISNUMBER(BB16),BB16+BB30,"n/d")</f>
        <v>131.674</v>
      </c>
      <c r="BC41" s="39" t="n">
        <f aca="false">IF(ISNUMBER(BC16),BC16+BC30,"n/d")</f>
        <v>58.778</v>
      </c>
      <c r="BD41" s="39" t="n">
        <f aca="false">IF(ISNUMBER(BD16),BD16+BD30,"n/d")</f>
        <v>67.991</v>
      </c>
      <c r="BE41" s="39" t="n">
        <f aca="false">IF(ISNUMBER(BE16),BE16+BE30,"n/d")</f>
        <v>258.443</v>
      </c>
      <c r="BF41" s="39" t="n">
        <f aca="false">IF(ISNUMBER(BF16),BF16+BF30,"n/d")</f>
        <v>77.568</v>
      </c>
      <c r="BG41" s="39" t="n">
        <f aca="false">IF(ISNUMBER(BG16),BG16+BG30,"n/d")</f>
        <v>84.43</v>
      </c>
      <c r="BH41" s="39" t="n">
        <f aca="false">IF(ISNUMBER(BH16),BH16+BH30,"n/d")</f>
        <v>161.998</v>
      </c>
      <c r="BI41" s="39" t="n">
        <f aca="false">IF(ISNUMBER(BI16),BI16+BI30,"n/d")</f>
        <v>110.064</v>
      </c>
      <c r="BJ41" s="39" t="n">
        <f aca="false">IF(ISNUMBER(BJ16),BJ16+BJ30,"n/d")</f>
        <v>128.582</v>
      </c>
      <c r="BK41" s="39" t="n">
        <f aca="false">IF(ISNUMBER(BK16),BK16+BK30,"n/d")</f>
        <v>400.644</v>
      </c>
      <c r="BL41" s="39" t="n">
        <f aca="false">IF(ISNUMBER(BL16),BL16+BL30,"n/d")</f>
        <v>142.314</v>
      </c>
      <c r="BM41" s="39" t="n">
        <f aca="false">IF(ISNUMBER(BM16),BM16+BM30,"n/d")</f>
        <v>156.37</v>
      </c>
      <c r="BN41" s="39" t="n">
        <f aca="false">IF(ISNUMBER(BN16),BN16+BN30,"n/d")</f>
        <v>298.684</v>
      </c>
      <c r="BO41" s="39" t="n">
        <f aca="false">IF(ISNUMBER(BO16),BO16+BO30,"n/d")</f>
        <v>173.625</v>
      </c>
      <c r="BP41" s="39" t="n">
        <f aca="false">IF(ISNUMBER(BP16),BP16+BP30,"n/d")</f>
        <v>175.572</v>
      </c>
      <c r="BQ41" s="39" t="n">
        <f aca="false">IF(ISNUMBER(BQ16),BQ16+BQ30,"n/d")</f>
        <v>647.881</v>
      </c>
      <c r="BR41" s="39" t="n">
        <f aca="false">IF(ISNUMBER(BR16),BR16+BR30,"n/d")</f>
        <v>166.532</v>
      </c>
      <c r="BS41" s="39" t="n">
        <f aca="false">IF(ISNUMBER(BS16),BS16+BS30,"n/d")</f>
        <v>166.927</v>
      </c>
      <c r="BT41" s="39" t="n">
        <f aca="false">IF(ISNUMBER(BT16),BT16+BT30,"n/d")</f>
        <v>333.459</v>
      </c>
      <c r="BU41" s="39" t="n">
        <f aca="false">IF(ISNUMBER(BU16),BU16+BU30,"n/d")</f>
        <v>174.582</v>
      </c>
      <c r="BV41" s="39" t="n">
        <f aca="false">IF(ISNUMBER(BV16),BV16+BV30,"n/d")</f>
        <v>163.349</v>
      </c>
      <c r="BW41" s="39" t="n">
        <f aca="false">IF(ISNUMBER(BW16),BW16+BW30,"n/d")</f>
        <v>671.39</v>
      </c>
      <c r="BX41" s="39" t="n">
        <f aca="false">IF(ISNUMBER(BX16),BX16+BX30,"n/d")</f>
        <v>160.88</v>
      </c>
      <c r="BY41" s="39" t="n">
        <f aca="false">IF(ISNUMBER(BY16),BY16+BY30,"n/d")</f>
        <v>158.404</v>
      </c>
      <c r="BZ41" s="39" t="n">
        <f aca="false">IF(ISNUMBER(BZ16),BZ16+BZ30,"n/d")</f>
        <v>319.284</v>
      </c>
      <c r="CA41" s="39" t="n">
        <f aca="false">IF(ISNUMBER(CA16),CA16+CA30,"n/d")</f>
        <v>180.629</v>
      </c>
      <c r="CB41" s="39" t="n">
        <f aca="false">IF(ISNUMBER(CB16),CB16+CB30,"n/d")</f>
        <v>175.908</v>
      </c>
      <c r="CC41" s="39" t="n">
        <f aca="false">IF(ISNUMBER(CC16),CC16+CC30,"n/d")</f>
        <v>675.821</v>
      </c>
      <c r="CD41" s="39" t="n">
        <f aca="false">IF(ISNUMBER(CD16),CD16+CD30,"n/d")</f>
        <v>160.493</v>
      </c>
      <c r="CE41" s="39" t="n">
        <f aca="false">IF(ISNUMBER(CE16),CE16+CE30,"n/d")</f>
        <v>172.035</v>
      </c>
      <c r="CF41" s="39" t="n">
        <f aca="false">IF(ISNUMBER(CF16),CF16+CF30,"n/d")</f>
        <v>332.528</v>
      </c>
      <c r="CG41" s="39" t="n">
        <f aca="false">IF(ISNUMBER(CG16),CG16+CG30,"n/d")</f>
        <v>176.88</v>
      </c>
      <c r="CH41" s="39" t="n">
        <f aca="false">IF(ISNUMBER(CH16),CH16+CH30,"n/d")</f>
        <v>168.888</v>
      </c>
      <c r="CI41" s="39" t="n">
        <f aca="false">IF(ISNUMBER(CI16),CI16+CI30,"n/d")</f>
        <v>678.296</v>
      </c>
      <c r="CJ41" s="39" t="n">
        <f aca="false">IF(ISNUMBER(CJ16),CJ16+CJ30,"n/d")</f>
        <v>163.185</v>
      </c>
      <c r="CK41" s="39" t="n">
        <f aca="false">IF(ISNUMBER(CK16),CK16+CK30,"n/d")</f>
        <v>169.623</v>
      </c>
      <c r="CL41" s="39" t="n">
        <f aca="false">IF(ISNUMBER(CL16),CL16+CL30,"n/d")</f>
        <v>332.808</v>
      </c>
      <c r="CM41" s="39" t="n">
        <f aca="false">IF(ISNUMBER(CM16),CM16+CM30,"n/d")</f>
        <v>180.986</v>
      </c>
      <c r="CN41" s="39" t="n">
        <f aca="false">IF(ISNUMBER(CN16),CN16+CN30,"n/d")</f>
        <v>182.895</v>
      </c>
      <c r="CO41" s="39" t="n">
        <f aca="false">IF(ISNUMBER(CO16),CO16+CO30,"n/d")</f>
        <v>696.689</v>
      </c>
      <c r="CP41" s="40" t="n">
        <f aca="false">CP16+CP30</f>
        <v>727.33202</v>
      </c>
      <c r="CQ41" s="40" t="n">
        <f aca="false">CQ16+CQ30</f>
        <v>759.3395338</v>
      </c>
      <c r="CR41" s="40" t="n">
        <f aca="false">CR16+CR30</f>
        <v>792.773059802</v>
      </c>
      <c r="CS41" s="40" t="n">
        <f aca="false">CS16+CS30</f>
        <v>827.69692407658</v>
      </c>
      <c r="CT41" s="40" t="n">
        <f aca="false">CT16+CT30</f>
        <v>864.178390016268</v>
      </c>
      <c r="CU41" s="24"/>
      <c r="CW41" s="6"/>
      <c r="CX41" s="6"/>
      <c r="CY41" s="6"/>
      <c r="CZ41" s="6"/>
      <c r="DC41" s="15" t="s">
        <v>107</v>
      </c>
      <c r="DD41" s="37" t="n">
        <f aca="false">MAX(0,DE41+$DD$39)</f>
        <v>1250</v>
      </c>
      <c r="DE41" s="38" t="n">
        <v>750</v>
      </c>
      <c r="DF41" s="37" t="n">
        <f aca="false">MAX(0,DE41+$DF$39)</f>
        <v>50</v>
      </c>
    </row>
    <row r="42" customFormat="false" ht="15" hidden="false" customHeight="false" outlineLevel="0" collapsed="false">
      <c r="B42" s="41" t="s">
        <v>142</v>
      </c>
      <c r="C42" s="42" t="n">
        <f aca="false">IF(ISNUMBER(C40),C40+C41,C73)</f>
        <v>528.571</v>
      </c>
      <c r="D42" s="42" t="n">
        <f aca="false">IF(ISNUMBER(D40),D40+D41,D73)</f>
        <v>560.68</v>
      </c>
      <c r="E42" s="42" t="n">
        <f aca="false">IF(ISNUMBER(E40),E40+E41,E73)</f>
        <v>784.848</v>
      </c>
      <c r="F42" s="42" t="n">
        <f aca="false">IF(ISNUMBER(F40),F40+F41,F73)</f>
        <v>743.082</v>
      </c>
      <c r="G42" s="42" t="n">
        <f aca="false">IF(ISNUMBER(G40),G40+G41,G73)</f>
        <v>772.879</v>
      </c>
      <c r="H42" s="42" t="n">
        <f aca="false">IF(ISNUMBER(H40),H40+H41,H73)</f>
        <v>872.246</v>
      </c>
      <c r="I42" s="42" t="n">
        <f aca="false">IF(ISNUMBER(I40),I40+I41,I73)</f>
        <v>924.191</v>
      </c>
      <c r="J42" s="21" t="n">
        <f aca="false">IF(ISNUMBER(J40),J40+J41,J73)</f>
        <v>238.866</v>
      </c>
      <c r="K42" s="21" t="n">
        <f aca="false">IF(ISNUMBER(K40),K40+K41,K73)</f>
        <v>266.185</v>
      </c>
      <c r="L42" s="21" t="n">
        <f aca="false">IF(ISNUMBER(L40),L40+L41,L73)</f>
        <v>505.051</v>
      </c>
      <c r="M42" s="21" t="n">
        <f aca="false">IF(ISNUMBER(M40),M40+M41,M73)</f>
        <v>277.638</v>
      </c>
      <c r="N42" s="21" t="n">
        <f aca="false">IF(ISNUMBER(N40),N40+N41,N73)</f>
        <v>263.697</v>
      </c>
      <c r="O42" s="42" t="n">
        <f aca="false">IF(ISNUMBER(O40),O40+O41,O73)</f>
        <v>1046.386</v>
      </c>
      <c r="P42" s="21" t="n">
        <f aca="false">IF(ISNUMBER(P40),P40+P41,P73)</f>
        <v>279.883</v>
      </c>
      <c r="Q42" s="21" t="n">
        <f aca="false">IF(ISNUMBER(Q40),Q40+Q41,Q73)</f>
        <v>286.434</v>
      </c>
      <c r="R42" s="21" t="n">
        <f aca="false">IF(ISNUMBER(R40),R40+R41,R73)</f>
        <v>566.317</v>
      </c>
      <c r="S42" s="21" t="n">
        <f aca="false">IF(ISNUMBER(S40),S40+S41,S73)</f>
        <v>309.722</v>
      </c>
      <c r="T42" s="21" t="n">
        <f aca="false">IF(ISNUMBER(T40),T40+T41,T73)</f>
        <v>287.45</v>
      </c>
      <c r="U42" s="42" t="n">
        <f aca="false">IF(ISNUMBER(U40),U40+U41,U73)</f>
        <v>1163.489</v>
      </c>
      <c r="V42" s="21" t="n">
        <f aca="false">IF(ISNUMBER(V40),V40+V41,V73)</f>
        <v>290.386</v>
      </c>
      <c r="W42" s="21" t="n">
        <f aca="false">IF(ISNUMBER(W40),W40+W41,W73)</f>
        <v>276.258</v>
      </c>
      <c r="X42" s="21" t="n">
        <f aca="false">IF(ISNUMBER(X40),X40+X41,X73)</f>
        <v>566.644</v>
      </c>
      <c r="Y42" s="21" t="n">
        <f aca="false">IF(ISNUMBER(Y40),Y40+Y41,Y73)</f>
        <v>297.142</v>
      </c>
      <c r="Z42" s="21" t="n">
        <f aca="false">IF(ISNUMBER(Z40),Z40+Z41,Z73)</f>
        <v>282.293</v>
      </c>
      <c r="AA42" s="42" t="n">
        <f aca="false">IF(ISNUMBER(AA40),AA40+AA41,AA73)</f>
        <v>1146.079</v>
      </c>
      <c r="AB42" s="21" t="n">
        <f aca="false">IF(ISNUMBER(AB40),AB40+AB41,AB73)</f>
        <v>288.838</v>
      </c>
      <c r="AC42" s="21" t="n">
        <f aca="false">IF(ISNUMBER(AC40),AC40+AC41,AC73)</f>
        <v>299.706</v>
      </c>
      <c r="AD42" s="21" t="n">
        <f aca="false">IF(ISNUMBER(AD40),AD40+AD41,AD73)</f>
        <v>588.544</v>
      </c>
      <c r="AE42" s="21" t="n">
        <f aca="false">IF(ISNUMBER(AE40),AE40+AE41,AE73)</f>
        <v>347.246</v>
      </c>
      <c r="AF42" s="21" t="n">
        <f aca="false">IF(ISNUMBER(AF40),AF40+AF41,AF73)</f>
        <v>332.659</v>
      </c>
      <c r="AG42" s="42" t="n">
        <f aca="false">IF(ISNUMBER(AG40),AG40+AG41,AG73)</f>
        <v>1268.449</v>
      </c>
      <c r="AH42" s="21" t="n">
        <f aca="false">IF(ISNUMBER(AH40),AH40+AH41,AH73)</f>
        <v>345.991</v>
      </c>
      <c r="AI42" s="21" t="n">
        <f aca="false">IF(ISNUMBER(AI40),AI40+AI41,AI73)</f>
        <v>349.532</v>
      </c>
      <c r="AJ42" s="21" t="n">
        <f aca="false">IF(ISNUMBER(AJ40),AJ40+AJ41,AJ73)</f>
        <v>695.523</v>
      </c>
      <c r="AK42" s="21" t="n">
        <f aca="false">IF(ISNUMBER(AK40),AK40+AK41,AK73)</f>
        <v>373.862</v>
      </c>
      <c r="AL42" s="21" t="n">
        <f aca="false">IF(ISNUMBER(AL40),AL40+AL41,AL73)</f>
        <v>378.596</v>
      </c>
      <c r="AM42" s="42" t="n">
        <f aca="false">IF(ISNUMBER(AM40),AM40+AM41,AM73)</f>
        <v>1447.981</v>
      </c>
      <c r="AN42" s="21" t="n">
        <f aca="false">IF(ISNUMBER(AN40),AN40+AN41,AN73)</f>
        <v>419.168</v>
      </c>
      <c r="AO42" s="21" t="n">
        <f aca="false">IF(ISNUMBER(AO40),AO40+AO41,AO73)</f>
        <v>459.106</v>
      </c>
      <c r="AP42" s="21" t="n">
        <f aca="false">IF(ISNUMBER(AP40),AP40+AP41,AP73)</f>
        <v>878.274</v>
      </c>
      <c r="AQ42" s="21" t="n">
        <f aca="false">IF(ISNUMBER(AQ40),AQ40+AQ41,AQ73)</f>
        <v>478.198</v>
      </c>
      <c r="AR42" s="21" t="n">
        <f aca="false">IF(ISNUMBER(AR40),AR40+AR41,AR73)</f>
        <v>449.223</v>
      </c>
      <c r="AS42" s="42" t="n">
        <f aca="false">IF(ISNUMBER(AS40),AS40+AS41,AS73)</f>
        <v>1805.695</v>
      </c>
      <c r="AT42" s="21" t="n">
        <f aca="false">IF(ISNUMBER(AT40),AT40+AT41,AT73)</f>
        <v>461.368</v>
      </c>
      <c r="AU42" s="21" t="n">
        <f aca="false">IF(ISNUMBER(AU40),AU40+AU41,AU73)</f>
        <v>484.898</v>
      </c>
      <c r="AV42" s="21" t="n">
        <f aca="false">IF(ISNUMBER(AV40),AV40+AV41,AV73)</f>
        <v>946.266</v>
      </c>
      <c r="AW42" s="21" t="n">
        <f aca="false">IF(ISNUMBER(AW40),AW40+AW41,AW73)</f>
        <v>553.116</v>
      </c>
      <c r="AX42" s="21" t="n">
        <f aca="false">IF(ISNUMBER(AX40),AX40+AX41,AX73)</f>
        <v>542.575</v>
      </c>
      <c r="AY42" s="42" t="n">
        <f aca="false">IF(ISNUMBER(AY40),AY40+AY41,AY73)</f>
        <v>2041.957</v>
      </c>
      <c r="AZ42" s="21" t="n">
        <f aca="false">IF(ISNUMBER(AZ40),AZ40+AZ41,AZ73)</f>
        <v>554.424</v>
      </c>
      <c r="BA42" s="21" t="n">
        <f aca="false">IF(ISNUMBER(BA40),BA40+BA41,BA73)</f>
        <v>575.14</v>
      </c>
      <c r="BB42" s="21" t="n">
        <f aca="false">IF(ISNUMBER(BB40),BB40+BB41,BB73)</f>
        <v>1129.564</v>
      </c>
      <c r="BC42" s="21" t="n">
        <f aca="false">IF(ISNUMBER(BC40),BC40+BC41,BC73)</f>
        <v>550.36</v>
      </c>
      <c r="BD42" s="21" t="n">
        <f aca="false">IF(ISNUMBER(BD40),BD40+BD41,BD73)</f>
        <v>525.659</v>
      </c>
      <c r="BE42" s="42" t="n">
        <f aca="false">IF(ISNUMBER(BE40),BE40+BE41,BE73)</f>
        <v>2205.583</v>
      </c>
      <c r="BF42" s="21" t="n">
        <f aca="false">IF(ISNUMBER(BF40),BF40+BF41,BF73)</f>
        <v>592.94</v>
      </c>
      <c r="BG42" s="21" t="n">
        <f aca="false">IF(ISNUMBER(BG40),BG40+BG41,BG73)</f>
        <v>617.031</v>
      </c>
      <c r="BH42" s="21" t="n">
        <f aca="false">IF(ISNUMBER(BH40),BH40+BH41,BH73)</f>
        <v>1209.971</v>
      </c>
      <c r="BI42" s="21" t="n">
        <f aca="false">IF(ISNUMBER(BI40),BI40+BI41,BI73)</f>
        <v>733.91</v>
      </c>
      <c r="BJ42" s="21" t="n">
        <f aca="false">IF(ISNUMBER(BJ40),BJ40+BJ41,BJ73)</f>
        <v>748.63</v>
      </c>
      <c r="BK42" s="42" t="n">
        <f aca="false">IF(ISNUMBER(BK40),BK40+BK41,BK73)</f>
        <v>2692.511</v>
      </c>
      <c r="BL42" s="21" t="n">
        <f aca="false">IF(ISNUMBER(BL40),BL40+BL41,BL73)</f>
        <v>810.132</v>
      </c>
      <c r="BM42" s="21" t="n">
        <f aca="false">IF(ISNUMBER(BM40),BM40+BM41,BM73)</f>
        <v>867.46</v>
      </c>
      <c r="BN42" s="21" t="n">
        <f aca="false">IF(ISNUMBER(BN40),BN40+BN41,BN73)</f>
        <v>1677.592</v>
      </c>
      <c r="BO42" s="21" t="n">
        <f aca="false">IF(ISNUMBER(BO40),BO40+BO41,BO73)</f>
        <v>939.941</v>
      </c>
      <c r="BP42" s="21" t="n">
        <f aca="false">IF(ISNUMBER(BP40),BP40+BP41,BP73)</f>
        <v>883.388</v>
      </c>
      <c r="BQ42" s="42" t="n">
        <f aca="false">IF(ISNUMBER(BQ40),BQ40+BQ41,BQ73)</f>
        <v>3500.921</v>
      </c>
      <c r="BR42" s="21" t="n">
        <f aca="false">IF(ISNUMBER(BR40),BR40+BR41,BR73)</f>
        <v>893.372</v>
      </c>
      <c r="BS42" s="21" t="n">
        <f aca="false">IF(ISNUMBER(BS40),BS40+BS41,BS73)</f>
        <v>956.724</v>
      </c>
      <c r="BT42" s="21" t="n">
        <f aca="false">IF(ISNUMBER(BT40),BT40+BT41,BT73)</f>
        <v>1850.096</v>
      </c>
      <c r="BU42" s="21" t="n">
        <f aca="false">IF(ISNUMBER(BU40),BU40+BU41,BU73)</f>
        <v>1021.831</v>
      </c>
      <c r="BV42" s="21" t="n">
        <f aca="false">IF(ISNUMBER(BV40),BV40+BV41,BV73)</f>
        <v>997.591</v>
      </c>
      <c r="BW42" s="42" t="n">
        <f aca="false">IF(ISNUMBER(BW40),BW40+BW41,BW73)</f>
        <v>3869.518</v>
      </c>
      <c r="BX42" s="21" t="n">
        <f aca="false">IF(ISNUMBER(BX40),BX40+BX41,BX73)</f>
        <v>1020.416</v>
      </c>
      <c r="BY42" s="21" t="n">
        <f aca="false">IF(ISNUMBER(BY40),BY40+BY41,BY73)</f>
        <v>1020.149</v>
      </c>
      <c r="BZ42" s="21" t="n">
        <f aca="false">IF(ISNUMBER(BZ40),BZ40+BZ41,BZ73)</f>
        <v>2040.565</v>
      </c>
      <c r="CA42" s="21" t="n">
        <f aca="false">IF(ISNUMBER(CA40),CA40+CA41,CA73)</f>
        <v>1127.259</v>
      </c>
      <c r="CB42" s="21" t="n">
        <f aca="false">IF(ISNUMBER(CB40),CB40+CB41,CB73)</f>
        <v>1068.999</v>
      </c>
      <c r="CC42" s="42" t="n">
        <f aca="false">IF(ISNUMBER(CC40),CC40+CC41,CC73)</f>
        <v>4236.823</v>
      </c>
      <c r="CD42" s="21" t="n">
        <f aca="false">IF(ISNUMBER(CD40),CD40+CD41,CD73)</f>
        <v>1146.829</v>
      </c>
      <c r="CE42" s="21" t="n">
        <f aca="false">IF(ISNUMBER(CE40),CE40+CE41,CE73)</f>
        <v>1163.316</v>
      </c>
      <c r="CF42" s="21" t="n">
        <f aca="false">IF(ISNUMBER(CF40),CF40+CF41,CF73)</f>
        <v>2310.145</v>
      </c>
      <c r="CG42" s="21" t="n">
        <f aca="false">IF(ISNUMBER(CG40),CG40+CG41,CG73)</f>
        <v>1211.716</v>
      </c>
      <c r="CH42" s="21" t="n">
        <f aca="false">IF(ISNUMBER(CH40),CH40+CH41,CH73)</f>
        <v>1125.097</v>
      </c>
      <c r="CI42" s="42" t="n">
        <f aca="false">IF(ISNUMBER(CI40),CI40+CI41,CI73)</f>
        <v>4646.958</v>
      </c>
      <c r="CJ42" s="21" t="n">
        <f aca="false">IF(ISNUMBER(CJ40),CJ40+CJ41,CJ73)</f>
        <v>1155.03</v>
      </c>
      <c r="CK42" s="21" t="n">
        <f aca="false">IF(ISNUMBER(CK40),CK40+CK41,CK73)</f>
        <v>1121.674</v>
      </c>
      <c r="CL42" s="21" t="n">
        <f aca="false">IF(ISNUMBER(CL40),CL40+CL41,CL73)</f>
        <v>2276.704</v>
      </c>
      <c r="CM42" s="21" t="n">
        <f aca="false">IF(ISNUMBER(CM40),CM40+CM41,CM73)</f>
        <v>1237.066</v>
      </c>
      <c r="CN42" s="21" t="n">
        <f aca="false">IF(ISNUMBER(CN40),CN40+CN41,CN73)</f>
        <v>1152.439</v>
      </c>
      <c r="CO42" s="42" t="n">
        <f aca="false">IF(ISNUMBER(CO40),CO40+CO41,CO73)</f>
        <v>4666.209</v>
      </c>
      <c r="CP42" s="42" t="n">
        <f aca="false">CP40+CP41</f>
        <v>4886.7571755</v>
      </c>
      <c r="CQ42" s="42" t="n">
        <f aca="false">CQ40+CQ41</f>
        <v>5173.529618047</v>
      </c>
      <c r="CR42" s="42" t="n">
        <f aca="false">CR40+CR41</f>
        <v>5493.6280935759</v>
      </c>
      <c r="CS42" s="42" t="n">
        <f aca="false">CS40+CS41</f>
        <v>5830.34337053615</v>
      </c>
      <c r="CT42" s="42" t="n">
        <f aca="false">CT40+CT41</f>
        <v>6188.25935749607</v>
      </c>
      <c r="CU42" s="24" t="s">
        <v>143</v>
      </c>
      <c r="CW42" s="25" t="n">
        <f aca="false">IFERROR((CT42/CO42)^(1/5)-1,"n/m")</f>
        <v>0.0580857465281293</v>
      </c>
      <c r="CX42" s="25" t="n">
        <f aca="false">IFERROR((CO42/BK42)^(1/5)-1,"n/m")</f>
        <v>0.116249661375315</v>
      </c>
      <c r="CY42" s="25" t="n">
        <f aca="false">IFERROR((CO42/AG42)^(1/10)-1,"n/m")</f>
        <v>0.139119057437913</v>
      </c>
      <c r="CZ42" s="25" t="n">
        <f aca="false">IFERROR((CO42/C42)^(1/20)-1,"n/m")</f>
        <v>0.115046664099074</v>
      </c>
      <c r="DC42" s="15" t="s">
        <v>110</v>
      </c>
      <c r="DD42" s="37" t="n">
        <f aca="false">MAX(0,DE42+$DD$39)</f>
        <v>1250</v>
      </c>
      <c r="DE42" s="38" t="n">
        <v>750</v>
      </c>
      <c r="DF42" s="37" t="n">
        <f aca="false">MAX(0,DE42+$DF$39)</f>
        <v>50</v>
      </c>
    </row>
    <row r="43" customFormat="false" ht="15" hidden="false" customHeight="false" outlineLevel="0" collapsed="false">
      <c r="B43" s="43" t="s">
        <v>144</v>
      </c>
      <c r="C43" s="39" t="str">
        <f aca="false">IF(ISNUMBER(C40),ROUND(C42-C73,1),"n/d")</f>
        <v>n/d</v>
      </c>
      <c r="D43" s="39" t="str">
        <f aca="false">IF(ISNUMBER(D40),ROUND(D42-D73,1),"n/d")</f>
        <v>n/d</v>
      </c>
      <c r="E43" s="39" t="str">
        <f aca="false">IF(ISNUMBER(E40),ROUND(E42-E73,1),"n/d")</f>
        <v>n/d</v>
      </c>
      <c r="F43" s="39" t="str">
        <f aca="false">IF(ISNUMBER(F40),ROUND(F42-F73,1),"n/d")</f>
        <v>n/d</v>
      </c>
      <c r="G43" s="39" t="str">
        <f aca="false">IF(ISNUMBER(G40),ROUND(G42-G73,1),"n/d")</f>
        <v>n/d</v>
      </c>
      <c r="H43" s="39" t="str">
        <f aca="false">IF(ISNUMBER(H40),ROUND(H42-H73,1),"n/d")</f>
        <v>n/d</v>
      </c>
      <c r="I43" s="39" t="str">
        <f aca="false">IF(ISNUMBER(I40),ROUND(I42-I73,1),"n/d")</f>
        <v>n/d</v>
      </c>
      <c r="J43" s="39" t="str">
        <f aca="false">IF(ISNUMBER(J40),ROUND(J42-J73,1),"n/d")</f>
        <v>n/d</v>
      </c>
      <c r="K43" s="39" t="str">
        <f aca="false">IF(ISNUMBER(K40),ROUND(K42-K73,1),"n/d")</f>
        <v>n/d</v>
      </c>
      <c r="L43" s="39" t="str">
        <f aca="false">IF(ISNUMBER(L40),ROUND(L42-L73,1),"n/d")</f>
        <v>n/d</v>
      </c>
      <c r="M43" s="39" t="str">
        <f aca="false">IF(ISNUMBER(M40),ROUND(M42-M73,1),"n/d")</f>
        <v>n/d</v>
      </c>
      <c r="N43" s="39" t="str">
        <f aca="false">IF(ISNUMBER(N40),ROUND(N42-N73,1),"n/d")</f>
        <v>n/d</v>
      </c>
      <c r="O43" s="39" t="str">
        <f aca="false">IF(ISNUMBER(O40),ROUND(O42-O73,1),"n/d")</f>
        <v>n/d</v>
      </c>
      <c r="P43" s="39" t="str">
        <f aca="false">IF(ISNUMBER(P40),ROUND(P42-P73,1),"n/d")</f>
        <v>n/d</v>
      </c>
      <c r="Q43" s="39" t="str">
        <f aca="false">IF(ISNUMBER(Q40),ROUND(Q42-Q73,1),"n/d")</f>
        <v>n/d</v>
      </c>
      <c r="R43" s="39" t="str">
        <f aca="false">IF(ISNUMBER(R40),ROUND(R42-R73,1),"n/d")</f>
        <v>n/d</v>
      </c>
      <c r="S43" s="39" t="str">
        <f aca="false">IF(ISNUMBER(S40),ROUND(S42-S73,1),"n/d")</f>
        <v>n/d</v>
      </c>
      <c r="T43" s="39" t="str">
        <f aca="false">IF(ISNUMBER(T40),ROUND(T42-T73,1),"n/d")</f>
        <v>n/d</v>
      </c>
      <c r="U43" s="39" t="str">
        <f aca="false">IF(ISNUMBER(U40),ROUND(U42-U73,1),"n/d")</f>
        <v>n/d</v>
      </c>
      <c r="V43" s="39" t="str">
        <f aca="false">IF(ISNUMBER(V40),ROUND(V42-V73,1),"n/d")</f>
        <v>n/d</v>
      </c>
      <c r="W43" s="39" t="str">
        <f aca="false">IF(ISNUMBER(W40),ROUND(W42-W73,1),"n/d")</f>
        <v>n/d</v>
      </c>
      <c r="X43" s="39" t="str">
        <f aca="false">IF(ISNUMBER(X40),ROUND(X42-X73,1),"n/d")</f>
        <v>n/d</v>
      </c>
      <c r="Y43" s="39" t="str">
        <f aca="false">IF(ISNUMBER(Y40),ROUND(Y42-Y73,1),"n/d")</f>
        <v>n/d</v>
      </c>
      <c r="Z43" s="39" t="str">
        <f aca="false">IF(ISNUMBER(Z40),ROUND(Z42-Z73,1),"n/d")</f>
        <v>n/d</v>
      </c>
      <c r="AA43" s="39" t="str">
        <f aca="false">IF(ISNUMBER(AA40),ROUND(AA42-AA73,1),"n/d")</f>
        <v>n/d</v>
      </c>
      <c r="AB43" s="39" t="str">
        <f aca="false">IF(ISNUMBER(AB40),ROUND(AB42-AB73,1),"n/d")</f>
        <v>n/d</v>
      </c>
      <c r="AC43" s="39" t="str">
        <f aca="false">IF(ISNUMBER(AC40),ROUND(AC42-AC73,1),"n/d")</f>
        <v>n/d</v>
      </c>
      <c r="AD43" s="39" t="str">
        <f aca="false">IF(ISNUMBER(AD40),ROUND(AD42-AD73,1),"n/d")</f>
        <v>n/d</v>
      </c>
      <c r="AE43" s="39" t="str">
        <f aca="false">IF(ISNUMBER(AE40),ROUND(AE42-AE73,1),"n/d")</f>
        <v>n/d</v>
      </c>
      <c r="AF43" s="39" t="str">
        <f aca="false">IF(ISNUMBER(AF40),ROUND(AF42-AF73,1),"n/d")</f>
        <v>n/d</v>
      </c>
      <c r="AG43" s="39" t="str">
        <f aca="false">IF(ISNUMBER(AG40),ROUND(AG42-AG73,1),"n/d")</f>
        <v>n/d</v>
      </c>
      <c r="AH43" s="39" t="str">
        <f aca="false">IF(ISNUMBER(AH40),ROUND(AH42-AH73,1),"n/d")</f>
        <v>n/d</v>
      </c>
      <c r="AI43" s="39" t="str">
        <f aca="false">IF(ISNUMBER(AI40),ROUND(AI42-AI73,1),"n/d")</f>
        <v>n/d</v>
      </c>
      <c r="AJ43" s="39" t="str">
        <f aca="false">IF(ISNUMBER(AJ40),ROUND(AJ42-AJ73,1),"n/d")</f>
        <v>n/d</v>
      </c>
      <c r="AK43" s="39" t="str">
        <f aca="false">IF(ISNUMBER(AK40),ROUND(AK42-AK73,1),"n/d")</f>
        <v>n/d</v>
      </c>
      <c r="AL43" s="39" t="str">
        <f aca="false">IF(ISNUMBER(AL40),ROUND(AL42-AL73,1),"n/d")</f>
        <v>n/d</v>
      </c>
      <c r="AM43" s="39" t="n">
        <f aca="false">IF(ISNUMBER(AM40),ROUND(AM42-AM73,1),"n/d")</f>
        <v>0</v>
      </c>
      <c r="AN43" s="39" t="n">
        <f aca="false">IF(ISNUMBER(AN40),ROUND(AN42-AN73,1),"n/d")</f>
        <v>0</v>
      </c>
      <c r="AO43" s="39" t="n">
        <f aca="false">IF(ISNUMBER(AO40),ROUND(AO42-AO73,1),"n/d")</f>
        <v>0</v>
      </c>
      <c r="AP43" s="39" t="n">
        <f aca="false">IF(ISNUMBER(AP40),ROUND(AP42-AP73,1),"n/d")</f>
        <v>0</v>
      </c>
      <c r="AQ43" s="39" t="n">
        <f aca="false">IF(ISNUMBER(AQ40),ROUND(AQ42-AQ73,1),"n/d")</f>
        <v>0</v>
      </c>
      <c r="AR43" s="39" t="n">
        <f aca="false">IF(ISNUMBER(AR40),ROUND(AR42-AR73,1),"n/d")</f>
        <v>0</v>
      </c>
      <c r="AS43" s="39" t="n">
        <f aca="false">IF(ISNUMBER(AS40),ROUND(AS42-AS73,1),"n/d")</f>
        <v>0</v>
      </c>
      <c r="AT43" s="39" t="n">
        <f aca="false">IF(ISNUMBER(AT40),ROUND(AT42-AT73,1),"n/d")</f>
        <v>0</v>
      </c>
      <c r="AU43" s="39" t="n">
        <f aca="false">IF(ISNUMBER(AU40),ROUND(AU42-AU73,1),"n/d")</f>
        <v>0</v>
      </c>
      <c r="AV43" s="39" t="n">
        <f aca="false">IF(ISNUMBER(AV40),ROUND(AV42-AV73,1),"n/d")</f>
        <v>0</v>
      </c>
      <c r="AW43" s="39" t="n">
        <f aca="false">IF(ISNUMBER(AW40),ROUND(AW42-AW73,1),"n/d")</f>
        <v>0</v>
      </c>
      <c r="AX43" s="39" t="n">
        <f aca="false">IF(ISNUMBER(AX40),ROUND(AX42-AX73,1),"n/d")</f>
        <v>0</v>
      </c>
      <c r="AY43" s="39" t="n">
        <f aca="false">IF(ISNUMBER(AY40),ROUND(AY42-AY73,1),"n/d")</f>
        <v>0</v>
      </c>
      <c r="AZ43" s="39" t="n">
        <f aca="false">IF(ISNUMBER(AZ40),ROUND(AZ42-AZ73,1),"n/d")</f>
        <v>0</v>
      </c>
      <c r="BA43" s="39" t="n">
        <f aca="false">IF(ISNUMBER(BA40),ROUND(BA42-BA73,1),"n/d")</f>
        <v>0</v>
      </c>
      <c r="BB43" s="39" t="n">
        <f aca="false">IF(ISNUMBER(BB40),ROUND(BB42-BB73,1),"n/d")</f>
        <v>0</v>
      </c>
      <c r="BC43" s="39" t="n">
        <f aca="false">IF(ISNUMBER(BC40),ROUND(BC42-BC73,1),"n/d")</f>
        <v>0</v>
      </c>
      <c r="BD43" s="39" t="n">
        <f aca="false">IF(ISNUMBER(BD40),ROUND(BD42-BD73,1),"n/d")</f>
        <v>0</v>
      </c>
      <c r="BE43" s="39" t="n">
        <f aca="false">IF(ISNUMBER(BE40),ROUND(BE42-BE73,1),"n/d")</f>
        <v>0</v>
      </c>
      <c r="BF43" s="39" t="n">
        <f aca="false">IF(ISNUMBER(BF40),ROUND(BF42-BF73,1),"n/d")</f>
        <v>0</v>
      </c>
      <c r="BG43" s="39" t="n">
        <f aca="false">IF(ISNUMBER(BG40),ROUND(BG42-BG73,1),"n/d")</f>
        <v>0</v>
      </c>
      <c r="BH43" s="39" t="n">
        <f aca="false">IF(ISNUMBER(BH40),ROUND(BH42-BH73,1),"n/d")</f>
        <v>0</v>
      </c>
      <c r="BI43" s="39" t="n">
        <f aca="false">IF(ISNUMBER(BI40),ROUND(BI42-BI73,1),"n/d")</f>
        <v>0</v>
      </c>
      <c r="BJ43" s="39" t="n">
        <f aca="false">IF(ISNUMBER(BJ40),ROUND(BJ42-BJ73,1),"n/d")</f>
        <v>0</v>
      </c>
      <c r="BK43" s="39" t="n">
        <f aca="false">IF(ISNUMBER(BK40),ROUND(BK42-BK73,1),"n/d")</f>
        <v>0</v>
      </c>
      <c r="BL43" s="39" t="n">
        <f aca="false">IF(ISNUMBER(BL40),ROUND(BL42-BL73,1),"n/d")</f>
        <v>0</v>
      </c>
      <c r="BM43" s="39" t="n">
        <f aca="false">IF(ISNUMBER(BM40),ROUND(BM42-BM73,1),"n/d")</f>
        <v>0</v>
      </c>
      <c r="BN43" s="39" t="n">
        <f aca="false">IF(ISNUMBER(BN40),ROUND(BN42-BN73,1),"n/d")</f>
        <v>0</v>
      </c>
      <c r="BO43" s="39" t="n">
        <f aca="false">IF(ISNUMBER(BO40),ROUND(BO42-BO73,1),"n/d")</f>
        <v>0</v>
      </c>
      <c r="BP43" s="39" t="n">
        <f aca="false">IF(ISNUMBER(BP40),ROUND(BP42-BP73,1),"n/d")</f>
        <v>0</v>
      </c>
      <c r="BQ43" s="39" t="n">
        <f aca="false">IF(ISNUMBER(BQ40),ROUND(BQ42-BQ73,1),"n/d")</f>
        <v>0</v>
      </c>
      <c r="BR43" s="39" t="n">
        <f aca="false">IF(ISNUMBER(BR40),ROUND(BR42-BR73,1),"n/d")</f>
        <v>0</v>
      </c>
      <c r="BS43" s="39" t="n">
        <f aca="false">IF(ISNUMBER(BS40),ROUND(BS42-BS73,1),"n/d")</f>
        <v>0</v>
      </c>
      <c r="BT43" s="39" t="n">
        <f aca="false">IF(ISNUMBER(BT40),ROUND(BT42-BT73,1),"n/d")</f>
        <v>0</v>
      </c>
      <c r="BU43" s="39" t="n">
        <f aca="false">IF(ISNUMBER(BU40),ROUND(BU42-BU73,1),"n/d")</f>
        <v>0</v>
      </c>
      <c r="BV43" s="39" t="n">
        <f aca="false">IF(ISNUMBER(BV40),ROUND(BV42-BV73,1),"n/d")</f>
        <v>0</v>
      </c>
      <c r="BW43" s="39" t="n">
        <f aca="false">IF(ISNUMBER(BW40),ROUND(BW42-BW73,1),"n/d")</f>
        <v>0</v>
      </c>
      <c r="BX43" s="39" t="n">
        <f aca="false">IF(ISNUMBER(BX40),ROUND(BX42-BX73,1),"n/d")</f>
        <v>0</v>
      </c>
      <c r="BY43" s="39" t="n">
        <f aca="false">IF(ISNUMBER(BY40),ROUND(BY42-BY73,1),"n/d")</f>
        <v>0</v>
      </c>
      <c r="BZ43" s="39" t="n">
        <f aca="false">IF(ISNUMBER(BZ40),ROUND(BZ42-BZ73,1),"n/d")</f>
        <v>0</v>
      </c>
      <c r="CA43" s="39" t="n">
        <f aca="false">IF(ISNUMBER(CA40),ROUND(CA42-CA73,1),"n/d")</f>
        <v>0</v>
      </c>
      <c r="CB43" s="39" t="n">
        <f aca="false">IF(ISNUMBER(CB40),ROUND(CB42-CB73,1),"n/d")</f>
        <v>0</v>
      </c>
      <c r="CC43" s="39" t="n">
        <f aca="false">IF(ISNUMBER(CC40),ROUND(CC42-CC73,1),"n/d")</f>
        <v>0</v>
      </c>
      <c r="CD43" s="39" t="n">
        <f aca="false">IF(ISNUMBER(CD40),ROUND(CD42-CD73,1),"n/d")</f>
        <v>0</v>
      </c>
      <c r="CE43" s="39" t="n">
        <f aca="false">IF(ISNUMBER(CE40),ROUND(CE42-CE73,1),"n/d")</f>
        <v>0</v>
      </c>
      <c r="CF43" s="39" t="n">
        <f aca="false">IF(ISNUMBER(CF40),ROUND(CF42-CF73,1),"n/d")</f>
        <v>0</v>
      </c>
      <c r="CG43" s="39" t="n">
        <f aca="false">IF(ISNUMBER(CG40),ROUND(CG42-CG73,1),"n/d")</f>
        <v>0</v>
      </c>
      <c r="CH43" s="39" t="n">
        <f aca="false">IF(ISNUMBER(CH40),ROUND(CH42-CH73,1),"n/d")</f>
        <v>0</v>
      </c>
      <c r="CI43" s="39" t="n">
        <f aca="false">IF(ISNUMBER(CI40),ROUND(CI42-CI73,1),"n/d")</f>
        <v>0</v>
      </c>
      <c r="CJ43" s="39" t="n">
        <f aca="false">IF(ISNUMBER(CJ40),ROUND(CJ42-CJ73,1),"n/d")</f>
        <v>0</v>
      </c>
      <c r="CK43" s="39" t="n">
        <f aca="false">IF(ISNUMBER(CK40),ROUND(CK42-CK73,1),"n/d")</f>
        <v>0</v>
      </c>
      <c r="CL43" s="39" t="n">
        <f aca="false">IF(ISNUMBER(CL40),ROUND(CL42-CL73,1),"n/d")</f>
        <v>0</v>
      </c>
      <c r="CM43" s="39" t="n">
        <f aca="false">IF(ISNUMBER(CM40),ROUND(CM42-CM73,1),"n/d")</f>
        <v>0</v>
      </c>
      <c r="CN43" s="39" t="n">
        <f aca="false">IF(ISNUMBER(CN40),ROUND(CN42-CN73,1),"n/d")</f>
        <v>0</v>
      </c>
      <c r="CO43" s="39" t="n">
        <f aca="false">IF(ISNUMBER(CO40),ROUND(CO42-CO73,1),"n/d")</f>
        <v>0</v>
      </c>
      <c r="CP43" s="40" t="n">
        <f aca="false">ROUND(CP42-CP73,1)</f>
        <v>0</v>
      </c>
      <c r="CQ43" s="40" t="n">
        <f aca="false">ROUND(CQ42-CQ73,1)</f>
        <v>0</v>
      </c>
      <c r="CR43" s="40" t="n">
        <f aca="false">ROUND(CR42-CR73,1)</f>
        <v>0</v>
      </c>
      <c r="CS43" s="40" t="n">
        <f aca="false">ROUND(CS42-CS73,1)</f>
        <v>0</v>
      </c>
      <c r="CT43" s="40" t="n">
        <f aca="false">ROUND(CT42-CT73,1)</f>
        <v>0</v>
      </c>
      <c r="CU43" s="24"/>
      <c r="CW43" s="6"/>
      <c r="CX43" s="6"/>
      <c r="CY43" s="6"/>
      <c r="CZ43" s="6"/>
      <c r="DC43" s="15" t="s">
        <v>112</v>
      </c>
      <c r="DD43" s="37" t="n">
        <f aca="false">MAX(0,DE43+$DD$39)</f>
        <v>1250</v>
      </c>
      <c r="DE43" s="38" t="n">
        <v>750</v>
      </c>
      <c r="DF43" s="37" t="n">
        <f aca="false">MAX(0,DE43+$DF$39)</f>
        <v>50</v>
      </c>
    </row>
    <row r="44" customFormat="false" ht="15" hidden="false" customHeight="false" outlineLevel="0" collapsed="false">
      <c r="B44" s="43" t="s">
        <v>145</v>
      </c>
      <c r="C44" s="39" t="n">
        <f aca="false">IF(AND(ISNUMBER(C18),ISNUMBER(C32)),ROUND(C18+C32-C73,1),"n/d")</f>
        <v>0</v>
      </c>
      <c r="D44" s="39" t="n">
        <f aca="false">IF(AND(ISNUMBER(D18),ISNUMBER(D32)),ROUND(D18+D32-D73,1),"n/d")</f>
        <v>0</v>
      </c>
      <c r="E44" s="39" t="n">
        <f aca="false">IF(AND(ISNUMBER(E18),ISNUMBER(E32)),ROUND(E18+E32-E73,1),"n/d")</f>
        <v>0</v>
      </c>
      <c r="F44" s="39" t="n">
        <f aca="false">IF(AND(ISNUMBER(F18),ISNUMBER(F32)),ROUND(F18+F32-F73,1),"n/d")</f>
        <v>0</v>
      </c>
      <c r="G44" s="39" t="n">
        <f aca="false">IF(AND(ISNUMBER(G18),ISNUMBER(G32)),ROUND(G18+G32-G73,1),"n/d")</f>
        <v>0</v>
      </c>
      <c r="H44" s="39" t="n">
        <f aca="false">IF(AND(ISNUMBER(H18),ISNUMBER(H32)),ROUND(H18+H32-H73,1),"n/d")</f>
        <v>0</v>
      </c>
      <c r="I44" s="39" t="n">
        <f aca="false">IF(AND(ISNUMBER(I18),ISNUMBER(I32)),ROUND(I18+I32-I73,1),"n/d")</f>
        <v>0</v>
      </c>
      <c r="J44" s="39" t="str">
        <f aca="false">IF(AND(ISNUMBER(J18),ISNUMBER(J32)),ROUND(J18+J32-J73,1),"n/d")</f>
        <v>n/d</v>
      </c>
      <c r="K44" s="39" t="str">
        <f aca="false">IF(AND(ISNUMBER(K18),ISNUMBER(K32)),ROUND(K18+K32-K73,1),"n/d")</f>
        <v>n/d</v>
      </c>
      <c r="L44" s="39" t="str">
        <f aca="false">IF(AND(ISNUMBER(L18),ISNUMBER(L32)),ROUND(L18+L32-L73,1),"n/d")</f>
        <v>n/d</v>
      </c>
      <c r="M44" s="39" t="str">
        <f aca="false">IF(AND(ISNUMBER(M18),ISNUMBER(M32)),ROUND(M18+M32-M73,1),"n/d")</f>
        <v>n/d</v>
      </c>
      <c r="N44" s="39" t="str">
        <f aca="false">IF(AND(ISNUMBER(N18),ISNUMBER(N32)),ROUND(N18+N32-N73,1),"n/d")</f>
        <v>n/d</v>
      </c>
      <c r="O44" s="39" t="str">
        <f aca="false">IF(AND(ISNUMBER(O18),ISNUMBER(O32)),ROUND(O18+O32-O73,1),"n/d")</f>
        <v>n/d</v>
      </c>
      <c r="P44" s="39" t="str">
        <f aca="false">IF(AND(ISNUMBER(P18),ISNUMBER(P32)),ROUND(P18+P32-P73,1),"n/d")</f>
        <v>n/d</v>
      </c>
      <c r="Q44" s="39" t="str">
        <f aca="false">IF(AND(ISNUMBER(Q18),ISNUMBER(Q32)),ROUND(Q18+Q32-Q73,1),"n/d")</f>
        <v>n/d</v>
      </c>
      <c r="R44" s="39" t="str">
        <f aca="false">IF(AND(ISNUMBER(R18),ISNUMBER(R32)),ROUND(R18+R32-R73,1),"n/d")</f>
        <v>n/d</v>
      </c>
      <c r="S44" s="39" t="str">
        <f aca="false">IF(AND(ISNUMBER(S18),ISNUMBER(S32)),ROUND(S18+S32-S73,1),"n/d")</f>
        <v>n/d</v>
      </c>
      <c r="T44" s="39" t="str">
        <f aca="false">IF(AND(ISNUMBER(T18),ISNUMBER(T32)),ROUND(T18+T32-T73,1),"n/d")</f>
        <v>n/d</v>
      </c>
      <c r="U44" s="39" t="n">
        <f aca="false">IF(AND(ISNUMBER(U18),ISNUMBER(U32)),ROUND(U18+U32-U73,1),"n/d")</f>
        <v>0</v>
      </c>
      <c r="V44" s="39" t="str">
        <f aca="false">IF(AND(ISNUMBER(V18),ISNUMBER(V32)),ROUND(V18+V32-V73,1),"n/d")</f>
        <v>n/d</v>
      </c>
      <c r="W44" s="39" t="str">
        <f aca="false">IF(AND(ISNUMBER(W18),ISNUMBER(W32)),ROUND(W18+W32-W73,1),"n/d")</f>
        <v>n/d</v>
      </c>
      <c r="X44" s="39" t="str">
        <f aca="false">IF(AND(ISNUMBER(X18),ISNUMBER(X32)),ROUND(X18+X32-X73,1),"n/d")</f>
        <v>n/d</v>
      </c>
      <c r="Y44" s="39" t="str">
        <f aca="false">IF(AND(ISNUMBER(Y18),ISNUMBER(Y32)),ROUND(Y18+Y32-Y73,1),"n/d")</f>
        <v>n/d</v>
      </c>
      <c r="Z44" s="39" t="str">
        <f aca="false">IF(AND(ISNUMBER(Z18),ISNUMBER(Z32)),ROUND(Z18+Z32-Z73,1),"n/d")</f>
        <v>n/d</v>
      </c>
      <c r="AA44" s="39" t="n">
        <f aca="false">IF(AND(ISNUMBER(AA18),ISNUMBER(AA32)),ROUND(AA18+AA32-AA73,1),"n/d")</f>
        <v>0</v>
      </c>
      <c r="AB44" s="39" t="n">
        <f aca="false">IF(AND(ISNUMBER(AB18),ISNUMBER(AB32)),ROUND(AB18+AB32-AB73,1),"n/d")</f>
        <v>0</v>
      </c>
      <c r="AC44" s="39" t="n">
        <f aca="false">IF(AND(ISNUMBER(AC18),ISNUMBER(AC32)),ROUND(AC18+AC32-AC73,1),"n/d")</f>
        <v>0</v>
      </c>
      <c r="AD44" s="39" t="n">
        <f aca="false">IF(AND(ISNUMBER(AD18),ISNUMBER(AD32)),ROUND(AD18+AD32-AD73,1),"n/d")</f>
        <v>0</v>
      </c>
      <c r="AE44" s="39" t="n">
        <f aca="false">IF(AND(ISNUMBER(AE18),ISNUMBER(AE32)),ROUND(AE18+AE32-AE73,1),"n/d")</f>
        <v>0</v>
      </c>
      <c r="AF44" s="39" t="n">
        <f aca="false">IF(AND(ISNUMBER(AF18),ISNUMBER(AF32)),ROUND(AF18+AF32-AF73,1),"n/d")</f>
        <v>0</v>
      </c>
      <c r="AG44" s="39" t="n">
        <f aca="false">IF(AND(ISNUMBER(AG18),ISNUMBER(AG32)),ROUND(AG18+AG32-AG73,1),"n/d")</f>
        <v>0</v>
      </c>
      <c r="AH44" s="39" t="n">
        <f aca="false">IF(AND(ISNUMBER(AH18),ISNUMBER(AH32)),ROUND(AH18+AH32-AH73,1),"n/d")</f>
        <v>0</v>
      </c>
      <c r="AI44" s="39" t="n">
        <f aca="false">IF(AND(ISNUMBER(AI18),ISNUMBER(AI32)),ROUND(AI18+AI32-AI73,1),"n/d")</f>
        <v>0</v>
      </c>
      <c r="AJ44" s="39" t="n">
        <f aca="false">IF(AND(ISNUMBER(AJ18),ISNUMBER(AJ32)),ROUND(AJ18+AJ32-AJ73,1),"n/d")</f>
        <v>0</v>
      </c>
      <c r="AK44" s="39" t="n">
        <f aca="false">IF(AND(ISNUMBER(AK18),ISNUMBER(AK32)),ROUND(AK18+AK32-AK73,1),"n/d")</f>
        <v>0</v>
      </c>
      <c r="AL44" s="39" t="n">
        <f aca="false">IF(AND(ISNUMBER(AL18),ISNUMBER(AL32)),ROUND(AL18+AL32-AL73,1),"n/d")</f>
        <v>0</v>
      </c>
      <c r="AM44" s="39" t="n">
        <f aca="false">IF(AND(ISNUMBER(AM18),ISNUMBER(AM32)),ROUND(AM18+AM32-AM73,1),"n/d")</f>
        <v>0</v>
      </c>
      <c r="AN44" s="39" t="n">
        <f aca="false">IF(AND(ISNUMBER(AN18),ISNUMBER(AN32)),ROUND(AN18+AN32-AN73,1),"n/d")</f>
        <v>0</v>
      </c>
      <c r="AO44" s="39" t="n">
        <f aca="false">IF(AND(ISNUMBER(AO18),ISNUMBER(AO32)),ROUND(AO18+AO32-AO73,1),"n/d")</f>
        <v>0</v>
      </c>
      <c r="AP44" s="39" t="n">
        <f aca="false">IF(AND(ISNUMBER(AP18),ISNUMBER(AP32)),ROUND(AP18+AP32-AP73,1),"n/d")</f>
        <v>0</v>
      </c>
      <c r="AQ44" s="39" t="n">
        <f aca="false">IF(AND(ISNUMBER(AQ18),ISNUMBER(AQ32)),ROUND(AQ18+AQ32-AQ73,1),"n/d")</f>
        <v>0</v>
      </c>
      <c r="AR44" s="39" t="n">
        <f aca="false">IF(AND(ISNUMBER(AR18),ISNUMBER(AR32)),ROUND(AR18+AR32-AR73,1),"n/d")</f>
        <v>0</v>
      </c>
      <c r="AS44" s="39" t="n">
        <f aca="false">IF(AND(ISNUMBER(AS18),ISNUMBER(AS32)),ROUND(AS18+AS32-AS73,1),"n/d")</f>
        <v>0</v>
      </c>
      <c r="AT44" s="39" t="n">
        <f aca="false">IF(AND(ISNUMBER(AT18),ISNUMBER(AT32)),ROUND(AT18+AT32-AT73,1),"n/d")</f>
        <v>0</v>
      </c>
      <c r="AU44" s="39" t="n">
        <f aca="false">IF(AND(ISNUMBER(AU18),ISNUMBER(AU32)),ROUND(AU18+AU32-AU73,1),"n/d")</f>
        <v>0</v>
      </c>
      <c r="AV44" s="39" t="n">
        <f aca="false">IF(AND(ISNUMBER(AV18),ISNUMBER(AV32)),ROUND(AV18+AV32-AV73,1),"n/d")</f>
        <v>0</v>
      </c>
      <c r="AW44" s="39" t="n">
        <f aca="false">IF(AND(ISNUMBER(AW18),ISNUMBER(AW32)),ROUND(AW18+AW32-AW73,1),"n/d")</f>
        <v>0</v>
      </c>
      <c r="AX44" s="39" t="n">
        <f aca="false">IF(AND(ISNUMBER(AX18),ISNUMBER(AX32)),ROUND(AX18+AX32-AX73,1),"n/d")</f>
        <v>0</v>
      </c>
      <c r="AY44" s="39" t="n">
        <f aca="false">IF(AND(ISNUMBER(AY18),ISNUMBER(AY32)),ROUND(AY18+AY32-AY73,1),"n/d")</f>
        <v>0</v>
      </c>
      <c r="AZ44" s="39" t="n">
        <f aca="false">IF(AND(ISNUMBER(AZ18),ISNUMBER(AZ32)),ROUND(AZ18+AZ32-AZ73,1),"n/d")</f>
        <v>0</v>
      </c>
      <c r="BA44" s="39" t="n">
        <f aca="false">IF(AND(ISNUMBER(BA18),ISNUMBER(BA32)),ROUND(BA18+BA32-BA73,1),"n/d")</f>
        <v>0</v>
      </c>
      <c r="BB44" s="39" t="n">
        <f aca="false">IF(AND(ISNUMBER(BB18),ISNUMBER(BB32)),ROUND(BB18+BB32-BB73,1),"n/d")</f>
        <v>0</v>
      </c>
      <c r="BC44" s="39" t="n">
        <f aca="false">IF(AND(ISNUMBER(BC18),ISNUMBER(BC32)),ROUND(BC18+BC32-BC73,1),"n/d")</f>
        <v>0</v>
      </c>
      <c r="BD44" s="39" t="n">
        <f aca="false">IF(AND(ISNUMBER(BD18),ISNUMBER(BD32)),ROUND(BD18+BD32-BD73,1),"n/d")</f>
        <v>0</v>
      </c>
      <c r="BE44" s="39" t="n">
        <f aca="false">IF(AND(ISNUMBER(BE18),ISNUMBER(BE32)),ROUND(BE18+BE32-BE73,1),"n/d")</f>
        <v>0</v>
      </c>
      <c r="BF44" s="39" t="n">
        <f aca="false">IF(AND(ISNUMBER(BF18),ISNUMBER(BF32)),ROUND(BF18+BF32-BF73,1),"n/d")</f>
        <v>0</v>
      </c>
      <c r="BG44" s="39" t="n">
        <f aca="false">IF(AND(ISNUMBER(BG18),ISNUMBER(BG32)),ROUND(BG18+BG32-BG73,1),"n/d")</f>
        <v>0</v>
      </c>
      <c r="BH44" s="39" t="n">
        <f aca="false">IF(AND(ISNUMBER(BH18),ISNUMBER(BH32)),ROUND(BH18+BH32-BH73,1),"n/d")</f>
        <v>0</v>
      </c>
      <c r="BI44" s="39" t="n">
        <f aca="false">IF(AND(ISNUMBER(BI18),ISNUMBER(BI32)),ROUND(BI18+BI32-BI73,1),"n/d")</f>
        <v>0</v>
      </c>
      <c r="BJ44" s="39" t="n">
        <f aca="false">IF(AND(ISNUMBER(BJ18),ISNUMBER(BJ32)),ROUND(BJ18+BJ32-BJ73,1),"n/d")</f>
        <v>0</v>
      </c>
      <c r="BK44" s="39" t="n">
        <f aca="false">IF(AND(ISNUMBER(BK18),ISNUMBER(BK32)),ROUND(BK18+BK32-BK73,1),"n/d")</f>
        <v>0</v>
      </c>
      <c r="BL44" s="39" t="n">
        <f aca="false">IF(AND(ISNUMBER(BL18),ISNUMBER(BL32)),ROUND(BL18+BL32-BL73,1),"n/d")</f>
        <v>0</v>
      </c>
      <c r="BM44" s="39" t="n">
        <f aca="false">IF(AND(ISNUMBER(BM18),ISNUMBER(BM32)),ROUND(BM18+BM32-BM73,1),"n/d")</f>
        <v>0</v>
      </c>
      <c r="BN44" s="39" t="n">
        <f aca="false">IF(AND(ISNUMBER(BN18),ISNUMBER(BN32)),ROUND(BN18+BN32-BN73,1),"n/d")</f>
        <v>0</v>
      </c>
      <c r="BO44" s="39" t="n">
        <f aca="false">IF(AND(ISNUMBER(BO18),ISNUMBER(BO32)),ROUND(BO18+BO32-BO73,1),"n/d")</f>
        <v>0</v>
      </c>
      <c r="BP44" s="39" t="n">
        <f aca="false">IF(AND(ISNUMBER(BP18),ISNUMBER(BP32)),ROUND(BP18+BP32-BP73,1),"n/d")</f>
        <v>0</v>
      </c>
      <c r="BQ44" s="39" t="n">
        <f aca="false">IF(AND(ISNUMBER(BQ18),ISNUMBER(BQ32)),ROUND(BQ18+BQ32-BQ73,1),"n/d")</f>
        <v>0</v>
      </c>
      <c r="BR44" s="39" t="n">
        <f aca="false">IF(AND(ISNUMBER(BR18),ISNUMBER(BR32)),ROUND(BR18+BR32-BR73,1),"n/d")</f>
        <v>0</v>
      </c>
      <c r="BS44" s="39" t="n">
        <f aca="false">IF(AND(ISNUMBER(BS18),ISNUMBER(BS32)),ROUND(BS18+BS32-BS73,1),"n/d")</f>
        <v>0</v>
      </c>
      <c r="BT44" s="39" t="n">
        <f aca="false">IF(AND(ISNUMBER(BT18),ISNUMBER(BT32)),ROUND(BT18+BT32-BT73,1),"n/d")</f>
        <v>0</v>
      </c>
      <c r="BU44" s="39" t="n">
        <f aca="false">IF(AND(ISNUMBER(BU18),ISNUMBER(BU32)),ROUND(BU18+BU32-BU73,1),"n/d")</f>
        <v>0</v>
      </c>
      <c r="BV44" s="39" t="n">
        <f aca="false">IF(AND(ISNUMBER(BV18),ISNUMBER(BV32)),ROUND(BV18+BV32-BV73,1),"n/d")</f>
        <v>0</v>
      </c>
      <c r="BW44" s="39" t="n">
        <f aca="false">IF(AND(ISNUMBER(BW18),ISNUMBER(BW32)),ROUND(BW18+BW32-BW73,1),"n/d")</f>
        <v>0</v>
      </c>
      <c r="BX44" s="39" t="n">
        <f aca="false">IF(AND(ISNUMBER(BX18),ISNUMBER(BX32)),ROUND(BX18+BX32-BX73,1),"n/d")</f>
        <v>0</v>
      </c>
      <c r="BY44" s="39" t="n">
        <f aca="false">IF(AND(ISNUMBER(BY18),ISNUMBER(BY32)),ROUND(BY18+BY32-BY73,1),"n/d")</f>
        <v>0</v>
      </c>
      <c r="BZ44" s="39" t="n">
        <f aca="false">IF(AND(ISNUMBER(BZ18),ISNUMBER(BZ32)),ROUND(BZ18+BZ32-BZ73,1),"n/d")</f>
        <v>0</v>
      </c>
      <c r="CA44" s="39" t="n">
        <f aca="false">IF(AND(ISNUMBER(CA18),ISNUMBER(CA32)),ROUND(CA18+CA32-CA73,1),"n/d")</f>
        <v>0</v>
      </c>
      <c r="CB44" s="39" t="n">
        <f aca="false">IF(AND(ISNUMBER(CB18),ISNUMBER(CB32)),ROUND(CB18+CB32-CB73,1),"n/d")</f>
        <v>0</v>
      </c>
      <c r="CC44" s="39" t="n">
        <f aca="false">IF(AND(ISNUMBER(CC18),ISNUMBER(CC32)),ROUND(CC18+CC32-CC73,1),"n/d")</f>
        <v>0</v>
      </c>
      <c r="CD44" s="39" t="n">
        <f aca="false">IF(AND(ISNUMBER(CD18),ISNUMBER(CD32)),ROUND(CD18+CD32-CD73,1),"n/d")</f>
        <v>0</v>
      </c>
      <c r="CE44" s="39" t="n">
        <f aca="false">IF(AND(ISNUMBER(CE18),ISNUMBER(CE32)),ROUND(CE18+CE32-CE73,1),"n/d")</f>
        <v>0</v>
      </c>
      <c r="CF44" s="39" t="n">
        <f aca="false">IF(AND(ISNUMBER(CF18),ISNUMBER(CF32)),ROUND(CF18+CF32-CF73,1),"n/d")</f>
        <v>0</v>
      </c>
      <c r="CG44" s="39" t="n">
        <f aca="false">IF(AND(ISNUMBER(CG18),ISNUMBER(CG32)),ROUND(CG18+CG32-CG73,1),"n/d")</f>
        <v>0</v>
      </c>
      <c r="CH44" s="39" t="n">
        <f aca="false">IF(AND(ISNUMBER(CH18),ISNUMBER(CH32)),ROUND(CH18+CH32-CH73,1),"n/d")</f>
        <v>0</v>
      </c>
      <c r="CI44" s="39" t="n">
        <f aca="false">IF(AND(ISNUMBER(CI18),ISNUMBER(CI32)),ROUND(CI18+CI32-CI73,1),"n/d")</f>
        <v>0</v>
      </c>
      <c r="CJ44" s="39" t="n">
        <f aca="false">IF(AND(ISNUMBER(CJ18),ISNUMBER(CJ32)),ROUND(CJ18+CJ32-CJ73,1),"n/d")</f>
        <v>0</v>
      </c>
      <c r="CK44" s="39" t="n">
        <f aca="false">IF(AND(ISNUMBER(CK18),ISNUMBER(CK32)),ROUND(CK18+CK32-CK73,1),"n/d")</f>
        <v>0</v>
      </c>
      <c r="CL44" s="39" t="n">
        <f aca="false">IF(AND(ISNUMBER(CL18),ISNUMBER(CL32)),ROUND(CL18+CL32-CL73,1),"n/d")</f>
        <v>0</v>
      </c>
      <c r="CM44" s="39" t="n">
        <f aca="false">IF(AND(ISNUMBER(CM18),ISNUMBER(CM32)),ROUND(CM18+CM32-CM73,1),"n/d")</f>
        <v>0</v>
      </c>
      <c r="CN44" s="39" t="n">
        <f aca="false">IF(AND(ISNUMBER(CN18),ISNUMBER(CN32)),ROUND(CN18+CN32-CN73,1),"n/d")</f>
        <v>0</v>
      </c>
      <c r="CO44" s="39" t="n">
        <f aca="false">IF(AND(ISNUMBER(CO18),ISNUMBER(CO32)),ROUND(CO18+CO32-CO73,1),"n/d")</f>
        <v>0</v>
      </c>
      <c r="CP44" s="40" t="n">
        <f aca="false">ROUND(CP18+CP32-CP73,1)</f>
        <v>0</v>
      </c>
      <c r="CQ44" s="40" t="n">
        <f aca="false">ROUND(CQ18+CQ32-CQ73,1)</f>
        <v>0</v>
      </c>
      <c r="CR44" s="40" t="n">
        <f aca="false">ROUND(CR18+CR32-CR73,1)</f>
        <v>0</v>
      </c>
      <c r="CS44" s="40" t="n">
        <f aca="false">ROUND(CS18+CS32-CS73,1)</f>
        <v>0</v>
      </c>
      <c r="CT44" s="40" t="n">
        <f aca="false">ROUND(CT18+CT32-CT73,1)</f>
        <v>0</v>
      </c>
      <c r="CU44" s="24"/>
      <c r="CW44" s="6"/>
      <c r="CX44" s="6"/>
      <c r="CY44" s="6"/>
      <c r="CZ44" s="6"/>
      <c r="DC44" s="15" t="s">
        <v>115</v>
      </c>
      <c r="DD44" s="37" t="n">
        <f aca="false">MAX(0,DE44+$DD$39)</f>
        <v>1250</v>
      </c>
      <c r="DE44" s="38" t="n">
        <v>750</v>
      </c>
      <c r="DF44" s="37" t="n">
        <f aca="false">MAX(0,DE44+$DF$39)</f>
        <v>50</v>
      </c>
    </row>
    <row r="45" customFormat="false" ht="15" hidden="false" customHeight="false" outlineLevel="0" collapsed="false">
      <c r="B45" s="28" t="s">
        <v>146</v>
      </c>
      <c r="C45" s="29"/>
      <c r="D45" s="29"/>
      <c r="E45" s="29"/>
      <c r="F45" s="29"/>
      <c r="G45" s="44" t="n">
        <v>0.01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30" t="n">
        <f aca="false">IFERROR((CO12*CP13+CO26*CP27)/(CO12+CO26),"")</f>
        <v>0.0173212000443379</v>
      </c>
      <c r="CQ45" s="30" t="n">
        <f aca="false">IFERROR((CP12*CQ13+CP26*CQ27)/(CP12+CP26),"")</f>
        <v>0.0303398380301737</v>
      </c>
      <c r="CR45" s="30" t="n">
        <f aca="false">IFERROR((CQ12*CR13+CQ26*CR27)/(CQ12+CQ26),"")</f>
        <v>0.0339239676790284</v>
      </c>
      <c r="CS45" s="30" t="n">
        <f aca="false">IFERROR((CR12*CS13+CR26*CS27)/(CR12+CR26),"")</f>
        <v>0.0332031646664836</v>
      </c>
      <c r="CT45" s="30" t="n">
        <f aca="false">IFERROR((CS12*CT13+CS26*CT27)/(CS12+CS26),"")</f>
        <v>0.0332552386740835</v>
      </c>
      <c r="CU45" s="24"/>
      <c r="CW45" s="6"/>
      <c r="CX45" s="6"/>
      <c r="CY45" s="6"/>
      <c r="CZ45" s="6"/>
    </row>
    <row r="46" customFormat="false" ht="15" hidden="false" customHeight="false" outlineLevel="0" collapsed="false">
      <c r="B46" s="28" t="s">
        <v>147</v>
      </c>
      <c r="C46" s="35" t="str">
        <f aca="false">IF(ISNUMBER(C26),IFERROR(C26/C71,""),"")</f>
        <v/>
      </c>
      <c r="D46" s="35" t="str">
        <f aca="false">IF(ISNUMBER(D26),IFERROR(D26/D71,""),"")</f>
        <v/>
      </c>
      <c r="E46" s="35" t="str">
        <f aca="false">IF(ISNUMBER(E26),IFERROR(E26/E71,""),"")</f>
        <v/>
      </c>
      <c r="F46" s="35" t="str">
        <f aca="false">IF(ISNUMBER(F26),IFERROR(F26/F71,""),"")</f>
        <v/>
      </c>
      <c r="G46" s="35" t="str">
        <f aca="false">IF(ISNUMBER(G26),IFERROR(G26/G71,""),"")</f>
        <v/>
      </c>
      <c r="H46" s="35" t="str">
        <f aca="false">IF(ISNUMBER(H26),IFERROR(H26/H71,""),"")</f>
        <v/>
      </c>
      <c r="I46" s="35" t="str">
        <f aca="false">IF(ISNUMBER(I26),IFERROR(I26/I71,""),"")</f>
        <v/>
      </c>
      <c r="J46" s="35" t="str">
        <f aca="false">IF(ISNUMBER(J26),IFERROR(J26/J71,""),"")</f>
        <v/>
      </c>
      <c r="K46" s="35" t="str">
        <f aca="false">IF(ISNUMBER(K26),IFERROR(K26/K71,""),"")</f>
        <v/>
      </c>
      <c r="L46" s="35" t="str">
        <f aca="false">IF(ISNUMBER(L26),IFERROR(L26/L71,""),"")</f>
        <v/>
      </c>
      <c r="M46" s="35" t="str">
        <f aca="false">IF(ISNUMBER(M26),IFERROR(M26/M71,""),"")</f>
        <v/>
      </c>
      <c r="N46" s="35" t="str">
        <f aca="false">IF(ISNUMBER(N26),IFERROR(N26/N71,""),"")</f>
        <v/>
      </c>
      <c r="O46" s="35" t="str">
        <f aca="false">IF(ISNUMBER(O26),IFERROR(O26/O71,""),"")</f>
        <v/>
      </c>
      <c r="P46" s="35" t="str">
        <f aca="false">IF(ISNUMBER(P26),IFERROR(P26/P71,""),"")</f>
        <v/>
      </c>
      <c r="Q46" s="35" t="str">
        <f aca="false">IF(ISNUMBER(Q26),IFERROR(Q26/Q71,""),"")</f>
        <v/>
      </c>
      <c r="R46" s="35" t="str">
        <f aca="false">IF(ISNUMBER(R26),IFERROR(R26/R71,""),"")</f>
        <v/>
      </c>
      <c r="S46" s="35" t="str">
        <f aca="false">IF(ISNUMBER(S26),IFERROR(S26/S71,""),"")</f>
        <v/>
      </c>
      <c r="T46" s="35" t="str">
        <f aca="false">IF(ISNUMBER(T26),IFERROR(T26/T71,""),"")</f>
        <v/>
      </c>
      <c r="U46" s="35" t="str">
        <f aca="false">IF(ISNUMBER(U26),IFERROR(U26/U71,""),"")</f>
        <v/>
      </c>
      <c r="V46" s="35" t="str">
        <f aca="false">IF(ISNUMBER(V26),IFERROR(V26/V71,""),"")</f>
        <v/>
      </c>
      <c r="W46" s="35" t="str">
        <f aca="false">IF(ISNUMBER(W26),IFERROR(W26/W71,""),"")</f>
        <v/>
      </c>
      <c r="X46" s="35" t="str">
        <f aca="false">IF(ISNUMBER(X26),IFERROR(X26/X71,""),"")</f>
        <v/>
      </c>
      <c r="Y46" s="35" t="str">
        <f aca="false">IF(ISNUMBER(Y26),IFERROR(Y26/Y71,""),"")</f>
        <v/>
      </c>
      <c r="Z46" s="35" t="str">
        <f aca="false">IF(ISNUMBER(Z26),IFERROR(Z26/Z71,""),"")</f>
        <v/>
      </c>
      <c r="AA46" s="35" t="str">
        <f aca="false">IF(ISNUMBER(AA26),IFERROR(AA26/AA71,""),"")</f>
        <v/>
      </c>
      <c r="AB46" s="35" t="str">
        <f aca="false">IF(ISNUMBER(AB26),IFERROR(AB26/AB71,""),"")</f>
        <v/>
      </c>
      <c r="AC46" s="35" t="str">
        <f aca="false">IF(ISNUMBER(AC26),IFERROR(AC26/AC71,""),"")</f>
        <v/>
      </c>
      <c r="AD46" s="35" t="str">
        <f aca="false">IF(ISNUMBER(AD26),IFERROR(AD26/AD71,""),"")</f>
        <v/>
      </c>
      <c r="AE46" s="35" t="str">
        <f aca="false">IF(ISNUMBER(AE26),IFERROR(AE26/AE71,""),"")</f>
        <v/>
      </c>
      <c r="AF46" s="35" t="str">
        <f aca="false">IF(ISNUMBER(AF26),IFERROR(AF26/AF71,""),"")</f>
        <v/>
      </c>
      <c r="AG46" s="35" t="str">
        <f aca="false">IF(ISNUMBER(AG26),IFERROR(AG26/AG71,""),"")</f>
        <v/>
      </c>
      <c r="AH46" s="35" t="str">
        <f aca="false">IF(ISNUMBER(AH26),IFERROR(AH26/AH71,""),"")</f>
        <v/>
      </c>
      <c r="AI46" s="35" t="str">
        <f aca="false">IF(ISNUMBER(AI26),IFERROR(AI26/AI71,""),"")</f>
        <v/>
      </c>
      <c r="AJ46" s="35" t="str">
        <f aca="false">IF(ISNUMBER(AJ26),IFERROR(AJ26/AJ71,""),"")</f>
        <v/>
      </c>
      <c r="AK46" s="35" t="str">
        <f aca="false">IF(ISNUMBER(AK26),IFERROR(AK26/AK71,""),"")</f>
        <v/>
      </c>
      <c r="AL46" s="35" t="str">
        <f aca="false">IF(ISNUMBER(AL26),IFERROR(AL26/AL71,""),"")</f>
        <v/>
      </c>
      <c r="AM46" s="35" t="n">
        <f aca="false">IF(ISNUMBER(AM26),IFERROR(AM26/AM71,""),"")</f>
        <v>0.122263755469379</v>
      </c>
      <c r="AN46" s="35" t="n">
        <f aca="false">IF(ISNUMBER(AN26),IFERROR(AN26/AN71,""),"")</f>
        <v>0.114223855663214</v>
      </c>
      <c r="AO46" s="35" t="n">
        <f aca="false">IF(ISNUMBER(AO26),IFERROR(AO26/AO71,""),"")</f>
        <v>0.115465948839917</v>
      </c>
      <c r="AP46" s="35" t="n">
        <f aca="false">IF(ISNUMBER(AP26),IFERROR(AP26/AP71,""),"")</f>
        <v>0.11486717202759</v>
      </c>
      <c r="AQ46" s="35" t="n">
        <f aca="false">IF(ISNUMBER(AQ26),IFERROR(AQ26/AQ71,""),"")</f>
        <v>0.132704583189292</v>
      </c>
      <c r="AR46" s="35" t="n">
        <f aca="false">IF(ISNUMBER(AR26),IFERROR(AR26/AR71,""),"")</f>
        <v>0.126660555939958</v>
      </c>
      <c r="AS46" s="35" t="n">
        <f aca="false">IF(ISNUMBER(AS26),IFERROR(AS26/AS71,""),"")</f>
        <v>0.122435068184899</v>
      </c>
      <c r="AT46" s="35" t="n">
        <f aca="false">IF(ISNUMBER(AT26),IFERROR(AT26/AT71,""),"")</f>
        <v>0.129767531395166</v>
      </c>
      <c r="AU46" s="35" t="n">
        <f aca="false">IF(ISNUMBER(AU26),IFERROR(AU26/AU71,""),"")</f>
        <v>0.131437331906614</v>
      </c>
      <c r="AV46" s="35" t="n">
        <f aca="false">IF(ISNUMBER(AV26),IFERROR(AV26/AV71,""),"")</f>
        <v>0.13062506391593</v>
      </c>
      <c r="AW46" s="35" t="n">
        <f aca="false">IF(ISNUMBER(AW26),IFERROR(AW26/AW71,""),"")</f>
        <v>0.119928559666612</v>
      </c>
      <c r="AX46" s="35" t="n">
        <f aca="false">IF(ISNUMBER(AX26),IFERROR(AX26/AX71,""),"")</f>
        <v>0.117853141694604</v>
      </c>
      <c r="AY46" s="35" t="n">
        <f aca="false">IF(ISNUMBER(AY26),IFERROR(AY26/AY71,""),"")</f>
        <v>0.124317221565945</v>
      </c>
      <c r="AZ46" s="35" t="n">
        <f aca="false">IF(ISNUMBER(AZ26),IFERROR(AZ26/AZ71,""),"")</f>
        <v>0.116946394017907</v>
      </c>
      <c r="BA46" s="35" t="n">
        <f aca="false">IF(ISNUMBER(BA26),IFERROR(BA26/BA71,""),"")</f>
        <v>0.122911413748887</v>
      </c>
      <c r="BB46" s="35" t="n">
        <f aca="false">IF(ISNUMBER(BB26),IFERROR(BB26/BB71,""),"")</f>
        <v>0.119995189850585</v>
      </c>
      <c r="BC46" s="35" t="n">
        <f aca="false">IF(ISNUMBER(BC26),IFERROR(BC26/BC71,""),"")</f>
        <v>0.121458881732854</v>
      </c>
      <c r="BD46" s="35" t="n">
        <f aca="false">IF(ISNUMBER(BD26),IFERROR(BD26/BD71,""),"")</f>
        <v>0.115732364945769</v>
      </c>
      <c r="BE46" s="35" t="n">
        <f aca="false">IF(ISNUMBER(BE26),IFERROR(BE26/BE71,""),"")</f>
        <v>0.119362757685631</v>
      </c>
      <c r="BF46" s="35" t="n">
        <f aca="false">IF(ISNUMBER(BF26),IFERROR(BF26/BF71,""),"")</f>
        <v>0.126388317564788</v>
      </c>
      <c r="BG46" s="35" t="n">
        <f aca="false">IF(ISNUMBER(BG26),IFERROR(BG26/BG71,""),"")</f>
        <v>0.126131944926878</v>
      </c>
      <c r="BH46" s="35" t="n">
        <f aca="false">IF(ISNUMBER(BH26),IFERROR(BH26/BH71,""),"")</f>
        <v>0.126258023823133</v>
      </c>
      <c r="BI46" s="35" t="n">
        <f aca="false">IF(ISNUMBER(BI26),IFERROR(BI26/BI71,""),"")</f>
        <v>0.117830361980361</v>
      </c>
      <c r="BJ46" s="35" t="n">
        <f aca="false">IF(ISNUMBER(BJ26),IFERROR(BJ26/BJ71,""),"")</f>
        <v>0.110539829174516</v>
      </c>
      <c r="BK46" s="35" t="n">
        <f aca="false">IF(ISNUMBER(BK26),IFERROR(BK26/BK71,""),"")</f>
        <v>0.119711571395722</v>
      </c>
      <c r="BL46" s="35" t="n">
        <f aca="false">IF(ISNUMBER(BL26),IFERROR(BL26/BL71,""),"")</f>
        <v>0.115390720226169</v>
      </c>
      <c r="BM46" s="35" t="n">
        <f aca="false">IF(ISNUMBER(BM26),IFERROR(BM26/BM71,""),"")</f>
        <v>0.113041949682881</v>
      </c>
      <c r="BN46" s="35" t="n">
        <f aca="false">IF(ISNUMBER(BN26),IFERROR(BN26/BN71,""),"")</f>
        <v>0.114179481154653</v>
      </c>
      <c r="BO46" s="35" t="n">
        <f aca="false">IF(ISNUMBER(BO26),IFERROR(BO26/BO71,""),"")</f>
        <v>0.114118718648704</v>
      </c>
      <c r="BP46" s="35" t="n">
        <f aca="false">IF(ISNUMBER(BP26),IFERROR(BP26/BP71,""),"")</f>
        <v>0.105932897815251</v>
      </c>
      <c r="BQ46" s="35" t="n">
        <f aca="false">IF(ISNUMBER(BQ26),IFERROR(BQ26/BQ71,""),"")</f>
        <v>0.112117250371534</v>
      </c>
      <c r="BR46" s="35" t="n">
        <f aca="false">IF(ISNUMBER(BR26),IFERROR(BR26/BR71,""),"")</f>
        <v>0.103438170711573</v>
      </c>
      <c r="BS46" s="35" t="n">
        <f aca="false">IF(ISNUMBER(BS26),IFERROR(BS26/BS71,""),"")</f>
        <v>0.106437476971931</v>
      </c>
      <c r="BT46" s="35" t="n">
        <f aca="false">IF(ISNUMBER(BT26),IFERROR(BT26/BT71,""),"")</f>
        <v>0.105000075825659</v>
      </c>
      <c r="BU46" s="35" t="n">
        <f aca="false">IF(ISNUMBER(BU26),IFERROR(BU26/BU71,""),"")</f>
        <v>0.112330613550444</v>
      </c>
      <c r="BV46" s="35" t="n">
        <f aca="false">IF(ISNUMBER(BV26),IFERROR(BV26/BV71,""),"")</f>
        <v>0.122348191531954</v>
      </c>
      <c r="BW46" s="35" t="n">
        <f aca="false">IF(ISNUMBER(BW26),IFERROR(BW26/BW71,""),"")</f>
        <v>0.111467395926617</v>
      </c>
      <c r="BX46" s="35" t="n">
        <f aca="false">IF(ISNUMBER(BX26),IFERROR(BX26/BX71,""),"")</f>
        <v>0.112865546062061</v>
      </c>
      <c r="BY46" s="35" t="n">
        <f aca="false">IF(ISNUMBER(BY26),IFERROR(BY26/BY71,""),"")</f>
        <v>0.122668538836895</v>
      </c>
      <c r="BZ46" s="35" t="n">
        <f aca="false">IF(ISNUMBER(BZ26),IFERROR(BZ26/BZ71,""),"")</f>
        <v>0.117773332767863</v>
      </c>
      <c r="CA46" s="35" t="n">
        <f aca="false">IF(ISNUMBER(CA26),IFERROR(CA26/CA71,""),"")</f>
        <v>0.122487138586354</v>
      </c>
      <c r="CB46" s="35" t="n">
        <f aca="false">IF(ISNUMBER(CB26),IFERROR(CB26/CB71,""),"")</f>
        <v>0.130143512811125</v>
      </c>
      <c r="CC46" s="35" t="n">
        <f aca="false">IF(ISNUMBER(CC26),IFERROR(CC26/CC71,""),"")</f>
        <v>0.122128546965152</v>
      </c>
      <c r="CD46" s="35" t="n">
        <f aca="false">IF(ISNUMBER(CD26),IFERROR(CD26/CD71,""),"")</f>
        <v>0.128096307951854</v>
      </c>
      <c r="CE46" s="35" t="n">
        <f aca="false">IF(ISNUMBER(CE26),IFERROR(CE26/CE71,""),"")</f>
        <v>0.124234197972119</v>
      </c>
      <c r="CF46" s="35" t="n">
        <f aca="false">IF(ISNUMBER(CF26),IFERROR(CF26/CF71,""),"")</f>
        <v>0.126160424389556</v>
      </c>
      <c r="CG46" s="35" t="n">
        <f aca="false">IF(ISNUMBER(CG26),IFERROR(CG26/CG71,""),"")</f>
        <v>0.131625687548558</v>
      </c>
      <c r="CH46" s="35" t="n">
        <f aca="false">IF(ISNUMBER(CH26),IFERROR(CH26/CH71,""),"")</f>
        <v>0.137413473414285</v>
      </c>
      <c r="CI46" s="35" t="n">
        <f aca="false">IF(ISNUMBER(CI26),IFERROR(CI26/CI71,""),"")</f>
        <v>0.130296810360771</v>
      </c>
      <c r="CJ46" s="35" t="n">
        <f aca="false">IF(ISNUMBER(CJ26),IFERROR(CJ26/CJ71,""),"")</f>
        <v>0.137431755969935</v>
      </c>
      <c r="CK46" s="35" t="n">
        <f aca="false">IF(ISNUMBER(CK26),IFERROR(CK26/CK71,""),"")</f>
        <v>0.139261447128358</v>
      </c>
      <c r="CL46" s="35" t="n">
        <f aca="false">IF(ISNUMBER(CL26),IFERROR(CL26/CL71,""),"")</f>
        <v>0.138327873507636</v>
      </c>
      <c r="CM46" s="35" t="n">
        <f aca="false">IF(ISNUMBER(CM26),IFERROR(CM26/CM71,""),"")</f>
        <v>0.152086963108855</v>
      </c>
      <c r="CN46" s="35" t="n">
        <f aca="false">IF(ISNUMBER(CN26),IFERROR(CN26/CN71,""),"")</f>
        <v>0.156487998481761</v>
      </c>
      <c r="CO46" s="35" t="n">
        <f aca="false">IF(ISNUMBER(CO26),IFERROR(CO26/CO71,""),"")</f>
        <v>0.146424000886757</v>
      </c>
      <c r="CP46" s="45" t="n">
        <f aca="false">IFERROR(CP26/CP71,"")</f>
        <v>0.152566800862105</v>
      </c>
      <c r="CQ46" s="45" t="n">
        <f aca="false">IFERROR(CQ26/CQ71,"")</f>
        <v>0.156958707161137</v>
      </c>
      <c r="CR46" s="45" t="n">
        <f aca="false">IFERROR(CR26/CR71,"")</f>
        <v>0.16015823332418</v>
      </c>
      <c r="CS46" s="45" t="n">
        <f aca="false">IFERROR(CS26/CS71,"")</f>
        <v>0.162761933704174</v>
      </c>
      <c r="CT46" s="45" t="n">
        <f aca="false">IFERROR(CT26/CT71,"")</f>
        <v>0.165399626338879</v>
      </c>
      <c r="CU46" s="24"/>
      <c r="CW46" s="6"/>
      <c r="CX46" s="6"/>
      <c r="CY46" s="6"/>
      <c r="CZ46" s="6"/>
      <c r="DC46" s="46" t="s">
        <v>148</v>
      </c>
      <c r="DD46" s="47" t="n">
        <v>-1.5</v>
      </c>
      <c r="DE46" s="47" t="n">
        <v>-2</v>
      </c>
      <c r="DF46" s="47"/>
      <c r="DG46" s="0" t="s">
        <v>149</v>
      </c>
    </row>
    <row r="47" customFormat="false" ht="15" hidden="false" customHeight="false" outlineLevel="0" collapsed="false">
      <c r="B47" s="28" t="s">
        <v>150</v>
      </c>
      <c r="C47" s="35" t="n">
        <f aca="false">IFERROR(C71/C73,"")</f>
        <v>1</v>
      </c>
      <c r="D47" s="35" t="n">
        <f aca="false">IFERROR(D71/D73,"")</f>
        <v>0.955614610829707</v>
      </c>
      <c r="E47" s="35" t="n">
        <f aca="false">IFERROR(E71/E73,"")</f>
        <v>0.78961531404807</v>
      </c>
      <c r="F47" s="35" t="n">
        <f aca="false">IFERROR(F71/F73,"")</f>
        <v>0.828107799677559</v>
      </c>
      <c r="G47" s="35" t="n">
        <f aca="false">IFERROR(G71/G73,"")</f>
        <v>0.821093599386191</v>
      </c>
      <c r="H47" s="35" t="n">
        <f aca="false">IFERROR(H71/H73,"")</f>
        <v>0.817536566519078</v>
      </c>
      <c r="I47" s="35" t="n">
        <f aca="false">IFERROR(I71/I73,"")</f>
        <v>0.819389065680146</v>
      </c>
      <c r="J47" s="35" t="n">
        <f aca="false">IFERROR(J71/J73,"")</f>
        <v>0.817106662312761</v>
      </c>
      <c r="K47" s="35" t="n">
        <f aca="false">IFERROR(K71/K73,"")</f>
        <v>0.814921952777204</v>
      </c>
      <c r="L47" s="35" t="n">
        <f aca="false">IFERROR(L71/L73,"")</f>
        <v>0.815955220363884</v>
      </c>
      <c r="M47" s="35" t="n">
        <f aca="false">IFERROR(M71/M73,"")</f>
        <v>0.806723143085601</v>
      </c>
      <c r="N47" s="35" t="n">
        <f aca="false">IFERROR(N71/N73,"")</f>
        <v>0.809986461734491</v>
      </c>
      <c r="O47" s="35" t="n">
        <f aca="false">IFERROR(O71/O73,"")</f>
        <v>0.812001498490997</v>
      </c>
      <c r="P47" s="35" t="n">
        <f aca="false">IFERROR(P71/P73,"")</f>
        <v>0.808777239060608</v>
      </c>
      <c r="Q47" s="35" t="n">
        <f aca="false">IFERROR(Q71/Q73,"")</f>
        <v>0.822988890983612</v>
      </c>
      <c r="R47" s="35" t="n">
        <f aca="false">IFERROR(R71/R73,"")</f>
        <v>0.815965263271277</v>
      </c>
      <c r="S47" s="35" t="n">
        <f aca="false">IFERROR(S71/S73,"")</f>
        <v>0.823464267956426</v>
      </c>
      <c r="T47" s="35" t="n">
        <f aca="false">IFERROR(T71/T73,"")</f>
        <v>0.839356409810402</v>
      </c>
      <c r="U47" s="35" t="n">
        <f aca="false">IFERROR(U71/U73,"")</f>
        <v>0.823740490885604</v>
      </c>
      <c r="V47" s="35" t="n">
        <f aca="false">IFERROR(V71/V73,"")</f>
        <v>0.849204162735118</v>
      </c>
      <c r="W47" s="35" t="n">
        <f aca="false">IFERROR(W71/W73,"")</f>
        <v>0.863352373505926</v>
      </c>
      <c r="X47" s="35" t="n">
        <f aca="false">IFERROR(X71/X73,"")</f>
        <v>0.856101891134469</v>
      </c>
      <c r="Y47" s="35" t="n">
        <f aca="false">IFERROR(Y71/Y73,"")</f>
        <v>0.863439029151046</v>
      </c>
      <c r="Z47" s="35" t="n">
        <f aca="false">IFERROR(Z71/Z73,"")</f>
        <v>0.863184705253053</v>
      </c>
      <c r="AA47" s="35" t="n">
        <f aca="false">IFERROR(AA71/AA73,"")</f>
        <v>0.859768829199383</v>
      </c>
      <c r="AB47" s="35" t="n">
        <f aca="false">IFERROR(AB71/AB73,"")</f>
        <v>0.868884980508105</v>
      </c>
      <c r="AC47" s="35" t="n">
        <f aca="false">IFERROR(AC71/AC73,"")</f>
        <v>0.868908196699432</v>
      </c>
      <c r="AD47" s="35" t="n">
        <f aca="false">IFERROR(AD71/AD73,"")</f>
        <v>0.868896802957808</v>
      </c>
      <c r="AE47" s="35" t="n">
        <f aca="false">IFERROR(AE71/AE73,"")</f>
        <v>0.874040305719864</v>
      </c>
      <c r="AF47" s="35" t="n">
        <f aca="false">IFERROR(AF71/AF73,"")</f>
        <v>0.870224464090856</v>
      </c>
      <c r="AG47" s="35" t="n">
        <f aca="false">IFERROR(AG71/AG73,"")</f>
        <v>0.870653057395291</v>
      </c>
      <c r="AH47" s="35" t="n">
        <f aca="false">IFERROR(AH71/AH73,"")</f>
        <v>0.887531756606386</v>
      </c>
      <c r="AI47" s="35" t="n">
        <f aca="false">IFERROR(AI71/AI73,"")</f>
        <v>0.886994609935571</v>
      </c>
      <c r="AJ47" s="35" t="n">
        <f aca="false">IFERROR(AJ71/AJ73,"")</f>
        <v>0.887261815928445</v>
      </c>
      <c r="AK47" s="35" t="n">
        <f aca="false">IFERROR(AK71/AK73,"")</f>
        <v>0.888953678095126</v>
      </c>
      <c r="AL47" s="35" t="n">
        <f aca="false">IFERROR(AL71/AL73,"")</f>
        <v>0.889589430421875</v>
      </c>
      <c r="AM47" s="35" t="n">
        <f aca="false">IFERROR(AM71/AM73,"")</f>
        <v>0.888307236075612</v>
      </c>
      <c r="AN47" s="35" t="n">
        <f aca="false">IFERROR(AN71/AN73,"")</f>
        <v>0.892541892510879</v>
      </c>
      <c r="AO47" s="35" t="n">
        <f aca="false">IFERROR(AO71/AO73,"")</f>
        <v>0.875514587045258</v>
      </c>
      <c r="AP47" s="35" t="n">
        <f aca="false">IFERROR(AP71/AP73,"")</f>
        <v>0.883641096058861</v>
      </c>
      <c r="AQ47" s="35" t="n">
        <f aca="false">IFERROR(AQ71/AQ73,"")</f>
        <v>0.858978916683048</v>
      </c>
      <c r="AR47" s="35" t="n">
        <f aca="false">IFERROR(AR71/AR73,"")</f>
        <v>0.871863194894295</v>
      </c>
      <c r="AS47" s="35" t="n">
        <f aca="false">IFERROR(AS71/AS73,"")</f>
        <v>0.87417974796408</v>
      </c>
      <c r="AT47" s="35" t="n">
        <f aca="false">IFERROR(AT71/AT73,"")</f>
        <v>0.855729049262194</v>
      </c>
      <c r="AU47" s="35" t="n">
        <f aca="false">IFERROR(AU71/AU73,"")</f>
        <v>0.859576653234288</v>
      </c>
      <c r="AV47" s="35" t="n">
        <f aca="false">IFERROR(AV71/AV73,"")</f>
        <v>0.85770068881266</v>
      </c>
      <c r="AW47" s="35" t="n">
        <f aca="false">IFERROR(AW71/AW73,"")</f>
        <v>0.856388171739744</v>
      </c>
      <c r="AX47" s="35" t="n">
        <f aca="false">IFERROR(AX71/AX73,"")</f>
        <v>0.866975072570612</v>
      </c>
      <c r="AY47" s="35" t="n">
        <f aca="false">IFERROR(AY71/AY73,"")</f>
        <v>0.859809486683608</v>
      </c>
      <c r="AZ47" s="35" t="n">
        <f aca="false">IFERROR(AZ71/AZ73,"")</f>
        <v>0.879933047631416</v>
      </c>
      <c r="BA47" s="35" t="n">
        <f aca="false">IFERROR(BA71/BA73,"")</f>
        <v>0.886799735716521</v>
      </c>
      <c r="BB47" s="35" t="n">
        <f aca="false">IFERROR(BB71/BB73,"")</f>
        <v>0.883429358584374</v>
      </c>
      <c r="BC47" s="35" t="n">
        <f aca="false">IFERROR(BC71/BC73,"")</f>
        <v>0.893200814012646</v>
      </c>
      <c r="BD47" s="35" t="n">
        <f aca="false">IFERROR(BD71/BD73,"")</f>
        <v>0.870655691237095</v>
      </c>
      <c r="BE47" s="35" t="n">
        <f aca="false">IFERROR(BE71/BE73,"")</f>
        <v>0.882823271670121</v>
      </c>
      <c r="BF47" s="35" t="n">
        <f aca="false">IFERROR(BF71/BF73,"")</f>
        <v>0.869180692818835</v>
      </c>
      <c r="BG47" s="35" t="n">
        <f aca="false">IFERROR(BG71/BG73,"")</f>
        <v>0.863167328707958</v>
      </c>
      <c r="BH47" s="35" t="n">
        <f aca="false">IFERROR(BH71/BH73,"")</f>
        <v>0.866114146537396</v>
      </c>
      <c r="BI47" s="35" t="n">
        <f aca="false">IFERROR(BI71/BI73,"")</f>
        <v>0.850030657710074</v>
      </c>
      <c r="BJ47" s="35" t="n">
        <f aca="false">IFERROR(BJ71/BJ73,"")</f>
        <v>0.828243591627373</v>
      </c>
      <c r="BK47" s="35" t="n">
        <f aca="false">IFERROR(BK71/BK73,"")</f>
        <v>0.85120060790838</v>
      </c>
      <c r="BL47" s="35" t="n">
        <f aca="false">IFERROR(BL71/BL73,"")</f>
        <v>0.824332331027536</v>
      </c>
      <c r="BM47" s="35" t="n">
        <f aca="false">IFERROR(BM71/BM73,"")</f>
        <v>0.819738085905978</v>
      </c>
      <c r="BN47" s="35" t="n">
        <f aca="false">IFERROR(BN71/BN73,"")</f>
        <v>0.821956709378681</v>
      </c>
      <c r="BO47" s="35" t="n">
        <f aca="false">IFERROR(BO71/BO73,"")</f>
        <v>0.81528095912403</v>
      </c>
      <c r="BP47" s="35" t="n">
        <f aca="false">IFERROR(BP71/BP73,"")</f>
        <v>0.801251545187392</v>
      </c>
      <c r="BQ47" s="35" t="n">
        <f aca="false">IFERROR(BQ71/BQ73,"")</f>
        <v>0.814939840116358</v>
      </c>
      <c r="BR47" s="35" t="n">
        <f aca="false">IFERROR(BR71/BR73,"")</f>
        <v>0.81359165051065</v>
      </c>
      <c r="BS47" s="35" t="n">
        <f aca="false">IFERROR(BS71/BS73,"")</f>
        <v>0.825522303192979</v>
      </c>
      <c r="BT47" s="35" t="n">
        <f aca="false">IFERROR(BT71/BT73,"")</f>
        <v>0.81976124482189</v>
      </c>
      <c r="BU47" s="35" t="n">
        <f aca="false">IFERROR(BU71/BU73,"")</f>
        <v>0.82914787278914</v>
      </c>
      <c r="BV47" s="35" t="n">
        <f aca="false">IFERROR(BV71/BV73,"")</f>
        <v>0.836256542009702</v>
      </c>
      <c r="BW47" s="35" t="n">
        <f aca="false">IFERROR(BW71/BW73,"")</f>
        <v>0.826492601920963</v>
      </c>
      <c r="BX47" s="35" t="n">
        <f aca="false">IFERROR(BX71/BX73,"")</f>
        <v>0.842338810837933</v>
      </c>
      <c r="BY47" s="35" t="n">
        <f aca="false">IFERROR(BY71/BY73,"")</f>
        <v>0.844724643164871</v>
      </c>
      <c r="BZ47" s="35" t="n">
        <f aca="false">IFERROR(BZ71/BZ73,"")</f>
        <v>0.843531570912958</v>
      </c>
      <c r="CA47" s="35" t="n">
        <f aca="false">IFERROR(CA71/CA73,"")</f>
        <v>0.839762645496731</v>
      </c>
      <c r="CB47" s="35" t="n">
        <f aca="false">IFERROR(CB71/CB73,"")</f>
        <v>0.835446057479942</v>
      </c>
      <c r="CC47" s="35" t="n">
        <f aca="false">IFERROR(CC71/CC73,"")</f>
        <v>0.840488734129323</v>
      </c>
      <c r="CD47" s="35" t="n">
        <f aca="false">IFERROR(CD71/CD73,"")</f>
        <v>0.860054986401635</v>
      </c>
      <c r="CE47" s="35" t="n">
        <f aca="false">IFERROR(CE71/CE73,"")</f>
        <v>0.852116707756104</v>
      </c>
      <c r="CF47" s="35" t="n">
        <f aca="false">IFERROR(CF71/CF73,"")</f>
        <v>0.856057520198949</v>
      </c>
      <c r="CG47" s="35" t="n">
        <f aca="false">IFERROR(CG71/CG73,"")</f>
        <v>0.854025200624569</v>
      </c>
      <c r="CH47" s="35" t="n">
        <f aca="false">IFERROR(CH71/CH73,"")</f>
        <v>0.849890276127303</v>
      </c>
      <c r="CI47" s="35" t="n">
        <f aca="false">IFERROR(CI71/CI73,"")</f>
        <v>0.854034402721092</v>
      </c>
      <c r="CJ47" s="35" t="n">
        <f aca="false">IFERROR(CJ71/CJ73,"")</f>
        <v>0.858717955377782</v>
      </c>
      <c r="CK47" s="35" t="n">
        <f aca="false">IFERROR(CK71/CK73,"")</f>
        <v>0.84877691735745</v>
      </c>
      <c r="CL47" s="35" t="n">
        <f aca="false">IFERROR(CL71/CL73,"")</f>
        <v>0.853820259462802</v>
      </c>
      <c r="CM47" s="35" t="n">
        <f aca="false">IFERROR(CM71/CM73,"")</f>
        <v>0.853697377504515</v>
      </c>
      <c r="CN47" s="35" t="n">
        <f aca="false">IFERROR(CN71/CN73,"")</f>
        <v>0.841297456958676</v>
      </c>
      <c r="CO47" s="35" t="n">
        <f aca="false">IFERROR(CO71/CO73,"")</f>
        <v>0.850694857431375</v>
      </c>
      <c r="CP47" s="45" t="n">
        <f aca="false">IFERROR(CP71/CP73,"")</f>
        <v>0.851162643471111</v>
      </c>
      <c r="CQ47" s="45" t="n">
        <f aca="false">IFERROR(CQ71/CQ73,"")</f>
        <v>0.853226019785183</v>
      </c>
      <c r="CR47" s="45" t="n">
        <f aca="false">IFERROR(CR71/CR73,"")</f>
        <v>0.855692259050254</v>
      </c>
      <c r="CS47" s="45" t="n">
        <f aca="false">IFERROR(CS71/CS73,"")</f>
        <v>0.85803633311558</v>
      </c>
      <c r="CT47" s="45" t="n">
        <f aca="false">IFERROR(CT71/CT73,"")</f>
        <v>0.860351943883952</v>
      </c>
      <c r="CU47" s="24"/>
      <c r="CW47" s="6"/>
      <c r="CX47" s="6"/>
      <c r="CY47" s="6"/>
      <c r="CZ47" s="6"/>
    </row>
    <row r="48" customFormat="false" ht="15" hidden="false" customHeight="false" outlineLevel="0" collapsed="false">
      <c r="B48" s="28" t="s">
        <v>151</v>
      </c>
      <c r="C48" s="29" t="str">
        <f aca="false">IFERROR((C72-C75)/C72,"")</f>
        <v/>
      </c>
      <c r="D48" s="29" t="n">
        <f aca="false">IFERROR((D72-D75)/D72,"")</f>
        <v>0.100900104476412</v>
      </c>
      <c r="E48" s="29" t="n">
        <f aca="false">IFERROR((E72-E75)/E72,"")</f>
        <v>0.19046753875969</v>
      </c>
      <c r="F48" s="29" t="n">
        <f aca="false">IFERROR((F72-F75)/F72,"")</f>
        <v>0.169897439912315</v>
      </c>
      <c r="G48" s="29" t="n">
        <f aca="false">IFERROR((G72-G75)/G72,"")</f>
        <v>0.242997548328307</v>
      </c>
      <c r="H48" s="29" t="n">
        <f aca="false">IFERROR((H72-H75)/H72,"")</f>
        <v>0.213323028783623</v>
      </c>
      <c r="I48" s="29" t="n">
        <f aca="false">IFERROR((I72-I75)/I72,"")</f>
        <v>0.179416363625471</v>
      </c>
      <c r="J48" s="29" t="n">
        <f aca="false">IFERROR((J72-J75)/J72,"")</f>
        <v>0.168837411586971</v>
      </c>
      <c r="K48" s="29" t="n">
        <f aca="false">IFERROR((K72-K75)/K72,"")</f>
        <v>0.143326905511012</v>
      </c>
      <c r="L48" s="29" t="n">
        <f aca="false">IFERROR((L72-L75)/L72,"")</f>
        <v>0.155316722609519</v>
      </c>
      <c r="M48" s="29" t="n">
        <f aca="false">IFERROR((M72-M75)/M72,"")</f>
        <v>0.14964313001994</v>
      </c>
      <c r="N48" s="29" t="n">
        <f aca="false">IFERROR((N72-N75)/N72,"")</f>
        <v>0.140023150920049</v>
      </c>
      <c r="O48" s="29" t="n">
        <f aca="false">IFERROR((O72-O75)/O72,"")</f>
        <v>0.149873677682379</v>
      </c>
      <c r="P48" s="29" t="n">
        <f aca="false">IFERROR((P72-P75)/P72,"")</f>
        <v>0.138807922272048</v>
      </c>
      <c r="Q48" s="29" t="n">
        <f aca="false">IFERROR((Q72-Q75)/Q72,"")</f>
        <v>0.139245000197231</v>
      </c>
      <c r="R48" s="29" t="n">
        <f aca="false">IFERROR((R72-R75)/R72,"")</f>
        <v>0.139020552282628</v>
      </c>
      <c r="S48" s="29" t="n">
        <f aca="false">IFERROR((S72-S75)/S72,"")</f>
        <v>0.153885546024837</v>
      </c>
      <c r="T48" s="29" t="n">
        <f aca="false">IFERROR((T72-T75)/T72,"")</f>
        <v>0.166316564523464</v>
      </c>
      <c r="U48" s="29" t="n">
        <f aca="false">IFERROR((U72-U75)/U72,"")</f>
        <v>0.149130078605005</v>
      </c>
      <c r="V48" s="29" t="n">
        <f aca="false">IFERROR((V72-V75)/V72,"")</f>
        <v>0.1533718513782</v>
      </c>
      <c r="W48" s="29" t="n">
        <f aca="false">IFERROR((W72-W75)/W72,"")</f>
        <v>0.149192052980132</v>
      </c>
      <c r="X48" s="29" t="n">
        <f aca="false">IFERROR((X72-X75)/X72,"")</f>
        <v>0.151436735795141</v>
      </c>
      <c r="Y48" s="29" t="n">
        <f aca="false">IFERROR((Y72-Y75)/Y72,"")</f>
        <v>0.149711666420228</v>
      </c>
      <c r="Z48" s="29" t="n">
        <f aca="false">IFERROR((Z72-Z75)/Z72,"")</f>
        <v>0.152866242038216</v>
      </c>
      <c r="AA48" s="29" t="n">
        <f aca="false">IFERROR((AA72-AA75)/AA72,"")</f>
        <v>0.151223275840613</v>
      </c>
      <c r="AB48" s="29" t="n">
        <f aca="false">IFERROR((AB72-AB75)/AB72,"")</f>
        <v>0.15323070423279</v>
      </c>
      <c r="AC48" s="29" t="n">
        <f aca="false">IFERROR((AC72-AC75)/AC72,"")</f>
        <v>0.13138537504136</v>
      </c>
      <c r="AD48" s="29" t="n">
        <f aca="false">IFERROR((AD72-AD75)/AD72,"")</f>
        <v>0.142107309486781</v>
      </c>
      <c r="AE48" s="29" t="n">
        <f aca="false">IFERROR((AE72-AE75)/AE72,"")</f>
        <v>0.137063032991152</v>
      </c>
      <c r="AF48" s="29" t="n">
        <f aca="false">IFERROR((AF72-AF75)/AF72,"")</f>
        <v>0.142479905492113</v>
      </c>
      <c r="AG48" s="29" t="n">
        <f aca="false">IFERROR((AG72-AG75)/AG72,"")</f>
        <v>0.140860608276955</v>
      </c>
      <c r="AH48" s="29" t="n">
        <f aca="false">IFERROR((AH72-AH75)/AH72,"")</f>
        <v>0.149718603037545</v>
      </c>
      <c r="AI48" s="29" t="n">
        <f aca="false">IFERROR((AI72-AI75)/AI72,"")</f>
        <v>0.147168282741335</v>
      </c>
      <c r="AJ48" s="29" t="n">
        <f aca="false">IFERROR((AJ72-AJ75)/AJ72,"")</f>
        <v>0.148433913176555</v>
      </c>
      <c r="AK48" s="29" t="n">
        <f aca="false">IFERROR((AK72-AK75)/AK72,"")</f>
        <v>0.162130263031121</v>
      </c>
      <c r="AL48" s="29" t="n">
        <f aca="false">IFERROR((AL72-AL75)/AL72,"")</f>
        <v>0.138920121528193</v>
      </c>
      <c r="AM48" s="29" t="n">
        <f aca="false">IFERROR((AM72-AM75)/AM72,"")</f>
        <v>0.149490814881685</v>
      </c>
      <c r="AN48" s="29" t="n">
        <f aca="false">IFERROR((AN72-AN75)/AN72,"")</f>
        <v>0.149767999467176</v>
      </c>
      <c r="AO48" s="29" t="n">
        <f aca="false">IFERROR((AO72-AO75)/AO72,"")</f>
        <v>0.119663353863382</v>
      </c>
      <c r="AP48" s="29" t="n">
        <f aca="false">IFERROR((AP72-AP75)/AP72,"")</f>
        <v>0.132932139537159</v>
      </c>
      <c r="AQ48" s="29" t="n">
        <f aca="false">IFERROR((AQ72-AQ75)/AQ72,"")</f>
        <v>0.146776202621745</v>
      </c>
      <c r="AR48" s="29" t="n">
        <f aca="false">IFERROR((AR72-AR75)/AR72,"")</f>
        <v>0.125933775754838</v>
      </c>
      <c r="AS48" s="29" t="n">
        <f aca="false">IFERROR((AS72-AS75)/AS72,"")</f>
        <v>0.135268252102838</v>
      </c>
      <c r="AT48" s="29" t="n">
        <f aca="false">IFERROR((AT72-AT75)/AT72,"")</f>
        <v>0.132297707400619</v>
      </c>
      <c r="AU48" s="29" t="n">
        <f aca="false">IFERROR((AU72-AU75)/AU72,"")</f>
        <v>0.10102656738776</v>
      </c>
      <c r="AV48" s="29" t="n">
        <f aca="false">IFERROR((AV72-AV75)/AV72,"")</f>
        <v>0.116484593733522</v>
      </c>
      <c r="AW48" s="29" t="n">
        <f aca="false">IFERROR((AW72-AW75)/AW72,"")</f>
        <v>0.106377621673339</v>
      </c>
      <c r="AX48" s="29" t="n">
        <f aca="false">IFERROR((AX72-AX75)/AX72,"")</f>
        <v>0.0917756594990024</v>
      </c>
      <c r="AY48" s="29" t="n">
        <f aca="false">IFERROR((AY72-AY75)/AY72,"")</f>
        <v>0.107450142002285</v>
      </c>
      <c r="AZ48" s="29" t="n">
        <f aca="false">IFERROR((AZ72-AZ75)/AZ72,"")</f>
        <v>0.117233505588271</v>
      </c>
      <c r="BA48" s="29" t="n">
        <f aca="false">IFERROR((BA72-BA75)/BA72,"")</f>
        <v>0.110681043221823</v>
      </c>
      <c r="BB48" s="29" t="n">
        <f aca="false">IFERROR((BB72-BB75)/BB72,"")</f>
        <v>0.113993650986527</v>
      </c>
      <c r="BC48" s="29" t="n">
        <f aca="false">IFERROR((BC72-BC75)/BC72,"")</f>
        <v>0.0815100888087379</v>
      </c>
      <c r="BD48" s="29" t="n">
        <f aca="false">IFERROR((BD72-BD75)/BD72,"")</f>
        <v>0.196320101189863</v>
      </c>
      <c r="BE48" s="29" t="n">
        <f aca="false">IFERROR((BE72-BE75)/BE72,"")</f>
        <v>0.128264259430513</v>
      </c>
      <c r="BF48" s="29" t="n">
        <f aca="false">IFERROR((BF72-BF75)/BF72,"")</f>
        <v>0.170276402640264</v>
      </c>
      <c r="BG48" s="29" t="n">
        <f aca="false">IFERROR((BG72-BG75)/BG72,"")</f>
        <v>0.127928461447353</v>
      </c>
      <c r="BH48" s="29" t="n">
        <f aca="false">IFERROR((BH72-BH75)/BH72,"")</f>
        <v>0.148205533401647</v>
      </c>
      <c r="BI48" s="29" t="n">
        <f aca="false">IFERROR((BI72-BI75)/BI72,"")</f>
        <v>0.141426806221834</v>
      </c>
      <c r="BJ48" s="29" t="n">
        <f aca="false">IFERROR((BJ72-BJ75)/BJ72,"")</f>
        <v>0.116198223701607</v>
      </c>
      <c r="BK48" s="29" t="n">
        <f aca="false">IFERROR((BK72-BK75)/BK72,"")</f>
        <v>0.136070925809447</v>
      </c>
      <c r="BL48" s="29" t="n">
        <f aca="false">IFERROR((BL72-BL75)/BL72,"")</f>
        <v>0.111766937897888</v>
      </c>
      <c r="BM48" s="29" t="n">
        <f aca="false">IFERROR((BM72-BM75)/BM72,"")</f>
        <v>0.102743492997378</v>
      </c>
      <c r="BN48" s="29" t="n">
        <f aca="false">IFERROR((BN72-BN75)/BN72,"")</f>
        <v>0.107042894831996</v>
      </c>
      <c r="BO48" s="29" t="n">
        <f aca="false">IFERROR((BO72-BO75)/BO72,"")</f>
        <v>0.0943930885529158</v>
      </c>
      <c r="BP48" s="29" t="n">
        <f aca="false">IFERROR((BP72-BP75)/BP72,"")</f>
        <v>0.0815448932631627</v>
      </c>
      <c r="BQ48" s="29" t="n">
        <f aca="false">IFERROR((BQ72-BQ75)/BQ72,"")</f>
        <v>0.0967430747313164</v>
      </c>
      <c r="BR48" s="29" t="n">
        <f aca="false">IFERROR((BR72-BR75)/BR72,"")</f>
        <v>0.0925948166118224</v>
      </c>
      <c r="BS48" s="29" t="n">
        <f aca="false">IFERROR((BS72-BS75)/BS72,"")</f>
        <v>0.0730858399180479</v>
      </c>
      <c r="BT48" s="29" t="n">
        <f aca="false">IFERROR((BT72-BT75)/BT72,"")</f>
        <v>0.0828287735523708</v>
      </c>
      <c r="BU48" s="29" t="n">
        <f aca="false">IFERROR((BU72-BU75)/BU72,"")</f>
        <v>0.0867156980673837</v>
      </c>
      <c r="BV48" s="29" t="n">
        <f aca="false">IFERROR((BV72-BV75)/BV72,"")</f>
        <v>0.0865202725452864</v>
      </c>
      <c r="BW48" s="29" t="n">
        <f aca="false">IFERROR((BW72-BW75)/BW72,"")</f>
        <v>0.084737633864073</v>
      </c>
      <c r="BX48" s="29" t="n">
        <f aca="false">IFERROR((BX72-BX75)/BX72,"")</f>
        <v>0.08070611636002</v>
      </c>
      <c r="BY48" s="29" t="n">
        <f aca="false">IFERROR((BY72-BY75)/BY72,"")</f>
        <v>0.0731357793995102</v>
      </c>
      <c r="BZ48" s="29" t="n">
        <f aca="false">IFERROR((BZ72-BZ75)/BZ72,"")</f>
        <v>0.0769503012991569</v>
      </c>
      <c r="CA48" s="29" t="n">
        <f aca="false">IFERROR((CA72-CA75)/CA72,"")</f>
        <v>0.0982566476036516</v>
      </c>
      <c r="CB48" s="29" t="n">
        <f aca="false">IFERROR((CB72-CB75)/CB72,"")</f>
        <v>0.079683698296837</v>
      </c>
      <c r="CC48" s="29" t="n">
        <f aca="false">IFERROR((CC72-CC75)/CC72,"")</f>
        <v>0.0833563917072717</v>
      </c>
      <c r="CD48" s="29" t="n">
        <f aca="false">IFERROR((CD72-CD75)/CD72,"")</f>
        <v>0.139040331977096</v>
      </c>
      <c r="CE48" s="29" t="n">
        <f aca="false">IFERROR((CE72-CE75)/CE72,"")</f>
        <v>0.141413084546749</v>
      </c>
      <c r="CF48" s="29" t="n">
        <f aca="false">IFERROR((CF72-CF75)/CF72,"")</f>
        <v>0.140267887215513</v>
      </c>
      <c r="CG48" s="29" t="n">
        <f aca="false">IFERROR((CG72-CG75)/CG72,"")</f>
        <v>0.040513342379014</v>
      </c>
      <c r="CH48" s="29" t="n">
        <f aca="false">IFERROR((CH72-CH75)/CH72,"")</f>
        <v>0.127244090758372</v>
      </c>
      <c r="CI48" s="29" t="n">
        <f aca="false">IFERROR((CI72-CI75)/CI72,"")</f>
        <v>0.111012006557609</v>
      </c>
      <c r="CJ48" s="29" t="n">
        <f aca="false">IFERROR((CJ72-CJ75)/CJ72,"")</f>
        <v>0.132622483684162</v>
      </c>
      <c r="CK48" s="29" t="n">
        <f aca="false">IFERROR((CK72-CK75)/CK72,"")</f>
        <v>0.113139137970676</v>
      </c>
      <c r="CL48" s="29" t="n">
        <f aca="false">IFERROR((CL72-CL75)/CL72,"")</f>
        <v>0.122692363164347</v>
      </c>
      <c r="CM48" s="29" t="n">
        <f aca="false">IFERROR((CM72-CM75)/CM72,"")</f>
        <v>0.114423215055308</v>
      </c>
      <c r="CN48" s="29" t="n">
        <f aca="false">IFERROR((CN72-CN75)/CN72,"")</f>
        <v>0.102156975313705</v>
      </c>
      <c r="CO48" s="29" t="n">
        <f aca="false">IFERROR((CO72-CO75)/CO72,"")</f>
        <v>0.115153246283492</v>
      </c>
      <c r="CP48" s="34" t="n">
        <v>0.115</v>
      </c>
      <c r="CQ48" s="34" t="n">
        <v>0.115</v>
      </c>
      <c r="CR48" s="34" t="n">
        <v>0.115</v>
      </c>
      <c r="CS48" s="34" t="n">
        <v>0.115</v>
      </c>
      <c r="CT48" s="34" t="n">
        <v>0.115</v>
      </c>
      <c r="CU48" s="24" t="s">
        <v>152</v>
      </c>
      <c r="CW48" s="6"/>
      <c r="CX48" s="6"/>
      <c r="CY48" s="6"/>
      <c r="CZ48" s="6"/>
    </row>
    <row r="49" customFormat="false" ht="15" hidden="false" customHeight="false" outlineLevel="0" collapsed="false">
      <c r="B49" s="15"/>
      <c r="CP49" s="6"/>
      <c r="CQ49" s="6"/>
      <c r="CR49" s="6"/>
      <c r="CS49" s="6"/>
      <c r="CT49" s="6"/>
      <c r="CU49" s="6"/>
    </row>
    <row r="50" customFormat="false" ht="15" hidden="false" customHeight="false" outlineLevel="0" collapsed="false">
      <c r="B50" s="16" t="s">
        <v>153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7" t="s">
        <v>154</v>
      </c>
    </row>
    <row r="51" customFormat="false" ht="15" hidden="false" customHeight="false" outlineLevel="0" collapsed="false">
      <c r="B51" s="28" t="s">
        <v>155</v>
      </c>
      <c r="C51" s="29" t="n">
        <f aca="false">IFERROR(C74/C71,"")</f>
        <v>0.563827754454936</v>
      </c>
      <c r="D51" s="29" t="n">
        <f aca="false">IFERROR(D74/D71,"")</f>
        <v>0.506767526325416</v>
      </c>
      <c r="E51" s="29" t="n">
        <f aca="false">IFERROR(E74/E71,"")</f>
        <v>0.530747360132187</v>
      </c>
      <c r="F51" s="29" t="n">
        <f aca="false">IFERROR(F74/F71,"")</f>
        <v>0.527816599279762</v>
      </c>
      <c r="G51" s="29" t="n">
        <f aca="false">IFERROR(G74/G71,"")</f>
        <v>0.504583946574725</v>
      </c>
      <c r="H51" s="29" t="n">
        <f aca="false">IFERROR(H74/H71,"")</f>
        <v>0.524684718543023</v>
      </c>
      <c r="I51" s="29" t="n">
        <f aca="false">IFERROR(I74/I71,"")</f>
        <v>0.498637213577156</v>
      </c>
      <c r="J51" s="29" t="n">
        <f aca="false">IFERROR(J74/J71,"")</f>
        <v>0.497589392301426</v>
      </c>
      <c r="K51" s="29" t="n">
        <f aca="false">IFERROR(K74/K71,"")</f>
        <v>0.586225336529596</v>
      </c>
      <c r="L51" s="29" t="n">
        <f aca="false">IFERROR(L74/L71,"")</f>
        <v>0.544245436169464</v>
      </c>
      <c r="M51" s="29" t="n">
        <f aca="false">IFERROR(M74/M71,"")</f>
        <v>0.51974086624966</v>
      </c>
      <c r="N51" s="29" t="n">
        <f aca="false">IFERROR(N74/N71,"")</f>
        <v>0.55028067662027</v>
      </c>
      <c r="O51" s="29" t="n">
        <f aca="false">IFERROR(O74/O71,"")</f>
        <v>0.539303044604533</v>
      </c>
      <c r="P51" s="29" t="n">
        <f aca="false">IFERROR(P74/P71,"")</f>
        <v>0.556433692785482</v>
      </c>
      <c r="Q51" s="29" t="n">
        <f aca="false">IFERROR(Q74/Q71,"")</f>
        <v>0.556759370810921</v>
      </c>
      <c r="R51" s="29" t="n">
        <f aca="false">IFERROR(R74/R71,"")</f>
        <v>0.556599833367598</v>
      </c>
      <c r="S51" s="29" t="n">
        <f aca="false">IFERROR(S74/S71,"")</f>
        <v>0.514446470230744</v>
      </c>
      <c r="T51" s="29" t="n">
        <f aca="false">IFERROR(T74/T71,"")</f>
        <v>0.547156126048087</v>
      </c>
      <c r="U51" s="29" t="n">
        <f aca="false">IFERROR(U74/U71,"")</f>
        <v>0.543004946719212</v>
      </c>
      <c r="V51" s="29" t="n">
        <f aca="false">IFERROR(V74/V71,"")</f>
        <v>0.531251393974785</v>
      </c>
      <c r="W51" s="29" t="n">
        <f aca="false">IFERROR(W74/W71,"")</f>
        <v>0.542006976705184</v>
      </c>
      <c r="X51" s="29" t="n">
        <f aca="false">IFERROR(X74/X71,"")</f>
        <v>0.536539512064398</v>
      </c>
      <c r="Y51" s="29" t="n">
        <f aca="false">IFERROR(Y74/Y71,"")</f>
        <v>0.527049780951342</v>
      </c>
      <c r="Z51" s="29" t="n">
        <f aca="false">IFERROR(Z74/Z71,"")</f>
        <v>0.53675242437549</v>
      </c>
      <c r="AA51" s="29" t="n">
        <f aca="false">IFERROR(AA74/AA71,"")</f>
        <v>0.534108749770389</v>
      </c>
      <c r="AB51" s="29" t="n">
        <f aca="false">IFERROR(AB74/AB71,"")</f>
        <v>0.541541318181275</v>
      </c>
      <c r="AC51" s="29" t="n">
        <f aca="false">IFERROR(AC74/AC71,"")</f>
        <v>0.541304907129719</v>
      </c>
      <c r="AD51" s="29" t="n">
        <f aca="false">IFERROR(AD74/AD71,"")</f>
        <v>0.541420928304366</v>
      </c>
      <c r="AE51" s="29" t="n">
        <f aca="false">IFERROR(AE74/AE71,"")</f>
        <v>0.500334423917735</v>
      </c>
      <c r="AF51" s="29" t="n">
        <f aca="false">IFERROR(AF74/AF71,"")</f>
        <v>0.532578207041397</v>
      </c>
      <c r="AG51" s="29" t="n">
        <f aca="false">IFERROR(AG74/AG71,"")</f>
        <v>0.527811557445406</v>
      </c>
      <c r="AH51" s="29" t="n">
        <f aca="false">IFERROR(AH74/AH71,"")</f>
        <v>0.545825490591967</v>
      </c>
      <c r="AI51" s="29" t="n">
        <f aca="false">IFERROR(AI74/AI71,"")</f>
        <v>0.545364525711779</v>
      </c>
      <c r="AJ51" s="29" t="n">
        <f aca="false">IFERROR(AJ74/AJ71,"")</f>
        <v>0.545593904500163</v>
      </c>
      <c r="AK51" s="29" t="n">
        <f aca="false">IFERROR(AK74/AK71,"")</f>
        <v>0.501200556047011</v>
      </c>
      <c r="AL51" s="29" t="n">
        <f aca="false">IFERROR(AL74/AL71,"")</f>
        <v>0.520010688994789</v>
      </c>
      <c r="AM51" s="29" t="n">
        <f aca="false">IFERROR(AM74/AM71,"")</f>
        <v>0.527424641516592</v>
      </c>
      <c r="AN51" s="29" t="n">
        <f aca="false">IFERROR(AN74/AN71,"")</f>
        <v>0.581642499164718</v>
      </c>
      <c r="AO51" s="29" t="n">
        <f aca="false">IFERROR(AO74/AO71,"")</f>
        <v>0.54032053419048</v>
      </c>
      <c r="AP51" s="29" t="n">
        <f aca="false">IFERROR(AP74/AP71,"")</f>
        <v>0.560240645604378</v>
      </c>
      <c r="AQ51" s="29" t="n">
        <f aca="false">IFERROR(AQ74/AQ71,"")</f>
        <v>0.490775680320964</v>
      </c>
      <c r="AR51" s="29" t="n">
        <f aca="false">IFERROR(AR74/AR71,"")</f>
        <v>0.537416286022862</v>
      </c>
      <c r="AS51" s="29" t="n">
        <f aca="false">IFERROR(AS74/AS71,"")</f>
        <v>0.536501062399668</v>
      </c>
      <c r="AT51" s="29" t="n">
        <f aca="false">IFERROR(AT74/AT71,"")</f>
        <v>0.526065966575989</v>
      </c>
      <c r="AU51" s="29" t="n">
        <f aca="false">IFERROR(AU74/AU71,"")</f>
        <v>0.51692989801035</v>
      </c>
      <c r="AV51" s="29" t="n">
        <f aca="false">IFERROR(AV74/AV71,"")</f>
        <v>0.521374103174789</v>
      </c>
      <c r="AW51" s="29" t="n">
        <f aca="false">IFERROR(AW74/AW71,"")</f>
        <v>0.4867252713846</v>
      </c>
      <c r="AX51" s="29" t="n">
        <f aca="false">IFERROR(AX74/AX71,"")</f>
        <v>0.498308882459359</v>
      </c>
      <c r="AY51" s="29" t="n">
        <f aca="false">IFERROR(AY74/AY71,"")</f>
        <v>0.505846121248919</v>
      </c>
      <c r="AZ51" s="29" t="n">
        <f aca="false">IFERROR(AZ74/AZ71,"")</f>
        <v>0.493569823882457</v>
      </c>
      <c r="BA51" s="29" t="n">
        <f aca="false">IFERROR(BA74/BA71,"")</f>
        <v>0.504576165510535</v>
      </c>
      <c r="BB51" s="29" t="n">
        <f aca="false">IFERROR(BB74/BB71,"")</f>
        <v>0.499195302087404</v>
      </c>
      <c r="BC51" s="29" t="n">
        <f aca="false">IFERROR(BC74/BC71,"")</f>
        <v>0.516210927169831</v>
      </c>
      <c r="BD51" s="29" t="n">
        <f aca="false">IFERROR(BD74/BD71,"")</f>
        <v>0.48197601754984</v>
      </c>
      <c r="BE51" s="29" t="n">
        <f aca="false">IFERROR(BE74/BE71,"")</f>
        <v>0.499443799624064</v>
      </c>
      <c r="BF51" s="29" t="n">
        <f aca="false">IFERROR(BF74/BF71,"")</f>
        <v>0.449793547185334</v>
      </c>
      <c r="BG51" s="29" t="n">
        <f aca="false">IFERROR(BG74/BG71,"")</f>
        <v>0.442928195778829</v>
      </c>
      <c r="BH51" s="29" t="n">
        <f aca="false">IFERROR(BH74/BH71,"")</f>
        <v>0.446304437232639</v>
      </c>
      <c r="BI51" s="29" t="n">
        <f aca="false">IFERROR(BI74/BI71,"")</f>
        <v>0.413677413977168</v>
      </c>
      <c r="BJ51" s="29" t="n">
        <f aca="false">IFERROR(BJ74/BJ71,"")</f>
        <v>0.447555673109179</v>
      </c>
      <c r="BK51" s="29" t="n">
        <f aca="false">IFERROR(BK74/BK71,"")</f>
        <v>0.437761877107179</v>
      </c>
      <c r="BL51" s="29" t="n">
        <f aca="false">IFERROR(BL74/BL71,"")</f>
        <v>0.447268567184472</v>
      </c>
      <c r="BM51" s="29" t="n">
        <f aca="false">IFERROR(BM74/BM71,"")</f>
        <v>0.455376956503396</v>
      </c>
      <c r="BN51" s="29" t="n">
        <f aca="false">IFERROR(BN74/BN71,"")</f>
        <v>0.451449987961488</v>
      </c>
      <c r="BO51" s="29" t="n">
        <f aca="false">IFERROR(BO74/BO71,"")</f>
        <v>0.452069381299621</v>
      </c>
      <c r="BP51" s="29" t="n">
        <f aca="false">IFERROR(BP74/BP71,"")</f>
        <v>0.481143404500605</v>
      </c>
      <c r="BQ51" s="29" t="n">
        <f aca="false">IFERROR(BQ74/BQ71,"")</f>
        <v>0.458983049659311</v>
      </c>
      <c r="BR51" s="29" t="n">
        <f aca="false">IFERROR(BR74/BR71,"")</f>
        <v>0.512873534753178</v>
      </c>
      <c r="BS51" s="29" t="n">
        <f aca="false">IFERROR(BS74/BS71,"")</f>
        <v>0.47543482692388</v>
      </c>
      <c r="BT51" s="29" t="n">
        <f aca="false">IFERROR(BT74/BT71,"")</f>
        <v>0.493377123200871</v>
      </c>
      <c r="BU51" s="29" t="n">
        <f aca="false">IFERROR(BU74/BU71,"")</f>
        <v>0.447280551526175</v>
      </c>
      <c r="BV51" s="29" t="n">
        <f aca="false">IFERROR(BV74/BV71,"")</f>
        <v>0.468445606910225</v>
      </c>
      <c r="BW51" s="29" t="n">
        <f aca="false">IFERROR(BW74/BW71,"")</f>
        <v>0.474661739617676</v>
      </c>
      <c r="BX51" s="29" t="n">
        <f aca="false">IFERROR(BX74/BX71,"")</f>
        <v>0.475257580834311</v>
      </c>
      <c r="BY51" s="29" t="n">
        <f aca="false">IFERROR(BY74/BY71,"")</f>
        <v>0.474824919204637</v>
      </c>
      <c r="BZ51" s="29" t="n">
        <f aca="false">IFERROR(BZ74/BZ71,"")</f>
        <v>0.475040972392073</v>
      </c>
      <c r="CA51" s="29" t="n">
        <f aca="false">IFERROR(CA74/CA71,"")</f>
        <v>0.463616196401973</v>
      </c>
      <c r="CB51" s="29" t="n">
        <f aca="false">IFERROR(CB74/CB71,"")</f>
        <v>0.507822831044093</v>
      </c>
      <c r="CC51" s="29" t="n">
        <f aca="false">IFERROR(CC74/CC71,"")</f>
        <v>0.480225509561635</v>
      </c>
      <c r="CD51" s="29" t="n">
        <f aca="false">IFERROR(CD74/CD71,"")</f>
        <v>0.503424796418259</v>
      </c>
      <c r="CE51" s="29" t="n">
        <f aca="false">IFERROR(CE74/CE71,"")</f>
        <v>0.49436638047133</v>
      </c>
      <c r="CF51" s="29" t="n">
        <f aca="false">IFERROR(CF74/CF71,"")</f>
        <v>0.498884263231961</v>
      </c>
      <c r="CG51" s="29" t="n">
        <f aca="false">IFERROR(CG74/CG71,"")</f>
        <v>0.473248901275178</v>
      </c>
      <c r="CH51" s="29" t="n">
        <f aca="false">IFERROR(CH74/CH71,"")</f>
        <v>0.489412879401888</v>
      </c>
      <c r="CI51" s="29" t="n">
        <f aca="false">IFERROR(CI74/CI71,"")</f>
        <v>0.489917760696174</v>
      </c>
      <c r="CJ51" s="29" t="n">
        <f aca="false">IFERROR(CJ74/CJ71,"")</f>
        <v>0.480406716775303</v>
      </c>
      <c r="CK51" s="29" t="n">
        <f aca="false">IFERROR(CK74/CK71,"")</f>
        <v>0.502525599994118</v>
      </c>
      <c r="CL51" s="29" t="n">
        <f aca="false">IFERROR(CL74/CL71,"")</f>
        <v>0.49123975768251</v>
      </c>
      <c r="CM51" s="29" t="n">
        <f aca="false">IFERROR(CM74/CM71,"")</f>
        <v>0.477416483599727</v>
      </c>
      <c r="CN51" s="29" t="n">
        <f aca="false">IFERROR(CN74/CN71,"")</f>
        <v>0.522698299406731</v>
      </c>
      <c r="CO51" s="29" t="n">
        <f aca="false">IFERROR(CO74/CO71,"")</f>
        <v>0.49524577278865</v>
      </c>
      <c r="CP51" s="34" t="n">
        <v>0.495</v>
      </c>
      <c r="CQ51" s="34" t="n">
        <v>0.495</v>
      </c>
      <c r="CR51" s="34" t="n">
        <v>0.495</v>
      </c>
      <c r="CS51" s="34" t="n">
        <v>0.495</v>
      </c>
      <c r="CT51" s="34" t="n">
        <v>0.495</v>
      </c>
      <c r="CU51" s="24" t="s">
        <v>156</v>
      </c>
      <c r="CW51" s="6"/>
      <c r="CX51" s="6"/>
      <c r="CY51" s="6"/>
      <c r="CZ51" s="6"/>
    </row>
    <row r="52" customFormat="false" ht="15" hidden="false" customHeight="false" outlineLevel="0" collapsed="false">
      <c r="B52" s="28" t="s">
        <v>157</v>
      </c>
      <c r="C52" s="29" t="n">
        <f aca="false">IFERROR(C102/C73,"")</f>
        <v>0.0595113996038375</v>
      </c>
      <c r="D52" s="29" t="n">
        <f aca="false">IFERROR(D102/D73,"")</f>
        <v>0.0661500321038739</v>
      </c>
      <c r="E52" s="29" t="n">
        <f aca="false">IFERROR(E102/E73,"")</f>
        <v>0.054537948749312</v>
      </c>
      <c r="F52" s="29" t="n">
        <f aca="false">IFERROR(F102/F73,"")</f>
        <v>0.0556520007213201</v>
      </c>
      <c r="G52" s="29" t="n">
        <f aca="false">IFERROR(G102/G73,"")</f>
        <v>0.0559492494944228</v>
      </c>
      <c r="H52" s="29" t="n">
        <f aca="false">IFERROR(H102/H73,"")</f>
        <v>0.0523865973590019</v>
      </c>
      <c r="I52" s="29" t="n">
        <f aca="false">IFERROR(I102/I73,"")</f>
        <v>0.0521180145662531</v>
      </c>
      <c r="J52" s="29" t="n">
        <f aca="false">IFERROR(J102/J73,"")</f>
        <v>0.0537498011437375</v>
      </c>
      <c r="K52" s="29" t="n">
        <f aca="false">IFERROR(K102/K73,"")</f>
        <v>0.054894152563067</v>
      </c>
      <c r="L52" s="29" t="n">
        <f aca="false">IFERROR(L102/L73,"")</f>
        <v>0.0543529267341318</v>
      </c>
      <c r="M52" s="29" t="n">
        <f aca="false">IFERROR(M102/M73,"")</f>
        <v>0.0532960185565376</v>
      </c>
      <c r="N52" s="29" t="n">
        <f aca="false">IFERROR(N102/N73,"")</f>
        <v>0.0549115082841291</v>
      </c>
      <c r="O52" s="29" t="n">
        <f aca="false">IFERROR(O102/O73,"")</f>
        <v>0.0542132635566607</v>
      </c>
      <c r="P52" s="29" t="n">
        <f aca="false">IFERROR(P102/P73,"")</f>
        <v>0.0518216540482988</v>
      </c>
      <c r="Q52" s="29" t="n">
        <f aca="false">IFERROR(Q102/Q73,"")</f>
        <v>0.0456510051181075</v>
      </c>
      <c r="R52" s="29" t="n">
        <f aca="false">IFERROR(R102/R73,"")</f>
        <v>0.048700639394544</v>
      </c>
      <c r="S52" s="29" t="n">
        <f aca="false">IFERROR(S102/S73,"")</f>
        <v>0.0412272941541124</v>
      </c>
      <c r="T52" s="29" t="n">
        <f aca="false">IFERROR(T102/T73,"")</f>
        <v>0.0465367890067838</v>
      </c>
      <c r="U52" s="29" t="n">
        <f aca="false">IFERROR(U102/U73,"")</f>
        <v>0.046176629087168</v>
      </c>
      <c r="V52" s="29" t="n">
        <f aca="false">IFERROR(V102/V73,"")</f>
        <v>0.0480980488040057</v>
      </c>
      <c r="W52" s="29" t="n">
        <f aca="false">IFERROR(W102/W73,"")</f>
        <v>0.0412657732988728</v>
      </c>
      <c r="X52" s="29" t="n">
        <f aca="false">IFERROR(X102/X73,"")</f>
        <v>0.0447670848010391</v>
      </c>
      <c r="Y52" s="29" t="n">
        <f aca="false">IFERROR(Y102/Y73,"")</f>
        <v>0.0410981954755639</v>
      </c>
      <c r="Z52" s="29" t="n">
        <f aca="false">IFERROR(Z102/Z73,"")</f>
        <v>0.0318605137215588</v>
      </c>
      <c r="AA52" s="29" t="n">
        <f aca="false">IFERROR(AA102/AA73,"")</f>
        <v>0.0406368147396471</v>
      </c>
      <c r="AB52" s="29" t="n">
        <f aca="false">IFERROR(AB102/AB73,"")</f>
        <v>0.0398874109362342</v>
      </c>
      <c r="AC52" s="29" t="n">
        <f aca="false">IFERROR(AC102/AC73,"")</f>
        <v>0.0390082280635022</v>
      </c>
      <c r="AD52" s="29" t="n">
        <f aca="false">IFERROR(AD102/AD73,"")</f>
        <v>0.0394397020443671</v>
      </c>
      <c r="AE52" s="29" t="n">
        <f aca="false">IFERROR(AE102/AE73,"")</f>
        <v>0.0355886028924739</v>
      </c>
      <c r="AF52" s="29" t="n">
        <f aca="false">IFERROR(AF102/AF73,"")</f>
        <v>0.0390940873386862</v>
      </c>
      <c r="AG52" s="29" t="n">
        <f aca="false">IFERROR(AG102/AG73,"")</f>
        <v>0.0382947993967436</v>
      </c>
      <c r="AH52" s="29" t="n">
        <f aca="false">IFERROR(AH102/AH73,"")</f>
        <v>0.0425126665144469</v>
      </c>
      <c r="AI52" s="29" t="n">
        <f aca="false">IFERROR(AI102/AI73,"")</f>
        <v>0.043529633910486</v>
      </c>
      <c r="AJ52" s="29" t="n">
        <f aca="false">IFERROR(AJ102/AJ73,"")</f>
        <v>0.0430237389705301</v>
      </c>
      <c r="AK52" s="29" t="n">
        <f aca="false">IFERROR(AK102/AK73,"")</f>
        <v>0.0353285436872429</v>
      </c>
      <c r="AL52" s="29" t="n">
        <f aca="false">IFERROR(AL102/AL73,"")</f>
        <v>0.0366300753309597</v>
      </c>
      <c r="AM52" s="29" t="n">
        <f aca="false">IFERROR(AM102/AM73,"")</f>
        <v>0.0393651574157396</v>
      </c>
      <c r="AN52" s="29" t="n">
        <f aca="false">IFERROR(AN102/AN73,"")</f>
        <v>0.0379370562638369</v>
      </c>
      <c r="AO52" s="29" t="n">
        <f aca="false">IFERROR(AO102/AO73,"")</f>
        <v>0.0389256511568135</v>
      </c>
      <c r="AP52" s="29" t="n">
        <f aca="false">IFERROR(AP102/AP73,"")</f>
        <v>0.0384538310367835</v>
      </c>
      <c r="AQ52" s="29" t="n">
        <f aca="false">IFERROR(AQ102/AQ73,"")</f>
        <v>0.0346571922090849</v>
      </c>
      <c r="AR52" s="29" t="n">
        <f aca="false">IFERROR(AR102/AR73,"")</f>
        <v>0.062890813693867</v>
      </c>
      <c r="AS52" s="29" t="n">
        <f aca="false">IFERROR(AS102/AS73,"")</f>
        <v>0.0435278383115642</v>
      </c>
      <c r="AT52" s="29" t="n">
        <f aca="false">IFERROR(AT102/AT73,"")</f>
        <v>0.0474003398588545</v>
      </c>
      <c r="AU52" s="29" t="n">
        <f aca="false">IFERROR(AU102/AU73,"")</f>
        <v>0.0420686412400134</v>
      </c>
      <c r="AV52" s="29" t="n">
        <f aca="false">IFERROR(AV102/AV73,"")</f>
        <v>0.0446682011189243</v>
      </c>
      <c r="AW52" s="29" t="n">
        <f aca="false">IFERROR(AW102/AW73,"")</f>
        <v>0.0381692086289314</v>
      </c>
      <c r="AX52" s="29" t="n">
        <f aca="false">IFERROR(AX102/AX73,"")</f>
        <v>0.0396535041238538</v>
      </c>
      <c r="AY52" s="29" t="n">
        <f aca="false">IFERROR(AY102/AY73,"")</f>
        <v>0.0415753123106902</v>
      </c>
      <c r="AZ52" s="29" t="n">
        <f aca="false">IFERROR(AZ102/AZ73,"")</f>
        <v>0.0415097470527971</v>
      </c>
      <c r="BA52" s="29" t="n">
        <f aca="false">IFERROR(BA102/BA73,"")</f>
        <v>0.0422192857391244</v>
      </c>
      <c r="BB52" s="29" t="n">
        <f aca="false">IFERROR(BB102/BB73,"")</f>
        <v>0.0418710228017182</v>
      </c>
      <c r="BC52" s="29" t="n">
        <f aca="false">IFERROR(BC102/BC73,"")</f>
        <v>0.0485409550112654</v>
      </c>
      <c r="BD52" s="29" t="n">
        <f aca="false">IFERROR(BD102/BD73,"")</f>
        <v>0.052085096992537</v>
      </c>
      <c r="BE52" s="29" t="n">
        <f aca="false">IFERROR(BE102/BE73,"")</f>
        <v>0.0459697050621083</v>
      </c>
      <c r="BF52" s="29" t="n">
        <f aca="false">IFERROR(BF102/BF73,"")</f>
        <v>0.0488228151246332</v>
      </c>
      <c r="BG52" s="29" t="n">
        <f aca="false">IFERROR(BG102/BG73,"")</f>
        <v>0.0508758879213524</v>
      </c>
      <c r="BH52" s="29" t="n">
        <f aca="false">IFERROR(BH102/BH73,"")</f>
        <v>0.0498697902677006</v>
      </c>
      <c r="BI52" s="29" t="n">
        <f aca="false">IFERROR(BI102/BI73,"")</f>
        <v>0.0435557493425624</v>
      </c>
      <c r="BJ52" s="29" t="n">
        <f aca="false">IFERROR(BJ102/BJ73,"")</f>
        <v>0.0396243805351108</v>
      </c>
      <c r="BK52" s="29" t="n">
        <f aca="false">IFERROR(BK102/BK73,"")</f>
        <v>0.0453000934815122</v>
      </c>
      <c r="BL52" s="29" t="n">
        <f aca="false">IFERROR(BL102/BL73,"")</f>
        <v>0.0392034878266752</v>
      </c>
      <c r="BM52" s="29" t="n">
        <f aca="false">IFERROR(BM102/BM73,"")</f>
        <v>0.0383913955686718</v>
      </c>
      <c r="BN52" s="29" t="n">
        <f aca="false">IFERROR(BN102/BN73,"")</f>
        <v>0.0387835659683642</v>
      </c>
      <c r="BO52" s="29" t="n">
        <f aca="false">IFERROR(BO102/BO73,"")</f>
        <v>0.0389162724043318</v>
      </c>
      <c r="BP52" s="29" t="n">
        <f aca="false">IFERROR(BP102/BP73,"")</f>
        <v>0.0411291527618668</v>
      </c>
      <c r="BQ52" s="29" t="n">
        <f aca="false">IFERROR(BQ102/BQ73,"")</f>
        <v>0.0394139142242856</v>
      </c>
      <c r="BR52" s="29" t="n">
        <f aca="false">IFERROR(BR102/BR73,"")</f>
        <v>0.0437197494436808</v>
      </c>
      <c r="BS52" s="29" t="n">
        <f aca="false">IFERROR(BS102/BS73,"")</f>
        <v>0.0401516006706218</v>
      </c>
      <c r="BT52" s="29" t="n">
        <f aca="false">IFERROR(BT102/BT73,"")</f>
        <v>0.0418745838053809</v>
      </c>
      <c r="BU52" s="29" t="n">
        <f aca="false">IFERROR(BU102/BU73,"")</f>
        <v>0.036572583920433</v>
      </c>
      <c r="BV52" s="29" t="n">
        <f aca="false">IFERROR(BV102/BV73,"")</f>
        <v>0.0447427853699562</v>
      </c>
      <c r="BW52" s="29" t="n">
        <f aca="false">IFERROR(BW102/BW73,"")</f>
        <v>0.04121391863276</v>
      </c>
      <c r="BX52" s="29" t="n">
        <f aca="false">IFERROR(BX102/BX73,"")</f>
        <v>0.0423003951329654</v>
      </c>
      <c r="BY52" s="29" t="n">
        <f aca="false">IFERROR(BY102/BY73,"")</f>
        <v>0.0443680285919018</v>
      </c>
      <c r="BZ52" s="29" t="n">
        <f aca="false">IFERROR(BZ102/BZ73,"")</f>
        <v>0.0433340765915322</v>
      </c>
      <c r="CA52" s="29" t="n">
        <f aca="false">IFERROR(CA102/CA73,"")</f>
        <v>0.0450056286975753</v>
      </c>
      <c r="CB52" s="29" t="n">
        <f aca="false">IFERROR(CB102/CB73,"")</f>
        <v>0.0473368076116067</v>
      </c>
      <c r="CC52" s="29" t="n">
        <f aca="false">IFERROR(CC102/CC73,"")</f>
        <v>0.0447885125245969</v>
      </c>
      <c r="CD52" s="29" t="n">
        <f aca="false">IFERROR(CD102/CD73,"")</f>
        <v>0.0467611125983037</v>
      </c>
      <c r="CE52" s="29" t="n">
        <f aca="false">IFERROR(CE102/CE73,"")</f>
        <v>0.0465900924598304</v>
      </c>
      <c r="CF52" s="29" t="n">
        <f aca="false">IFERROR(CF102/CF73,"")</f>
        <v>0.0466749922623905</v>
      </c>
      <c r="CG52" s="29" t="n">
        <f aca="false">IFERROR(CG102/CG73,"")</f>
        <v>0.0449082128155442</v>
      </c>
      <c r="CH52" s="29" t="n">
        <f aca="false">IFERROR(CH102/CH73,"")</f>
        <v>0.0476465584745138</v>
      </c>
      <c r="CI52" s="29" t="n">
        <f aca="false">IFERROR(CI102/CI73,"")</f>
        <v>0.046449526765682</v>
      </c>
      <c r="CJ52" s="29" t="n">
        <f aca="false">IFERROR(CJ102/CJ73,"")</f>
        <v>0.0467883951066206</v>
      </c>
      <c r="CK52" s="29" t="n">
        <f aca="false">IFERROR(CK102/CK73,"")</f>
        <v>0.0493788747889315</v>
      </c>
      <c r="CL52" s="29" t="n">
        <f aca="false">IFERROR(CL102/CL73,"")</f>
        <v>0.0480646583833472</v>
      </c>
      <c r="CM52" s="29" t="n">
        <f aca="false">IFERROR(CM102/CM73,"")</f>
        <v>0.0476797519291614</v>
      </c>
      <c r="CN52" s="29" t="n">
        <f aca="false">IFERROR(CN102/CN73,"")</f>
        <v>0.0528973767808969</v>
      </c>
      <c r="CO52" s="29" t="n">
        <f aca="false">IFERROR(CO102/CO73,"")</f>
        <v>0.0491561779594527</v>
      </c>
      <c r="CP52" s="34" t="n">
        <v>0.05</v>
      </c>
      <c r="CQ52" s="34" t="n">
        <v>0.05</v>
      </c>
      <c r="CR52" s="34" t="n">
        <v>0.05</v>
      </c>
      <c r="CS52" s="34" t="n">
        <v>0.05</v>
      </c>
      <c r="CT52" s="34" t="n">
        <v>0.05</v>
      </c>
      <c r="CU52" s="24" t="s">
        <v>158</v>
      </c>
      <c r="CW52" s="6"/>
      <c r="CX52" s="6"/>
      <c r="CY52" s="6"/>
      <c r="CZ52" s="6"/>
    </row>
    <row r="53" customFormat="false" ht="15" hidden="false" customHeight="false" outlineLevel="0" collapsed="false">
      <c r="B53" s="28" t="s">
        <v>159</v>
      </c>
      <c r="C53" s="29" t="n">
        <f aca="false">IFERROR(C103/C73,"")</f>
        <v>0.00667838379328416</v>
      </c>
      <c r="D53" s="29" t="n">
        <f aca="false">IFERROR(D103/D73,"")</f>
        <v>0.00610687022900763</v>
      </c>
      <c r="E53" s="29" t="n">
        <f aca="false">IFERROR(E103/E73,"")</f>
        <v>0.0080983833812407</v>
      </c>
      <c r="F53" s="29" t="n">
        <f aca="false">IFERROR(F103/F73,"")</f>
        <v>0.0126675117954681</v>
      </c>
      <c r="G53" s="29" t="n">
        <f aca="false">IFERROR(G103/G73,"")</f>
        <v>0.0232313208147718</v>
      </c>
      <c r="H53" s="29" t="n">
        <f aca="false">IFERROR(H103/H73,"")</f>
        <v>0.0217908709240283</v>
      </c>
      <c r="I53" s="29" t="n">
        <f aca="false">IFERROR(I103/I73,"")</f>
        <v>0.0235784594310051</v>
      </c>
      <c r="J53" s="29" t="n">
        <f aca="false">IFERROR(J103/J73,"")</f>
        <v>0.0216606800465533</v>
      </c>
      <c r="K53" s="29" t="n">
        <f aca="false">IFERROR(K103/K73,"")</f>
        <v>0.0178297049044837</v>
      </c>
      <c r="L53" s="29" t="n">
        <f aca="false">IFERROR(L103/L73,"")</f>
        <v>0.0196415807512509</v>
      </c>
      <c r="M53" s="29" t="n">
        <f aca="false">IFERROR(M103/M73,"")</f>
        <v>0.0168456767445379</v>
      </c>
      <c r="N53" s="29" t="n">
        <f aca="false">IFERROR(N103/N73,"")</f>
        <v>0.0185288418146585</v>
      </c>
      <c r="O53" s="29" t="n">
        <f aca="false">IFERROR(O103/O73,"")</f>
        <v>0.0186900436359049</v>
      </c>
      <c r="P53" s="29" t="n">
        <f aca="false">IFERROR(P103/P73,"")</f>
        <v>0.0173894091459646</v>
      </c>
      <c r="Q53" s="29" t="n">
        <f aca="false">IFERROR(Q103/Q73,"")</f>
        <v>0.0201512390288862</v>
      </c>
      <c r="R53" s="29" t="n">
        <f aca="false">IFERROR(R103/R73,"")</f>
        <v>0.0187862981333776</v>
      </c>
      <c r="S53" s="29" t="n">
        <f aca="false">IFERROR(S103/S73,"")</f>
        <v>0.0213836924726045</v>
      </c>
      <c r="T53" s="29" t="n">
        <f aca="false">IFERROR(T103/T73,"")</f>
        <v>0.0168272743085754</v>
      </c>
      <c r="U53" s="29" t="n">
        <f aca="false">IFERROR(U103/U73,"")</f>
        <v>0.0189937335032819</v>
      </c>
      <c r="V53" s="29" t="n">
        <f aca="false">IFERROR(V103/V73,"")</f>
        <v>0.0150351600972499</v>
      </c>
      <c r="W53" s="29" t="n">
        <f aca="false">IFERROR(W103/W73,"")</f>
        <v>0.0163036002577301</v>
      </c>
      <c r="X53" s="29" t="n">
        <f aca="false">IFERROR(X103/X73,"")</f>
        <v>0.0156535673191634</v>
      </c>
      <c r="Y53" s="29" t="n">
        <f aca="false">IFERROR(Y103/Y73,"")</f>
        <v>0.0148750429087776</v>
      </c>
      <c r="Z53" s="29" t="n">
        <f aca="false">IFERROR(Z103/Z73,"")</f>
        <v>0.0172303245209764</v>
      </c>
      <c r="AA53" s="29" t="n">
        <f aca="false">IFERROR(AA103/AA73,"")</f>
        <v>0.0158400947927673</v>
      </c>
      <c r="AB53" s="29" t="n">
        <f aca="false">IFERROR(AB103/AB73,"")</f>
        <v>0.018744071070981</v>
      </c>
      <c r="AC53" s="29" t="n">
        <f aca="false">IFERROR(AC103/AC73,"")</f>
        <v>0.0179709448592954</v>
      </c>
      <c r="AD53" s="29" t="n">
        <f aca="false">IFERROR(AD103/AD73,"")</f>
        <v>0.0183503697259678</v>
      </c>
      <c r="AE53" s="29" t="n">
        <f aca="false">IFERROR(AE103/AE73,"")</f>
        <v>0.0144969272504219</v>
      </c>
      <c r="AF53" s="29" t="n">
        <f aca="false">IFERROR(AF103/AF73,"")</f>
        <v>0.0151205889514488</v>
      </c>
      <c r="AG53" s="29" t="n">
        <f aca="false">IFERROR(AG103/AG73,"")</f>
        <v>0.0164484342689379</v>
      </c>
      <c r="AH53" s="29" t="n">
        <f aca="false">IFERROR(AH103/AH73,"")</f>
        <v>0.0146969140815802</v>
      </c>
      <c r="AI53" s="29" t="n">
        <f aca="false">IFERROR(AI103/AI73,"")</f>
        <v>0.0157925454607876</v>
      </c>
      <c r="AJ53" s="29" t="n">
        <f aca="false">IFERROR(AJ103/AJ73,"")</f>
        <v>0.0152475187736423</v>
      </c>
      <c r="AK53" s="29" t="n">
        <f aca="false">IFERROR(AK103/AK73,"")</f>
        <v>0.0133953169886215</v>
      </c>
      <c r="AL53" s="29" t="n">
        <f aca="false">IFERROR(AL103/AL73,"")</f>
        <v>0.0138062737060085</v>
      </c>
      <c r="AM53" s="29" t="n">
        <f aca="false">IFERROR(AM103/AM73,"")</f>
        <v>0.0143924540446318</v>
      </c>
      <c r="AN53" s="29" t="n">
        <f aca="false">IFERROR(AN103/AN73,"")</f>
        <v>0.0126584090388579</v>
      </c>
      <c r="AO53" s="29" t="n">
        <f aca="false">IFERROR(AO103/AO73,"")</f>
        <v>0.0130514521700871</v>
      </c>
      <c r="AP53" s="29" t="n">
        <f aca="false">IFERROR(AP103/AP73,"")</f>
        <v>0.0128638670847594</v>
      </c>
      <c r="AQ53" s="29" t="n">
        <f aca="false">IFERROR(AQ103/AQ73,"")</f>
        <v>0.0124237240640906</v>
      </c>
      <c r="AR53" s="29" t="n">
        <f aca="false">IFERROR(AR103/AR73,"")</f>
        <v>0.0133163261898879</v>
      </c>
      <c r="AS53" s="29" t="n">
        <f aca="false">IFERROR(AS103/AS73,"")</f>
        <v>0.0128598683609358</v>
      </c>
      <c r="AT53" s="29" t="n">
        <f aca="false">IFERROR(AT103/AT73,"")</f>
        <v>0.0130503199181564</v>
      </c>
      <c r="AU53" s="29" t="n">
        <f aca="false">IFERROR(AU103/AU73,"")</f>
        <v>0.0122273137855796</v>
      </c>
      <c r="AV53" s="29" t="n">
        <f aca="false">IFERROR(AV103/AV73,"")</f>
        <v>0.012628584351546</v>
      </c>
      <c r="AW53" s="29" t="n">
        <f aca="false">IFERROR(AW103/AW73,"")</f>
        <v>0.0102148554733546</v>
      </c>
      <c r="AX53" s="29" t="n">
        <f aca="false">IFERROR(AX103/AX73,"")</f>
        <v>0.0107727042344376</v>
      </c>
      <c r="AY53" s="29" t="n">
        <f aca="false">IFERROR(AY103/AY73,"")</f>
        <v>0.011481632571107</v>
      </c>
      <c r="AZ53" s="29" t="n">
        <f aca="false">IFERROR(AZ103/AZ73,"")</f>
        <v>0.00997972670735755</v>
      </c>
      <c r="BA53" s="29" t="n">
        <f aca="false">IFERROR(BA103/BA73,"")</f>
        <v>0.010677400285148</v>
      </c>
      <c r="BB53" s="29" t="n">
        <f aca="false">IFERROR(BB103/BB73,"")</f>
        <v>0.0103349611000351</v>
      </c>
      <c r="BC53" s="29" t="n">
        <f aca="false">IFERROR(BC103/BC73,"")</f>
        <v>0.0100933934152191</v>
      </c>
      <c r="BD53" s="29" t="n">
        <f aca="false">IFERROR(BD103/BD73,"")</f>
        <v>0.0115911646143222</v>
      </c>
      <c r="BE53" s="29" t="n">
        <f aca="false">IFERROR(BE103/BE73,"")</f>
        <v>0.0105740749724676</v>
      </c>
      <c r="BF53" s="29" t="n">
        <f aca="false">IFERROR(BF103/BF73,"")</f>
        <v>0.0150318750632442</v>
      </c>
      <c r="BG53" s="29" t="n">
        <f aca="false">IFERROR(BG103/BG73,"")</f>
        <v>0.0143671873860471</v>
      </c>
      <c r="BH53" s="29" t="n">
        <f aca="false">IFERROR(BH103/BH73,"")</f>
        <v>0.014692914127694</v>
      </c>
      <c r="BI53" s="29" t="n">
        <f aca="false">IFERROR(BI103/BI73,"")</f>
        <v>0.012763145344797</v>
      </c>
      <c r="BJ53" s="29" t="n">
        <f aca="false">IFERROR(BJ103/BJ73,"")</f>
        <v>0.0184029493875479</v>
      </c>
      <c r="BK53" s="29" t="n">
        <f aca="false">IFERROR(BK103/BK73,"")</f>
        <v>0.0151984522997306</v>
      </c>
      <c r="BL53" s="29" t="n">
        <f aca="false">IFERROR(BL103/BL73,"")</f>
        <v>0.0116672344753694</v>
      </c>
      <c r="BM53" s="29" t="n">
        <f aca="false">IFERROR(BM103/BM73,"")</f>
        <v>0.0111382657413598</v>
      </c>
      <c r="BN53" s="29" t="n">
        <f aca="false">IFERROR(BN103/BN73,"")</f>
        <v>0.0113937119394942</v>
      </c>
      <c r="BO53" s="29" t="n">
        <f aca="false">IFERROR(BO103/BO73,"")</f>
        <v>0.0104453364626078</v>
      </c>
      <c r="BP53" s="29" t="n">
        <f aca="false">IFERROR(BP103/BP73,"")</f>
        <v>0.011357410333851</v>
      </c>
      <c r="BQ53" s="29" t="n">
        <f aca="false">IFERROR(BQ103/BQ73,"")</f>
        <v>0.011129928381703</v>
      </c>
      <c r="BR53" s="29" t="n">
        <f aca="false">IFERROR(BR103/BR73,"")</f>
        <v>0.011408461424804</v>
      </c>
      <c r="BS53" s="29" t="n">
        <f aca="false">IFERROR(BS103/BS73,"")</f>
        <v>0.0105892608526597</v>
      </c>
      <c r="BT53" s="29" t="n">
        <f aca="false">IFERROR(BT103/BT73,"")</f>
        <v>0.0109848353815153</v>
      </c>
      <c r="BU53" s="29" t="n">
        <f aca="false">IFERROR(BU103/BU73,"")</f>
        <v>0.00986562357180395</v>
      </c>
      <c r="BV53" s="29" t="n">
        <f aca="false">IFERROR(BV103/BV73,"")</f>
        <v>0.00929138294150609</v>
      </c>
      <c r="BW53" s="29" t="n">
        <f aca="false">IFERROR(BW103/BW73,"")</f>
        <v>0.0102526981396649</v>
      </c>
      <c r="BX53" s="29" t="n">
        <f aca="false">IFERROR(BX103/BX73,"")</f>
        <v>0.00815059740341194</v>
      </c>
      <c r="BY53" s="29" t="n">
        <f aca="false">IFERROR(BY103/BY73,"")</f>
        <v>0.00898790274753982</v>
      </c>
      <c r="BZ53" s="29" t="n">
        <f aca="false">IFERROR(BZ103/BZ73,"")</f>
        <v>0.00856919529640075</v>
      </c>
      <c r="CA53" s="29" t="n">
        <f aca="false">IFERROR(CA103/CA73,"")</f>
        <v>0.00799993612825447</v>
      </c>
      <c r="CB53" s="29" t="n">
        <f aca="false">IFERROR(CB103/CB73,"")</f>
        <v>0.00798878202879516</v>
      </c>
      <c r="CC53" s="29" t="n">
        <f aca="false">IFERROR(CC103/CC73,"")</f>
        <v>0.00831613687897748</v>
      </c>
      <c r="CD53" s="29" t="n">
        <f aca="false">IFERROR(CD103/CD73,"")</f>
        <v>0.00908156316242439</v>
      </c>
      <c r="CE53" s="29" t="n">
        <f aca="false">IFERROR(CE103/CE73,"")</f>
        <v>0.00800900185332274</v>
      </c>
      <c r="CF53" s="29" t="n">
        <f aca="false">IFERROR(CF103/CF73,"")</f>
        <v>0.00854145519004218</v>
      </c>
      <c r="CG53" s="29" t="n">
        <f aca="false">IFERROR(CG103/CG73,"")</f>
        <v>0.00757025573649271</v>
      </c>
      <c r="CH53" s="29" t="n">
        <f aca="false">IFERROR(CH103/CH73,"")</f>
        <v>0.00808730269478987</v>
      </c>
      <c r="CI53" s="29" t="n">
        <f aca="false">IFERROR(CI103/CI73,"")</f>
        <v>0.00817825338640892</v>
      </c>
      <c r="CJ53" s="29" t="n">
        <f aca="false">IFERROR(CJ103/CJ73,"")</f>
        <v>0.00806818870505528</v>
      </c>
      <c r="CK53" s="29" t="n">
        <f aca="false">IFERROR(CK103/CK73,"")</f>
        <v>0.00912118850931732</v>
      </c>
      <c r="CL53" s="29" t="n">
        <f aca="false">IFERROR(CL103/CL73,"")</f>
        <v>0.00858697485487793</v>
      </c>
      <c r="CM53" s="29" t="n">
        <f aca="false">IFERROR(CM103/CM73,"")</f>
        <v>0.00764955143864596</v>
      </c>
      <c r="CN53" s="29" t="n">
        <f aca="false">IFERROR(CN103/CN73,"")</f>
        <v>0.00850804250810672</v>
      </c>
      <c r="CO53" s="29" t="n">
        <f aca="false">IFERROR(CO103/CO73,"")</f>
        <v>0.00831895870930771</v>
      </c>
      <c r="CP53" s="34" t="n">
        <v>0.008</v>
      </c>
      <c r="CQ53" s="34" t="n">
        <v>0.008</v>
      </c>
      <c r="CR53" s="34" t="n">
        <v>0.008</v>
      </c>
      <c r="CS53" s="34" t="n">
        <v>0.008</v>
      </c>
      <c r="CT53" s="34" t="n">
        <v>0.008</v>
      </c>
      <c r="CU53" s="24"/>
      <c r="CW53" s="6"/>
      <c r="CX53" s="6"/>
      <c r="CY53" s="6"/>
      <c r="CZ53" s="6"/>
    </row>
    <row r="54" customFormat="false" ht="15" hidden="false" customHeight="false" outlineLevel="0" collapsed="false">
      <c r="B54" s="28" t="s">
        <v>160</v>
      </c>
      <c r="C54" s="35" t="n">
        <f aca="false">IFERROR(C78/C73,"")</f>
        <v>0.111595225617751</v>
      </c>
      <c r="D54" s="35" t="n">
        <f aca="false">IFERROR(D78/D73,"")</f>
        <v>0.113499678961261</v>
      </c>
      <c r="E54" s="35" t="n">
        <f aca="false">IFERROR(E78/E73,"")</f>
        <v>0.107462846309094</v>
      </c>
      <c r="F54" s="35" t="n">
        <f aca="false">IFERROR(F78/F73,"")</f>
        <v>0.116992471894084</v>
      </c>
      <c r="G54" s="35" t="n">
        <f aca="false">IFERROR(G78/G73,"")</f>
        <v>0.140932798018836</v>
      </c>
      <c r="H54" s="35" t="n">
        <f aca="false">IFERROR(H78/H73,"")</f>
        <v>0.123365426725947</v>
      </c>
      <c r="I54" s="35" t="n">
        <f aca="false">IFERROR(I78/I73,"")</f>
        <v>0.123883482959691</v>
      </c>
      <c r="J54" s="35" t="n">
        <f aca="false">IFERROR(J78/J73,"")</f>
        <v>0.13011060594643</v>
      </c>
      <c r="K54" s="35" t="n">
        <f aca="false">IFERROR(K78/K73,"")</f>
        <v>0.127907282529068</v>
      </c>
      <c r="L54" s="35" t="n">
        <f aca="false">IFERROR(L78/L73,"")</f>
        <v>0.128949353629633</v>
      </c>
      <c r="M54" s="35" t="n">
        <f aca="false">IFERROR(M78/M73,"")</f>
        <v>0.118081818771206</v>
      </c>
      <c r="N54" s="35" t="n">
        <f aca="false">IFERROR(N78/N73,"")</f>
        <v>0.151765094028374</v>
      </c>
      <c r="O54" s="35" t="n">
        <f aca="false">IFERROR(O78/O73,"")</f>
        <v>0.13181560150843</v>
      </c>
      <c r="P54" s="35" t="n">
        <f aca="false">IFERROR(P78/P73,"")</f>
        <v>0.153196156965589</v>
      </c>
      <c r="Q54" s="35" t="n">
        <f aca="false">IFERROR(Q78/Q73,"")</f>
        <v>0.139864680868891</v>
      </c>
      <c r="R54" s="35" t="n">
        <f aca="false">IFERROR(R78/R73,"")</f>
        <v>0.146453311484557</v>
      </c>
      <c r="S54" s="35" t="n">
        <f aca="false">IFERROR(S78/S73,"")</f>
        <v>0.130810856187161</v>
      </c>
      <c r="T54" s="35" t="n">
        <f aca="false">IFERROR(T78/T73,"")</f>
        <v>0.142915289615585</v>
      </c>
      <c r="U54" s="35" t="n">
        <f aca="false">IFERROR(U78/U73,"")</f>
        <v>0.141415174531087</v>
      </c>
      <c r="V54" s="35" t="n">
        <f aca="false">IFERROR(V78/V73,"")</f>
        <v>0.137427424187116</v>
      </c>
      <c r="W54" s="35" t="n">
        <f aca="false">IFERROR(W78/W73,"")</f>
        <v>0.124517661027011</v>
      </c>
      <c r="X54" s="35" t="n">
        <f aca="false">IFERROR(X78/X73,"")</f>
        <v>0.131133480633343</v>
      </c>
      <c r="Y54" s="35" t="n">
        <f aca="false">IFERROR(Y78/Y73,"")</f>
        <v>0.109880124654206</v>
      </c>
      <c r="Z54" s="35" t="n">
        <f aca="false">IFERROR(Z78/Z73,"")</f>
        <v>0.113424704119479</v>
      </c>
      <c r="AA54" s="35" t="n">
        <f aca="false">IFERROR(AA78/AA73,"")</f>
        <v>0.121261274310061</v>
      </c>
      <c r="AB54" s="35" t="n">
        <f aca="false">IFERROR(AB78/AB73,"")</f>
        <v>0.119842264521981</v>
      </c>
      <c r="AC54" s="35" t="n">
        <f aca="false">IFERROR(AC78/AC73,"")</f>
        <v>0.108536365638326</v>
      </c>
      <c r="AD54" s="35" t="n">
        <f aca="false">IFERROR(AD78/AD73,"")</f>
        <v>0.114084928229665</v>
      </c>
      <c r="AE54" s="35" t="n">
        <f aca="false">IFERROR(AE78/AE73,"")</f>
        <v>0.102806079839653</v>
      </c>
      <c r="AF54" s="35" t="n">
        <f aca="false">IFERROR(AF78/AF73,"")</f>
        <v>0.106033505782197</v>
      </c>
      <c r="AG54" s="35" t="n">
        <f aca="false">IFERROR(AG78/AG73,"")</f>
        <v>0.108885733679478</v>
      </c>
      <c r="AH54" s="35" t="n">
        <f aca="false">IFERROR(AH78/AH73,"")</f>
        <v>0.116965470200092</v>
      </c>
      <c r="AI54" s="35" t="n">
        <f aca="false">IFERROR(AI78/AI73,"")</f>
        <v>0.108387787098177</v>
      </c>
      <c r="AJ54" s="35" t="n">
        <f aca="false">IFERROR(AJ78/AJ73,"")</f>
        <v>0.112654793586984</v>
      </c>
      <c r="AK54" s="35" t="n">
        <f aca="false">IFERROR(AK78/AK73,"")</f>
        <v>0.0955352509749587</v>
      </c>
      <c r="AL54" s="35" t="n">
        <f aca="false">IFERROR(AL78/AL73,"")</f>
        <v>0.0985034178913671</v>
      </c>
      <c r="AM54" s="35" t="n">
        <f aca="false">IFERROR(AM78/AM73,"")</f>
        <v>0.104534520825895</v>
      </c>
      <c r="AN54" s="35" t="n">
        <f aca="false">IFERROR(AN78/AN73,"")</f>
        <v>0.0938096419574013</v>
      </c>
      <c r="AO54" s="35" t="n">
        <f aca="false">IFERROR(AO78/AO73,"")</f>
        <v>0.0885677817323233</v>
      </c>
      <c r="AP54" s="35" t="n">
        <f aca="false">IFERROR(AP78/AP73,"")</f>
        <v>0.0910695295545582</v>
      </c>
      <c r="AQ54" s="35" t="n">
        <f aca="false">IFERROR(AQ78/AQ73,"")</f>
        <v>0.0929510370181389</v>
      </c>
      <c r="AR54" s="35" t="n">
        <f aca="false">IFERROR(AR78/AR73,"")</f>
        <v>0.116772738706611</v>
      </c>
      <c r="AS54" s="35" t="n">
        <f aca="false">IFERROR(AS78/AS73,"")</f>
        <v>0.0979622804515713</v>
      </c>
      <c r="AT54" s="35" t="n">
        <f aca="false">IFERROR(AT78/AT73,"")</f>
        <v>0.0964046054342737</v>
      </c>
      <c r="AU54" s="35" t="n">
        <f aca="false">IFERROR(AU78/AU73,"")</f>
        <v>0.0896827786462308</v>
      </c>
      <c r="AV54" s="35" t="n">
        <f aca="false">IFERROR(AV78/AV73,"")</f>
        <v>0.0929601190362964</v>
      </c>
      <c r="AW54" s="35" t="n">
        <f aca="false">IFERROR(AW78/AW73,"")</f>
        <v>0.0797029917774933</v>
      </c>
      <c r="AX54" s="35" t="n">
        <f aca="false">IFERROR(AX78/AX73,"")</f>
        <v>0.0918158779892181</v>
      </c>
      <c r="AY54" s="35" t="n">
        <f aca="false">IFERROR(AY78/AY73,"")</f>
        <v>0.0890650488722339</v>
      </c>
      <c r="AZ54" s="35" t="n">
        <f aca="false">IFERROR(AZ78/AZ73,"")</f>
        <v>0.0892421684486963</v>
      </c>
      <c r="BA54" s="35" t="n">
        <f aca="false">IFERROR(BA78/BA73,"")</f>
        <v>0.0869301387488264</v>
      </c>
      <c r="BB54" s="35" t="n">
        <f aca="false">IFERROR(BB78/BB73,"")</f>
        <v>0.088064952494945</v>
      </c>
      <c r="BC54" s="35" t="n">
        <f aca="false">IFERROR(BC78/BC73,"")</f>
        <v>0.0863289483247329</v>
      </c>
      <c r="BD54" s="35" t="n">
        <f aca="false">IFERROR(BD78/BD73,"")</f>
        <v>0.0850665545534272</v>
      </c>
      <c r="BE54" s="35" t="n">
        <f aca="false">IFERROR(BE78/BE73,"")</f>
        <v>0.0869171552374134</v>
      </c>
      <c r="BF54" s="35" t="n">
        <f aca="false">IFERROR(BF78/BF73,"")</f>
        <v>0.0812476810469862</v>
      </c>
      <c r="BG54" s="35" t="n">
        <f aca="false">IFERROR(BG78/BG73,"")</f>
        <v>0.0798614656313864</v>
      </c>
      <c r="BH54" s="35" t="n">
        <f aca="false">IFERROR(BH78/BH73,"")</f>
        <v>0.0805407732912607</v>
      </c>
      <c r="BI54" s="35" t="n">
        <f aca="false">IFERROR(BI78/BI73,"")</f>
        <v>0.0725293292093036</v>
      </c>
      <c r="BJ54" s="35" t="n">
        <f aca="false">IFERROR(BJ78/BJ73,"")</f>
        <v>0.074780599227923</v>
      </c>
      <c r="BK54" s="35" t="n">
        <f aca="false">IFERROR(BK78/BK73,"")</f>
        <v>0.0767554895783155</v>
      </c>
      <c r="BL54" s="35" t="n">
        <f aca="false">IFERROR(BL78/BL73,"")</f>
        <v>0.0677778436106709</v>
      </c>
      <c r="BM54" s="35" t="n">
        <f aca="false">IFERROR(BM78/BM73,"")</f>
        <v>0.0645724298526733</v>
      </c>
      <c r="BN54" s="35" t="n">
        <f aca="false">IFERROR(BN78/BN73,"")</f>
        <v>0.0661203677652254</v>
      </c>
      <c r="BO54" s="35" t="n">
        <f aca="false">IFERROR(BO78/BO73,"")</f>
        <v>0.0675808375206529</v>
      </c>
      <c r="BP54" s="35" t="n">
        <f aca="false">IFERROR(BP78/BP73,"")</f>
        <v>0.0642741354874642</v>
      </c>
      <c r="BQ54" s="35" t="n">
        <f aca="false">IFERROR(BQ78/BQ73,"")</f>
        <v>0.0660466203036287</v>
      </c>
      <c r="BR54" s="35" t="n">
        <f aca="false">IFERROR(BR78/BR73,"")</f>
        <v>0.064900175962533</v>
      </c>
      <c r="BS54" s="35" t="n">
        <f aca="false">IFERROR(BS78/BS73,"")</f>
        <v>0.0637331142523863</v>
      </c>
      <c r="BT54" s="35" t="n">
        <f aca="false">IFERROR(BT78/BT73,"")</f>
        <v>0.0642966635244874</v>
      </c>
      <c r="BU54" s="35" t="n">
        <f aca="false">IFERROR(BU78/BU73,"")</f>
        <v>0.0631278557804569</v>
      </c>
      <c r="BV54" s="35" t="n">
        <f aca="false">IFERROR(BV78/BV73,"")</f>
        <v>0.0671226985808814</v>
      </c>
      <c r="BW54" s="35" t="n">
        <f aca="false">IFERROR(BW78/BW73,"")</f>
        <v>0.0647165874406063</v>
      </c>
      <c r="BX54" s="35" t="n">
        <f aca="false">IFERROR(BX78/BX73,"")</f>
        <v>0.0672696233692925</v>
      </c>
      <c r="BY54" s="35" t="n">
        <f aca="false">IFERROR(BY78/BY73,"")</f>
        <v>0.082587935683905</v>
      </c>
      <c r="BZ54" s="35" t="n">
        <f aca="false">IFERROR(BZ78/BZ73,"")</f>
        <v>0.0749277773557814</v>
      </c>
      <c r="CA54" s="35" t="n">
        <f aca="false">IFERROR(CA78/CA73,"")</f>
        <v>0.0783333732531743</v>
      </c>
      <c r="CB54" s="35" t="n">
        <f aca="false">IFERROR(CB78/CB73,"")</f>
        <v>0.0879626641371975</v>
      </c>
      <c r="CC54" s="35" t="n">
        <f aca="false">IFERROR(CC78/CC73,"")</f>
        <v>0.0791227294602583</v>
      </c>
      <c r="CD54" s="35" t="n">
        <f aca="false">IFERROR(CD78/CD73,"")</f>
        <v>0.0922003193152597</v>
      </c>
      <c r="CE54" s="35" t="n">
        <f aca="false">IFERROR(CE78/CE73,"")</f>
        <v>0.0853955417100771</v>
      </c>
      <c r="CF54" s="35" t="n">
        <f aca="false">IFERROR(CF78/CF73,"")</f>
        <v>0.0887736484073511</v>
      </c>
      <c r="CG54" s="35" t="n">
        <f aca="false">IFERROR(CG78/CG73,"")</f>
        <v>0.0831234381653787</v>
      </c>
      <c r="CH54" s="35" t="n">
        <f aca="false">IFERROR(CH78/CH73,"")</f>
        <v>0.0863276677477586</v>
      </c>
      <c r="CI54" s="35" t="n">
        <f aca="false">IFERROR(CI78/CI73,"")</f>
        <v>0.0867081217432996</v>
      </c>
      <c r="CJ54" s="35" t="n">
        <f aca="false">IFERROR(CJ78/CJ73,"")</f>
        <v>0.0920357047003108</v>
      </c>
      <c r="CK54" s="35" t="n">
        <f aca="false">IFERROR(CK78/CK73,"")</f>
        <v>0.0928094972335991</v>
      </c>
      <c r="CL54" s="35" t="n">
        <f aca="false">IFERROR(CL78/CL73,"")</f>
        <v>0.0924169325481046</v>
      </c>
      <c r="CM54" s="35" t="n">
        <f aca="false">IFERROR(CM78/CM73,"")</f>
        <v>0.0875595966585453</v>
      </c>
      <c r="CN54" s="35" t="n">
        <f aca="false">IFERROR(CN78/CN73,"")</f>
        <v>0.0976580973049333</v>
      </c>
      <c r="CO54" s="35" t="n">
        <f aca="false">IFERROR(CO78/CO73,"")</f>
        <v>0.0924236355465433</v>
      </c>
      <c r="CP54" s="45" t="n">
        <f aca="false">IFERROR(CP78/CP73,"")</f>
        <v>0.0969534309537333</v>
      </c>
      <c r="CQ54" s="45" t="n">
        <f aca="false">IFERROR(CQ78/CQ73,"")</f>
        <v>0.0927581477162214</v>
      </c>
      <c r="CR54" s="45" t="n">
        <f aca="false">IFERROR(CR78/CR73,"")</f>
        <v>0.0887199810295989</v>
      </c>
      <c r="CS54" s="45" t="n">
        <f aca="false">IFERROR(CS78/CS73,"")</f>
        <v>0.0846341699150763</v>
      </c>
      <c r="CT54" s="45" t="n">
        <f aca="false">IFERROR(CT78/CT73,"")</f>
        <v>0.0805372581147414</v>
      </c>
      <c r="CU54" s="24" t="s">
        <v>161</v>
      </c>
      <c r="CW54" s="6"/>
      <c r="CX54" s="6"/>
      <c r="CY54" s="6"/>
      <c r="CZ54" s="6"/>
    </row>
    <row r="55" customFormat="false" ht="15" hidden="false" customHeight="false" outlineLevel="0" collapsed="false">
      <c r="B55" s="15"/>
      <c r="CP55" s="6"/>
      <c r="CQ55" s="6"/>
      <c r="CR55" s="6"/>
      <c r="CS55" s="6"/>
      <c r="CT55" s="6"/>
      <c r="CU55" s="6"/>
    </row>
    <row r="56" customFormat="false" ht="15" hidden="false" customHeight="false" outlineLevel="0" collapsed="false">
      <c r="B56" s="16" t="s">
        <v>162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7" t="s">
        <v>163</v>
      </c>
    </row>
    <row r="57" customFormat="false" ht="15" hidden="false" customHeight="false" outlineLevel="0" collapsed="false">
      <c r="B57" s="20" t="s">
        <v>164</v>
      </c>
      <c r="C57" s="21" t="n">
        <f aca="false">C73</f>
        <v>528.571</v>
      </c>
      <c r="D57" s="21" t="n">
        <f aca="false">D73</f>
        <v>560.68</v>
      </c>
      <c r="E57" s="21" t="n">
        <f aca="false">E73</f>
        <v>784.848</v>
      </c>
      <c r="F57" s="21" t="n">
        <f aca="false">F73</f>
        <v>743.082</v>
      </c>
      <c r="G57" s="21" t="n">
        <f aca="false">G73</f>
        <v>772.879</v>
      </c>
      <c r="H57" s="21" t="n">
        <f aca="false">H73</f>
        <v>872.246</v>
      </c>
      <c r="I57" s="21" t="n">
        <f aca="false">I73</f>
        <v>924.191</v>
      </c>
      <c r="J57" s="21" t="n">
        <f aca="false">J73</f>
        <v>238.866</v>
      </c>
      <c r="K57" s="21" t="n">
        <f aca="false">K73</f>
        <v>266.185</v>
      </c>
      <c r="L57" s="21" t="n">
        <f aca="false">L73</f>
        <v>505.051</v>
      </c>
      <c r="M57" s="21" t="n">
        <f aca="false">M73</f>
        <v>277.638</v>
      </c>
      <c r="N57" s="21" t="n">
        <f aca="false">N73</f>
        <v>263.697</v>
      </c>
      <c r="O57" s="21" t="n">
        <f aca="false">O73</f>
        <v>1046.386</v>
      </c>
      <c r="P57" s="21" t="n">
        <f aca="false">P73</f>
        <v>279.883</v>
      </c>
      <c r="Q57" s="21" t="n">
        <f aca="false">Q73</f>
        <v>286.434</v>
      </c>
      <c r="R57" s="21" t="n">
        <f aca="false">R73</f>
        <v>566.317</v>
      </c>
      <c r="S57" s="21" t="n">
        <f aca="false">S73</f>
        <v>309.722</v>
      </c>
      <c r="T57" s="21" t="n">
        <f aca="false">T73</f>
        <v>287.45</v>
      </c>
      <c r="U57" s="21" t="n">
        <f aca="false">U73</f>
        <v>1163.489</v>
      </c>
      <c r="V57" s="21" t="n">
        <f aca="false">V73</f>
        <v>290.386</v>
      </c>
      <c r="W57" s="21" t="n">
        <f aca="false">W73</f>
        <v>276.258</v>
      </c>
      <c r="X57" s="21" t="n">
        <f aca="false">X73</f>
        <v>566.644</v>
      </c>
      <c r="Y57" s="21" t="n">
        <f aca="false">Y73</f>
        <v>297.142</v>
      </c>
      <c r="Z57" s="21" t="n">
        <f aca="false">Z73</f>
        <v>282.293</v>
      </c>
      <c r="AA57" s="21" t="n">
        <f aca="false">AA73</f>
        <v>1146.079</v>
      </c>
      <c r="AB57" s="21" t="n">
        <f aca="false">AB73</f>
        <v>288.838</v>
      </c>
      <c r="AC57" s="21" t="n">
        <f aca="false">AC73</f>
        <v>299.706</v>
      </c>
      <c r="AD57" s="21" t="n">
        <f aca="false">AD73</f>
        <v>588.544</v>
      </c>
      <c r="AE57" s="21" t="n">
        <f aca="false">AE73</f>
        <v>347.246</v>
      </c>
      <c r="AF57" s="21" t="n">
        <f aca="false">AF73</f>
        <v>332.659</v>
      </c>
      <c r="AG57" s="21" t="n">
        <f aca="false">AG73</f>
        <v>1268.449</v>
      </c>
      <c r="AH57" s="21" t="n">
        <f aca="false">AH73</f>
        <v>345.991</v>
      </c>
      <c r="AI57" s="21" t="n">
        <f aca="false">AI73</f>
        <v>349.532</v>
      </c>
      <c r="AJ57" s="21" t="n">
        <f aca="false">AJ73</f>
        <v>695.523</v>
      </c>
      <c r="AK57" s="21" t="n">
        <f aca="false">AK73</f>
        <v>373.862</v>
      </c>
      <c r="AL57" s="21" t="n">
        <f aca="false">AL73</f>
        <v>378.596</v>
      </c>
      <c r="AM57" s="21" t="n">
        <f aca="false">AM73</f>
        <v>1447.981</v>
      </c>
      <c r="AN57" s="21" t="n">
        <f aca="false">AN73</f>
        <v>419.168</v>
      </c>
      <c r="AO57" s="21" t="n">
        <f aca="false">AO73</f>
        <v>459.106</v>
      </c>
      <c r="AP57" s="21" t="n">
        <f aca="false">AP73</f>
        <v>878.274</v>
      </c>
      <c r="AQ57" s="21" t="n">
        <f aca="false">AQ73</f>
        <v>478.198</v>
      </c>
      <c r="AR57" s="21" t="n">
        <f aca="false">AR73</f>
        <v>449.223</v>
      </c>
      <c r="AS57" s="21" t="n">
        <f aca="false">AS73</f>
        <v>1805.695</v>
      </c>
      <c r="AT57" s="21" t="n">
        <f aca="false">AT73</f>
        <v>461.368</v>
      </c>
      <c r="AU57" s="21" t="n">
        <f aca="false">AU73</f>
        <v>484.898</v>
      </c>
      <c r="AV57" s="21" t="n">
        <f aca="false">AV73</f>
        <v>946.266</v>
      </c>
      <c r="AW57" s="21" t="n">
        <f aca="false">AW73</f>
        <v>553.116</v>
      </c>
      <c r="AX57" s="21" t="n">
        <f aca="false">AX73</f>
        <v>542.575</v>
      </c>
      <c r="AY57" s="21" t="n">
        <f aca="false">AY73</f>
        <v>2041.957</v>
      </c>
      <c r="AZ57" s="21" t="n">
        <f aca="false">AZ73</f>
        <v>554.424</v>
      </c>
      <c r="BA57" s="21" t="n">
        <f aca="false">BA73</f>
        <v>575.14</v>
      </c>
      <c r="BB57" s="21" t="n">
        <f aca="false">BB73</f>
        <v>1129.564</v>
      </c>
      <c r="BC57" s="21" t="n">
        <f aca="false">BC73</f>
        <v>550.36</v>
      </c>
      <c r="BD57" s="21" t="n">
        <f aca="false">BD73</f>
        <v>525.659</v>
      </c>
      <c r="BE57" s="21" t="n">
        <f aca="false">BE73</f>
        <v>2205.583</v>
      </c>
      <c r="BF57" s="21" t="n">
        <f aca="false">BF73</f>
        <v>592.94</v>
      </c>
      <c r="BG57" s="21" t="n">
        <f aca="false">BG73</f>
        <v>617.031</v>
      </c>
      <c r="BH57" s="21" t="n">
        <f aca="false">BH73</f>
        <v>1209.971</v>
      </c>
      <c r="BI57" s="21" t="n">
        <f aca="false">BI73</f>
        <v>733.91</v>
      </c>
      <c r="BJ57" s="21" t="n">
        <f aca="false">BJ73</f>
        <v>748.63</v>
      </c>
      <c r="BK57" s="21" t="n">
        <f aca="false">BK73</f>
        <v>2692.511</v>
      </c>
      <c r="BL57" s="21" t="n">
        <f aca="false">BL73</f>
        <v>810.132</v>
      </c>
      <c r="BM57" s="21" t="n">
        <f aca="false">BM73</f>
        <v>867.46</v>
      </c>
      <c r="BN57" s="21" t="n">
        <f aca="false">BN73</f>
        <v>1677.592</v>
      </c>
      <c r="BO57" s="21" t="n">
        <f aca="false">BO73</f>
        <v>939.941</v>
      </c>
      <c r="BP57" s="21" t="n">
        <f aca="false">BP73</f>
        <v>883.388</v>
      </c>
      <c r="BQ57" s="21" t="n">
        <f aca="false">BQ73</f>
        <v>3500.921</v>
      </c>
      <c r="BR57" s="21" t="n">
        <f aca="false">BR73</f>
        <v>893.372</v>
      </c>
      <c r="BS57" s="21" t="n">
        <f aca="false">BS73</f>
        <v>956.724</v>
      </c>
      <c r="BT57" s="21" t="n">
        <f aca="false">BT73</f>
        <v>1850.096</v>
      </c>
      <c r="BU57" s="21" t="n">
        <f aca="false">BU73</f>
        <v>1021.831</v>
      </c>
      <c r="BV57" s="21" t="n">
        <f aca="false">BV73</f>
        <v>997.591</v>
      </c>
      <c r="BW57" s="21" t="n">
        <f aca="false">BW73</f>
        <v>3869.518</v>
      </c>
      <c r="BX57" s="21" t="n">
        <f aca="false">BX73</f>
        <v>1020.416</v>
      </c>
      <c r="BY57" s="21" t="n">
        <f aca="false">BY73</f>
        <v>1020.149</v>
      </c>
      <c r="BZ57" s="21" t="n">
        <f aca="false">BZ73</f>
        <v>2040.565</v>
      </c>
      <c r="CA57" s="21" t="n">
        <f aca="false">CA73</f>
        <v>1127.259</v>
      </c>
      <c r="CB57" s="21" t="n">
        <f aca="false">CB73</f>
        <v>1068.999</v>
      </c>
      <c r="CC57" s="21" t="n">
        <f aca="false">CC73</f>
        <v>4236.823</v>
      </c>
      <c r="CD57" s="21" t="n">
        <f aca="false">CD73</f>
        <v>1146.829</v>
      </c>
      <c r="CE57" s="21" t="n">
        <f aca="false">CE73</f>
        <v>1163.316</v>
      </c>
      <c r="CF57" s="21" t="n">
        <f aca="false">CF73</f>
        <v>2310.145</v>
      </c>
      <c r="CG57" s="21" t="n">
        <f aca="false">CG73</f>
        <v>1211.716</v>
      </c>
      <c r="CH57" s="21" t="n">
        <f aca="false">CH73</f>
        <v>1125.097</v>
      </c>
      <c r="CI57" s="21" t="n">
        <f aca="false">CI73</f>
        <v>4646.958</v>
      </c>
      <c r="CJ57" s="21" t="n">
        <f aca="false">CJ73</f>
        <v>1155.03</v>
      </c>
      <c r="CK57" s="21" t="n">
        <f aca="false">CK73</f>
        <v>1121.674</v>
      </c>
      <c r="CL57" s="21" t="n">
        <f aca="false">CL73</f>
        <v>2276.704</v>
      </c>
      <c r="CM57" s="21" t="n">
        <f aca="false">CM73</f>
        <v>1237.066</v>
      </c>
      <c r="CN57" s="21" t="n">
        <f aca="false">CN73</f>
        <v>1152.439</v>
      </c>
      <c r="CO57" s="21" t="n">
        <f aca="false">CO73</f>
        <v>4666.209</v>
      </c>
      <c r="CP57" s="23" t="n">
        <f aca="false">CP73</f>
        <v>4886.7571755</v>
      </c>
      <c r="CQ57" s="23" t="n">
        <f aca="false">CQ73</f>
        <v>5173.529618047</v>
      </c>
      <c r="CR57" s="23" t="n">
        <f aca="false">CR73</f>
        <v>5493.6280935759</v>
      </c>
      <c r="CS57" s="23" t="n">
        <f aca="false">CS73</f>
        <v>5830.34337053615</v>
      </c>
      <c r="CT57" s="23" t="n">
        <f aca="false">CT73</f>
        <v>6188.25935749607</v>
      </c>
      <c r="CU57" s="24"/>
      <c r="CW57" s="48" t="n">
        <f aca="false">IFERROR((CT57/CO57)^(1/5)-1,"n/m")</f>
        <v>0.0580857465281293</v>
      </c>
      <c r="CX57" s="48" t="n">
        <f aca="false">IFERROR((CO57/BK57)^(1/5)-1,"n/m")</f>
        <v>0.116249661375315</v>
      </c>
      <c r="CY57" s="48" t="n">
        <f aca="false">IFERROR((CO57/AG57)^(1/10)-1,"n/m")</f>
        <v>0.139119057437913</v>
      </c>
      <c r="CZ57" s="48" t="n">
        <f aca="false">IFERROR((CO57/C57)^(1/20)-1,"n/m")</f>
        <v>0.115046664099074</v>
      </c>
    </row>
    <row r="58" customFormat="false" ht="15" hidden="false" customHeight="false" outlineLevel="0" collapsed="false">
      <c r="B58" s="41" t="s">
        <v>165</v>
      </c>
      <c r="C58" s="42" t="n">
        <f aca="false">C126</f>
        <v>197.868</v>
      </c>
      <c r="D58" s="42" t="n">
        <f aca="false">D126</f>
        <v>240.866</v>
      </c>
      <c r="E58" s="42" t="n">
        <f aca="false">E126</f>
        <v>284.902</v>
      </c>
      <c r="F58" s="42" t="n">
        <f aca="false">F126</f>
        <v>267.668</v>
      </c>
      <c r="G58" s="42" t="n">
        <f aca="false">G126</f>
        <v>282.748</v>
      </c>
      <c r="H58" s="42" t="n">
        <f aca="false">H126</f>
        <v>313.156</v>
      </c>
      <c r="I58" s="42" t="n">
        <f aca="false">I126</f>
        <v>337.207</v>
      </c>
      <c r="J58" s="21" t="n">
        <f aca="false">J126</f>
        <v>86.903</v>
      </c>
      <c r="K58" s="21" t="n">
        <f aca="false">K126</f>
        <v>78.126</v>
      </c>
      <c r="L58" s="21" t="n">
        <f aca="false">L126</f>
        <v>165.029</v>
      </c>
      <c r="M58" s="21" t="n">
        <f aca="false">M126</f>
        <v>93.4487741935485</v>
      </c>
      <c r="N58" s="21" t="n">
        <f aca="false">N126</f>
        <v>78.998</v>
      </c>
      <c r="O58" s="42" t="n">
        <f aca="false">O126</f>
        <v>337.475774193548</v>
      </c>
      <c r="P58" s="21" t="n">
        <f aca="false">P126</f>
        <v>80.886</v>
      </c>
      <c r="Q58" s="21" t="n">
        <f aca="false">Q126</f>
        <v>85.73</v>
      </c>
      <c r="R58" s="21" t="n">
        <f aca="false">R126</f>
        <v>166.616</v>
      </c>
      <c r="S58" s="21" t="n">
        <f aca="false">S126</f>
        <v>105.214</v>
      </c>
      <c r="T58" s="21" t="n">
        <f aca="false">T126</f>
        <v>89.312</v>
      </c>
      <c r="U58" s="42" t="n">
        <f aca="false">U126</f>
        <v>361.142</v>
      </c>
      <c r="V58" s="21" t="n">
        <f aca="false">V126</f>
        <v>97.961</v>
      </c>
      <c r="W58" s="21" t="n">
        <f aca="false">W126</f>
        <v>96.0090000000001</v>
      </c>
      <c r="X58" s="21" t="n">
        <f aca="false">X126</f>
        <v>193.97</v>
      </c>
      <c r="Y58" s="21" t="n">
        <f aca="false">Y126</f>
        <v>106.164</v>
      </c>
      <c r="Z58" s="21" t="n">
        <f aca="false">Z126</f>
        <v>98.4087741935484</v>
      </c>
      <c r="AA58" s="42" t="n">
        <f aca="false">AA126</f>
        <v>396.807290322581</v>
      </c>
      <c r="AB58" s="21" t="n">
        <f aca="false">AB126</f>
        <v>97.9681935483871</v>
      </c>
      <c r="AC58" s="21" t="n">
        <f aca="false">AC126</f>
        <v>102.58035483871</v>
      </c>
      <c r="AD58" s="21" t="n">
        <f aca="false">AD126</f>
        <v>200.548548387097</v>
      </c>
      <c r="AE58" s="21" t="n">
        <f aca="false">AE126</f>
        <v>135.098225806452</v>
      </c>
      <c r="AF58" s="21" t="n">
        <f aca="false">AF126</f>
        <v>119.567967741935</v>
      </c>
      <c r="AG58" s="42" t="n">
        <f aca="false">AG126</f>
        <v>458.835709677419</v>
      </c>
      <c r="AH58" s="21" t="n">
        <f aca="false">AH126</f>
        <v>123.606935483871</v>
      </c>
      <c r="AI58" s="21" t="n">
        <f aca="false">AI126</f>
        <v>125.461096774194</v>
      </c>
      <c r="AJ58" s="21" t="n">
        <f aca="false">AJ126</f>
        <v>249.068032258065</v>
      </c>
      <c r="AK58" s="21" t="n">
        <f aca="false">AK126</f>
        <v>149.53264516129</v>
      </c>
      <c r="AL58" s="21" t="n">
        <f aca="false">AL126</f>
        <v>146.155064516129</v>
      </c>
      <c r="AM58" s="42" t="n">
        <f aca="false">AM126</f>
        <v>544.754129032258</v>
      </c>
      <c r="AN58" s="21" t="n">
        <f aca="false">AN126</f>
        <v>139.951287671233</v>
      </c>
      <c r="AO58" s="21" t="n">
        <f aca="false">AO126</f>
        <v>168.922054794521</v>
      </c>
      <c r="AP58" s="21" t="n">
        <f aca="false">AP126</f>
        <v>308.873342465753</v>
      </c>
      <c r="AQ58" s="21" t="n">
        <f aca="false">AQ126</f>
        <v>191.565465753425</v>
      </c>
      <c r="AR58" s="21" t="n">
        <f aca="false">AR126</f>
        <v>175.185780821918</v>
      </c>
      <c r="AS58" s="42" t="n">
        <f aca="false">AS126</f>
        <v>675.695821917808</v>
      </c>
      <c r="AT58" s="21" t="n">
        <f aca="false">AT126</f>
        <v>173.886</v>
      </c>
      <c r="AU58" s="21" t="n">
        <f aca="false">AU126</f>
        <v>187.714666666667</v>
      </c>
      <c r="AV58" s="21" t="n">
        <f aca="false">AV126</f>
        <v>361.600666666667</v>
      </c>
      <c r="AW58" s="21" t="n">
        <f aca="false">AW126</f>
        <v>232.177</v>
      </c>
      <c r="AX58" s="21" t="n">
        <f aca="false">AX126</f>
        <v>214.208</v>
      </c>
      <c r="AY58" s="42" t="n">
        <f aca="false">AY126</f>
        <v>807.989666666667</v>
      </c>
      <c r="AZ58" s="21" t="n">
        <f aca="false">AZ126</f>
        <v>232.594</v>
      </c>
      <c r="BA58" s="21" t="n">
        <f aca="false">BA126</f>
        <v>233.265333333333</v>
      </c>
      <c r="BB58" s="21" t="n">
        <f aca="false">BB126</f>
        <v>465.859333333333</v>
      </c>
      <c r="BC58" s="21" t="n">
        <f aca="false">BC126</f>
        <v>223.439666666667</v>
      </c>
      <c r="BD58" s="21" t="n">
        <f aca="false">BD126</f>
        <v>233.707666666667</v>
      </c>
      <c r="BE58" s="42" t="n">
        <f aca="false">BE126</f>
        <v>923.008</v>
      </c>
      <c r="BF58" s="21" t="n">
        <f aca="false">BF126</f>
        <v>280.796</v>
      </c>
      <c r="BG58" s="21" t="n">
        <f aca="false">BG126</f>
        <v>288.693</v>
      </c>
      <c r="BH58" s="21" t="n">
        <f aca="false">BH126</f>
        <v>569.489</v>
      </c>
      <c r="BI58" s="21" t="n">
        <f aca="false">BI126</f>
        <v>360.847</v>
      </c>
      <c r="BJ58" s="21" t="n">
        <f aca="false">BJ126</f>
        <v>337.345333333333</v>
      </c>
      <c r="BK58" s="42" t="n">
        <f aca="false">BK126</f>
        <v>1267.68133333333</v>
      </c>
      <c r="BL58" s="21" t="n">
        <f aca="false">BL126</f>
        <v>362.693</v>
      </c>
      <c r="BM58" s="21" t="n">
        <f aca="false">BM126</f>
        <v>379.791</v>
      </c>
      <c r="BN58" s="21" t="n">
        <f aca="false">BN126</f>
        <v>742.484</v>
      </c>
      <c r="BO58" s="21" t="n">
        <f aca="false">BO126</f>
        <v>417.465333333333</v>
      </c>
      <c r="BP58" s="21" t="n">
        <f aca="false">BP126</f>
        <v>359.216</v>
      </c>
      <c r="BQ58" s="42" t="n">
        <f aca="false">BQ126</f>
        <v>1519.17533333333</v>
      </c>
      <c r="BR58" s="21" t="n">
        <f aca="false">BR126</f>
        <v>347.739</v>
      </c>
      <c r="BS58" s="21" t="n">
        <f aca="false">BS126</f>
        <v>401.037</v>
      </c>
      <c r="BT58" s="21" t="n">
        <f aca="false">BT126</f>
        <v>748.776</v>
      </c>
      <c r="BU58" s="21" t="n">
        <f aca="false">BU126</f>
        <v>459.923</v>
      </c>
      <c r="BV58" s="21" t="n">
        <f aca="false">BV126</f>
        <v>439.179</v>
      </c>
      <c r="BW58" s="42" t="n">
        <f aca="false">BW126</f>
        <v>1647.878</v>
      </c>
      <c r="BX58" s="21" t="n">
        <f aca="false">BX126</f>
        <v>434.468</v>
      </c>
      <c r="BY58" s="21" t="n">
        <f aca="false">BY126</f>
        <v>422.059</v>
      </c>
      <c r="BZ58" s="21" t="n">
        <f aca="false">BZ126</f>
        <v>856.527</v>
      </c>
      <c r="CA58" s="21" t="n">
        <f aca="false">CA126</f>
        <v>486.627</v>
      </c>
      <c r="CB58" s="21" t="n">
        <f aca="false">CB126</f>
        <v>415.536</v>
      </c>
      <c r="CC58" s="42" t="n">
        <f aca="false">CC126</f>
        <v>1758.689</v>
      </c>
      <c r="CD58" s="21" t="n">
        <f aca="false">CD126</f>
        <v>459.398</v>
      </c>
      <c r="CE58" s="21" t="n">
        <f aca="false">CE126</f>
        <v>476.503</v>
      </c>
      <c r="CF58" s="21" t="n">
        <f aca="false">CF126</f>
        <v>935.901</v>
      </c>
      <c r="CG58" s="21" t="n">
        <f aca="false">CG126</f>
        <v>514.444</v>
      </c>
      <c r="CH58" s="21" t="n">
        <f aca="false">CH126</f>
        <v>482.176</v>
      </c>
      <c r="CI58" s="42" t="n">
        <f aca="false">CI126</f>
        <v>1932.521</v>
      </c>
      <c r="CJ58" s="21" t="n">
        <f aca="false">CJ126</f>
        <v>487.66</v>
      </c>
      <c r="CK58" s="21" t="n">
        <f aca="false">CK126</f>
        <v>446.449</v>
      </c>
      <c r="CL58" s="21" t="n">
        <f aca="false">CL126</f>
        <v>934.109</v>
      </c>
      <c r="CM58" s="21" t="n">
        <f aca="false">CM126</f>
        <v>522.264</v>
      </c>
      <c r="CN58" s="21" t="n">
        <f aca="false">CN126</f>
        <v>426.054</v>
      </c>
      <c r="CO58" s="42" t="n">
        <f aca="false">CO126</f>
        <v>1882.427</v>
      </c>
      <c r="CP58" s="42" t="n">
        <f aca="false">CP73*CP59</f>
        <v>1954.7028702</v>
      </c>
      <c r="CQ58" s="42" t="n">
        <f aca="false">CQ73*CQ59</f>
        <v>2095.27949530903</v>
      </c>
      <c r="CR58" s="42" t="n">
        <f aca="false">CR73*CR59</f>
        <v>2252.38751836612</v>
      </c>
      <c r="CS58" s="42" t="n">
        <f aca="false">CS73*CS59</f>
        <v>2419.5924987725</v>
      </c>
      <c r="CT58" s="42" t="n">
        <f aca="false">CT73*CT59</f>
        <v>2599.06893014835</v>
      </c>
      <c r="CU58" s="24" t="s">
        <v>166</v>
      </c>
      <c r="CW58" s="25" t="n">
        <f aca="false">IFERROR((CT58/CO58)^(1/5)-1,"n/m")</f>
        <v>0.0666450710871882</v>
      </c>
      <c r="CX58" s="25" t="n">
        <f aca="false">IFERROR((CO58/BK58)^(1/5)-1,"n/m")</f>
        <v>0.0822849258523</v>
      </c>
      <c r="CY58" s="25" t="n">
        <f aca="false">IFERROR((CO58/AG58)^(1/10)-1,"n/m")</f>
        <v>0.151611765743212</v>
      </c>
      <c r="CZ58" s="25" t="n">
        <f aca="false">IFERROR((CO58/C58)^(1/20)-1,"n/m")</f>
        <v>0.119224295387914</v>
      </c>
    </row>
    <row r="59" customFormat="false" ht="15" hidden="false" customHeight="false" outlineLevel="0" collapsed="false">
      <c r="B59" s="28" t="s">
        <v>167</v>
      </c>
      <c r="C59" s="35" t="n">
        <f aca="false">IFERROR(C58/C73,"")</f>
        <v>0.374345168387974</v>
      </c>
      <c r="D59" s="35" t="n">
        <f aca="false">IFERROR(D58/D73,"")</f>
        <v>0.429596204608689</v>
      </c>
      <c r="E59" s="35" t="n">
        <f aca="false">IFERROR(E58/E73,"")</f>
        <v>0.363002772511365</v>
      </c>
      <c r="F59" s="35" t="n">
        <f aca="false">IFERROR(F58/F73,"")</f>
        <v>0.360213273905168</v>
      </c>
      <c r="G59" s="35" t="n">
        <f aca="false">IFERROR(G58/G73,"")</f>
        <v>0.365837343232252</v>
      </c>
      <c r="H59" s="35" t="n">
        <f aca="false">IFERROR(H58/H73,"")</f>
        <v>0.35902256932104</v>
      </c>
      <c r="I59" s="35" t="n">
        <f aca="false">IFERROR(I58/I73,"")</f>
        <v>0.364867219005595</v>
      </c>
      <c r="J59" s="35" t="n">
        <f aca="false">IFERROR(J58/J73,"")</f>
        <v>0.363814858539934</v>
      </c>
      <c r="K59" s="35" t="n">
        <f aca="false">IFERROR(K58/K73,"")</f>
        <v>0.29350263914195</v>
      </c>
      <c r="L59" s="35" t="n">
        <f aca="false">IFERROR(L58/L73,"")</f>
        <v>0.326757099778042</v>
      </c>
      <c r="M59" s="35" t="n">
        <f aca="false">IFERROR(M58/M73,"")</f>
        <v>0.336584956646959</v>
      </c>
      <c r="N59" s="35" t="n">
        <f aca="false">IFERROR(N58/N73,"")</f>
        <v>0.299578683109781</v>
      </c>
      <c r="O59" s="35" t="n">
        <f aca="false">IFERROR(O58/O73,"")</f>
        <v>0.322515567098134</v>
      </c>
      <c r="P59" s="35" t="n">
        <f aca="false">IFERROR(P58/P73,"")</f>
        <v>0.288999331863672</v>
      </c>
      <c r="Q59" s="35" t="n">
        <f aca="false">IFERROR(Q58/Q73,"")</f>
        <v>0.299301060628277</v>
      </c>
      <c r="R59" s="35" t="n">
        <f aca="false">IFERROR(R58/R73,"")</f>
        <v>0.294209780034857</v>
      </c>
      <c r="S59" s="35" t="n">
        <f aca="false">IFERROR(S58/S73,"")</f>
        <v>0.339704638353104</v>
      </c>
      <c r="T59" s="35" t="n">
        <f aca="false">IFERROR(T58/T73,"")</f>
        <v>0.310704470342668</v>
      </c>
      <c r="U59" s="35" t="n">
        <f aca="false">IFERROR(U58/U73,"")</f>
        <v>0.31039571495734</v>
      </c>
      <c r="V59" s="35" t="n">
        <f aca="false">IFERROR(V58/V73,"")</f>
        <v>0.337347530528331</v>
      </c>
      <c r="W59" s="35" t="n">
        <f aca="false">IFERROR(W58/W73,"")</f>
        <v>0.347533827074691</v>
      </c>
      <c r="X59" s="35" t="n">
        <f aca="false">IFERROR(X58/X73,"")</f>
        <v>0.342313692547702</v>
      </c>
      <c r="Y59" s="35" t="n">
        <f aca="false">IFERROR(Y58/Y73,"")</f>
        <v>0.357283722933816</v>
      </c>
      <c r="Z59" s="35" t="n">
        <f aca="false">IFERROR(Z58/Z73,"")</f>
        <v>0.348605081222518</v>
      </c>
      <c r="AA59" s="35" t="n">
        <f aca="false">IFERROR(AA58/AA73,"")</f>
        <v>0.346230312502524</v>
      </c>
      <c r="AB59" s="35" t="n">
        <f aca="false">IFERROR(AB58/AB73,"")</f>
        <v>0.339180417910341</v>
      </c>
      <c r="AC59" s="35" t="n">
        <f aca="false">IFERROR(AC58/AC73,"")</f>
        <v>0.34226994067089</v>
      </c>
      <c r="AD59" s="35" t="n">
        <f aca="false">IFERROR(AD58/AD73,"")</f>
        <v>0.340753704713831</v>
      </c>
      <c r="AE59" s="35" t="n">
        <f aca="false">IFERROR(AE58/AE73,"")</f>
        <v>0.389056247750735</v>
      </c>
      <c r="AF59" s="35" t="n">
        <f aca="false">IFERROR(AF58/AF73,"")</f>
        <v>0.359431032203955</v>
      </c>
      <c r="AG59" s="35" t="n">
        <f aca="false">IFERROR(AG58/AG73,"")</f>
        <v>0.361729726364575</v>
      </c>
      <c r="AH59" s="35" t="n">
        <f aca="false">IFERROR(AH58/AH73,"")</f>
        <v>0.357254771031244</v>
      </c>
      <c r="AI59" s="35" t="n">
        <f aca="false">IFERROR(AI58/AI73,"")</f>
        <v>0.358940230863536</v>
      </c>
      <c r="AJ59" s="35" t="n">
        <f aca="false">IFERROR(AJ58/AJ73,"")</f>
        <v>0.358101791397358</v>
      </c>
      <c r="AK59" s="35" t="n">
        <f aca="false">IFERROR(AK58/AK73,"")</f>
        <v>0.399967488435012</v>
      </c>
      <c r="AL59" s="35" t="n">
        <f aca="false">IFERROR(AL58/AL73,"")</f>
        <v>0.38604492523991</v>
      </c>
      <c r="AM59" s="35" t="n">
        <f aca="false">IFERROR(AM58/AM73,"")</f>
        <v>0.376216351618052</v>
      </c>
      <c r="AN59" s="35" t="n">
        <f aca="false">IFERROR(AN58/AN73,"")</f>
        <v>0.333878749501949</v>
      </c>
      <c r="AO59" s="35" t="n">
        <f aca="false">IFERROR(AO58/AO73,"")</f>
        <v>0.367936935684832</v>
      </c>
      <c r="AP59" s="35" t="n">
        <f aca="false">IFERROR(AP58/AP73,"")</f>
        <v>0.351682211321015</v>
      </c>
      <c r="AQ59" s="35" t="n">
        <f aca="false">IFERROR(AQ58/AQ73,"")</f>
        <v>0.400598634359459</v>
      </c>
      <c r="AR59" s="35" t="n">
        <f aca="false">IFERROR(AR58/AR73,"")</f>
        <v>0.389975092152267</v>
      </c>
      <c r="AS59" s="35" t="n">
        <f aca="false">IFERROR(AS58/AS73,"")</f>
        <v>0.374202632181962</v>
      </c>
      <c r="AT59" s="35" t="n">
        <f aca="false">IFERROR(AT58/AT73,"")</f>
        <v>0.376892198852109</v>
      </c>
      <c r="AU59" s="35" t="n">
        <f aca="false">IFERROR(AU58/AU73,"")</f>
        <v>0.387121965169307</v>
      </c>
      <c r="AV59" s="35" t="n">
        <f aca="false">IFERROR(AV58/AV73,"")</f>
        <v>0.382134269504206</v>
      </c>
      <c r="AW59" s="35" t="n">
        <f aca="false">IFERROR(AW58/AW73,"")</f>
        <v>0.419761858272044</v>
      </c>
      <c r="AX59" s="35" t="n">
        <f aca="false">IFERROR(AX58/AX73,"")</f>
        <v>0.394798875731466</v>
      </c>
      <c r="AY59" s="35" t="n">
        <f aca="false">IFERROR(AY58/AY73,"")</f>
        <v>0.395693771546936</v>
      </c>
      <c r="AZ59" s="35" t="n">
        <f aca="false">IFERROR(AZ58/AZ73,"")</f>
        <v>0.419523685843326</v>
      </c>
      <c r="BA59" s="35" t="n">
        <f aca="false">IFERROR(BA58/BA73,"")</f>
        <v>0.405580090644597</v>
      </c>
      <c r="BB59" s="35" t="n">
        <f aca="false">IFERROR(BB58/BB73,"")</f>
        <v>0.412424026733619</v>
      </c>
      <c r="BC59" s="35" t="n">
        <f aca="false">IFERROR(BC58/BC73,"")</f>
        <v>0.405988201661942</v>
      </c>
      <c r="BD59" s="35" t="n">
        <f aca="false">IFERROR(BD58/BD73,"")</f>
        <v>0.444599382235759</v>
      </c>
      <c r="BE59" s="35" t="n">
        <f aca="false">IFERROR(BE58/BE73,"")</f>
        <v>0.418487084820657</v>
      </c>
      <c r="BF59" s="35" t="n">
        <f aca="false">IFERROR(BF58/BF73,"")</f>
        <v>0.473565622154012</v>
      </c>
      <c r="BG59" s="35" t="n">
        <f aca="false">IFERROR(BG58/BG73,"")</f>
        <v>0.467874385565717</v>
      </c>
      <c r="BH59" s="35" t="n">
        <f aca="false">IFERROR(BH58/BH73,"")</f>
        <v>0.470663346476899</v>
      </c>
      <c r="BI59" s="35" t="n">
        <f aca="false">IFERROR(BI58/BI73,"")</f>
        <v>0.491677453638729</v>
      </c>
      <c r="BJ59" s="35" t="n">
        <f aca="false">IFERROR(BJ58/BJ73,"")</f>
        <v>0.450616904656951</v>
      </c>
      <c r="BK59" s="35" t="n">
        <f aca="false">IFERROR(BK58/BK73,"")</f>
        <v>0.470817513218454</v>
      </c>
      <c r="BL59" s="35" t="n">
        <f aca="false">IFERROR(BL58/BL73,"")</f>
        <v>0.44769617790681</v>
      </c>
      <c r="BM59" s="35" t="n">
        <f aca="false">IFERROR(BM58/BM73,"")</f>
        <v>0.437819611278906</v>
      </c>
      <c r="BN59" s="35" t="n">
        <f aca="false">IFERROR(BN58/BN73,"")</f>
        <v>0.442589139671625</v>
      </c>
      <c r="BO59" s="35" t="n">
        <f aca="false">IFERROR(BO58/BO73,"")</f>
        <v>0.444139933605762</v>
      </c>
      <c r="BP59" s="35" t="n">
        <f aca="false">IFERROR(BP58/BP73,"")</f>
        <v>0.406634457339244</v>
      </c>
      <c r="BQ59" s="35" t="n">
        <f aca="false">IFERROR(BQ58/BQ73,"")</f>
        <v>0.43393590810342</v>
      </c>
      <c r="BR59" s="35" t="n">
        <f aca="false">IFERROR(BR58/BR73,"")</f>
        <v>0.389243226785706</v>
      </c>
      <c r="BS59" s="35" t="n">
        <f aca="false">IFERROR(BS58/BS73,"")</f>
        <v>0.419177317596297</v>
      </c>
      <c r="BT59" s="35" t="n">
        <f aca="false">IFERROR(BT58/BT73,"")</f>
        <v>0.404722781952937</v>
      </c>
      <c r="BU59" s="35" t="n">
        <f aca="false">IFERROR(BU58/BU73,"")</f>
        <v>0.450096933837396</v>
      </c>
      <c r="BV59" s="35" t="n">
        <f aca="false">IFERROR(BV58/BV73,"")</f>
        <v>0.440239537044741</v>
      </c>
      <c r="BW59" s="35" t="n">
        <f aca="false">IFERROR(BW58/BW73,"")</f>
        <v>0.42586130882451</v>
      </c>
      <c r="BX59" s="35" t="n">
        <f aca="false">IFERROR(BX58/BX73,"")</f>
        <v>0.425775370045158</v>
      </c>
      <c r="BY59" s="35" t="n">
        <f aca="false">IFERROR(BY58/BY73,"")</f>
        <v>0.413722897341467</v>
      </c>
      <c r="BZ59" s="35" t="n">
        <f aca="false">IFERROR(BZ58/BZ73,"")</f>
        <v>0.419749922202919</v>
      </c>
      <c r="CA59" s="35" t="n">
        <f aca="false">IFERROR(CA58/CA73,"")</f>
        <v>0.431690498811719</v>
      </c>
      <c r="CB59" s="35" t="n">
        <f aca="false">IFERROR(CB58/CB73,"")</f>
        <v>0.388715050247942</v>
      </c>
      <c r="CC59" s="35" t="n">
        <f aca="false">IFERROR(CC58/CC73,"")</f>
        <v>0.415096169936766</v>
      </c>
      <c r="CD59" s="35" t="n">
        <f aca="false">IFERROR(CD58/CD73,"")</f>
        <v>0.400581080527263</v>
      </c>
      <c r="CE59" s="35" t="n">
        <f aca="false">IFERROR(CE58/CE73,"")</f>
        <v>0.409607535699672</v>
      </c>
      <c r="CF59" s="35" t="n">
        <f aca="false">IFERROR(CF58/CF73,"")</f>
        <v>0.405126518032418</v>
      </c>
      <c r="CG59" s="35" t="n">
        <f aca="false">IFERROR(CG58/CG73,"")</f>
        <v>0.424558229816228</v>
      </c>
      <c r="CH59" s="35" t="n">
        <f aca="false">IFERROR(CH58/CH73,"")</f>
        <v>0.428563937153863</v>
      </c>
      <c r="CI59" s="35" t="n">
        <f aca="false">IFERROR(CI58/CI73,"")</f>
        <v>0.415867972122838</v>
      </c>
      <c r="CJ59" s="35" t="n">
        <f aca="false">IFERROR(CJ58/CJ73,"")</f>
        <v>0.422205483840247</v>
      </c>
      <c r="CK59" s="35" t="n">
        <f aca="false">IFERROR(CK58/CK73,"")</f>
        <v>0.398020280402327</v>
      </c>
      <c r="CL59" s="35" t="n">
        <f aca="false">IFERROR(CL58/CL73,"")</f>
        <v>0.410290050880571</v>
      </c>
      <c r="CM59" s="35" t="n">
        <f aca="false">IFERROR(CM58/CM73,"")</f>
        <v>0.422179576514107</v>
      </c>
      <c r="CN59" s="35" t="n">
        <f aca="false">IFERROR(CN58/CN73,"")</f>
        <v>0.36969765861794</v>
      </c>
      <c r="CO59" s="35" t="n">
        <f aca="false">IFERROR(CO58/CO73,"")</f>
        <v>0.403416777945437</v>
      </c>
      <c r="CP59" s="45" t="n">
        <f aca="false">CHOOSE(MATCH($CU$2,{"Bull","Base","Bear"},0),$DD$33,$DE$33,$DF$33)</f>
        <v>0.4</v>
      </c>
      <c r="CQ59" s="45" t="n">
        <f aca="false">CHOOSE(MATCH($CU$2,{"Bull","Base","Bear"},0),$DD$34,$DE$34,$DF$34)</f>
        <v>0.405</v>
      </c>
      <c r="CR59" s="45" t="n">
        <f aca="false">CHOOSE(MATCH($CU$2,{"Bull","Base","Bear"},0),$DD$35,$DE$35,$DF$35)</f>
        <v>0.41</v>
      </c>
      <c r="CS59" s="45" t="n">
        <f aca="false">CHOOSE(MATCH($CU$2,{"Bull","Base","Bear"},0),$DD$36,$DE$36,$DF$36)</f>
        <v>0.415</v>
      </c>
      <c r="CT59" s="45" t="n">
        <f aca="false">CHOOSE(MATCH($CU$2,{"Bull","Base","Bear"},0),$DD$37,$DE$37,$DF$37)</f>
        <v>0.42</v>
      </c>
      <c r="CU59" s="24" t="s">
        <v>168</v>
      </c>
      <c r="CW59" s="49" t="n">
        <f aca="false">IFERROR(AVERAGE(CP59:CT59),"n/m")</f>
        <v>0.41</v>
      </c>
      <c r="CX59" s="6"/>
      <c r="CY59" s="6"/>
      <c r="CZ59" s="6"/>
    </row>
    <row r="60" customFormat="false" ht="15" hidden="false" customHeight="false" outlineLevel="0" collapsed="false">
      <c r="B60" s="28" t="s">
        <v>169</v>
      </c>
      <c r="C60" s="29"/>
      <c r="D60" s="29" t="n">
        <f aca="false">IFERROR(D58/C58-1,"")</f>
        <v>0.217306487153051</v>
      </c>
      <c r="E60" s="29" t="n">
        <f aca="false">IFERROR(E58/D58-1,"")</f>
        <v>0.182823644682106</v>
      </c>
      <c r="F60" s="29" t="n">
        <f aca="false">IFERROR(F58/E58-1,"")</f>
        <v>-0.0604909758443259</v>
      </c>
      <c r="G60" s="29" t="n">
        <f aca="false">IFERROR(G58/F58-1,"")</f>
        <v>0.0563384491235417</v>
      </c>
      <c r="H60" s="29" t="n">
        <f aca="false">IFERROR(H58/G58-1,"")</f>
        <v>0.107544527282244</v>
      </c>
      <c r="I60" s="29" t="n">
        <f aca="false">IFERROR(I58/H58-1,"")</f>
        <v>0.0768019772892747</v>
      </c>
      <c r="J60" s="29"/>
      <c r="K60" s="29"/>
      <c r="L60" s="29"/>
      <c r="M60" s="29"/>
      <c r="N60" s="29"/>
      <c r="O60" s="29" t="n">
        <f aca="false">IFERROR(O58/I58-1,"")</f>
        <v>0.000797059947000633</v>
      </c>
      <c r="P60" s="29" t="n">
        <f aca="false">IFERROR(P58/J58-1,"")</f>
        <v>-0.0692381160604352</v>
      </c>
      <c r="Q60" s="29" t="n">
        <f aca="false">IFERROR(Q58/K58-1,"")</f>
        <v>0.0973299541765862</v>
      </c>
      <c r="R60" s="29" t="n">
        <f aca="false">IFERROR(R58/L58-1,"")</f>
        <v>0.00961649164692258</v>
      </c>
      <c r="S60" s="29" t="n">
        <f aca="false">IFERROR(S58/M58-1,"")</f>
        <v>0.125900268976068</v>
      </c>
      <c r="T60" s="29" t="n">
        <f aca="false">IFERROR(T58/N58-1,"")</f>
        <v>0.13056026734854</v>
      </c>
      <c r="U60" s="29" t="n">
        <f aca="false">IFERROR(U58/O58-1,"")</f>
        <v>0.0701271842786517</v>
      </c>
      <c r="V60" s="29" t="n">
        <f aca="false">IFERROR(V58/P58-1,"")</f>
        <v>0.211099572237471</v>
      </c>
      <c r="W60" s="29" t="n">
        <f aca="false">IFERROR(W58/Q58-1,"")</f>
        <v>0.11989968505774</v>
      </c>
      <c r="X60" s="29" t="n">
        <f aca="false">IFERROR(X58/R58-1,"")</f>
        <v>0.164173908868296</v>
      </c>
      <c r="Y60" s="29" t="n">
        <f aca="false">IFERROR(Y58/S58-1,"")</f>
        <v>0.00902921664417322</v>
      </c>
      <c r="Z60" s="29" t="n">
        <f aca="false">IFERROR(Z58/T58-1,"")</f>
        <v>0.101853885183944</v>
      </c>
      <c r="AA60" s="29" t="n">
        <f aca="false">IFERROR(AA58/U58-1,"")</f>
        <v>0.098756971835402</v>
      </c>
      <c r="AB60" s="29" t="n">
        <f aca="false">IFERROR(AB58/V58-1,"")</f>
        <v>7.34327782190292E-005</v>
      </c>
      <c r="AC60" s="29" t="n">
        <f aca="false">IFERROR(AC58/W58-1,"")</f>
        <v>0.0684451961660844</v>
      </c>
      <c r="AD60" s="29" t="n">
        <f aca="false">IFERROR(AD58/X58-1,"")</f>
        <v>0.0339152878646014</v>
      </c>
      <c r="AE60" s="29" t="n">
        <f aca="false">IFERROR(AE58/Y58-1,"")</f>
        <v>0.272542724524806</v>
      </c>
      <c r="AF60" s="29" t="n">
        <f aca="false">IFERROR(AF58/Z58-1,"")</f>
        <v>0.215013282319437</v>
      </c>
      <c r="AG60" s="29" t="n">
        <f aca="false">IFERROR(AG58/AA58-1,"")</f>
        <v>0.156318749346599</v>
      </c>
      <c r="AH60" s="29" t="n">
        <f aca="false">IFERROR(AH58/AB58-1,"")</f>
        <v>0.261704753418983</v>
      </c>
      <c r="AI60" s="29" t="n">
        <f aca="false">IFERROR(AI58/AC58-1,"")</f>
        <v>0.223051889140568</v>
      </c>
      <c r="AJ60" s="29" t="n">
        <f aca="false">IFERROR(AJ58/AD58-1,"")</f>
        <v>0.241933857219031</v>
      </c>
      <c r="AK60" s="29" t="n">
        <f aca="false">IFERROR(AK58/AE58-1,"")</f>
        <v>0.106843885392827</v>
      </c>
      <c r="AL60" s="29" t="n">
        <f aca="false">IFERROR(AL58/AF58-1,"")</f>
        <v>0.222359694459111</v>
      </c>
      <c r="AM60" s="29" t="n">
        <f aca="false">IFERROR(AM58/AG58-1,"")</f>
        <v>0.187253122507058</v>
      </c>
      <c r="AN60" s="29" t="n">
        <f aca="false">IFERROR(AN58/AH58-1,"")</f>
        <v>0.132228439475345</v>
      </c>
      <c r="AO60" s="29" t="n">
        <f aca="false">IFERROR(AO58/AI58-1,"")</f>
        <v>0.346409836497353</v>
      </c>
      <c r="AP60" s="29" t="n">
        <f aca="false">IFERROR(AP58/AJ58-1,"")</f>
        <v>0.240116363651692</v>
      </c>
      <c r="AQ60" s="29" t="n">
        <f aca="false">IFERROR(AQ58/AK58-1,"")</f>
        <v>0.281094610122067</v>
      </c>
      <c r="AR60" s="29" t="n">
        <f aca="false">IFERROR(AR58/AL58-1,"")</f>
        <v>0.198629561020686</v>
      </c>
      <c r="AS60" s="29" t="n">
        <f aca="false">IFERROR(AS58/AM58-1,"")</f>
        <v>0.240368426611405</v>
      </c>
      <c r="AT60" s="29" t="n">
        <f aca="false">IFERROR(AT58/AN58-1,"")</f>
        <v>0.242475170421332</v>
      </c>
      <c r="AU60" s="29" t="n">
        <f aca="false">IFERROR(AU58/AO58-1,"")</f>
        <v>0.111250196991777</v>
      </c>
      <c r="AV60" s="29" t="n">
        <f aca="false">IFERROR(AV58/AP58-1,"")</f>
        <v>0.170708562221616</v>
      </c>
      <c r="AW60" s="29" t="n">
        <f aca="false">IFERROR(AW58/AQ58-1,"")</f>
        <v>0.211998201694918</v>
      </c>
      <c r="AX60" s="29" t="n">
        <f aca="false">IFERROR(AX58/AR58-1,"")</f>
        <v>0.222747639648617</v>
      </c>
      <c r="AY60" s="29" t="n">
        <f aca="false">IFERROR(AY58/AS58-1,"")</f>
        <v>0.195789052496097</v>
      </c>
      <c r="AZ60" s="29" t="n">
        <f aca="false">IFERROR(AZ58/AT58-1,"")</f>
        <v>0.337623500454321</v>
      </c>
      <c r="BA60" s="29" t="n">
        <f aca="false">IFERROR(BA58/AU58-1,"")</f>
        <v>0.242659071214467</v>
      </c>
      <c r="BB60" s="29" t="n">
        <f aca="false">IFERROR(BB58/AV58-1,"")</f>
        <v>0.288325427128636</v>
      </c>
      <c r="BC60" s="29" t="n">
        <f aca="false">IFERROR(BC58/AW58-1,"")</f>
        <v>-0.0376322087602709</v>
      </c>
      <c r="BD60" s="29" t="n">
        <f aca="false">IFERROR(BD58/AX58-1,"")</f>
        <v>0.0910314585200673</v>
      </c>
      <c r="BE60" s="29" t="n">
        <f aca="false">IFERROR(BE58/AY58-1,"")</f>
        <v>0.142351242940813</v>
      </c>
      <c r="BF60" s="29" t="n">
        <f aca="false">IFERROR(BF58/AZ58-1,"")</f>
        <v>0.207236644109478</v>
      </c>
      <c r="BG60" s="29" t="n">
        <f aca="false">IFERROR(BG58/BA58-1,"")</f>
        <v>0.237616391062538</v>
      </c>
      <c r="BH60" s="29" t="n">
        <f aca="false">IFERROR(BH58/BB58-1,"")</f>
        <v>0.222448407172981</v>
      </c>
      <c r="BI60" s="29" t="n">
        <f aca="false">IFERROR(BI58/BC58-1,"")</f>
        <v>0.614963920163385</v>
      </c>
      <c r="BJ60" s="29" t="n">
        <f aca="false">IFERROR(BJ58/BD58-1,"")</f>
        <v>0.443450008058501</v>
      </c>
      <c r="BK60" s="29" t="n">
        <f aca="false">IFERROR(BK58/BE58-1,"")</f>
        <v>0.373423993435954</v>
      </c>
      <c r="BL60" s="29" t="n">
        <f aca="false">IFERROR(BL58/BF58-1,"")</f>
        <v>0.291660137608798</v>
      </c>
      <c r="BM60" s="29" t="n">
        <f aca="false">IFERROR(BM58/BG58-1,"")</f>
        <v>0.31555320011223</v>
      </c>
      <c r="BN60" s="29" t="n">
        <f aca="false">IFERROR(BN58/BH58-1,"")</f>
        <v>0.303772329228483</v>
      </c>
      <c r="BO60" s="29" t="n">
        <f aca="false">IFERROR(BO58/BI58-1,"")</f>
        <v>0.156903987932097</v>
      </c>
      <c r="BP60" s="29" t="n">
        <f aca="false">IFERROR(BP58/BJ58-1,"")</f>
        <v>0.0648316858293576</v>
      </c>
      <c r="BQ60" s="29" t="n">
        <f aca="false">IFERROR(BQ58/BK58-1,"")</f>
        <v>0.198388974726561</v>
      </c>
      <c r="BR60" s="29" t="n">
        <f aca="false">IFERROR(BR58/BL58-1,"")</f>
        <v>-0.0412304621263711</v>
      </c>
      <c r="BS60" s="29" t="n">
        <f aca="false">IFERROR(BS58/BM58-1,"")</f>
        <v>0.0559412940275046</v>
      </c>
      <c r="BT60" s="29" t="n">
        <f aca="false">IFERROR(BT58/BN58-1,"")</f>
        <v>0.00847425668431967</v>
      </c>
      <c r="BU60" s="29" t="n">
        <f aca="false">IFERROR(BU58/BO58-1,"")</f>
        <v>0.101703454817805</v>
      </c>
      <c r="BV60" s="29" t="n">
        <f aca="false">IFERROR(BV58/BP58-1,"")</f>
        <v>0.222604226983208</v>
      </c>
      <c r="BW60" s="29" t="n">
        <f aca="false">IFERROR(BW58/BQ58-1,"")</f>
        <v>0.0847187706663659</v>
      </c>
      <c r="BX60" s="29" t="n">
        <f aca="false">IFERROR(BX58/BR58-1,"")</f>
        <v>0.249408320608272</v>
      </c>
      <c r="BY60" s="29" t="n">
        <f aca="false">IFERROR(BY58/BS58-1,"")</f>
        <v>0.0524191034742432</v>
      </c>
      <c r="BZ60" s="29" t="n">
        <f aca="false">IFERROR(BZ58/BT58-1,"")</f>
        <v>0.143902849450303</v>
      </c>
      <c r="CA60" s="29" t="n">
        <f aca="false">IFERROR(CA58/BU58-1,"")</f>
        <v>0.0580618929690406</v>
      </c>
      <c r="CB60" s="29" t="n">
        <f aca="false">IFERROR(CB58/BV58-1,"")</f>
        <v>-0.0538345412690497</v>
      </c>
      <c r="CC60" s="29" t="n">
        <f aca="false">IFERROR(CC58/BW58-1,"")</f>
        <v>0.0672446625296297</v>
      </c>
      <c r="CD60" s="29" t="n">
        <f aca="false">IFERROR(CD58/BX58-1,"")</f>
        <v>0.0573805205446663</v>
      </c>
      <c r="CE60" s="29" t="n">
        <f aca="false">IFERROR(CE58/BY58-1,"")</f>
        <v>0.128996182998112</v>
      </c>
      <c r="CF60" s="29" t="n">
        <f aca="false">IFERROR(CF58/BZ58-1,"")</f>
        <v>0.0926695830954536</v>
      </c>
      <c r="CG60" s="29" t="n">
        <f aca="false">IFERROR(CG58/CA58-1,"")</f>
        <v>0.0571628783441935</v>
      </c>
      <c r="CH60" s="29" t="n">
        <f aca="false">IFERROR(CH58/CB58-1,"")</f>
        <v>0.160371183242848</v>
      </c>
      <c r="CI60" s="29" t="n">
        <f aca="false">IFERROR(CI58/CC58-1,"")</f>
        <v>0.0988418077329185</v>
      </c>
      <c r="CJ60" s="29" t="n">
        <f aca="false">IFERROR(CJ58/CD58-1,"")</f>
        <v>0.0615196409213799</v>
      </c>
      <c r="CK60" s="29" t="n">
        <f aca="false">IFERROR(CK58/CE58-1,"")</f>
        <v>-0.0630720058425658</v>
      </c>
      <c r="CL60" s="29" t="n">
        <f aca="false">IFERROR(CL58/CF58-1,"")</f>
        <v>-0.00191473243430629</v>
      </c>
      <c r="CM60" s="29" t="n">
        <f aca="false">IFERROR(CM58/CG58-1,"")</f>
        <v>0.0152008770633927</v>
      </c>
      <c r="CN60" s="29" t="n">
        <f aca="false">IFERROR(CN58/CH58-1,"")</f>
        <v>-0.116393184231484</v>
      </c>
      <c r="CO60" s="29" t="n">
        <f aca="false">IFERROR(CO58/CI58-1,"")</f>
        <v>-0.0259215811885095</v>
      </c>
      <c r="CP60" s="30" t="n">
        <f aca="false">IFERROR(CP58/CO58-1,"")</f>
        <v>0.038395045438681</v>
      </c>
      <c r="CQ60" s="30" t="n">
        <f aca="false">IFERROR(CQ58/CP58-1,"")</f>
        <v>0.0719171323949861</v>
      </c>
      <c r="CR60" s="30" t="n">
        <f aca="false">IFERROR(CR58/CQ58-1,"")</f>
        <v>0.0749818930643018</v>
      </c>
      <c r="CS60" s="30" t="n">
        <f aca="false">IFERROR(CS58/CR58-1,"")</f>
        <v>0.0742345529101822</v>
      </c>
      <c r="CT60" s="30" t="n">
        <f aca="false">IFERROR(CT58/CS58-1,"")</f>
        <v>0.074176305087281</v>
      </c>
      <c r="CU60" s="24"/>
      <c r="CW60" s="6"/>
      <c r="CX60" s="6"/>
      <c r="CY60" s="6"/>
      <c r="CZ60" s="6"/>
    </row>
    <row r="61" customFormat="false" ht="15" hidden="false" customHeight="false" outlineLevel="0" collapsed="false">
      <c r="B61" s="28" t="s">
        <v>170</v>
      </c>
      <c r="C61" s="35"/>
      <c r="D61" s="35" t="n">
        <f aca="false">IFERROR((D58-C58)/(D73-C73),"")</f>
        <v>1.33912610171603</v>
      </c>
      <c r="E61" s="35" t="n">
        <f aca="false">IFERROR((E58-D58)/(E73-D73),"")</f>
        <v>0.1964419542486</v>
      </c>
      <c r="F61" s="35" t="n">
        <f aca="false">IFERROR((F58-E58)/(F73-E73),"")</f>
        <v>0.412632284633438</v>
      </c>
      <c r="G61" s="35" t="n">
        <f aca="false">IFERROR((G58-F58)/(G73-F73),"")</f>
        <v>0.506091217236639</v>
      </c>
      <c r="H61" s="35" t="n">
        <f aca="false">IFERROR((H58-G58)/(H73-G73),"")</f>
        <v>0.306017088168104</v>
      </c>
      <c r="I61" s="35" t="n">
        <f aca="false">IFERROR((I58-H58)/(I73-H73),"")</f>
        <v>0.463008951775918</v>
      </c>
      <c r="J61" s="35"/>
      <c r="K61" s="35"/>
      <c r="L61" s="35"/>
      <c r="M61" s="35"/>
      <c r="N61" s="35"/>
      <c r="O61" s="35" t="n">
        <f aca="false">IFERROR((O58-I58)/(O73-I73),"")</f>
        <v>0.00219955148367992</v>
      </c>
      <c r="P61" s="35" t="n">
        <f aca="false">IFERROR((P58-J58)/(P73-J73),"")</f>
        <v>-0.146695272691811</v>
      </c>
      <c r="Q61" s="35" t="n">
        <f aca="false">IFERROR((Q58-K58)/(Q73-K73),"")</f>
        <v>0.375524717269988</v>
      </c>
      <c r="R61" s="35" t="n">
        <f aca="false">IFERROR((R58-L58)/(R73-L73),"")</f>
        <v>0.0259034374693956</v>
      </c>
      <c r="S61" s="35" t="n">
        <f aca="false">IFERROR((S58-M58)/(S73-M73),"")</f>
        <v>0.366700717069304</v>
      </c>
      <c r="T61" s="35" t="n">
        <f aca="false">IFERROR((T58-N58)/(T73-N73),"")</f>
        <v>0.434218835515513</v>
      </c>
      <c r="U61" s="35" t="n">
        <f aca="false">IFERROR((U58-O58)/(U73-O73),"")</f>
        <v>0.202097519332994</v>
      </c>
      <c r="V61" s="35" t="n">
        <f aca="false">IFERROR((V58-P58)/(V73-P73),"")</f>
        <v>1.62572598305246</v>
      </c>
      <c r="W61" s="35" t="n">
        <f aca="false">IFERROR((W58-Q58)/(W73-Q73),"")</f>
        <v>-1.01012185534593</v>
      </c>
      <c r="X61" s="35" t="n">
        <f aca="false">IFERROR((X58-R58)/(X73-R73),"")</f>
        <v>83.6513761467894</v>
      </c>
      <c r="Y61" s="35" t="n">
        <f aca="false">IFERROR((Y58-S58)/(Y73-S73),"")</f>
        <v>-0.0755166931637549</v>
      </c>
      <c r="Z61" s="35" t="n">
        <f aca="false">IFERROR((Z58-T58)/(Z73-T73),"")</f>
        <v>-1.76396629698438</v>
      </c>
      <c r="AA61" s="35" t="n">
        <f aca="false">IFERROR((AA58-U58)/(AA73-U73),"")</f>
        <v>-2.04855200014825</v>
      </c>
      <c r="AB61" s="35" t="n">
        <f aca="false">IFERROR((AB58-V58)/(AB73-V73),"")</f>
        <v>-0.00464699508211982</v>
      </c>
      <c r="AC61" s="35" t="n">
        <f aca="false">IFERROR((AC58-W58)/(AC73-W73),"")</f>
        <v>0.280252253442068</v>
      </c>
      <c r="AD61" s="35" t="n">
        <f aca="false">IFERROR((AD58-X58)/(AD73-X73),"")</f>
        <v>0.300390337310353</v>
      </c>
      <c r="AE61" s="35" t="n">
        <f aca="false">IFERROR((AE58-Y58)/(AE73-Y73),"")</f>
        <v>0.577483350759453</v>
      </c>
      <c r="AF61" s="35" t="n">
        <f aca="false">IFERROR((AF58-Z58)/(AF73-Z73),"")</f>
        <v>0.42010867546335</v>
      </c>
      <c r="AG61" s="35" t="n">
        <f aca="false">IFERROR((AG58-AA58)/(AG73-AA73),"")</f>
        <v>0.506892370310032</v>
      </c>
      <c r="AH61" s="35" t="n">
        <f aca="false">IFERROR((AH58-AB58)/(AH73-AB73),"")</f>
        <v>0.448598357662482</v>
      </c>
      <c r="AI61" s="35" t="n">
        <f aca="false">IFERROR((AI58-AC58)/(AI73-AC73),"")</f>
        <v>0.459212899600287</v>
      </c>
      <c r="AJ61" s="35" t="n">
        <f aca="false">IFERROR((AJ58-AD58)/(AJ73-AD73),"")</f>
        <v>0.453542133231455</v>
      </c>
      <c r="AK61" s="35" t="n">
        <f aca="false">IFERROR((AK58-AE58)/(AK73-AE73),"")</f>
        <v>0.542321135964786</v>
      </c>
      <c r="AL61" s="35" t="n">
        <f aca="false">IFERROR((AL58-AF58)/(AL73-AF73),"")</f>
        <v>0.57877303206987</v>
      </c>
      <c r="AM61" s="35" t="n">
        <f aca="false">IFERROR((AM58-AG58)/(AM73-AG73),"")</f>
        <v>0.478568830931749</v>
      </c>
      <c r="AN61" s="35" t="n">
        <f aca="false">IFERROR((AN58-AH58)/(AN73-AH73),"")</f>
        <v>0.223353679262089</v>
      </c>
      <c r="AO61" s="35" t="n">
        <f aca="false">IFERROR((AO58-AI58)/(AO73-AI73),"")</f>
        <v>0.396635680182589</v>
      </c>
      <c r="AP61" s="35" t="n">
        <f aca="false">IFERROR((AP58-AJ58)/(AP73-AJ73),"")</f>
        <v>0.327250248741123</v>
      </c>
      <c r="AQ61" s="35" t="n">
        <f aca="false">IFERROR((AQ58-AK58)/(AQ73-AK73),"")</f>
        <v>0.402860188162612</v>
      </c>
      <c r="AR61" s="35" t="n">
        <f aca="false">IFERROR((AR58-AL58)/(AR73-AL73),"")</f>
        <v>0.411042750021788</v>
      </c>
      <c r="AS61" s="35" t="n">
        <f aca="false">IFERROR((AS58-AM58)/(AS73-AM73),"")</f>
        <v>0.366051350759406</v>
      </c>
      <c r="AT61" s="35" t="n">
        <f aca="false">IFERROR((AT58-AN58)/(AT73-AN73),"")</f>
        <v>0.80414010257742</v>
      </c>
      <c r="AU61" s="35" t="n">
        <f aca="false">IFERROR((AU58-AO58)/(AU73-AO73),"")</f>
        <v>0.728621738219064</v>
      </c>
      <c r="AV61" s="35" t="n">
        <f aca="false">IFERROR((AV58-AP58)/(AV73-AP73),"")</f>
        <v>0.775493060961779</v>
      </c>
      <c r="AW61" s="35" t="n">
        <f aca="false">IFERROR((AW58-AQ58)/(AW73-AQ73),"")</f>
        <v>0.542079797199276</v>
      </c>
      <c r="AX61" s="35" t="n">
        <f aca="false">IFERROR((AX58-AR58)/(AX73-AR73),"")</f>
        <v>0.41801160315882</v>
      </c>
      <c r="AY61" s="35" t="n">
        <f aca="false">IFERROR((AY58-AS58)/(AY73-AS73),"")</f>
        <v>0.559945504350504</v>
      </c>
      <c r="AZ61" s="35" t="n">
        <f aca="false">IFERROR((AZ58-AT58)/(AZ73-AT73),"")</f>
        <v>0.630888927097662</v>
      </c>
      <c r="BA61" s="35" t="n">
        <f aca="false">IFERROR((BA58-AU58)/(BA73-AU73),"")</f>
        <v>0.504761271543923</v>
      </c>
      <c r="BB61" s="35" t="n">
        <f aca="false">IFERROR((BB58-AV58)/(BB73-AV73),"")</f>
        <v>0.568793258337061</v>
      </c>
      <c r="BC61" s="35" t="n">
        <f aca="false">IFERROR((BC58-AW58)/(BC73-AW73),"")</f>
        <v>3.1702951136914</v>
      </c>
      <c r="BD61" s="35" t="n">
        <f aca="false">IFERROR((BD58-AX58)/(BD73-AX73),"")</f>
        <v>-1.15273508315598</v>
      </c>
      <c r="BE61" s="35" t="n">
        <f aca="false">IFERROR((BE58-AY58)/(BE73-AY73),"")</f>
        <v>0.702934333989301</v>
      </c>
      <c r="BF61" s="35" t="n">
        <f aca="false">IFERROR((BF58-AZ58)/(BF73-AZ73),"")</f>
        <v>1.25147990445529</v>
      </c>
      <c r="BG61" s="35" t="n">
        <f aca="false">IFERROR((BG58-BA58)/(BG73-BA73),"")</f>
        <v>1.32314021309271</v>
      </c>
      <c r="BH61" s="35" t="n">
        <f aca="false">IFERROR((BH58-BB58)/(BH73-BB73),"")</f>
        <v>1.28881399214828</v>
      </c>
      <c r="BI61" s="35" t="n">
        <f aca="false">IFERROR((BI58-BC58)/(BI73-BC73),"")</f>
        <v>0.748609824752565</v>
      </c>
      <c r="BJ61" s="35" t="n">
        <f aca="false">IFERROR((BJ58-BD58)/(BJ73-BD73),"")</f>
        <v>0.46480334512859</v>
      </c>
      <c r="BK61" s="35" t="n">
        <f aca="false">IFERROR((BK58-BE58)/(BK73-BE73),"")</f>
        <v>0.707852769471736</v>
      </c>
      <c r="BL61" s="35" t="n">
        <f aca="false">IFERROR((BL58-BF58)/(BL73-BF73),"")</f>
        <v>0.377071899517478</v>
      </c>
      <c r="BM61" s="35" t="n">
        <f aca="false">IFERROR((BM58-BG58)/(BM73-BG73),"")</f>
        <v>0.36376777449896</v>
      </c>
      <c r="BN61" s="35" t="n">
        <f aca="false">IFERROR((BN58-BH58)/(BN73-BH73),"")</f>
        <v>0.369947029752727</v>
      </c>
      <c r="BO61" s="35" t="n">
        <f aca="false">IFERROR((BO58-BI58)/(BO73-BI73),"")</f>
        <v>0.274804924178077</v>
      </c>
      <c r="BP61" s="35" t="n">
        <f aca="false">IFERROR((BP58-BJ58)/(BP73-BJ73),"")</f>
        <v>0.162295868643543</v>
      </c>
      <c r="BQ61" s="35" t="n">
        <f aca="false">IFERROR((BQ58-BK58)/(BQ73-BK73),"")</f>
        <v>0.311097091822219</v>
      </c>
      <c r="BR61" s="35" t="n">
        <f aca="false">IFERROR((BR58-BL58)/(BR73-BL73),"")</f>
        <v>-0.179649207111964</v>
      </c>
      <c r="BS61" s="35" t="n">
        <f aca="false">IFERROR((BS58-BM58)/(BS73-BM73),"")</f>
        <v>0.238013084782219</v>
      </c>
      <c r="BT61" s="35" t="n">
        <f aca="false">IFERROR((BT58-BN58)/(BT73-BN73),"")</f>
        <v>0.0364745165329527</v>
      </c>
      <c r="BU61" s="35" t="n">
        <f aca="false">IFERROR((BU58-BO58)/(BU73-BO73),"")</f>
        <v>0.518471933895061</v>
      </c>
      <c r="BV61" s="35" t="n">
        <f aca="false">IFERROR((BV58-BP58)/(BV73-BP73),"")</f>
        <v>0.700183007451644</v>
      </c>
      <c r="BW61" s="35" t="n">
        <f aca="false">IFERROR((BW58-BQ58)/(BW73-BQ73),"")</f>
        <v>0.349169056358751</v>
      </c>
      <c r="BX61" s="35" t="n">
        <f aca="false">IFERROR((BX58-BR58)/(BX73-BR73),"")</f>
        <v>0.682668996568118</v>
      </c>
      <c r="BY61" s="35" t="n">
        <f aca="false">IFERROR((BY58-BS58)/(BY73-BS73),"")</f>
        <v>0.331446590461176</v>
      </c>
      <c r="BZ61" s="35" t="n">
        <f aca="false">IFERROR((BZ58-BT58)/(BZ73-BT73),"")</f>
        <v>0.565714105707491</v>
      </c>
      <c r="CA61" s="35" t="n">
        <f aca="false">IFERROR((CA58-BU58)/(CA73-BU73),"")</f>
        <v>0.253291345752552</v>
      </c>
      <c r="CB61" s="35" t="n">
        <f aca="false">IFERROR((CB58-BV58)/(CB73-BV73),"")</f>
        <v>-0.331097356038538</v>
      </c>
      <c r="CC61" s="35" t="n">
        <f aca="false">IFERROR((CC58-BW58)/(CC73-BW73),"")</f>
        <v>0.301686609221222</v>
      </c>
      <c r="CD61" s="35" t="n">
        <f aca="false">IFERROR((CD58-BX58)/(CD73-BX73),"")</f>
        <v>0.197210729909107</v>
      </c>
      <c r="CE61" s="35" t="n">
        <f aca="false">IFERROR((CE58-BY58)/(CE73-BY73),"")</f>
        <v>0.380283165813351</v>
      </c>
      <c r="CF61" s="35" t="n">
        <f aca="false">IFERROR((CF58-BZ58)/(CF73-BZ73),"")</f>
        <v>0.294435789005118</v>
      </c>
      <c r="CG61" s="35" t="n">
        <f aca="false">IFERROR((CG58-CA58)/(CG73-CA73),"")</f>
        <v>0.329362871046804</v>
      </c>
      <c r="CH61" s="35" t="n">
        <f aca="false">IFERROR((CH58-CB58)/(CH73-CB73),"")</f>
        <v>1.18792113800849</v>
      </c>
      <c r="CI61" s="35" t="n">
        <f aca="false">IFERROR((CI58-CC58)/(CI73-CC73),"")</f>
        <v>0.423840930425346</v>
      </c>
      <c r="CJ61" s="35" t="n">
        <f aca="false">IFERROR((CJ58-CD58)/(CJ73-CD73),"")</f>
        <v>3.44616510181685</v>
      </c>
      <c r="CK61" s="35" t="n">
        <f aca="false">IFERROR((CK58-CE58)/(CK73-CE73),"")</f>
        <v>0.721723260170023</v>
      </c>
      <c r="CL61" s="35" t="n">
        <f aca="false">IFERROR((CL58-CF58)/(CL73-CF73),"")</f>
        <v>0.0535869142669089</v>
      </c>
      <c r="CM61" s="35" t="n">
        <f aca="false">IFERROR((CM58-CG58)/(CM73-CG73),"")</f>
        <v>0.308481262327415</v>
      </c>
      <c r="CN61" s="35" t="n">
        <f aca="false">IFERROR((CN58-CH58)/(CN73-CH73),"")</f>
        <v>-2.05259308024284</v>
      </c>
      <c r="CO61" s="35" t="n">
        <f aca="false">IFERROR((CO58-CI58)/(CO73-CI73),"")</f>
        <v>-2.60215053763436</v>
      </c>
      <c r="CP61" s="45" t="n">
        <f aca="false">IFERROR((CP58-CO58)/(CP73-CO73),"")</f>
        <v>0.327710125173989</v>
      </c>
      <c r="CQ61" s="45" t="n">
        <f aca="false">IFERROR((CQ58-CP58)/(CQ73-CP73),"")</f>
        <v>0.49020269821078</v>
      </c>
      <c r="CR61" s="45" t="n">
        <f aca="false">IFERROR((CR58-CQ58)/(CR73-CQ73),"")</f>
        <v>0.490811531662228</v>
      </c>
      <c r="CS61" s="45" t="n">
        <f aca="false">IFERROR((CS58-CR58)/(CS73-CR73),"")</f>
        <v>0.496576757419065</v>
      </c>
      <c r="CT61" s="45" t="n">
        <f aca="false">IFERROR((CT58-CS58)/(CT73-CS73),"")</f>
        <v>0.501448490469205</v>
      </c>
      <c r="CU61" s="24"/>
      <c r="CW61" s="6"/>
      <c r="CX61" s="6"/>
      <c r="CY61" s="6"/>
      <c r="CZ61" s="6"/>
    </row>
    <row r="62" customFormat="false" ht="15" hidden="false" customHeight="false" outlineLevel="0" collapsed="false">
      <c r="B62" s="28" t="s">
        <v>171</v>
      </c>
      <c r="C62" s="39" t="n">
        <f aca="false">C102</f>
        <v>31.456</v>
      </c>
      <c r="D62" s="39" t="n">
        <f aca="false">D102</f>
        <v>37.089</v>
      </c>
      <c r="E62" s="39" t="n">
        <f aca="false">E102</f>
        <v>42.804</v>
      </c>
      <c r="F62" s="39" t="n">
        <f aca="false">F102</f>
        <v>41.354</v>
      </c>
      <c r="G62" s="39" t="n">
        <f aca="false">G102</f>
        <v>43.242</v>
      </c>
      <c r="H62" s="39" t="n">
        <f aca="false">H102</f>
        <v>45.694</v>
      </c>
      <c r="I62" s="39" t="n">
        <f aca="false">I102</f>
        <v>48.167</v>
      </c>
      <c r="J62" s="39" t="n">
        <f aca="false">J102</f>
        <v>12.839</v>
      </c>
      <c r="K62" s="39" t="n">
        <f aca="false">K102</f>
        <v>14.612</v>
      </c>
      <c r="L62" s="39" t="n">
        <f aca="false">L102</f>
        <v>27.451</v>
      </c>
      <c r="M62" s="39" t="n">
        <f aca="false">M102</f>
        <v>14.797</v>
      </c>
      <c r="N62" s="39" t="n">
        <f aca="false">N102</f>
        <v>14.48</v>
      </c>
      <c r="O62" s="39" t="n">
        <f aca="false">O102</f>
        <v>56.728</v>
      </c>
      <c r="P62" s="39" t="n">
        <f aca="false">P102</f>
        <v>14.504</v>
      </c>
      <c r="Q62" s="39" t="n">
        <f aca="false">Q102</f>
        <v>13.076</v>
      </c>
      <c r="R62" s="39" t="n">
        <f aca="false">R102</f>
        <v>27.58</v>
      </c>
      <c r="S62" s="39" t="n">
        <f aca="false">S102</f>
        <v>12.769</v>
      </c>
      <c r="T62" s="39" t="n">
        <f aca="false">T102</f>
        <v>13.377</v>
      </c>
      <c r="U62" s="39" t="n">
        <f aca="false">U102</f>
        <v>53.726</v>
      </c>
      <c r="V62" s="39" t="n">
        <f aca="false">V102</f>
        <v>13.967</v>
      </c>
      <c r="W62" s="39" t="n">
        <f aca="false">W102</f>
        <v>11.4</v>
      </c>
      <c r="X62" s="39" t="n">
        <f aca="false">X102</f>
        <v>25.367</v>
      </c>
      <c r="Y62" s="39" t="n">
        <f aca="false">Y102</f>
        <v>12.212</v>
      </c>
      <c r="Z62" s="39" t="n">
        <f aca="false">Z102</f>
        <v>8.994</v>
      </c>
      <c r="AA62" s="39" t="n">
        <f aca="false">AA102</f>
        <v>46.573</v>
      </c>
      <c r="AB62" s="39" t="n">
        <f aca="false">AB102</f>
        <v>11.521</v>
      </c>
      <c r="AC62" s="39" t="n">
        <f aca="false">AC102</f>
        <v>11.691</v>
      </c>
      <c r="AD62" s="39" t="n">
        <f aca="false">AD102</f>
        <v>23.212</v>
      </c>
      <c r="AE62" s="39" t="n">
        <f aca="false">AE102</f>
        <v>12.358</v>
      </c>
      <c r="AF62" s="39" t="n">
        <f aca="false">AF102</f>
        <v>13.005</v>
      </c>
      <c r="AG62" s="39" t="n">
        <f aca="false">AG102</f>
        <v>48.575</v>
      </c>
      <c r="AH62" s="39" t="n">
        <f aca="false">AH102</f>
        <v>14.709</v>
      </c>
      <c r="AI62" s="39" t="n">
        <f aca="false">AI102</f>
        <v>15.215</v>
      </c>
      <c r="AJ62" s="39" t="n">
        <f aca="false">AJ102</f>
        <v>29.924</v>
      </c>
      <c r="AK62" s="39" t="n">
        <f aca="false">AK102</f>
        <v>13.208</v>
      </c>
      <c r="AL62" s="39" t="n">
        <f aca="false">AL102</f>
        <v>13.868</v>
      </c>
      <c r="AM62" s="39" t="n">
        <f aca="false">AM102</f>
        <v>57</v>
      </c>
      <c r="AN62" s="39" t="n">
        <f aca="false">AN102</f>
        <v>15.902</v>
      </c>
      <c r="AO62" s="39" t="n">
        <f aca="false">AO102</f>
        <v>17.871</v>
      </c>
      <c r="AP62" s="39" t="n">
        <f aca="false">AP102</f>
        <v>33.773</v>
      </c>
      <c r="AQ62" s="39" t="n">
        <f aca="false">AQ102</f>
        <v>16.573</v>
      </c>
      <c r="AR62" s="39" t="n">
        <f aca="false">AR102</f>
        <v>28.252</v>
      </c>
      <c r="AS62" s="39" t="n">
        <f aca="false">AS102</f>
        <v>78.598</v>
      </c>
      <c r="AT62" s="39" t="n">
        <f aca="false">AT102</f>
        <v>21.869</v>
      </c>
      <c r="AU62" s="39" t="n">
        <f aca="false">AU102</f>
        <v>20.399</v>
      </c>
      <c r="AV62" s="39" t="n">
        <f aca="false">AV102</f>
        <v>42.268</v>
      </c>
      <c r="AW62" s="39" t="n">
        <f aca="false">AW102</f>
        <v>21.112</v>
      </c>
      <c r="AX62" s="39" t="n">
        <f aca="false">AX102</f>
        <v>21.515</v>
      </c>
      <c r="AY62" s="39" t="n">
        <f aca="false">AY102</f>
        <v>84.895</v>
      </c>
      <c r="AZ62" s="39" t="n">
        <f aca="false">AZ102</f>
        <v>23.014</v>
      </c>
      <c r="BA62" s="39" t="n">
        <f aca="false">BA102</f>
        <v>24.282</v>
      </c>
      <c r="BB62" s="39" t="n">
        <f aca="false">BB102</f>
        <v>47.296</v>
      </c>
      <c r="BC62" s="39" t="n">
        <f aca="false">BC102</f>
        <v>26.715</v>
      </c>
      <c r="BD62" s="39" t="n">
        <f aca="false">BD102</f>
        <v>27.379</v>
      </c>
      <c r="BE62" s="39" t="n">
        <f aca="false">BE102</f>
        <v>101.39</v>
      </c>
      <c r="BF62" s="39" t="n">
        <f aca="false">BF102</f>
        <v>28.949</v>
      </c>
      <c r="BG62" s="39" t="n">
        <f aca="false">BG102</f>
        <v>31.392</v>
      </c>
      <c r="BH62" s="39" t="n">
        <f aca="false">BH102</f>
        <v>60.341</v>
      </c>
      <c r="BI62" s="39" t="n">
        <f aca="false">BI102</f>
        <v>31.966</v>
      </c>
      <c r="BJ62" s="39" t="n">
        <f aca="false">BJ102</f>
        <v>29.664</v>
      </c>
      <c r="BK62" s="39" t="n">
        <f aca="false">BK102</f>
        <v>121.971</v>
      </c>
      <c r="BL62" s="39" t="n">
        <f aca="false">BL102</f>
        <v>31.76</v>
      </c>
      <c r="BM62" s="39" t="n">
        <f aca="false">BM102</f>
        <v>33.303</v>
      </c>
      <c r="BN62" s="39" t="n">
        <f aca="false">BN102</f>
        <v>65.063</v>
      </c>
      <c r="BO62" s="39" t="n">
        <f aca="false">BO102</f>
        <v>36.579</v>
      </c>
      <c r="BP62" s="39" t="n">
        <f aca="false">BP102</f>
        <v>36.333</v>
      </c>
      <c r="BQ62" s="39" t="n">
        <f aca="false">BQ102</f>
        <v>137.985</v>
      </c>
      <c r="BR62" s="39" t="n">
        <f aca="false">BR102</f>
        <v>39.058</v>
      </c>
      <c r="BS62" s="39" t="n">
        <f aca="false">BS102</f>
        <v>38.414</v>
      </c>
      <c r="BT62" s="39" t="n">
        <f aca="false">BT102</f>
        <v>77.472</v>
      </c>
      <c r="BU62" s="39" t="n">
        <f aca="false">BU102</f>
        <v>37.371</v>
      </c>
      <c r="BV62" s="39" t="n">
        <f aca="false">BV102</f>
        <v>44.635</v>
      </c>
      <c r="BW62" s="39" t="n">
        <f aca="false">BW102</f>
        <v>159.478</v>
      </c>
      <c r="BX62" s="39" t="n">
        <f aca="false">BX102</f>
        <v>43.164</v>
      </c>
      <c r="BY62" s="39" t="n">
        <f aca="false">BY102</f>
        <v>45.262</v>
      </c>
      <c r="BZ62" s="39" t="n">
        <f aca="false">BZ102</f>
        <v>88.426</v>
      </c>
      <c r="CA62" s="39" t="n">
        <f aca="false">CA102</f>
        <v>50.733</v>
      </c>
      <c r="CB62" s="39" t="n">
        <f aca="false">CB102</f>
        <v>50.603</v>
      </c>
      <c r="CC62" s="39" t="n">
        <f aca="false">CC102</f>
        <v>189.761</v>
      </c>
      <c r="CD62" s="39" t="n">
        <f aca="false">CD102</f>
        <v>53.627</v>
      </c>
      <c r="CE62" s="39" t="n">
        <f aca="false">CE102</f>
        <v>54.199</v>
      </c>
      <c r="CF62" s="39" t="n">
        <f aca="false">CF102</f>
        <v>107.826</v>
      </c>
      <c r="CG62" s="39" t="n">
        <f aca="false">CG102</f>
        <v>54.416</v>
      </c>
      <c r="CH62" s="39" t="n">
        <f aca="false">CH102</f>
        <v>53.607</v>
      </c>
      <c r="CI62" s="39" t="n">
        <f aca="false">CI102</f>
        <v>215.849</v>
      </c>
      <c r="CJ62" s="39" t="n">
        <f aca="false">CJ102</f>
        <v>54.042</v>
      </c>
      <c r="CK62" s="39" t="n">
        <f aca="false">CK102</f>
        <v>55.387</v>
      </c>
      <c r="CL62" s="39" t="n">
        <f aca="false">CL102</f>
        <v>109.429</v>
      </c>
      <c r="CM62" s="39" t="n">
        <f aca="false">CM102</f>
        <v>58.983</v>
      </c>
      <c r="CN62" s="39" t="n">
        <f aca="false">CN102</f>
        <v>60.961</v>
      </c>
      <c r="CO62" s="39" t="n">
        <f aca="false">CO102</f>
        <v>229.373</v>
      </c>
      <c r="CP62" s="40" t="n">
        <f aca="false">CP102</f>
        <v>244.337858775</v>
      </c>
      <c r="CQ62" s="40" t="n">
        <f aca="false">CQ102</f>
        <v>258.67648090235</v>
      </c>
      <c r="CR62" s="40" t="n">
        <f aca="false">CR102</f>
        <v>274.681404678795</v>
      </c>
      <c r="CS62" s="40" t="n">
        <f aca="false">CS102</f>
        <v>291.517168526808</v>
      </c>
      <c r="CT62" s="40" t="n">
        <f aca="false">CT102</f>
        <v>309.412967874803</v>
      </c>
      <c r="CU62" s="24"/>
      <c r="CW62" s="6"/>
      <c r="CX62" s="6"/>
      <c r="CY62" s="6"/>
      <c r="CZ62" s="6"/>
    </row>
    <row r="63" customFormat="false" ht="15" hidden="false" customHeight="false" outlineLevel="0" collapsed="false">
      <c r="B63" s="41" t="s">
        <v>172</v>
      </c>
      <c r="C63" s="42" t="n">
        <f aca="false">C58-C62</f>
        <v>166.412</v>
      </c>
      <c r="D63" s="42" t="n">
        <f aca="false">D58-D62</f>
        <v>203.777</v>
      </c>
      <c r="E63" s="42" t="n">
        <f aca="false">E58-E62</f>
        <v>242.098</v>
      </c>
      <c r="F63" s="42" t="n">
        <f aca="false">F58-F62</f>
        <v>226.314</v>
      </c>
      <c r="G63" s="42" t="n">
        <f aca="false">G58-G62</f>
        <v>239.506</v>
      </c>
      <c r="H63" s="42" t="n">
        <f aca="false">H58-H62</f>
        <v>267.462</v>
      </c>
      <c r="I63" s="42" t="n">
        <f aca="false">I58-I62</f>
        <v>289.04</v>
      </c>
      <c r="J63" s="21" t="n">
        <f aca="false">J58-J62</f>
        <v>74.064</v>
      </c>
      <c r="K63" s="21" t="n">
        <f aca="false">K58-K62</f>
        <v>63.514</v>
      </c>
      <c r="L63" s="21" t="n">
        <f aca="false">L58-L62</f>
        <v>137.578</v>
      </c>
      <c r="M63" s="21" t="n">
        <f aca="false">M58-M62</f>
        <v>78.6517741935485</v>
      </c>
      <c r="N63" s="21" t="n">
        <f aca="false">N58-N62</f>
        <v>64.518</v>
      </c>
      <c r="O63" s="42" t="n">
        <f aca="false">O58-O62</f>
        <v>280.747774193548</v>
      </c>
      <c r="P63" s="21" t="n">
        <f aca="false">P58-P62</f>
        <v>66.382</v>
      </c>
      <c r="Q63" s="21" t="n">
        <f aca="false">Q58-Q62</f>
        <v>72.654</v>
      </c>
      <c r="R63" s="21" t="n">
        <f aca="false">R58-R62</f>
        <v>139.036</v>
      </c>
      <c r="S63" s="21" t="n">
        <f aca="false">S58-S62</f>
        <v>92.445</v>
      </c>
      <c r="T63" s="21" t="n">
        <f aca="false">T58-T62</f>
        <v>75.935</v>
      </c>
      <c r="U63" s="42" t="n">
        <f aca="false">U58-U62</f>
        <v>307.416</v>
      </c>
      <c r="V63" s="21" t="n">
        <f aca="false">V58-V62</f>
        <v>83.994</v>
      </c>
      <c r="W63" s="21" t="n">
        <f aca="false">W58-W62</f>
        <v>84.6090000000001</v>
      </c>
      <c r="X63" s="21" t="n">
        <f aca="false">X58-X62</f>
        <v>168.603</v>
      </c>
      <c r="Y63" s="21" t="n">
        <f aca="false">Y58-Y62</f>
        <v>93.952</v>
      </c>
      <c r="Z63" s="21" t="n">
        <f aca="false">Z58-Z62</f>
        <v>89.4147741935484</v>
      </c>
      <c r="AA63" s="42" t="n">
        <f aca="false">AA58-AA62</f>
        <v>350.234290322581</v>
      </c>
      <c r="AB63" s="21" t="n">
        <f aca="false">AB58-AB62</f>
        <v>86.4471935483871</v>
      </c>
      <c r="AC63" s="21" t="n">
        <f aca="false">AC58-AC62</f>
        <v>90.8893548387097</v>
      </c>
      <c r="AD63" s="21" t="n">
        <f aca="false">AD58-AD62</f>
        <v>177.336548387097</v>
      </c>
      <c r="AE63" s="21" t="n">
        <f aca="false">AE58-AE62</f>
        <v>122.740225806452</v>
      </c>
      <c r="AF63" s="21" t="n">
        <f aca="false">AF58-AF62</f>
        <v>106.562967741935</v>
      </c>
      <c r="AG63" s="42" t="n">
        <f aca="false">AG58-AG62</f>
        <v>410.260709677419</v>
      </c>
      <c r="AH63" s="21" t="n">
        <f aca="false">AH58-AH62</f>
        <v>108.897935483871</v>
      </c>
      <c r="AI63" s="21" t="n">
        <f aca="false">AI58-AI62</f>
        <v>110.246096774194</v>
      </c>
      <c r="AJ63" s="21" t="n">
        <f aca="false">AJ58-AJ62</f>
        <v>219.144032258065</v>
      </c>
      <c r="AK63" s="21" t="n">
        <f aca="false">AK58-AK62</f>
        <v>136.32464516129</v>
      </c>
      <c r="AL63" s="21" t="n">
        <f aca="false">AL58-AL62</f>
        <v>132.287064516129</v>
      </c>
      <c r="AM63" s="42" t="n">
        <f aca="false">AM58-AM62</f>
        <v>487.754129032258</v>
      </c>
      <c r="AN63" s="21" t="n">
        <f aca="false">AN58-AN62</f>
        <v>124.049287671233</v>
      </c>
      <c r="AO63" s="21" t="n">
        <f aca="false">AO58-AO62</f>
        <v>151.051054794521</v>
      </c>
      <c r="AP63" s="21" t="n">
        <f aca="false">AP58-AP62</f>
        <v>275.100342465753</v>
      </c>
      <c r="AQ63" s="21" t="n">
        <f aca="false">AQ58-AQ62</f>
        <v>174.992465753425</v>
      </c>
      <c r="AR63" s="21" t="n">
        <f aca="false">AR58-AR62</f>
        <v>146.933780821918</v>
      </c>
      <c r="AS63" s="42" t="n">
        <f aca="false">AS58-AS62</f>
        <v>597.097821917808</v>
      </c>
      <c r="AT63" s="21" t="n">
        <f aca="false">AT58-AT62</f>
        <v>152.017</v>
      </c>
      <c r="AU63" s="21" t="n">
        <f aca="false">AU58-AU62</f>
        <v>167.315666666667</v>
      </c>
      <c r="AV63" s="21" t="n">
        <f aca="false">AV58-AV62</f>
        <v>319.332666666667</v>
      </c>
      <c r="AW63" s="21" t="n">
        <f aca="false">AW58-AW62</f>
        <v>211.065</v>
      </c>
      <c r="AX63" s="21" t="n">
        <f aca="false">AX58-AX62</f>
        <v>192.693</v>
      </c>
      <c r="AY63" s="42" t="n">
        <f aca="false">AY58-AY62</f>
        <v>723.094666666667</v>
      </c>
      <c r="AZ63" s="21" t="n">
        <f aca="false">AZ58-AZ62</f>
        <v>209.58</v>
      </c>
      <c r="BA63" s="21" t="n">
        <f aca="false">BA58-BA62</f>
        <v>208.983333333333</v>
      </c>
      <c r="BB63" s="21" t="n">
        <f aca="false">BB58-BB62</f>
        <v>418.563333333333</v>
      </c>
      <c r="BC63" s="21" t="n">
        <f aca="false">BC58-BC62</f>
        <v>196.724666666667</v>
      </c>
      <c r="BD63" s="21" t="n">
        <f aca="false">BD58-BD62</f>
        <v>206.328666666667</v>
      </c>
      <c r="BE63" s="42" t="n">
        <f aca="false">BE58-BE62</f>
        <v>821.618</v>
      </c>
      <c r="BF63" s="21" t="n">
        <f aca="false">BF58-BF62</f>
        <v>251.847</v>
      </c>
      <c r="BG63" s="21" t="n">
        <f aca="false">BG58-BG62</f>
        <v>257.301</v>
      </c>
      <c r="BH63" s="21" t="n">
        <f aca="false">BH58-BH62</f>
        <v>509.148</v>
      </c>
      <c r="BI63" s="21" t="n">
        <f aca="false">BI58-BI62</f>
        <v>328.881</v>
      </c>
      <c r="BJ63" s="21" t="n">
        <f aca="false">BJ58-BJ62</f>
        <v>307.681333333333</v>
      </c>
      <c r="BK63" s="42" t="n">
        <f aca="false">BK58-BK62</f>
        <v>1145.71033333333</v>
      </c>
      <c r="BL63" s="21" t="n">
        <f aca="false">BL58-BL62</f>
        <v>330.933</v>
      </c>
      <c r="BM63" s="21" t="n">
        <f aca="false">BM58-BM62</f>
        <v>346.488</v>
      </c>
      <c r="BN63" s="21" t="n">
        <f aca="false">BN58-BN62</f>
        <v>677.421</v>
      </c>
      <c r="BO63" s="21" t="n">
        <f aca="false">BO58-BO62</f>
        <v>380.886333333333</v>
      </c>
      <c r="BP63" s="21" t="n">
        <f aca="false">BP58-BP62</f>
        <v>322.883</v>
      </c>
      <c r="BQ63" s="42" t="n">
        <f aca="false">BQ58-BQ62</f>
        <v>1381.19033333333</v>
      </c>
      <c r="BR63" s="21" t="n">
        <f aca="false">BR58-BR62</f>
        <v>308.681</v>
      </c>
      <c r="BS63" s="21" t="n">
        <f aca="false">BS58-BS62</f>
        <v>362.623</v>
      </c>
      <c r="BT63" s="21" t="n">
        <f aca="false">BT58-BT62</f>
        <v>671.304</v>
      </c>
      <c r="BU63" s="21" t="n">
        <f aca="false">BU58-BU62</f>
        <v>422.552</v>
      </c>
      <c r="BV63" s="21" t="n">
        <f aca="false">BV58-BV62</f>
        <v>394.544</v>
      </c>
      <c r="BW63" s="42" t="n">
        <f aca="false">BW58-BW62</f>
        <v>1488.4</v>
      </c>
      <c r="BX63" s="21" t="n">
        <f aca="false">BX58-BX62</f>
        <v>391.304</v>
      </c>
      <c r="BY63" s="21" t="n">
        <f aca="false">BY58-BY62</f>
        <v>376.797</v>
      </c>
      <c r="BZ63" s="21" t="n">
        <f aca="false">BZ58-BZ62</f>
        <v>768.101</v>
      </c>
      <c r="CA63" s="21" t="n">
        <f aca="false">CA58-CA62</f>
        <v>435.894</v>
      </c>
      <c r="CB63" s="21" t="n">
        <f aca="false">CB58-CB62</f>
        <v>364.933</v>
      </c>
      <c r="CC63" s="42" t="n">
        <f aca="false">CC58-CC62</f>
        <v>1568.928</v>
      </c>
      <c r="CD63" s="21" t="n">
        <f aca="false">CD58-CD62</f>
        <v>405.771</v>
      </c>
      <c r="CE63" s="21" t="n">
        <f aca="false">CE58-CE62</f>
        <v>422.304</v>
      </c>
      <c r="CF63" s="21" t="n">
        <f aca="false">CF58-CF62</f>
        <v>828.075</v>
      </c>
      <c r="CG63" s="21" t="n">
        <f aca="false">CG58-CG62</f>
        <v>460.028</v>
      </c>
      <c r="CH63" s="21" t="n">
        <f aca="false">CH58-CH62</f>
        <v>428.569</v>
      </c>
      <c r="CI63" s="42" t="n">
        <f aca="false">CI58-CI62</f>
        <v>1716.672</v>
      </c>
      <c r="CJ63" s="21" t="n">
        <f aca="false">CJ58-CJ62</f>
        <v>433.618</v>
      </c>
      <c r="CK63" s="21" t="n">
        <f aca="false">CK58-CK62</f>
        <v>391.062</v>
      </c>
      <c r="CL63" s="21" t="n">
        <f aca="false">CL58-CL62</f>
        <v>824.68</v>
      </c>
      <c r="CM63" s="21" t="n">
        <f aca="false">CM58-CM62</f>
        <v>463.281</v>
      </c>
      <c r="CN63" s="21" t="n">
        <f aca="false">CN58-CN62</f>
        <v>365.093</v>
      </c>
      <c r="CO63" s="42" t="n">
        <f aca="false">CO58-CO62</f>
        <v>1653.054</v>
      </c>
      <c r="CP63" s="42" t="n">
        <f aca="false">CP58-CP62</f>
        <v>1710.365011425</v>
      </c>
      <c r="CQ63" s="42" t="n">
        <f aca="false">CQ58-CQ62</f>
        <v>1836.60301440668</v>
      </c>
      <c r="CR63" s="42" t="n">
        <f aca="false">CR58-CR62</f>
        <v>1977.70611368732</v>
      </c>
      <c r="CS63" s="42" t="n">
        <f aca="false">CS58-CS62</f>
        <v>2128.0753302457</v>
      </c>
      <c r="CT63" s="42" t="n">
        <f aca="false">CT58-CT62</f>
        <v>2289.65596227355</v>
      </c>
      <c r="CU63" s="24" t="s">
        <v>173</v>
      </c>
      <c r="CW63" s="25" t="n">
        <f aca="false">IFERROR((CT63/CO63)^(1/5)-1,"n/m")</f>
        <v>0.0673248919876439</v>
      </c>
      <c r="CX63" s="25" t="n">
        <f aca="false">IFERROR((CO63/BK63)^(1/5)-1,"n/m")</f>
        <v>0.0760747532582355</v>
      </c>
      <c r="CY63" s="25" t="n">
        <f aca="false">IFERROR((CO63/AG63)^(1/10)-1,"n/m")</f>
        <v>0.149536356739887</v>
      </c>
      <c r="CZ63" s="25" t="n">
        <f aca="false">IFERROR((CO63/C63)^(1/20)-1,"n/m")</f>
        <v>0.121644213111261</v>
      </c>
    </row>
    <row r="64" customFormat="false" ht="15" hidden="false" customHeight="false" outlineLevel="0" collapsed="false">
      <c r="B64" s="28" t="s">
        <v>174</v>
      </c>
      <c r="C64" s="35" t="n">
        <f aca="false">IFERROR(C63/C73,"")</f>
        <v>0.314833768784137</v>
      </c>
      <c r="D64" s="35" t="n">
        <f aca="false">IFERROR(D63/D73,"")</f>
        <v>0.363446172504816</v>
      </c>
      <c r="E64" s="35" t="n">
        <f aca="false">IFERROR(E63/E73,"")</f>
        <v>0.308464823762053</v>
      </c>
      <c r="F64" s="35" t="n">
        <f aca="false">IFERROR(F63/F73,"")</f>
        <v>0.304561273183848</v>
      </c>
      <c r="G64" s="35" t="n">
        <f aca="false">IFERROR(G63/G73,"")</f>
        <v>0.30988809373783</v>
      </c>
      <c r="H64" s="35" t="n">
        <f aca="false">IFERROR(H63/H73,"")</f>
        <v>0.306635971962038</v>
      </c>
      <c r="I64" s="35" t="n">
        <f aca="false">IFERROR(I63/I73,"")</f>
        <v>0.312749204439342</v>
      </c>
      <c r="J64" s="35" t="n">
        <f aca="false">IFERROR(J63/J73,"")</f>
        <v>0.310065057396197</v>
      </c>
      <c r="K64" s="35" t="n">
        <f aca="false">IFERROR(K63/K73,"")</f>
        <v>0.238608486578883</v>
      </c>
      <c r="L64" s="35" t="n">
        <f aca="false">IFERROR(L63/L73,"")</f>
        <v>0.27240417304391</v>
      </c>
      <c r="M64" s="35" t="n">
        <f aca="false">IFERROR(M63/M73,"")</f>
        <v>0.283288938090422</v>
      </c>
      <c r="N64" s="35" t="n">
        <f aca="false">IFERROR(N63/N73,"")</f>
        <v>0.244667174825652</v>
      </c>
      <c r="O64" s="35" t="n">
        <f aca="false">IFERROR(O63/O73,"")</f>
        <v>0.268302303541474</v>
      </c>
      <c r="P64" s="35" t="n">
        <f aca="false">IFERROR(P63/P73,"")</f>
        <v>0.237177677815373</v>
      </c>
      <c r="Q64" s="35" t="n">
        <f aca="false">IFERROR(Q63/Q73,"")</f>
        <v>0.25365005551017</v>
      </c>
      <c r="R64" s="35" t="n">
        <f aca="false">IFERROR(R63/R73,"")</f>
        <v>0.245509140640313</v>
      </c>
      <c r="S64" s="35" t="n">
        <f aca="false">IFERROR(S63/S73,"")</f>
        <v>0.298477344198991</v>
      </c>
      <c r="T64" s="35" t="n">
        <f aca="false">IFERROR(T63/T73,"")</f>
        <v>0.264167681335884</v>
      </c>
      <c r="U64" s="35" t="n">
        <f aca="false">IFERROR(U63/U73,"")</f>
        <v>0.264219085870172</v>
      </c>
      <c r="V64" s="35" t="n">
        <f aca="false">IFERROR(V63/V73,"")</f>
        <v>0.289249481724326</v>
      </c>
      <c r="W64" s="35" t="n">
        <f aca="false">IFERROR(W63/W73,"")</f>
        <v>0.306268053775818</v>
      </c>
      <c r="X64" s="35" t="n">
        <f aca="false">IFERROR(X63/X73,"")</f>
        <v>0.297546607746663</v>
      </c>
      <c r="Y64" s="35" t="n">
        <f aca="false">IFERROR(Y63/Y73,"")</f>
        <v>0.316185527458252</v>
      </c>
      <c r="Z64" s="35" t="n">
        <f aca="false">IFERROR(Z63/Z73,"")</f>
        <v>0.31674456750096</v>
      </c>
      <c r="AA64" s="35" t="n">
        <f aca="false">IFERROR(AA63/AA73,"")</f>
        <v>0.305593497762877</v>
      </c>
      <c r="AB64" s="35" t="n">
        <f aca="false">IFERROR(AB63/AB73,"")</f>
        <v>0.299293006974107</v>
      </c>
      <c r="AC64" s="35" t="n">
        <f aca="false">IFERROR(AC63/AC73,"")</f>
        <v>0.303261712607387</v>
      </c>
      <c r="AD64" s="35" t="n">
        <f aca="false">IFERROR(AD63/AD73,"")</f>
        <v>0.301314002669463</v>
      </c>
      <c r="AE64" s="35" t="n">
        <f aca="false">IFERROR(AE63/AE73,"")</f>
        <v>0.353467644858261</v>
      </c>
      <c r="AF64" s="35" t="n">
        <f aca="false">IFERROR(AF63/AF73,"")</f>
        <v>0.320336944865269</v>
      </c>
      <c r="AG64" s="35" t="n">
        <f aca="false">IFERROR(AG63/AG73,"")</f>
        <v>0.323434926967832</v>
      </c>
      <c r="AH64" s="35" t="n">
        <f aca="false">IFERROR(AH63/AH73,"")</f>
        <v>0.314742104516797</v>
      </c>
      <c r="AI64" s="35" t="n">
        <f aca="false">IFERROR(AI63/AI73,"")</f>
        <v>0.31541059695305</v>
      </c>
      <c r="AJ64" s="35" t="n">
        <f aca="false">IFERROR(AJ63/AJ73,"")</f>
        <v>0.315078052426828</v>
      </c>
      <c r="AK64" s="35" t="n">
        <f aca="false">IFERROR(AK63/AK73,"")</f>
        <v>0.364638944747769</v>
      </c>
      <c r="AL64" s="35" t="n">
        <f aca="false">IFERROR(AL63/AL73,"")</f>
        <v>0.349414849908951</v>
      </c>
      <c r="AM64" s="35" t="n">
        <f aca="false">IFERROR(AM63/AM73,"")</f>
        <v>0.336851194202312</v>
      </c>
      <c r="AN64" s="35" t="n">
        <f aca="false">IFERROR(AN63/AN73,"")</f>
        <v>0.295941693238112</v>
      </c>
      <c r="AO64" s="35" t="n">
        <f aca="false">IFERROR(AO63/AO73,"")</f>
        <v>0.329011284528019</v>
      </c>
      <c r="AP64" s="35" t="n">
        <f aca="false">IFERROR(AP63/AP73,"")</f>
        <v>0.313228380284232</v>
      </c>
      <c r="AQ64" s="35" t="n">
        <f aca="false">IFERROR(AQ63/AQ73,"")</f>
        <v>0.365941442150374</v>
      </c>
      <c r="AR64" s="35" t="n">
        <f aca="false">IFERROR(AR63/AR73,"")</f>
        <v>0.3270842784584</v>
      </c>
      <c r="AS64" s="35" t="n">
        <f aca="false">IFERROR(AS63/AS73,"")</f>
        <v>0.330674793870398</v>
      </c>
      <c r="AT64" s="35" t="n">
        <f aca="false">IFERROR(AT63/AT73,"")</f>
        <v>0.329491858993255</v>
      </c>
      <c r="AU64" s="35" t="n">
        <f aca="false">IFERROR(AU63/AU73,"")</f>
        <v>0.345053323929294</v>
      </c>
      <c r="AV64" s="35" t="n">
        <f aca="false">IFERROR(AV63/AV73,"")</f>
        <v>0.337466068385282</v>
      </c>
      <c r="AW64" s="35" t="n">
        <f aca="false">IFERROR(AW63/AW73,"")</f>
        <v>0.381592649643113</v>
      </c>
      <c r="AX64" s="35" t="n">
        <f aca="false">IFERROR(AX63/AX73,"")</f>
        <v>0.355145371607612</v>
      </c>
      <c r="AY64" s="35" t="n">
        <f aca="false">IFERROR(AY63/AY73,"")</f>
        <v>0.354118459236246</v>
      </c>
      <c r="AZ64" s="35" t="n">
        <f aca="false">IFERROR(AZ63/AZ73,"")</f>
        <v>0.378013938790529</v>
      </c>
      <c r="BA64" s="35" t="n">
        <f aca="false">IFERROR(BA63/BA73,"")</f>
        <v>0.363360804905472</v>
      </c>
      <c r="BB64" s="35" t="n">
        <f aca="false">IFERROR(BB63/BB73,"")</f>
        <v>0.370553003931901</v>
      </c>
      <c r="BC64" s="35" t="n">
        <f aca="false">IFERROR(BC63/BC73,"")</f>
        <v>0.357447246650677</v>
      </c>
      <c r="BD64" s="35" t="n">
        <f aca="false">IFERROR(BD63/BD73,"")</f>
        <v>0.392514285243222</v>
      </c>
      <c r="BE64" s="35" t="n">
        <f aca="false">IFERROR(BE63/BE73,"")</f>
        <v>0.372517379758549</v>
      </c>
      <c r="BF64" s="35" t="n">
        <f aca="false">IFERROR(BF63/BF73,"")</f>
        <v>0.424742807029379</v>
      </c>
      <c r="BG64" s="35" t="n">
        <f aca="false">IFERROR(BG63/BG73,"")</f>
        <v>0.416998497644365</v>
      </c>
      <c r="BH64" s="35" t="n">
        <f aca="false">IFERROR(BH63/BH73,"")</f>
        <v>0.420793556209198</v>
      </c>
      <c r="BI64" s="35" t="n">
        <f aca="false">IFERROR(BI63/BI73,"")</f>
        <v>0.448121704296167</v>
      </c>
      <c r="BJ64" s="35" t="n">
        <f aca="false">IFERROR(BJ63/BJ73,"")</f>
        <v>0.41099252412184</v>
      </c>
      <c r="BK64" s="35" t="n">
        <f aca="false">IFERROR(BK63/BK73,"")</f>
        <v>0.425517419736942</v>
      </c>
      <c r="BL64" s="35" t="n">
        <f aca="false">IFERROR(BL63/BL73,"")</f>
        <v>0.408492690080135</v>
      </c>
      <c r="BM64" s="35" t="n">
        <f aca="false">IFERROR(BM63/BM73,"")</f>
        <v>0.399428215710235</v>
      </c>
      <c r="BN64" s="35" t="n">
        <f aca="false">IFERROR(BN63/BN73,"")</f>
        <v>0.40380557370326</v>
      </c>
      <c r="BO64" s="35" t="n">
        <f aca="false">IFERROR(BO63/BO73,"")</f>
        <v>0.40522366120143</v>
      </c>
      <c r="BP64" s="35" t="n">
        <f aca="false">IFERROR(BP63/BP73,"")</f>
        <v>0.365505304577377</v>
      </c>
      <c r="BQ64" s="35" t="n">
        <f aca="false">IFERROR(BQ63/BQ73,"")</f>
        <v>0.394521993879134</v>
      </c>
      <c r="BR64" s="35" t="n">
        <f aca="false">IFERROR(BR63/BR73,"")</f>
        <v>0.345523477342026</v>
      </c>
      <c r="BS64" s="35" t="n">
        <f aca="false">IFERROR(BS63/BS73,"")</f>
        <v>0.379025716925676</v>
      </c>
      <c r="BT64" s="35" t="n">
        <f aca="false">IFERROR(BT63/BT73,"")</f>
        <v>0.362848198147556</v>
      </c>
      <c r="BU64" s="35" t="n">
        <f aca="false">IFERROR(BU63/BU73,"")</f>
        <v>0.413524349916963</v>
      </c>
      <c r="BV64" s="35" t="n">
        <f aca="false">IFERROR(BV63/BV73,"")</f>
        <v>0.395496751674785</v>
      </c>
      <c r="BW64" s="35" t="n">
        <f aca="false">IFERROR(BW63/BW73,"")</f>
        <v>0.38464739019175</v>
      </c>
      <c r="BX64" s="35" t="n">
        <f aca="false">IFERROR(BX63/BX73,"")</f>
        <v>0.383474974912193</v>
      </c>
      <c r="BY64" s="35" t="n">
        <f aca="false">IFERROR(BY63/BY73,"")</f>
        <v>0.369354868749565</v>
      </c>
      <c r="BZ64" s="35" t="n">
        <f aca="false">IFERROR(BZ63/BZ73,"")</f>
        <v>0.376415845611387</v>
      </c>
      <c r="CA64" s="35" t="n">
        <f aca="false">IFERROR(CA63/CA73,"")</f>
        <v>0.386684870114144</v>
      </c>
      <c r="CB64" s="35" t="n">
        <f aca="false">IFERROR(CB63/CB73,"")</f>
        <v>0.341378242636335</v>
      </c>
      <c r="CC64" s="35" t="n">
        <f aca="false">IFERROR(CC63/CC73,"")</f>
        <v>0.37030765741217</v>
      </c>
      <c r="CD64" s="35" t="n">
        <f aca="false">IFERROR(CD63/CD73,"")</f>
        <v>0.353819967928959</v>
      </c>
      <c r="CE64" s="35" t="n">
        <f aca="false">IFERROR(CE63/CE73,"")</f>
        <v>0.363017443239842</v>
      </c>
      <c r="CF64" s="35" t="n">
        <f aca="false">IFERROR(CF63/CF73,"")</f>
        <v>0.358451525770027</v>
      </c>
      <c r="CG64" s="35" t="n">
        <f aca="false">IFERROR(CG63/CG73,"")</f>
        <v>0.379650017000683</v>
      </c>
      <c r="CH64" s="35" t="n">
        <f aca="false">IFERROR(CH63/CH73,"")</f>
        <v>0.38091737867935</v>
      </c>
      <c r="CI64" s="35" t="n">
        <f aca="false">IFERROR(CI63/CI73,"")</f>
        <v>0.369418445357156</v>
      </c>
      <c r="CJ64" s="35" t="n">
        <f aca="false">IFERROR(CJ63/CJ73,"")</f>
        <v>0.375417088733626</v>
      </c>
      <c r="CK64" s="35" t="n">
        <f aca="false">IFERROR(CK63/CK73,"")</f>
        <v>0.348641405613396</v>
      </c>
      <c r="CL64" s="35" t="n">
        <f aca="false">IFERROR(CL63/CL73,"")</f>
        <v>0.362225392497224</v>
      </c>
      <c r="CM64" s="35" t="n">
        <f aca="false">IFERROR(CM63/CM73,"")</f>
        <v>0.374499824584945</v>
      </c>
      <c r="CN64" s="35" t="n">
        <f aca="false">IFERROR(CN63/CN73,"")</f>
        <v>0.316800281837043</v>
      </c>
      <c r="CO64" s="35" t="n">
        <f aca="false">IFERROR(CO63/CO73,"")</f>
        <v>0.354260599985984</v>
      </c>
      <c r="CP64" s="45" t="n">
        <f aca="false">IFERROR(CP63/CP73,"")</f>
        <v>0.35</v>
      </c>
      <c r="CQ64" s="45" t="n">
        <f aca="false">IFERROR(CQ63/CQ73,"")</f>
        <v>0.355</v>
      </c>
      <c r="CR64" s="45" t="n">
        <f aca="false">IFERROR(CR63/CR73,"")</f>
        <v>0.36</v>
      </c>
      <c r="CS64" s="45" t="n">
        <f aca="false">IFERROR(CS63/CS73,"")</f>
        <v>0.365</v>
      </c>
      <c r="CT64" s="45" t="n">
        <f aca="false">IFERROR(CT63/CT73,"")</f>
        <v>0.37</v>
      </c>
      <c r="CU64" s="24"/>
      <c r="CW64" s="49" t="n">
        <f aca="false">IFERROR(AVERAGE(CP64:CT64),"n/m")</f>
        <v>0.36</v>
      </c>
      <c r="CX64" s="6"/>
      <c r="CY64" s="6"/>
      <c r="CZ64" s="6"/>
    </row>
    <row r="65" customFormat="false" ht="15" hidden="false" customHeight="false" outlineLevel="0" collapsed="false">
      <c r="B65" s="28" t="s">
        <v>175</v>
      </c>
      <c r="C65" s="39" t="n">
        <f aca="false">C76</f>
        <v>230.548</v>
      </c>
      <c r="D65" s="39" t="n">
        <f aca="false">D76</f>
        <v>266.782</v>
      </c>
      <c r="E65" s="39" t="n">
        <f aca="false">E76</f>
        <v>322.259</v>
      </c>
      <c r="F65" s="39" t="n">
        <f aca="false">F76</f>
        <v>312.26</v>
      </c>
      <c r="G65" s="39" t="n">
        <f aca="false">G76</f>
        <v>347.994</v>
      </c>
      <c r="H65" s="39" t="n">
        <f aca="false">H76</f>
        <v>372.895</v>
      </c>
      <c r="I65" s="39" t="n">
        <f aca="false">I76</f>
        <v>409.616</v>
      </c>
      <c r="J65" s="39" t="n">
        <f aca="false">J76</f>
        <v>105.436</v>
      </c>
      <c r="K65" s="39" t="n">
        <f aca="false">K76</f>
        <v>96.817</v>
      </c>
      <c r="L65" s="39" t="n">
        <f aca="false">L76</f>
        <v>202.253</v>
      </c>
      <c r="M65" s="39" t="n">
        <f aca="false">M76</f>
        <v>115.597</v>
      </c>
      <c r="N65" s="39" t="n">
        <f aca="false">N76</f>
        <v>103.072</v>
      </c>
      <c r="O65" s="39" t="n">
        <f aca="false">O76</f>
        <v>420.922</v>
      </c>
      <c r="P65" s="39" t="n">
        <f aca="false">P76</f>
        <v>107.836</v>
      </c>
      <c r="Q65" s="39" t="n">
        <f aca="false">Q76</f>
        <v>111.546</v>
      </c>
      <c r="R65" s="39" t="n">
        <f aca="false">R76</f>
        <v>219.382</v>
      </c>
      <c r="S65" s="39" t="n">
        <f aca="false">S76</f>
        <v>132.252</v>
      </c>
      <c r="T65" s="39" t="n">
        <f aca="false">T76</f>
        <v>116.939</v>
      </c>
      <c r="U65" s="39" t="n">
        <f aca="false">U76</f>
        <v>468.573</v>
      </c>
      <c r="V65" s="39" t="n">
        <f aca="false">V76</f>
        <v>122.308</v>
      </c>
      <c r="W65" s="39" t="n">
        <f aca="false">W76</f>
        <v>114.867</v>
      </c>
      <c r="X65" s="39" t="n">
        <f aca="false">X76</f>
        <v>237.175</v>
      </c>
      <c r="Y65" s="39" t="n">
        <f aca="false">Y76</f>
        <v>127.417</v>
      </c>
      <c r="Z65" s="39" t="n">
        <f aca="false">Z76</f>
        <v>118.784</v>
      </c>
      <c r="AA65" s="39" t="n">
        <f aca="false">AA76</f>
        <v>483.376</v>
      </c>
      <c r="AB65" s="39" t="n">
        <f aca="false">AB76</f>
        <v>120.861</v>
      </c>
      <c r="AC65" s="39" t="n">
        <f aca="false">AC76</f>
        <v>124.614</v>
      </c>
      <c r="AD65" s="39" t="n">
        <f aca="false">AD76</f>
        <v>245.475</v>
      </c>
      <c r="AE65" s="39" t="n">
        <f aca="false">AE76</f>
        <v>157.647</v>
      </c>
      <c r="AF65" s="39" t="n">
        <f aca="false">AF76</f>
        <v>141.464</v>
      </c>
      <c r="AG65" s="39" t="n">
        <f aca="false">AG76</f>
        <v>544.586</v>
      </c>
      <c r="AH65" s="39" t="n">
        <f aca="false">AH76</f>
        <v>145.293</v>
      </c>
      <c r="AI65" s="39" t="n">
        <f aca="false">AI76</f>
        <v>146.765</v>
      </c>
      <c r="AJ65" s="39" t="n">
        <f aca="false">AJ76</f>
        <v>292.058</v>
      </c>
      <c r="AK65" s="39" t="n">
        <f aca="false">AK76</f>
        <v>172.505</v>
      </c>
      <c r="AL65" s="39" t="n">
        <f aca="false">AL76</f>
        <v>167.465</v>
      </c>
      <c r="AM65" s="39" t="n">
        <f aca="false">AM76</f>
        <v>632.028</v>
      </c>
      <c r="AN65" s="39" t="n">
        <f aca="false">AN76</f>
        <v>163.264</v>
      </c>
      <c r="AO65" s="39" t="n">
        <f aca="false">AO76</f>
        <v>191.609</v>
      </c>
      <c r="AP65" s="39" t="n">
        <f aca="false">AP76</f>
        <v>354.873</v>
      </c>
      <c r="AQ65" s="39" t="n">
        <f aca="false">AQ76</f>
        <v>219.068</v>
      </c>
      <c r="AR65" s="39" t="n">
        <f aca="false">AR76</f>
        <v>188.425</v>
      </c>
      <c r="AS65" s="39" t="n">
        <f aca="false">AS76</f>
        <v>762.366</v>
      </c>
      <c r="AT65" s="39" t="n">
        <f aca="false">AT76</f>
        <v>195.918</v>
      </c>
      <c r="AU65" s="39" t="n">
        <f aca="false">AU76</f>
        <v>208.226</v>
      </c>
      <c r="AV65" s="39" t="n">
        <f aca="false">AV76</f>
        <v>404.144</v>
      </c>
      <c r="AW65" s="39" t="n">
        <f aca="false">AW76</f>
        <v>251.579</v>
      </c>
      <c r="AX65" s="39" t="n">
        <f aca="false">AX76</f>
        <v>242.619</v>
      </c>
      <c r="AY65" s="39" t="n">
        <f aca="false">AY76</f>
        <v>898.342</v>
      </c>
      <c r="AZ65" s="39" t="n">
        <f aca="false">AZ76</f>
        <v>254.869</v>
      </c>
      <c r="BA65" s="39" t="n">
        <f aca="false">BA76</f>
        <v>259.889</v>
      </c>
      <c r="BB65" s="39" t="n">
        <f aca="false">BB76</f>
        <v>514.758</v>
      </c>
      <c r="BC65" s="39" t="n">
        <f aca="false">BC76</f>
        <v>242.613</v>
      </c>
      <c r="BD65" s="39" t="n">
        <f aca="false">BD76</f>
        <v>250.431</v>
      </c>
      <c r="BE65" s="39" t="n">
        <f aca="false">BE76</f>
        <v>1007.802</v>
      </c>
      <c r="BF65" s="39" t="n">
        <f aca="false">BF76</f>
        <v>296.769</v>
      </c>
      <c r="BG65" s="39" t="n">
        <f aca="false">BG76</f>
        <v>307.498</v>
      </c>
      <c r="BH65" s="39" t="n">
        <f aca="false">BH76</f>
        <v>604.267</v>
      </c>
      <c r="BI65" s="39" t="n">
        <f aca="false">BI76</f>
        <v>381.341</v>
      </c>
      <c r="BJ65" s="39" t="n">
        <f aca="false">BJ76</f>
        <v>357.483</v>
      </c>
      <c r="BK65" s="39" t="n">
        <f aca="false">BK76</f>
        <v>1343.091</v>
      </c>
      <c r="BL65" s="39" t="n">
        <f aca="false">BL76</f>
        <v>385.03</v>
      </c>
      <c r="BM65" s="39" t="n">
        <f aca="false">BM76</f>
        <v>403.342</v>
      </c>
      <c r="BN65" s="39" t="n">
        <f aca="false">BN76</f>
        <v>788.372</v>
      </c>
      <c r="BO65" s="39" t="n">
        <f aca="false">BO76</f>
        <v>436.277</v>
      </c>
      <c r="BP65" s="39" t="n">
        <f aca="false">BP76</f>
        <v>381.572</v>
      </c>
      <c r="BQ65" s="39" t="n">
        <f aca="false">BQ76</f>
        <v>1606.221</v>
      </c>
      <c r="BR65" s="39" t="n">
        <f aca="false">BR76</f>
        <v>369.483</v>
      </c>
      <c r="BS65" s="39" t="n">
        <f aca="false">BS76</f>
        <v>426.5</v>
      </c>
      <c r="BT65" s="39" t="n">
        <f aca="false">BT76</f>
        <v>795.983</v>
      </c>
      <c r="BU65" s="39" t="n">
        <f aca="false">BU76</f>
        <v>483.43</v>
      </c>
      <c r="BV65" s="39" t="n">
        <f aca="false">BV76</f>
        <v>457.578</v>
      </c>
      <c r="BW65" s="39" t="n">
        <f aca="false">BW76</f>
        <v>1736.991</v>
      </c>
      <c r="BX65" s="39" t="n">
        <f aca="false">BX76</f>
        <v>464.019</v>
      </c>
      <c r="BY65" s="39" t="n">
        <f aca="false">BY76</f>
        <v>464.152</v>
      </c>
      <c r="BZ65" s="39" t="n">
        <f aca="false">BZ76</f>
        <v>928.171</v>
      </c>
      <c r="CA65" s="39" t="n">
        <f aca="false">CA76</f>
        <v>525.505</v>
      </c>
      <c r="CB65" s="39" t="n">
        <f aca="false">CB76</f>
        <v>453.576</v>
      </c>
      <c r="CC65" s="39" t="n">
        <f aca="false">CC76</f>
        <v>1907.252</v>
      </c>
      <c r="CD65" s="39" t="n">
        <f aca="false">CD76</f>
        <v>512.105</v>
      </c>
      <c r="CE65" s="39" t="n">
        <f aca="false">CE76</f>
        <v>525.553</v>
      </c>
      <c r="CF65" s="39" t="n">
        <f aca="false">CF76</f>
        <v>1037.658</v>
      </c>
      <c r="CG65" s="39" t="n">
        <f aca="false">CG76</f>
        <v>552.267</v>
      </c>
      <c r="CH65" s="39" t="n">
        <f aca="false">CH76</f>
        <v>509.718</v>
      </c>
      <c r="CI65" s="39" t="n">
        <f aca="false">CI76</f>
        <v>2099.643</v>
      </c>
      <c r="CJ65" s="39" t="n">
        <f aca="false">CJ76</f>
        <v>536.998</v>
      </c>
      <c r="CK65" s="39" t="n">
        <f aca="false">CK76</f>
        <v>492.812</v>
      </c>
      <c r="CL65" s="39" t="n">
        <f aca="false">CL76</f>
        <v>1029.81</v>
      </c>
      <c r="CM65" s="39" t="n">
        <f aca="false">CM76</f>
        <v>572.599</v>
      </c>
      <c r="CN65" s="39" t="n">
        <f aca="false">CN76</f>
        <v>481.449</v>
      </c>
      <c r="CO65" s="39" t="n">
        <f aca="false">CO76</f>
        <v>2083.858</v>
      </c>
      <c r="CP65" s="40" t="n">
        <f aca="false">CP76</f>
        <v>2184.1528858275</v>
      </c>
      <c r="CQ65" s="40" t="n">
        <f aca="false">CQ76</f>
        <v>2316.49003893173</v>
      </c>
      <c r="CR65" s="40" t="n">
        <f aca="false">CR76</f>
        <v>2465.10069393305</v>
      </c>
      <c r="CS65" s="40" t="n">
        <f aca="false">CS76</f>
        <v>2621.52160173089</v>
      </c>
      <c r="CT65" s="40" t="n">
        <f aca="false">CT76</f>
        <v>2788.04140342917</v>
      </c>
      <c r="CU65" s="24"/>
      <c r="CW65" s="48" t="n">
        <f aca="false">IFERROR((CT65/CO65)^(1/5)-1,"n/m")</f>
        <v>0.0599520507928</v>
      </c>
      <c r="CX65" s="48" t="n">
        <f aca="false">IFERROR((CO65/BK65)^(1/5)-1,"n/m")</f>
        <v>0.0918237485572455</v>
      </c>
      <c r="CY65" s="48" t="n">
        <f aca="false">IFERROR((CO65/AG65)^(1/10)-1,"n/m")</f>
        <v>0.14361584751563</v>
      </c>
      <c r="CZ65" s="48" t="n">
        <f aca="false">IFERROR((CO65/C65)^(1/20)-1,"n/m")</f>
        <v>0.116362753333533</v>
      </c>
    </row>
    <row r="66" customFormat="false" ht="15" hidden="false" customHeight="false" outlineLevel="0" collapsed="false">
      <c r="B66" s="28" t="s">
        <v>176</v>
      </c>
      <c r="C66" s="35" t="n">
        <f aca="false">IFERROR(C76/C73,"")</f>
        <v>0.436172245545064</v>
      </c>
      <c r="D66" s="35" t="n">
        <f aca="false">IFERROR(D76/D73,"")</f>
        <v>0.47581864878362</v>
      </c>
      <c r="E66" s="35" t="n">
        <f aca="false">IFERROR(E76/E73,"")</f>
        <v>0.410600523923104</v>
      </c>
      <c r="F66" s="35" t="n">
        <f aca="false">IFERROR(F76/F73,"")</f>
        <v>0.420222801790381</v>
      </c>
      <c r="G66" s="35" t="n">
        <f aca="false">IFERROR(G76/G73,"")</f>
        <v>0.450256767230058</v>
      </c>
      <c r="H66" s="35" t="n">
        <f aca="false">IFERROR(H76/H73,"")</f>
        <v>0.427511275488796</v>
      </c>
      <c r="I66" s="35" t="n">
        <f aca="false">IFERROR(I76/I73,"")</f>
        <v>0.443215742200476</v>
      </c>
      <c r="J66" s="35" t="n">
        <f aca="false">IFERROR(J76/J73,"")</f>
        <v>0.441402292498723</v>
      </c>
      <c r="K66" s="35" t="n">
        <f aca="false">IFERROR(K76/K73,"")</f>
        <v>0.363720720551496</v>
      </c>
      <c r="L66" s="35" t="n">
        <f aca="false">IFERROR(L76/L73,"")</f>
        <v>0.400460547548663</v>
      </c>
      <c r="M66" s="35" t="n">
        <f aca="false">IFERROR(M76/M73,"")</f>
        <v>0.416358711703729</v>
      </c>
      <c r="N66" s="35" t="n">
        <f aca="false">IFERROR(N76/N73,"")</f>
        <v>0.390872857863381</v>
      </c>
      <c r="O66" s="35" t="n">
        <f aca="false">IFERROR(O76/O73,"")</f>
        <v>0.402262644951289</v>
      </c>
      <c r="P66" s="35" t="n">
        <f aca="false">IFERROR(P76/P73,"")</f>
        <v>0.385289567426389</v>
      </c>
      <c r="Q66" s="35" t="n">
        <f aca="false">IFERROR(Q76/Q73,"")</f>
        <v>0.389430025765098</v>
      </c>
      <c r="R66" s="35" t="n">
        <f aca="false">IFERROR(R76/R73,"")</f>
        <v>0.387383744439952</v>
      </c>
      <c r="S66" s="35" t="n">
        <f aca="false">IFERROR(S76/S73,"")</f>
        <v>0.427002279463519</v>
      </c>
      <c r="T66" s="35" t="n">
        <f aca="false">IFERROR(T76/T73,"")</f>
        <v>0.406815098277961</v>
      </c>
      <c r="U66" s="35" t="n">
        <f aca="false">IFERROR(U76/U73,"")</f>
        <v>0.402730923970919</v>
      </c>
      <c r="V66" s="35" t="n">
        <f aca="false">IFERROR(V76/V73,"")</f>
        <v>0.421191104254337</v>
      </c>
      <c r="W66" s="35" t="n">
        <f aca="false">IFERROR(W76/W73,"")</f>
        <v>0.415796103642248</v>
      </c>
      <c r="X66" s="35" t="n">
        <f aca="false">IFERROR(X76/X73,"")</f>
        <v>0.418560860081462</v>
      </c>
      <c r="Y66" s="35" t="n">
        <f aca="false">IFERROR(Y76/Y73,"")</f>
        <v>0.428808448485909</v>
      </c>
      <c r="Z66" s="35" t="n">
        <f aca="false">IFERROR(Z76/Z73,"")</f>
        <v>0.420782661985951</v>
      </c>
      <c r="AA66" s="35" t="n">
        <f aca="false">IFERROR(AA76/AA73,"")</f>
        <v>0.421764991767583</v>
      </c>
      <c r="AB66" s="35" t="n">
        <f aca="false">IFERROR(AB76/AB73,"")</f>
        <v>0.418438709588074</v>
      </c>
      <c r="AC66" s="35" t="n">
        <f aca="false">IFERROR(AC76/AC73,"")</f>
        <v>0.415787471722288</v>
      </c>
      <c r="AD66" s="35" t="n">
        <f aca="false">IFERROR(AD76/AD73,"")</f>
        <v>0.417088611896477</v>
      </c>
      <c r="AE66" s="35" t="n">
        <f aca="false">IFERROR(AE76/AE73,"")</f>
        <v>0.453992270609309</v>
      </c>
      <c r="AF66" s="35" t="n">
        <f aca="false">IFERROR(AF76/AF73,"")</f>
        <v>0.42525228537331</v>
      </c>
      <c r="AG66" s="35" t="n">
        <f aca="false">IFERROR(AG76/AG73,"")</f>
        <v>0.429332200190942</v>
      </c>
      <c r="AH66" s="35" t="n">
        <f aca="false">IFERROR(AH76/AH73,"")</f>
        <v>0.419932888427734</v>
      </c>
      <c r="AI66" s="35" t="n">
        <f aca="false">IFERROR(AI76/AI73,"")</f>
        <v>0.419890024375451</v>
      </c>
      <c r="AJ66" s="35" t="n">
        <f aca="false">IFERROR(AJ76/AJ73,"")</f>
        <v>0.4199113472883</v>
      </c>
      <c r="AK66" s="35" t="n">
        <f aca="false">IFERROR(AK76/AK73,"")</f>
        <v>0.461413569712889</v>
      </c>
      <c r="AL66" s="35" t="n">
        <f aca="false">IFERROR(AL76/AL73,"")</f>
        <v>0.442331667529504</v>
      </c>
      <c r="AM66" s="35" t="n">
        <f aca="false">IFERROR(AM76/AM73,"")</f>
        <v>0.436489152827282</v>
      </c>
      <c r="AN66" s="35" t="n">
        <f aca="false">IFERROR(AN76/AN73,"")</f>
        <v>0.389495381326819</v>
      </c>
      <c r="AO66" s="35" t="n">
        <f aca="false">IFERROR(AO76/AO73,"")</f>
        <v>0.417352419702639</v>
      </c>
      <c r="AP66" s="35" t="n">
        <f aca="false">IFERROR(AP76/AP73,"")</f>
        <v>0.404057275975379</v>
      </c>
      <c r="AQ66" s="35" t="n">
        <f aca="false">IFERROR(AQ76/AQ73,"")</f>
        <v>0.458111493565427</v>
      </c>
      <c r="AR66" s="35" t="n">
        <f aca="false">IFERROR(AR76/AR73,"")</f>
        <v>0.4194464664543</v>
      </c>
      <c r="AS66" s="35" t="n">
        <f aca="false">IFERROR(AS76/AS73,"")</f>
        <v>0.422200870025115</v>
      </c>
      <c r="AT66" s="35" t="n">
        <f aca="false">IFERROR(AT76/AT73,"")</f>
        <v>0.424645835862045</v>
      </c>
      <c r="AU66" s="35" t="n">
        <f aca="false">IFERROR(AU76/AU73,"")</f>
        <v>0.429422270250651</v>
      </c>
      <c r="AV66" s="35" t="n">
        <f aca="false">IFERROR(AV76/AV73,"")</f>
        <v>0.427093438842778</v>
      </c>
      <c r="AW66" s="35" t="n">
        <f aca="false">IFERROR(AW76/AW73,"")</f>
        <v>0.454839491173642</v>
      </c>
      <c r="AX66" s="35" t="n">
        <f aca="false">IFERROR(AX76/AX73,"")</f>
        <v>0.447162143482468</v>
      </c>
      <c r="AY66" s="35" t="n">
        <f aca="false">IFERROR(AY76/AY73,"")</f>
        <v>0.4399416833949</v>
      </c>
      <c r="AZ66" s="35" t="n">
        <f aca="false">IFERROR(AZ76/AZ73,"")</f>
        <v>0.459700518015093</v>
      </c>
      <c r="BA66" s="35" t="n">
        <f aca="false">IFERROR(BA76/BA73,"")</f>
        <v>0.451870848836805</v>
      </c>
      <c r="BB66" s="35" t="n">
        <f aca="false">IFERROR(BB76/BB73,"")</f>
        <v>0.455713886065774</v>
      </c>
      <c r="BC66" s="35" t="n">
        <f aca="false">IFERROR(BC76/BC73,"")</f>
        <v>0.44082600479686</v>
      </c>
      <c r="BD66" s="35" t="n">
        <f aca="false">IFERROR(BD76/BD73,"")</f>
        <v>0.476413416302203</v>
      </c>
      <c r="BE66" s="35" t="n">
        <f aca="false">IFERROR(BE76/BE73,"")</f>
        <v>0.456932248752371</v>
      </c>
      <c r="BF66" s="35" t="n">
        <f aca="false">IFERROR(BF76/BF73,"")</f>
        <v>0.500504266873545</v>
      </c>
      <c r="BG66" s="35" t="n">
        <f aca="false">IFERROR(BG76/BG73,"")</f>
        <v>0.498350974262233</v>
      </c>
      <c r="BH66" s="35" t="n">
        <f aca="false">IFERROR(BH76/BH73,"")</f>
        <v>0.499406184115156</v>
      </c>
      <c r="BI66" s="35" t="n">
        <f aca="false">IFERROR(BI76/BI73,"")</f>
        <v>0.519601858538513</v>
      </c>
      <c r="BJ66" s="35" t="n">
        <f aca="false">IFERROR(BJ76/BJ73,"")</f>
        <v>0.477516263040487</v>
      </c>
      <c r="BK66" s="35" t="n">
        <f aca="false">IFERROR(BK76/BK73,"")</f>
        <v>0.498824703037425</v>
      </c>
      <c r="BL66" s="35" t="n">
        <f aca="false">IFERROR(BL76/BL73,"")</f>
        <v>0.475268227893726</v>
      </c>
      <c r="BM66" s="35" t="n">
        <f aca="false">IFERROR(BM76/BM73,"")</f>
        <v>0.464968989924607</v>
      </c>
      <c r="BN66" s="35" t="n">
        <f aca="false">IFERROR(BN76/BN73,"")</f>
        <v>0.469942632058331</v>
      </c>
      <c r="BO66" s="35" t="n">
        <f aca="false">IFERROR(BO76/BO73,"")</f>
        <v>0.464153601130284</v>
      </c>
      <c r="BP66" s="35" t="n">
        <f aca="false">IFERROR(BP76/BP73,"")</f>
        <v>0.431941570408473</v>
      </c>
      <c r="BQ66" s="35" t="n">
        <f aca="false">IFERROR(BQ76/BQ73,"")</f>
        <v>0.458799555888293</v>
      </c>
      <c r="BR66" s="35" t="n">
        <f aca="false">IFERROR(BR76/BR73,"")</f>
        <v>0.413582471803459</v>
      </c>
      <c r="BS66" s="35" t="n">
        <f aca="false">IFERROR(BS76/BS73,"")</f>
        <v>0.44579209887073</v>
      </c>
      <c r="BT66" s="35" t="n">
        <f aca="false">IFERROR(BT76/BT73,"")</f>
        <v>0.43023875517811</v>
      </c>
      <c r="BU66" s="35" t="n">
        <f aca="false">IFERROR(BU76/BU73,"")</f>
        <v>0.473101716428646</v>
      </c>
      <c r="BV66" s="35" t="n">
        <f aca="false">IFERROR(BV76/BV73,"")</f>
        <v>0.458682967268149</v>
      </c>
      <c r="BW66" s="35" t="n">
        <f aca="false">IFERROR(BW76/BW73,"")</f>
        <v>0.448890792083148</v>
      </c>
      <c r="BX66" s="35" t="n">
        <f aca="false">IFERROR(BX76/BX73,"")</f>
        <v>0.45473512763422</v>
      </c>
      <c r="BY66" s="35" t="n">
        <f aca="false">IFERROR(BY76/BY73,"")</f>
        <v>0.45498451696762</v>
      </c>
      <c r="BZ66" s="35" t="n">
        <f aca="false">IFERROR(BZ76/BZ73,"")</f>
        <v>0.454859805985107</v>
      </c>
      <c r="CA66" s="35" t="n">
        <f aca="false">IFERROR(CA76/CA73,"")</f>
        <v>0.466179467185447</v>
      </c>
      <c r="CB66" s="35" t="n">
        <f aca="false">IFERROR(CB76/CB73,"")</f>
        <v>0.424299742095175</v>
      </c>
      <c r="CC66" s="35" t="n">
        <f aca="false">IFERROR(CC76/CC73,"")</f>
        <v>0.450160887060895</v>
      </c>
      <c r="CD66" s="35" t="n">
        <f aca="false">IFERROR(CD76/CD73,"")</f>
        <v>0.446539981113139</v>
      </c>
      <c r="CE66" s="35" t="n">
        <f aca="false">IFERROR(CE76/CE73,"")</f>
        <v>0.451771487712711</v>
      </c>
      <c r="CF66" s="35" t="n">
        <f aca="false">IFERROR(CF76/CF73,"")</f>
        <v>0.449174402472572</v>
      </c>
      <c r="CG66" s="35" t="n">
        <f aca="false">IFERROR(CG76/CG73,"")</f>
        <v>0.455772639793483</v>
      </c>
      <c r="CH66" s="35" t="n">
        <f aca="false">IFERROR(CH76/CH73,"")</f>
        <v>0.453043604240345</v>
      </c>
      <c r="CI66" s="35" t="n">
        <f aca="false">IFERROR(CI76/CI73,"")</f>
        <v>0.451831714424791</v>
      </c>
      <c r="CJ66" s="35" t="n">
        <f aca="false">IFERROR(CJ76/CJ73,"")</f>
        <v>0.464921257456516</v>
      </c>
      <c r="CK66" s="35" t="n">
        <f aca="false">IFERROR(CK76/CK73,"")</f>
        <v>0.439354036912686</v>
      </c>
      <c r="CL66" s="35" t="n">
        <f aca="false">IFERROR(CL76/CL73,"")</f>
        <v>0.452324939913138</v>
      </c>
      <c r="CM66" s="35" t="n">
        <f aca="false">IFERROR(CM76/CM73,"")</f>
        <v>0.462868593914957</v>
      </c>
      <c r="CN66" s="35" t="n">
        <f aca="false">IFERROR(CN76/CN73,"")</f>
        <v>0.417765278682863</v>
      </c>
      <c r="CO66" s="35" t="n">
        <f aca="false">IFERROR(CO76/CO73,"")</f>
        <v>0.446584797209041</v>
      </c>
      <c r="CP66" s="45" t="n">
        <f aca="false">IFERROR(CP76/CP73,"")</f>
        <v>0.446953430953733</v>
      </c>
      <c r="CQ66" s="45" t="n">
        <f aca="false">IFERROR(CQ76/CQ73,"")</f>
        <v>0.447758147716221</v>
      </c>
      <c r="CR66" s="45" t="n">
        <f aca="false">IFERROR(CR76/CR73,"")</f>
        <v>0.448719981029599</v>
      </c>
      <c r="CS66" s="45" t="n">
        <f aca="false">IFERROR(CS76/CS73,"")</f>
        <v>0.449634169915076</v>
      </c>
      <c r="CT66" s="45" t="n">
        <f aca="false">IFERROR(CT76/CT73,"")</f>
        <v>0.450537258114741</v>
      </c>
      <c r="CU66" s="24"/>
      <c r="CW66" s="49" t="n">
        <f aca="false">IFERROR(AVERAGE(CP66:CT66),"n/m")</f>
        <v>0.448720597545874</v>
      </c>
      <c r="CX66" s="6"/>
      <c r="CY66" s="6"/>
      <c r="CZ66" s="6"/>
    </row>
    <row r="67" customFormat="false" ht="15" hidden="false" customHeight="false" outlineLevel="0" collapsed="false">
      <c r="B67" s="28" t="s">
        <v>177</v>
      </c>
      <c r="C67" s="39" t="n">
        <f aca="false">C113</f>
        <v>197.868</v>
      </c>
      <c r="D67" s="39" t="n">
        <f aca="false">D113</f>
        <v>240.866</v>
      </c>
      <c r="E67" s="39" t="n">
        <f aca="false">E113</f>
        <v>284.902</v>
      </c>
      <c r="F67" s="39" t="n">
        <f aca="false">F113</f>
        <v>267.668</v>
      </c>
      <c r="G67" s="39" t="n">
        <f aca="false">G113</f>
        <v>282.748</v>
      </c>
      <c r="H67" s="39" t="n">
        <f aca="false">H113</f>
        <v>313.156</v>
      </c>
      <c r="I67" s="39" t="n">
        <f aca="false">I113</f>
        <v>337.207</v>
      </c>
      <c r="J67" s="39" t="n">
        <f aca="false">J113</f>
        <v>86.903</v>
      </c>
      <c r="K67" s="39" t="n">
        <f aca="false">K113</f>
        <v>78.126</v>
      </c>
      <c r="L67" s="39" t="n">
        <f aca="false">L113</f>
        <v>165.029</v>
      </c>
      <c r="M67" s="39" t="n">
        <f aca="false">M113</f>
        <v>99.2020000000001</v>
      </c>
      <c r="N67" s="39" t="n">
        <f aca="false">N113</f>
        <v>78.998</v>
      </c>
      <c r="O67" s="39" t="n">
        <f aca="false">O113</f>
        <v>343.229</v>
      </c>
      <c r="P67" s="39" t="n">
        <f aca="false">P113</f>
        <v>80.886</v>
      </c>
      <c r="Q67" s="39" t="n">
        <f aca="false">Q113</f>
        <v>85.73</v>
      </c>
      <c r="R67" s="39" t="n">
        <f aca="false">R113</f>
        <v>166.616</v>
      </c>
      <c r="S67" s="39" t="n">
        <f aca="false">S113</f>
        <v>76.11</v>
      </c>
      <c r="T67" s="39" t="n">
        <f aca="false">T113</f>
        <v>89.312</v>
      </c>
      <c r="U67" s="39" t="n">
        <f aca="false">U113</f>
        <v>332.038</v>
      </c>
      <c r="V67" s="39" t="n">
        <f aca="false">V113</f>
        <v>97.961</v>
      </c>
      <c r="W67" s="39" t="n">
        <f aca="false">W113</f>
        <v>96.0090000000001</v>
      </c>
      <c r="X67" s="39" t="n">
        <f aca="false">X113</f>
        <v>193.97</v>
      </c>
      <c r="Y67" s="39" t="n">
        <f aca="false">Y113</f>
        <v>106.164</v>
      </c>
      <c r="Z67" s="39" t="n">
        <f aca="false">Z113</f>
        <v>95.812</v>
      </c>
      <c r="AA67" s="39" t="n">
        <f aca="false">AA113</f>
        <v>395.946</v>
      </c>
      <c r="AB67" s="39" t="n">
        <f aca="false">AB113</f>
        <v>98.794</v>
      </c>
      <c r="AC67" s="39" t="n">
        <f aca="false">AC113</f>
        <v>108.211</v>
      </c>
      <c r="AD67" s="39" t="n">
        <f aca="false">AD113</f>
        <v>207.005</v>
      </c>
      <c r="AE67" s="39" t="n">
        <f aca="false">AE113</f>
        <v>134.345</v>
      </c>
      <c r="AF67" s="39" t="n">
        <f aca="false">AF113</f>
        <v>125.247</v>
      </c>
      <c r="AG67" s="39" t="n">
        <f aca="false">AG113</f>
        <v>466.597</v>
      </c>
      <c r="AH67" s="39" t="n">
        <f aca="false">AH113</f>
        <v>122.865</v>
      </c>
      <c r="AI67" s="39" t="n">
        <f aca="false">AI113</f>
        <v>121.074</v>
      </c>
      <c r="AJ67" s="39" t="n">
        <f aca="false">AJ113</f>
        <v>243.939</v>
      </c>
      <c r="AK67" s="39" t="n">
        <f aca="false">AK113</f>
        <v>149.802</v>
      </c>
      <c r="AL67" s="39" t="n">
        <f aca="false">AL113</f>
        <v>125.732</v>
      </c>
      <c r="AM67" s="39" t="n">
        <f aca="false">AM113</f>
        <v>519.473</v>
      </c>
      <c r="AN67" s="39" t="n">
        <f aca="false">AN113</f>
        <v>135.428</v>
      </c>
      <c r="AO67" s="39" t="n">
        <f aca="false">AO113</f>
        <v>167.87</v>
      </c>
      <c r="AP67" s="39" t="n">
        <f aca="false">AP113</f>
        <v>303.298</v>
      </c>
      <c r="AQ67" s="39" t="n">
        <f aca="false">AQ113</f>
        <v>191.923</v>
      </c>
      <c r="AR67" s="39" t="n">
        <f aca="false">AR113</f>
        <v>164.963</v>
      </c>
      <c r="AS67" s="39" t="n">
        <f aca="false">AS113</f>
        <v>660.184</v>
      </c>
      <c r="AT67" s="39" t="n">
        <f aca="false">AT113</f>
        <v>174.346</v>
      </c>
      <c r="AU67" s="39" t="n">
        <f aca="false">AU113</f>
        <v>189.92</v>
      </c>
      <c r="AV67" s="39" t="n">
        <f aca="false">AV113</f>
        <v>364.266</v>
      </c>
      <c r="AW67" s="39" t="n">
        <f aca="false">AW113</f>
        <v>230.325</v>
      </c>
      <c r="AX67" s="39" t="n">
        <f aca="false">AX113</f>
        <v>212.84</v>
      </c>
      <c r="AY67" s="39" t="n">
        <f aca="false">AY113</f>
        <v>807.431</v>
      </c>
      <c r="AZ67" s="39" t="n">
        <f aca="false">AZ113</f>
        <v>229.122</v>
      </c>
      <c r="BA67" s="39" t="n">
        <f aca="false">BA113</f>
        <v>233.82</v>
      </c>
      <c r="BB67" s="39" t="n">
        <f aca="false">BB113</f>
        <v>462.942</v>
      </c>
      <c r="BC67" s="39" t="n">
        <f aca="false">BC113</f>
        <v>224.093</v>
      </c>
      <c r="BD67" s="39" t="n">
        <f aca="false">BD113</f>
        <v>234.065</v>
      </c>
      <c r="BE67" s="39" t="n">
        <f aca="false">BE113</f>
        <v>921.1</v>
      </c>
      <c r="BF67" s="39" t="n">
        <f aca="false">BF113</f>
        <v>280.796</v>
      </c>
      <c r="BG67" s="39" t="n">
        <f aca="false">BG113</f>
        <v>288.693</v>
      </c>
      <c r="BH67" s="39" t="n">
        <f aca="false">BH113</f>
        <v>569.489</v>
      </c>
      <c r="BI67" s="39" t="n">
        <f aca="false">BI113</f>
        <v>360.847</v>
      </c>
      <c r="BJ67" s="39" t="n">
        <f aca="false">BJ113</f>
        <v>333.728</v>
      </c>
      <c r="BK67" s="39" t="n">
        <f aca="false">BK113</f>
        <v>1264.064</v>
      </c>
      <c r="BL67" s="39" t="n">
        <f aca="false">BL113</f>
        <v>362.693</v>
      </c>
      <c r="BM67" s="39" t="n">
        <f aca="false">BM113</f>
        <v>379.791</v>
      </c>
      <c r="BN67" s="39" t="n">
        <f aca="false">BN113</f>
        <v>742.484</v>
      </c>
      <c r="BO67" s="39" t="n">
        <f aca="false">BO113</f>
        <v>410.676</v>
      </c>
      <c r="BP67" s="39" t="n">
        <f aca="false">BP113</f>
        <v>342.457</v>
      </c>
      <c r="BQ67" s="39" t="n">
        <f aca="false">BQ113</f>
        <v>1495.627</v>
      </c>
      <c r="BR67" s="39" t="n">
        <f aca="false">BR113</f>
        <v>347.739</v>
      </c>
      <c r="BS67" s="39" t="n">
        <f aca="false">BS113</f>
        <v>401.037</v>
      </c>
      <c r="BT67" s="39" t="n">
        <f aca="false">BT113</f>
        <v>748.776</v>
      </c>
      <c r="BU67" s="39" t="n">
        <f aca="false">BU113</f>
        <v>459.923</v>
      </c>
      <c r="BV67" s="39" t="n">
        <f aca="false">BV113</f>
        <v>439.179</v>
      </c>
      <c r="BW67" s="39" t="n">
        <f aca="false">BW113</f>
        <v>1647.878</v>
      </c>
      <c r="BX67" s="39" t="n">
        <f aca="false">BX113</f>
        <v>434.468</v>
      </c>
      <c r="BY67" s="39" t="n">
        <f aca="false">BY113</f>
        <v>422.059</v>
      </c>
      <c r="BZ67" s="39" t="n">
        <f aca="false">BZ113</f>
        <v>856.527</v>
      </c>
      <c r="CA67" s="39" t="n">
        <f aca="false">CA113</f>
        <v>486.627</v>
      </c>
      <c r="CB67" s="39" t="n">
        <f aca="false">CB113</f>
        <v>415.536</v>
      </c>
      <c r="CC67" s="39" t="n">
        <f aca="false">CC113</f>
        <v>1758.689</v>
      </c>
      <c r="CD67" s="39" t="n">
        <f aca="false">CD113</f>
        <v>459.398</v>
      </c>
      <c r="CE67" s="39" t="n">
        <f aca="false">CE113</f>
        <v>476.503</v>
      </c>
      <c r="CF67" s="39" t="n">
        <f aca="false">CF113</f>
        <v>935.901</v>
      </c>
      <c r="CG67" s="39" t="n">
        <f aca="false">CG113</f>
        <v>514.444</v>
      </c>
      <c r="CH67" s="39" t="n">
        <f aca="false">CH113</f>
        <v>482.176</v>
      </c>
      <c r="CI67" s="39" t="n">
        <f aca="false">CI113</f>
        <v>1932.521</v>
      </c>
      <c r="CJ67" s="39" t="n">
        <f aca="false">CJ113</f>
        <v>487.66</v>
      </c>
      <c r="CK67" s="39" t="n">
        <f aca="false">CK113</f>
        <v>446.449</v>
      </c>
      <c r="CL67" s="39" t="n">
        <f aca="false">CL113</f>
        <v>934.109</v>
      </c>
      <c r="CM67" s="39" t="n">
        <f aca="false">CM113</f>
        <v>522.264</v>
      </c>
      <c r="CN67" s="39" t="n">
        <f aca="false">CN113</f>
        <v>426.054</v>
      </c>
      <c r="CO67" s="39" t="n">
        <f aca="false">CO113</f>
        <v>1882.427</v>
      </c>
      <c r="CP67" s="40" t="n">
        <f aca="false">CP113</f>
        <v>1954.7028702</v>
      </c>
      <c r="CQ67" s="40" t="n">
        <f aca="false">CQ113</f>
        <v>2095.27949530903</v>
      </c>
      <c r="CR67" s="40" t="n">
        <f aca="false">CR113</f>
        <v>2252.38751836612</v>
      </c>
      <c r="CS67" s="40" t="n">
        <f aca="false">CS113</f>
        <v>2419.5924987725</v>
      </c>
      <c r="CT67" s="40" t="n">
        <f aca="false">CT113</f>
        <v>2599.06893014835</v>
      </c>
      <c r="CU67" s="24"/>
      <c r="CW67" s="6"/>
      <c r="CX67" s="6"/>
      <c r="CY67" s="6"/>
      <c r="CZ67" s="6"/>
    </row>
    <row r="68" customFormat="false" ht="15" hidden="false" customHeight="false" outlineLevel="0" collapsed="false">
      <c r="B68" s="43" t="s">
        <v>178</v>
      </c>
      <c r="C68" s="39" t="n">
        <f aca="false">ROUND(C126-C58,1)</f>
        <v>0</v>
      </c>
      <c r="D68" s="39" t="n">
        <f aca="false">ROUND(D126-D58,1)</f>
        <v>0</v>
      </c>
      <c r="E68" s="39" t="n">
        <f aca="false">ROUND(E126-E58,1)</f>
        <v>0</v>
      </c>
      <c r="F68" s="39" t="n">
        <f aca="false">ROUND(F126-F58,1)</f>
        <v>0</v>
      </c>
      <c r="G68" s="39" t="n">
        <f aca="false">ROUND(G126-G58,1)</f>
        <v>0</v>
      </c>
      <c r="H68" s="39" t="n">
        <f aca="false">ROUND(H126-H58,1)</f>
        <v>0</v>
      </c>
      <c r="I68" s="39" t="n">
        <f aca="false">ROUND(I126-I58,1)</f>
        <v>0</v>
      </c>
      <c r="J68" s="39" t="n">
        <f aca="false">ROUND(J126-J58,1)</f>
        <v>0</v>
      </c>
      <c r="K68" s="39" t="n">
        <f aca="false">ROUND(K126-K58,1)</f>
        <v>0</v>
      </c>
      <c r="L68" s="39" t="n">
        <f aca="false">ROUND(L126-L58,1)</f>
        <v>0</v>
      </c>
      <c r="M68" s="39" t="n">
        <f aca="false">ROUND(M126-M58,1)</f>
        <v>0</v>
      </c>
      <c r="N68" s="39" t="n">
        <f aca="false">ROUND(N126-N58,1)</f>
        <v>0</v>
      </c>
      <c r="O68" s="39" t="n">
        <f aca="false">ROUND(O126-O58,1)</f>
        <v>0</v>
      </c>
      <c r="P68" s="39" t="n">
        <f aca="false">ROUND(P126-P58,1)</f>
        <v>0</v>
      </c>
      <c r="Q68" s="39" t="n">
        <f aca="false">ROUND(Q126-Q58,1)</f>
        <v>0</v>
      </c>
      <c r="R68" s="39" t="n">
        <f aca="false">ROUND(R126-R58,1)</f>
        <v>0</v>
      </c>
      <c r="S68" s="39" t="n">
        <f aca="false">ROUND(S126-S58,1)</f>
        <v>0</v>
      </c>
      <c r="T68" s="39" t="n">
        <f aca="false">ROUND(T126-T58,1)</f>
        <v>0</v>
      </c>
      <c r="U68" s="39" t="n">
        <f aca="false">ROUND(U126-U58,1)</f>
        <v>0</v>
      </c>
      <c r="V68" s="39" t="n">
        <f aca="false">ROUND(V126-V58,1)</f>
        <v>0</v>
      </c>
      <c r="W68" s="39" t="n">
        <f aca="false">ROUND(W126-W58,1)</f>
        <v>0</v>
      </c>
      <c r="X68" s="39" t="n">
        <f aca="false">ROUND(X126-X58,1)</f>
        <v>0</v>
      </c>
      <c r="Y68" s="39" t="n">
        <f aca="false">ROUND(Y126-Y58,1)</f>
        <v>0</v>
      </c>
      <c r="Z68" s="39" t="n">
        <f aca="false">ROUND(Z126-Z58,1)</f>
        <v>0</v>
      </c>
      <c r="AA68" s="39" t="n">
        <f aca="false">ROUND(AA126-AA58,1)</f>
        <v>0</v>
      </c>
      <c r="AB68" s="39" t="n">
        <f aca="false">ROUND(AB126-AB58,1)</f>
        <v>0</v>
      </c>
      <c r="AC68" s="39" t="n">
        <f aca="false">ROUND(AC126-AC58,1)</f>
        <v>0</v>
      </c>
      <c r="AD68" s="39" t="n">
        <f aca="false">ROUND(AD126-AD58,1)</f>
        <v>0</v>
      </c>
      <c r="AE68" s="39" t="n">
        <f aca="false">ROUND(AE126-AE58,1)</f>
        <v>0</v>
      </c>
      <c r="AF68" s="39" t="n">
        <f aca="false">ROUND(AF126-AF58,1)</f>
        <v>0</v>
      </c>
      <c r="AG68" s="39" t="n">
        <f aca="false">ROUND(AG126-AG58,1)</f>
        <v>0</v>
      </c>
      <c r="AH68" s="39" t="n">
        <f aca="false">ROUND(AH126-AH58,1)</f>
        <v>0</v>
      </c>
      <c r="AI68" s="39" t="n">
        <f aca="false">ROUND(AI126-AI58,1)</f>
        <v>0</v>
      </c>
      <c r="AJ68" s="39" t="n">
        <f aca="false">ROUND(AJ126-AJ58,1)</f>
        <v>0</v>
      </c>
      <c r="AK68" s="39" t="n">
        <f aca="false">ROUND(AK126-AK58,1)</f>
        <v>0</v>
      </c>
      <c r="AL68" s="39" t="n">
        <f aca="false">ROUND(AL126-AL58,1)</f>
        <v>0</v>
      </c>
      <c r="AM68" s="39" t="n">
        <f aca="false">ROUND(AM126-AM58,1)</f>
        <v>0</v>
      </c>
      <c r="AN68" s="39" t="n">
        <f aca="false">ROUND(AN126-AN58,1)</f>
        <v>0</v>
      </c>
      <c r="AO68" s="39" t="n">
        <f aca="false">ROUND(AO126-AO58,1)</f>
        <v>0</v>
      </c>
      <c r="AP68" s="39" t="n">
        <f aca="false">ROUND(AP126-AP58,1)</f>
        <v>0</v>
      </c>
      <c r="AQ68" s="39" t="n">
        <f aca="false">ROUND(AQ126-AQ58,1)</f>
        <v>0</v>
      </c>
      <c r="AR68" s="39" t="n">
        <f aca="false">ROUND(AR126-AR58,1)</f>
        <v>0</v>
      </c>
      <c r="AS68" s="39" t="n">
        <f aca="false">ROUND(AS126-AS58,1)</f>
        <v>0</v>
      </c>
      <c r="AT68" s="39" t="n">
        <f aca="false">ROUND(AT126-AT58,1)</f>
        <v>0</v>
      </c>
      <c r="AU68" s="39" t="n">
        <f aca="false">ROUND(AU126-AU58,1)</f>
        <v>0</v>
      </c>
      <c r="AV68" s="39" t="n">
        <f aca="false">ROUND(AV126-AV58,1)</f>
        <v>0</v>
      </c>
      <c r="AW68" s="39" t="n">
        <f aca="false">ROUND(AW126-AW58,1)</f>
        <v>0</v>
      </c>
      <c r="AX68" s="39" t="n">
        <f aca="false">ROUND(AX126-AX58,1)</f>
        <v>0</v>
      </c>
      <c r="AY68" s="39" t="n">
        <f aca="false">ROUND(AY126-AY58,1)</f>
        <v>0</v>
      </c>
      <c r="AZ68" s="39" t="n">
        <f aca="false">ROUND(AZ126-AZ58,1)</f>
        <v>0</v>
      </c>
      <c r="BA68" s="39" t="n">
        <f aca="false">ROUND(BA126-BA58,1)</f>
        <v>0</v>
      </c>
      <c r="BB68" s="39" t="n">
        <f aca="false">ROUND(BB126-BB58,1)</f>
        <v>0</v>
      </c>
      <c r="BC68" s="39" t="n">
        <f aca="false">ROUND(BC126-BC58,1)</f>
        <v>0</v>
      </c>
      <c r="BD68" s="39" t="n">
        <f aca="false">ROUND(BD126-BD58,1)</f>
        <v>0</v>
      </c>
      <c r="BE68" s="39" t="n">
        <f aca="false">ROUND(BE126-BE58,1)</f>
        <v>0</v>
      </c>
      <c r="BF68" s="39" t="n">
        <f aca="false">ROUND(BF126-BF58,1)</f>
        <v>0</v>
      </c>
      <c r="BG68" s="39" t="n">
        <f aca="false">ROUND(BG126-BG58,1)</f>
        <v>0</v>
      </c>
      <c r="BH68" s="39" t="n">
        <f aca="false">ROUND(BH126-BH58,1)</f>
        <v>0</v>
      </c>
      <c r="BI68" s="39" t="n">
        <f aca="false">ROUND(BI126-BI58,1)</f>
        <v>0</v>
      </c>
      <c r="BJ68" s="39" t="n">
        <f aca="false">ROUND(BJ126-BJ58,1)</f>
        <v>0</v>
      </c>
      <c r="BK68" s="39" t="n">
        <f aca="false">ROUND(BK126-BK58,1)</f>
        <v>0</v>
      </c>
      <c r="BL68" s="39" t="n">
        <f aca="false">ROUND(BL126-BL58,1)</f>
        <v>0</v>
      </c>
      <c r="BM68" s="39" t="n">
        <f aca="false">ROUND(BM126-BM58,1)</f>
        <v>0</v>
      </c>
      <c r="BN68" s="39" t="n">
        <f aca="false">ROUND(BN126-BN58,1)</f>
        <v>0</v>
      </c>
      <c r="BO68" s="39" t="n">
        <f aca="false">ROUND(BO126-BO58,1)</f>
        <v>0</v>
      </c>
      <c r="BP68" s="39" t="n">
        <f aca="false">ROUND(BP126-BP58,1)</f>
        <v>0</v>
      </c>
      <c r="BQ68" s="39" t="n">
        <f aca="false">ROUND(BQ126-BQ58,1)</f>
        <v>0</v>
      </c>
      <c r="BR68" s="39" t="n">
        <f aca="false">ROUND(BR126-BR58,1)</f>
        <v>0</v>
      </c>
      <c r="BS68" s="39" t="n">
        <f aca="false">ROUND(BS126-BS58,1)</f>
        <v>0</v>
      </c>
      <c r="BT68" s="39" t="n">
        <f aca="false">ROUND(BT126-BT58,1)</f>
        <v>0</v>
      </c>
      <c r="BU68" s="39" t="n">
        <f aca="false">ROUND(BU126-BU58,1)</f>
        <v>0</v>
      </c>
      <c r="BV68" s="39" t="n">
        <f aca="false">ROUND(BV126-BV58,1)</f>
        <v>0</v>
      </c>
      <c r="BW68" s="39" t="n">
        <f aca="false">ROUND(BW126-BW58,1)</f>
        <v>0</v>
      </c>
      <c r="BX68" s="39" t="n">
        <f aca="false">ROUND(BX126-BX58,1)</f>
        <v>0</v>
      </c>
      <c r="BY68" s="39" t="n">
        <f aca="false">ROUND(BY126-BY58,1)</f>
        <v>0</v>
      </c>
      <c r="BZ68" s="39" t="n">
        <f aca="false">ROUND(BZ126-BZ58,1)</f>
        <v>0</v>
      </c>
      <c r="CA68" s="39" t="n">
        <f aca="false">ROUND(CA126-CA58,1)</f>
        <v>0</v>
      </c>
      <c r="CB68" s="39" t="n">
        <f aca="false">ROUND(CB126-CB58,1)</f>
        <v>0</v>
      </c>
      <c r="CC68" s="39" t="n">
        <f aca="false">ROUND(CC126-CC58,1)</f>
        <v>0</v>
      </c>
      <c r="CD68" s="39" t="n">
        <f aca="false">ROUND(CD126-CD58,1)</f>
        <v>0</v>
      </c>
      <c r="CE68" s="39" t="n">
        <f aca="false">ROUND(CE126-CE58,1)</f>
        <v>0</v>
      </c>
      <c r="CF68" s="39" t="n">
        <f aca="false">ROUND(CF126-CF58,1)</f>
        <v>0</v>
      </c>
      <c r="CG68" s="39" t="n">
        <f aca="false">ROUND(CG126-CG58,1)</f>
        <v>0</v>
      </c>
      <c r="CH68" s="39" t="n">
        <f aca="false">ROUND(CH126-CH58,1)</f>
        <v>0</v>
      </c>
      <c r="CI68" s="39" t="n">
        <f aca="false">ROUND(CI126-CI58,1)</f>
        <v>0</v>
      </c>
      <c r="CJ68" s="39" t="n">
        <f aca="false">ROUND(CJ126-CJ58,1)</f>
        <v>0</v>
      </c>
      <c r="CK68" s="39" t="n">
        <f aca="false">ROUND(CK126-CK58,1)</f>
        <v>0</v>
      </c>
      <c r="CL68" s="39" t="n">
        <f aca="false">ROUND(CL126-CL58,1)</f>
        <v>0</v>
      </c>
      <c r="CM68" s="39" t="n">
        <f aca="false">ROUND(CM126-CM58,1)</f>
        <v>0</v>
      </c>
      <c r="CN68" s="39" t="n">
        <f aca="false">ROUND(CN126-CN58,1)</f>
        <v>0</v>
      </c>
      <c r="CO68" s="39" t="n">
        <f aca="false">ROUND(CO126-CO58,1)</f>
        <v>0</v>
      </c>
      <c r="CP68" s="40" t="n">
        <f aca="false">ROUND(CP126-CP58,1)</f>
        <v>0</v>
      </c>
      <c r="CQ68" s="40" t="n">
        <f aca="false">ROUND(CQ126-CQ58,1)</f>
        <v>0</v>
      </c>
      <c r="CR68" s="40" t="n">
        <f aca="false">ROUND(CR126-CR58,1)</f>
        <v>0</v>
      </c>
      <c r="CS68" s="40" t="n">
        <f aca="false">ROUND(CS126-CS58,1)</f>
        <v>0</v>
      </c>
      <c r="CT68" s="40" t="n">
        <f aca="false">ROUND(CT126-CT58,1)</f>
        <v>0</v>
      </c>
      <c r="CU68" s="24"/>
      <c r="CW68" s="6"/>
      <c r="CX68" s="6"/>
      <c r="CY68" s="6"/>
      <c r="CZ68" s="6"/>
    </row>
    <row r="69" customFormat="false" ht="15" hidden="false" customHeight="false" outlineLevel="0" collapsed="false">
      <c r="B69" s="15"/>
      <c r="CP69" s="6"/>
      <c r="CQ69" s="6"/>
      <c r="CR69" s="6"/>
      <c r="CS69" s="6"/>
      <c r="CT69" s="6"/>
      <c r="CU69" s="6"/>
    </row>
    <row r="70" customFormat="false" ht="15" hidden="false" customHeight="false" outlineLevel="0" collapsed="false">
      <c r="B70" s="11" t="s">
        <v>179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 t="s">
        <v>180</v>
      </c>
    </row>
    <row r="71" customFormat="false" ht="15" hidden="false" customHeight="false" outlineLevel="0" collapsed="false">
      <c r="B71" s="15" t="s">
        <v>181</v>
      </c>
      <c r="C71" s="50" t="n">
        <v>528.571</v>
      </c>
      <c r="D71" s="50" t="n">
        <v>535.794</v>
      </c>
      <c r="E71" s="50" t="n">
        <v>619.728</v>
      </c>
      <c r="F71" s="50" t="n">
        <v>615.352</v>
      </c>
      <c r="G71" s="50" t="n">
        <v>634.606</v>
      </c>
      <c r="H71" s="50" t="n">
        <v>713.093</v>
      </c>
      <c r="I71" s="50" t="n">
        <v>757.272</v>
      </c>
      <c r="J71" s="50" t="n">
        <v>195.179</v>
      </c>
      <c r="K71" s="50" t="n">
        <v>216.92</v>
      </c>
      <c r="L71" s="39" t="n">
        <f aca="false">J71+K71</f>
        <v>412.099</v>
      </c>
      <c r="M71" s="50" t="n">
        <v>223.977</v>
      </c>
      <c r="N71" s="50" t="n">
        <v>213.591</v>
      </c>
      <c r="O71" s="50" t="n">
        <v>849.667</v>
      </c>
      <c r="P71" s="50" t="n">
        <v>226.363</v>
      </c>
      <c r="Q71" s="50" t="n">
        <v>235.732</v>
      </c>
      <c r="R71" s="39" t="n">
        <f aca="false">P71+Q71</f>
        <v>462.095</v>
      </c>
      <c r="S71" s="50" t="n">
        <v>255.045</v>
      </c>
      <c r="T71" s="50" t="n">
        <v>241.273</v>
      </c>
      <c r="U71" s="50" t="n">
        <v>958.413</v>
      </c>
      <c r="V71" s="50" t="n">
        <v>246.597</v>
      </c>
      <c r="W71" s="50" t="n">
        <v>238.508</v>
      </c>
      <c r="X71" s="39" t="n">
        <f aca="false">V71+W71</f>
        <v>485.105</v>
      </c>
      <c r="Y71" s="50" t="n">
        <v>256.564</v>
      </c>
      <c r="Z71" s="50" t="n">
        <v>243.671</v>
      </c>
      <c r="AA71" s="50" t="n">
        <v>985.363</v>
      </c>
      <c r="AB71" s="50" t="n">
        <v>250.967</v>
      </c>
      <c r="AC71" s="50" t="n">
        <v>260.417</v>
      </c>
      <c r="AD71" s="39" t="n">
        <f aca="false">AB71+AC71</f>
        <v>511.384</v>
      </c>
      <c r="AE71" s="50" t="n">
        <v>303.507</v>
      </c>
      <c r="AF71" s="50" t="n">
        <v>289.488</v>
      </c>
      <c r="AG71" s="50" t="n">
        <v>1104.379</v>
      </c>
      <c r="AH71" s="50" t="n">
        <v>307.078</v>
      </c>
      <c r="AI71" s="50" t="n">
        <v>310.033</v>
      </c>
      <c r="AJ71" s="39" t="n">
        <f aca="false">AH71+AI71</f>
        <v>617.111</v>
      </c>
      <c r="AK71" s="50" t="n">
        <v>332.346</v>
      </c>
      <c r="AL71" s="50" t="n">
        <v>336.795</v>
      </c>
      <c r="AM71" s="50" t="n">
        <v>1286.252</v>
      </c>
      <c r="AN71" s="50" t="n">
        <v>374.125</v>
      </c>
      <c r="AO71" s="50" t="n">
        <v>401.954</v>
      </c>
      <c r="AP71" s="39" t="n">
        <f aca="false">AN71+AO71</f>
        <v>776.079</v>
      </c>
      <c r="AQ71" s="50" t="n">
        <v>410.762</v>
      </c>
      <c r="AR71" s="50" t="n">
        <v>391.661</v>
      </c>
      <c r="AS71" s="50" t="n">
        <v>1578.502</v>
      </c>
      <c r="AT71" s="50" t="n">
        <v>394.806</v>
      </c>
      <c r="AU71" s="50" t="n">
        <v>416.807</v>
      </c>
      <c r="AV71" s="39" t="n">
        <f aca="false">AT71+AU71</f>
        <v>811.613</v>
      </c>
      <c r="AW71" s="50" t="n">
        <v>473.682</v>
      </c>
      <c r="AX71" s="50" t="n">
        <v>470.399</v>
      </c>
      <c r="AY71" s="50" t="n">
        <v>1755.694</v>
      </c>
      <c r="AZ71" s="50" t="n">
        <v>487.856</v>
      </c>
      <c r="BA71" s="50" t="n">
        <v>510.034</v>
      </c>
      <c r="BB71" s="39" t="n">
        <f aca="false">AZ71+BA71</f>
        <v>997.89</v>
      </c>
      <c r="BC71" s="50" t="n">
        <v>491.582</v>
      </c>
      <c r="BD71" s="50" t="n">
        <v>457.668</v>
      </c>
      <c r="BE71" s="50" t="n">
        <v>1947.14</v>
      </c>
      <c r="BF71" s="50" t="n">
        <v>515.372</v>
      </c>
      <c r="BG71" s="50" t="n">
        <v>532.601</v>
      </c>
      <c r="BH71" s="39" t="n">
        <f aca="false">BF71+BG71</f>
        <v>1047.973</v>
      </c>
      <c r="BI71" s="50" t="n">
        <v>623.846</v>
      </c>
      <c r="BJ71" s="50" t="n">
        <v>620.048</v>
      </c>
      <c r="BK71" s="50" t="n">
        <v>2291.867</v>
      </c>
      <c r="BL71" s="50" t="n">
        <v>667.818</v>
      </c>
      <c r="BM71" s="50" t="n">
        <v>711.09</v>
      </c>
      <c r="BN71" s="39" t="n">
        <f aca="false">BL71+BM71</f>
        <v>1378.908</v>
      </c>
      <c r="BO71" s="50" t="n">
        <v>766.316</v>
      </c>
      <c r="BP71" s="50" t="n">
        <v>707.816</v>
      </c>
      <c r="BQ71" s="50" t="n">
        <v>2853.04</v>
      </c>
      <c r="BR71" s="50" t="n">
        <v>726.84</v>
      </c>
      <c r="BS71" s="50" t="n">
        <v>789.797</v>
      </c>
      <c r="BT71" s="39" t="n">
        <f aca="false">BR71+BS71</f>
        <v>1516.637</v>
      </c>
      <c r="BU71" s="50" t="n">
        <v>847.249</v>
      </c>
      <c r="BV71" s="50" t="n">
        <v>834.242</v>
      </c>
      <c r="BW71" s="50" t="n">
        <v>3198.128</v>
      </c>
      <c r="BX71" s="50" t="n">
        <v>859.536</v>
      </c>
      <c r="BY71" s="50" t="n">
        <v>861.745</v>
      </c>
      <c r="BZ71" s="39" t="n">
        <f aca="false">BX71+BY71</f>
        <v>1721.281</v>
      </c>
      <c r="CA71" s="50" t="n">
        <v>946.63</v>
      </c>
      <c r="CB71" s="50" t="n">
        <v>893.091</v>
      </c>
      <c r="CC71" s="50" t="n">
        <v>3561.002</v>
      </c>
      <c r="CD71" s="50" t="n">
        <v>986.336</v>
      </c>
      <c r="CE71" s="50" t="n">
        <v>991.281</v>
      </c>
      <c r="CF71" s="39" t="n">
        <f aca="false">CD71+CE71</f>
        <v>1977.617</v>
      </c>
      <c r="CG71" s="50" t="n">
        <v>1034.836</v>
      </c>
      <c r="CH71" s="50" t="n">
        <v>956.209</v>
      </c>
      <c r="CI71" s="50" t="n">
        <v>3968.662</v>
      </c>
      <c r="CJ71" s="50" t="n">
        <v>991.845</v>
      </c>
      <c r="CK71" s="50" t="n">
        <v>952.051</v>
      </c>
      <c r="CL71" s="39" t="n">
        <f aca="false">CJ71+CK71</f>
        <v>1943.896</v>
      </c>
      <c r="CM71" s="50" t="n">
        <v>1056.08</v>
      </c>
      <c r="CN71" s="50" t="n">
        <v>969.544</v>
      </c>
      <c r="CO71" s="50" t="n">
        <v>3969.52</v>
      </c>
      <c r="CP71" s="40" t="n">
        <f aca="false">CP40</f>
        <v>4159.4251555</v>
      </c>
      <c r="CQ71" s="40" t="n">
        <f aca="false">CQ40</f>
        <v>4414.190084247</v>
      </c>
      <c r="CR71" s="40" t="n">
        <f aca="false">CR40</f>
        <v>4700.8550337739</v>
      </c>
      <c r="CS71" s="40" t="n">
        <f aca="false">CS40</f>
        <v>5002.64644645957</v>
      </c>
      <c r="CT71" s="40" t="n">
        <f aca="false">CT40</f>
        <v>5324.0809674798</v>
      </c>
      <c r="CU71" s="24" t="s">
        <v>182</v>
      </c>
      <c r="CW71" s="25" t="n">
        <f aca="false">IFERROR((CT71/CO71)^(1/5)-1,"n/m")</f>
        <v>0.0604771894698724</v>
      </c>
      <c r="CX71" s="25" t="n">
        <f aca="false">IFERROR((CO71/BK71)^(1/5)-1,"n/m")</f>
        <v>0.116116983364201</v>
      </c>
      <c r="CY71" s="25" t="n">
        <f aca="false">IFERROR((CO71/AG71)^(1/10)-1,"n/m")</f>
        <v>0.136480492308612</v>
      </c>
      <c r="CZ71" s="25" t="n">
        <f aca="false">IFERROR((CO71/C71)^(1/20)-1,"n/m")</f>
        <v>0.106067758887267</v>
      </c>
    </row>
    <row r="72" customFormat="false" ht="15" hidden="false" customHeight="false" outlineLevel="0" collapsed="false">
      <c r="B72" s="15" t="s">
        <v>183</v>
      </c>
      <c r="C72" s="50" t="n">
        <v>0</v>
      </c>
      <c r="D72" s="50" t="n">
        <v>24.886</v>
      </c>
      <c r="E72" s="50" t="n">
        <v>165.12</v>
      </c>
      <c r="F72" s="50" t="n">
        <v>127.73</v>
      </c>
      <c r="G72" s="50" t="n">
        <v>138.273</v>
      </c>
      <c r="H72" s="50" t="n">
        <v>159.153</v>
      </c>
      <c r="I72" s="50" t="n">
        <v>166.919</v>
      </c>
      <c r="J72" s="50" t="n">
        <v>43.687</v>
      </c>
      <c r="K72" s="50" t="n">
        <v>49.265</v>
      </c>
      <c r="L72" s="39" t="n">
        <f aca="false">J72+K72</f>
        <v>92.952</v>
      </c>
      <c r="M72" s="50" t="n">
        <v>53.661</v>
      </c>
      <c r="N72" s="50" t="n">
        <v>50.106</v>
      </c>
      <c r="O72" s="50" t="n">
        <v>196.719</v>
      </c>
      <c r="P72" s="50" t="n">
        <v>53.52</v>
      </c>
      <c r="Q72" s="50" t="n">
        <v>50.702</v>
      </c>
      <c r="R72" s="39" t="n">
        <f aca="false">P72+Q72</f>
        <v>104.222</v>
      </c>
      <c r="S72" s="50" t="n">
        <v>54.677</v>
      </c>
      <c r="T72" s="50" t="n">
        <v>46.177</v>
      </c>
      <c r="U72" s="50" t="n">
        <v>205.076</v>
      </c>
      <c r="V72" s="50" t="n">
        <v>43.789</v>
      </c>
      <c r="W72" s="50" t="n">
        <v>37.75</v>
      </c>
      <c r="X72" s="39" t="n">
        <f aca="false">V72+W72</f>
        <v>81.539</v>
      </c>
      <c r="Y72" s="50" t="n">
        <v>40.578</v>
      </c>
      <c r="Z72" s="50" t="n">
        <v>38.622</v>
      </c>
      <c r="AA72" s="50" t="n">
        <v>160.716</v>
      </c>
      <c r="AB72" s="50" t="n">
        <v>37.871</v>
      </c>
      <c r="AC72" s="50" t="n">
        <v>39.289</v>
      </c>
      <c r="AD72" s="39" t="n">
        <f aca="false">AB72+AC72</f>
        <v>77.16</v>
      </c>
      <c r="AE72" s="50" t="n">
        <v>43.739</v>
      </c>
      <c r="AF72" s="50" t="n">
        <v>43.171</v>
      </c>
      <c r="AG72" s="50" t="n">
        <v>164.07</v>
      </c>
      <c r="AH72" s="50" t="n">
        <v>38.913</v>
      </c>
      <c r="AI72" s="50" t="n">
        <v>39.499</v>
      </c>
      <c r="AJ72" s="39" t="n">
        <f aca="false">AH72+AI72</f>
        <v>78.412</v>
      </c>
      <c r="AK72" s="50" t="n">
        <v>41.516</v>
      </c>
      <c r="AL72" s="50" t="n">
        <v>41.801</v>
      </c>
      <c r="AM72" s="50" t="n">
        <v>161.729</v>
      </c>
      <c r="AN72" s="50" t="n">
        <v>45.043</v>
      </c>
      <c r="AO72" s="50" t="n">
        <v>57.152</v>
      </c>
      <c r="AP72" s="39" t="n">
        <f aca="false">AN72+AO72</f>
        <v>102.195</v>
      </c>
      <c r="AQ72" s="50" t="n">
        <v>67.436</v>
      </c>
      <c r="AR72" s="50" t="n">
        <v>57.562</v>
      </c>
      <c r="AS72" s="50" t="n">
        <v>227.193</v>
      </c>
      <c r="AT72" s="50" t="n">
        <v>66.562</v>
      </c>
      <c r="AU72" s="50" t="n">
        <v>68.091</v>
      </c>
      <c r="AV72" s="39" t="n">
        <f aca="false">AT72+AU72</f>
        <v>134.653</v>
      </c>
      <c r="AW72" s="50" t="n">
        <v>79.434</v>
      </c>
      <c r="AX72" s="50" t="n">
        <v>72.176</v>
      </c>
      <c r="AY72" s="50" t="n">
        <v>286.263</v>
      </c>
      <c r="AZ72" s="50" t="n">
        <v>66.568</v>
      </c>
      <c r="BA72" s="50" t="n">
        <v>65.106</v>
      </c>
      <c r="BB72" s="39" t="n">
        <f aca="false">AZ72+BA72</f>
        <v>131.674</v>
      </c>
      <c r="BC72" s="50" t="n">
        <v>58.778</v>
      </c>
      <c r="BD72" s="50" t="n">
        <v>67.991</v>
      </c>
      <c r="BE72" s="50" t="n">
        <v>258.443</v>
      </c>
      <c r="BF72" s="50" t="n">
        <v>77.568</v>
      </c>
      <c r="BG72" s="50" t="n">
        <v>84.43</v>
      </c>
      <c r="BH72" s="39" t="n">
        <f aca="false">BF72+BG72</f>
        <v>161.998</v>
      </c>
      <c r="BI72" s="50" t="n">
        <v>110.064</v>
      </c>
      <c r="BJ72" s="50" t="n">
        <v>128.582</v>
      </c>
      <c r="BK72" s="50" t="n">
        <v>400.644</v>
      </c>
      <c r="BL72" s="50" t="n">
        <v>142.314</v>
      </c>
      <c r="BM72" s="50" t="n">
        <v>156.37</v>
      </c>
      <c r="BN72" s="39" t="n">
        <f aca="false">BL72+BM72</f>
        <v>298.684</v>
      </c>
      <c r="BO72" s="50" t="n">
        <v>173.625</v>
      </c>
      <c r="BP72" s="50" t="n">
        <v>175.572</v>
      </c>
      <c r="BQ72" s="50" t="n">
        <v>647.881</v>
      </c>
      <c r="BR72" s="50" t="n">
        <v>166.532</v>
      </c>
      <c r="BS72" s="50" t="n">
        <v>166.927</v>
      </c>
      <c r="BT72" s="39" t="n">
        <f aca="false">BR72+BS72</f>
        <v>333.459</v>
      </c>
      <c r="BU72" s="50" t="n">
        <v>174.582</v>
      </c>
      <c r="BV72" s="50" t="n">
        <v>163.349</v>
      </c>
      <c r="BW72" s="50" t="n">
        <v>671.39</v>
      </c>
      <c r="BX72" s="50" t="n">
        <v>160.88</v>
      </c>
      <c r="BY72" s="50" t="n">
        <v>158.404</v>
      </c>
      <c r="BZ72" s="39" t="n">
        <f aca="false">BX72+BY72</f>
        <v>319.284</v>
      </c>
      <c r="CA72" s="50" t="n">
        <v>180.629</v>
      </c>
      <c r="CB72" s="50" t="n">
        <v>175.908</v>
      </c>
      <c r="CC72" s="50" t="n">
        <v>675.821</v>
      </c>
      <c r="CD72" s="50" t="n">
        <v>160.493</v>
      </c>
      <c r="CE72" s="50" t="n">
        <v>172.035</v>
      </c>
      <c r="CF72" s="39" t="n">
        <f aca="false">CD72+CE72</f>
        <v>332.528</v>
      </c>
      <c r="CG72" s="50" t="n">
        <v>176.88</v>
      </c>
      <c r="CH72" s="50" t="n">
        <v>168.888</v>
      </c>
      <c r="CI72" s="50" t="n">
        <v>678.296</v>
      </c>
      <c r="CJ72" s="50" t="n">
        <v>163.185</v>
      </c>
      <c r="CK72" s="50" t="n">
        <v>169.623</v>
      </c>
      <c r="CL72" s="39" t="n">
        <f aca="false">CJ72+CK72</f>
        <v>332.808</v>
      </c>
      <c r="CM72" s="50" t="n">
        <v>180.986</v>
      </c>
      <c r="CN72" s="50" t="n">
        <v>182.895</v>
      </c>
      <c r="CO72" s="50" t="n">
        <v>696.689</v>
      </c>
      <c r="CP72" s="40" t="n">
        <f aca="false">CP41</f>
        <v>727.33202</v>
      </c>
      <c r="CQ72" s="40" t="n">
        <f aca="false">CQ41</f>
        <v>759.3395338</v>
      </c>
      <c r="CR72" s="40" t="n">
        <f aca="false">CR41</f>
        <v>792.773059802</v>
      </c>
      <c r="CS72" s="40" t="n">
        <f aca="false">CS41</f>
        <v>827.69692407658</v>
      </c>
      <c r="CT72" s="40" t="n">
        <f aca="false">CT41</f>
        <v>864.178390016268</v>
      </c>
      <c r="CU72" s="24"/>
      <c r="CW72" s="25" t="n">
        <f aca="false">IFERROR((CT72/CO72)^(1/5)-1,"n/m")</f>
        <v>0.044029787190432</v>
      </c>
      <c r="CX72" s="25" t="n">
        <f aca="false">IFERROR((CO72/BK72)^(1/5)-1,"n/m")</f>
        <v>0.117007430378073</v>
      </c>
      <c r="CY72" s="25" t="n">
        <f aca="false">IFERROR((CO72/AG72)^(1/10)-1,"n/m")</f>
        <v>0.155582556472953</v>
      </c>
      <c r="CZ72" s="25" t="str">
        <f aca="false">IFERROR((CO72/C72)^(1/20)-1,"n/m")</f>
        <v>n/m</v>
      </c>
    </row>
    <row r="73" customFormat="false" ht="15" hidden="false" customHeight="false" outlineLevel="0" collapsed="false">
      <c r="B73" s="41" t="s">
        <v>184</v>
      </c>
      <c r="C73" s="42" t="n">
        <f aca="false">C71+C72</f>
        <v>528.571</v>
      </c>
      <c r="D73" s="42" t="n">
        <f aca="false">D71+D72</f>
        <v>560.68</v>
      </c>
      <c r="E73" s="42" t="n">
        <f aca="false">E71+E72</f>
        <v>784.848</v>
      </c>
      <c r="F73" s="42" t="n">
        <f aca="false">F71+F72</f>
        <v>743.082</v>
      </c>
      <c r="G73" s="42" t="n">
        <f aca="false">G71+G72</f>
        <v>772.879</v>
      </c>
      <c r="H73" s="42" t="n">
        <f aca="false">H71+H72</f>
        <v>872.246</v>
      </c>
      <c r="I73" s="42" t="n">
        <f aca="false">I71+I72</f>
        <v>924.191</v>
      </c>
      <c r="J73" s="21" t="n">
        <f aca="false">J71+J72</f>
        <v>238.866</v>
      </c>
      <c r="K73" s="21" t="n">
        <f aca="false">K71+K72</f>
        <v>266.185</v>
      </c>
      <c r="L73" s="21" t="n">
        <f aca="false">L71+L72</f>
        <v>505.051</v>
      </c>
      <c r="M73" s="21" t="n">
        <f aca="false">M71+M72</f>
        <v>277.638</v>
      </c>
      <c r="N73" s="21" t="n">
        <f aca="false">N71+N72</f>
        <v>263.697</v>
      </c>
      <c r="O73" s="42" t="n">
        <f aca="false">O71+O72</f>
        <v>1046.386</v>
      </c>
      <c r="P73" s="21" t="n">
        <f aca="false">P71+P72</f>
        <v>279.883</v>
      </c>
      <c r="Q73" s="21" t="n">
        <f aca="false">Q71+Q72</f>
        <v>286.434</v>
      </c>
      <c r="R73" s="21" t="n">
        <f aca="false">R71+R72</f>
        <v>566.317</v>
      </c>
      <c r="S73" s="21" t="n">
        <f aca="false">S71+S72</f>
        <v>309.722</v>
      </c>
      <c r="T73" s="21" t="n">
        <f aca="false">T71+T72</f>
        <v>287.45</v>
      </c>
      <c r="U73" s="42" t="n">
        <f aca="false">U71+U72</f>
        <v>1163.489</v>
      </c>
      <c r="V73" s="21" t="n">
        <f aca="false">V71+V72</f>
        <v>290.386</v>
      </c>
      <c r="W73" s="21" t="n">
        <f aca="false">W71+W72</f>
        <v>276.258</v>
      </c>
      <c r="X73" s="21" t="n">
        <f aca="false">X71+X72</f>
        <v>566.644</v>
      </c>
      <c r="Y73" s="21" t="n">
        <f aca="false">Y71+Y72</f>
        <v>297.142</v>
      </c>
      <c r="Z73" s="21" t="n">
        <f aca="false">Z71+Z72</f>
        <v>282.293</v>
      </c>
      <c r="AA73" s="42" t="n">
        <f aca="false">AA71+AA72</f>
        <v>1146.079</v>
      </c>
      <c r="AB73" s="21" t="n">
        <f aca="false">AB71+AB72</f>
        <v>288.838</v>
      </c>
      <c r="AC73" s="21" t="n">
        <f aca="false">AC71+AC72</f>
        <v>299.706</v>
      </c>
      <c r="AD73" s="21" t="n">
        <f aca="false">AD71+AD72</f>
        <v>588.544</v>
      </c>
      <c r="AE73" s="21" t="n">
        <f aca="false">AE71+AE72</f>
        <v>347.246</v>
      </c>
      <c r="AF73" s="21" t="n">
        <f aca="false">AF71+AF72</f>
        <v>332.659</v>
      </c>
      <c r="AG73" s="42" t="n">
        <f aca="false">AG71+AG72</f>
        <v>1268.449</v>
      </c>
      <c r="AH73" s="21" t="n">
        <f aca="false">AH71+AH72</f>
        <v>345.991</v>
      </c>
      <c r="AI73" s="21" t="n">
        <f aca="false">AI71+AI72</f>
        <v>349.532</v>
      </c>
      <c r="AJ73" s="21" t="n">
        <f aca="false">AJ71+AJ72</f>
        <v>695.523</v>
      </c>
      <c r="AK73" s="21" t="n">
        <f aca="false">AK71+AK72</f>
        <v>373.862</v>
      </c>
      <c r="AL73" s="21" t="n">
        <f aca="false">AL71+AL72</f>
        <v>378.596</v>
      </c>
      <c r="AM73" s="42" t="n">
        <f aca="false">AM71+AM72</f>
        <v>1447.981</v>
      </c>
      <c r="AN73" s="21" t="n">
        <f aca="false">AN71+AN72</f>
        <v>419.168</v>
      </c>
      <c r="AO73" s="21" t="n">
        <f aca="false">AO71+AO72</f>
        <v>459.106</v>
      </c>
      <c r="AP73" s="21" t="n">
        <f aca="false">AP71+AP72</f>
        <v>878.274</v>
      </c>
      <c r="AQ73" s="21" t="n">
        <f aca="false">AQ71+AQ72</f>
        <v>478.198</v>
      </c>
      <c r="AR73" s="21" t="n">
        <f aca="false">AR71+AR72</f>
        <v>449.223</v>
      </c>
      <c r="AS73" s="42" t="n">
        <f aca="false">AS71+AS72</f>
        <v>1805.695</v>
      </c>
      <c r="AT73" s="21" t="n">
        <f aca="false">AT71+AT72</f>
        <v>461.368</v>
      </c>
      <c r="AU73" s="21" t="n">
        <f aca="false">AU71+AU72</f>
        <v>484.898</v>
      </c>
      <c r="AV73" s="21" t="n">
        <f aca="false">AV71+AV72</f>
        <v>946.266</v>
      </c>
      <c r="AW73" s="21" t="n">
        <f aca="false">AW71+AW72</f>
        <v>553.116</v>
      </c>
      <c r="AX73" s="21" t="n">
        <f aca="false">AX71+AX72</f>
        <v>542.575</v>
      </c>
      <c r="AY73" s="42" t="n">
        <f aca="false">AY71+AY72</f>
        <v>2041.957</v>
      </c>
      <c r="AZ73" s="21" t="n">
        <f aca="false">AZ71+AZ72</f>
        <v>554.424</v>
      </c>
      <c r="BA73" s="21" t="n">
        <f aca="false">BA71+BA72</f>
        <v>575.14</v>
      </c>
      <c r="BB73" s="21" t="n">
        <f aca="false">BB71+BB72</f>
        <v>1129.564</v>
      </c>
      <c r="BC73" s="21" t="n">
        <f aca="false">BC71+BC72</f>
        <v>550.36</v>
      </c>
      <c r="BD73" s="21" t="n">
        <f aca="false">BD71+BD72</f>
        <v>525.659</v>
      </c>
      <c r="BE73" s="42" t="n">
        <f aca="false">BE71+BE72</f>
        <v>2205.583</v>
      </c>
      <c r="BF73" s="21" t="n">
        <f aca="false">BF71+BF72</f>
        <v>592.94</v>
      </c>
      <c r="BG73" s="21" t="n">
        <f aca="false">BG71+BG72</f>
        <v>617.031</v>
      </c>
      <c r="BH73" s="21" t="n">
        <f aca="false">BH71+BH72</f>
        <v>1209.971</v>
      </c>
      <c r="BI73" s="21" t="n">
        <f aca="false">BI71+BI72</f>
        <v>733.91</v>
      </c>
      <c r="BJ73" s="21" t="n">
        <f aca="false">BJ71+BJ72</f>
        <v>748.63</v>
      </c>
      <c r="BK73" s="42" t="n">
        <f aca="false">BK71+BK72</f>
        <v>2692.511</v>
      </c>
      <c r="BL73" s="21" t="n">
        <f aca="false">BL71+BL72</f>
        <v>810.132</v>
      </c>
      <c r="BM73" s="21" t="n">
        <f aca="false">BM71+BM72</f>
        <v>867.46</v>
      </c>
      <c r="BN73" s="21" t="n">
        <f aca="false">BN71+BN72</f>
        <v>1677.592</v>
      </c>
      <c r="BO73" s="21" t="n">
        <f aca="false">BO71+BO72</f>
        <v>939.941</v>
      </c>
      <c r="BP73" s="21" t="n">
        <f aca="false">BP71+BP72</f>
        <v>883.388</v>
      </c>
      <c r="BQ73" s="42" t="n">
        <f aca="false">BQ71+BQ72</f>
        <v>3500.921</v>
      </c>
      <c r="BR73" s="21" t="n">
        <f aca="false">BR71+BR72</f>
        <v>893.372</v>
      </c>
      <c r="BS73" s="21" t="n">
        <f aca="false">BS71+BS72</f>
        <v>956.724</v>
      </c>
      <c r="BT73" s="21" t="n">
        <f aca="false">BT71+BT72</f>
        <v>1850.096</v>
      </c>
      <c r="BU73" s="21" t="n">
        <f aca="false">BU71+BU72</f>
        <v>1021.831</v>
      </c>
      <c r="BV73" s="21" t="n">
        <f aca="false">BV71+BV72</f>
        <v>997.591</v>
      </c>
      <c r="BW73" s="42" t="n">
        <f aca="false">BW71+BW72</f>
        <v>3869.518</v>
      </c>
      <c r="BX73" s="21" t="n">
        <f aca="false">BX71+BX72</f>
        <v>1020.416</v>
      </c>
      <c r="BY73" s="21" t="n">
        <f aca="false">BY71+BY72</f>
        <v>1020.149</v>
      </c>
      <c r="BZ73" s="21" t="n">
        <f aca="false">BZ71+BZ72</f>
        <v>2040.565</v>
      </c>
      <c r="CA73" s="21" t="n">
        <f aca="false">CA71+CA72</f>
        <v>1127.259</v>
      </c>
      <c r="CB73" s="21" t="n">
        <f aca="false">CB71+CB72</f>
        <v>1068.999</v>
      </c>
      <c r="CC73" s="42" t="n">
        <f aca="false">CC71+CC72</f>
        <v>4236.823</v>
      </c>
      <c r="CD73" s="21" t="n">
        <f aca="false">CD71+CD72</f>
        <v>1146.829</v>
      </c>
      <c r="CE73" s="21" t="n">
        <f aca="false">CE71+CE72</f>
        <v>1163.316</v>
      </c>
      <c r="CF73" s="21" t="n">
        <f aca="false">CF71+CF72</f>
        <v>2310.145</v>
      </c>
      <c r="CG73" s="21" t="n">
        <f aca="false">CG71+CG72</f>
        <v>1211.716</v>
      </c>
      <c r="CH73" s="21" t="n">
        <f aca="false">CH71+CH72</f>
        <v>1125.097</v>
      </c>
      <c r="CI73" s="42" t="n">
        <f aca="false">CI71+CI72</f>
        <v>4646.958</v>
      </c>
      <c r="CJ73" s="21" t="n">
        <f aca="false">CJ71+CJ72</f>
        <v>1155.03</v>
      </c>
      <c r="CK73" s="21" t="n">
        <f aca="false">CK71+CK72</f>
        <v>1121.674</v>
      </c>
      <c r="CL73" s="21" t="n">
        <f aca="false">CL71+CL72</f>
        <v>2276.704</v>
      </c>
      <c r="CM73" s="21" t="n">
        <f aca="false">CM71+CM72</f>
        <v>1237.066</v>
      </c>
      <c r="CN73" s="21" t="n">
        <f aca="false">CN71+CN72</f>
        <v>1152.439</v>
      </c>
      <c r="CO73" s="42" t="n">
        <f aca="false">CO71+CO72</f>
        <v>4666.209</v>
      </c>
      <c r="CP73" s="42" t="n">
        <f aca="false">CP71+CP72</f>
        <v>4886.7571755</v>
      </c>
      <c r="CQ73" s="42" t="n">
        <f aca="false">CQ71+CQ72</f>
        <v>5173.529618047</v>
      </c>
      <c r="CR73" s="42" t="n">
        <f aca="false">CR71+CR72</f>
        <v>5493.6280935759</v>
      </c>
      <c r="CS73" s="42" t="n">
        <f aca="false">CS71+CS72</f>
        <v>5830.34337053615</v>
      </c>
      <c r="CT73" s="42" t="n">
        <f aca="false">CT71+CT72</f>
        <v>6188.25935749607</v>
      </c>
      <c r="CU73" s="24"/>
      <c r="CW73" s="25" t="n">
        <f aca="false">IFERROR((CT73/CO73)^(1/5)-1,"n/m")</f>
        <v>0.0580857465281293</v>
      </c>
      <c r="CX73" s="25" t="n">
        <f aca="false">IFERROR((CO73/BK73)^(1/5)-1,"n/m")</f>
        <v>0.116249661375315</v>
      </c>
      <c r="CY73" s="25" t="n">
        <f aca="false">IFERROR((CO73/AG73)^(1/10)-1,"n/m")</f>
        <v>0.139119057437913</v>
      </c>
      <c r="CZ73" s="25" t="n">
        <f aca="false">IFERROR((CO73/C73)^(1/20)-1,"n/m")</f>
        <v>0.115046664099074</v>
      </c>
    </row>
    <row r="74" customFormat="false" ht="15" hidden="false" customHeight="false" outlineLevel="0" collapsed="false">
      <c r="B74" s="15" t="s">
        <v>185</v>
      </c>
      <c r="C74" s="50" t="n">
        <v>298.023</v>
      </c>
      <c r="D74" s="50" t="n">
        <v>271.523</v>
      </c>
      <c r="E74" s="50" t="n">
        <v>328.919</v>
      </c>
      <c r="F74" s="50" t="n">
        <v>324.793</v>
      </c>
      <c r="G74" s="50" t="n">
        <v>320.212</v>
      </c>
      <c r="H74" s="50" t="n">
        <v>374.149</v>
      </c>
      <c r="I74" s="50" t="n">
        <v>377.604</v>
      </c>
      <c r="J74" s="50" t="n">
        <v>97.119</v>
      </c>
      <c r="K74" s="50" t="n">
        <v>127.164</v>
      </c>
      <c r="L74" s="39" t="n">
        <f aca="false">J74+K74</f>
        <v>224.283</v>
      </c>
      <c r="M74" s="50" t="n">
        <v>116.41</v>
      </c>
      <c r="N74" s="50" t="n">
        <v>117.535</v>
      </c>
      <c r="O74" s="50" t="n">
        <v>458.228</v>
      </c>
      <c r="P74" s="50" t="n">
        <v>125.956</v>
      </c>
      <c r="Q74" s="50" t="n">
        <v>131.246</v>
      </c>
      <c r="R74" s="39" t="n">
        <f aca="false">P74+Q74</f>
        <v>257.202</v>
      </c>
      <c r="S74" s="50" t="n">
        <v>131.207</v>
      </c>
      <c r="T74" s="50" t="n">
        <v>132.014</v>
      </c>
      <c r="U74" s="50" t="n">
        <v>520.423</v>
      </c>
      <c r="V74" s="50" t="n">
        <v>131.005</v>
      </c>
      <c r="W74" s="50" t="n">
        <v>129.273</v>
      </c>
      <c r="X74" s="39" t="n">
        <f aca="false">V74+W74</f>
        <v>260.278</v>
      </c>
      <c r="Y74" s="50" t="n">
        <v>135.222</v>
      </c>
      <c r="Z74" s="50" t="n">
        <v>130.791</v>
      </c>
      <c r="AA74" s="50" t="n">
        <v>526.291</v>
      </c>
      <c r="AB74" s="50" t="n">
        <v>135.909</v>
      </c>
      <c r="AC74" s="50" t="n">
        <v>140.965</v>
      </c>
      <c r="AD74" s="39" t="n">
        <f aca="false">AB74+AC74</f>
        <v>276.874</v>
      </c>
      <c r="AE74" s="50" t="n">
        <v>151.855</v>
      </c>
      <c r="AF74" s="50" t="n">
        <v>154.175</v>
      </c>
      <c r="AG74" s="50" t="n">
        <v>582.904</v>
      </c>
      <c r="AH74" s="50" t="n">
        <v>167.611</v>
      </c>
      <c r="AI74" s="50" t="n">
        <v>169.081</v>
      </c>
      <c r="AJ74" s="39" t="n">
        <f aca="false">AH74+AI74</f>
        <v>336.692</v>
      </c>
      <c r="AK74" s="50" t="n">
        <v>166.572</v>
      </c>
      <c r="AL74" s="50" t="n">
        <v>175.137</v>
      </c>
      <c r="AM74" s="50" t="n">
        <v>678.401</v>
      </c>
      <c r="AN74" s="50" t="n">
        <v>217.607</v>
      </c>
      <c r="AO74" s="50" t="n">
        <v>217.184</v>
      </c>
      <c r="AP74" s="39" t="n">
        <f aca="false">AN74+AO74</f>
        <v>434.791</v>
      </c>
      <c r="AQ74" s="50" t="n">
        <v>201.592</v>
      </c>
      <c r="AR74" s="50" t="n">
        <v>210.485</v>
      </c>
      <c r="AS74" s="50" t="n">
        <v>846.868</v>
      </c>
      <c r="AT74" s="50" t="n">
        <v>207.694</v>
      </c>
      <c r="AU74" s="50" t="n">
        <v>215.46</v>
      </c>
      <c r="AV74" s="39" t="n">
        <f aca="false">AT74+AU74</f>
        <v>423.154</v>
      </c>
      <c r="AW74" s="50" t="n">
        <v>230.553</v>
      </c>
      <c r="AX74" s="50" t="n">
        <v>234.404</v>
      </c>
      <c r="AY74" s="50" t="n">
        <v>888.111</v>
      </c>
      <c r="AZ74" s="50" t="n">
        <v>240.791</v>
      </c>
      <c r="BA74" s="50" t="n">
        <v>257.351</v>
      </c>
      <c r="BB74" s="39" t="n">
        <f aca="false">AZ74+BA74</f>
        <v>498.142</v>
      </c>
      <c r="BC74" s="50" t="n">
        <v>253.76</v>
      </c>
      <c r="BD74" s="50" t="n">
        <v>220.585</v>
      </c>
      <c r="BE74" s="50" t="n">
        <v>972.487</v>
      </c>
      <c r="BF74" s="50" t="n">
        <v>231.811</v>
      </c>
      <c r="BG74" s="50" t="n">
        <v>235.904</v>
      </c>
      <c r="BH74" s="39" t="n">
        <f aca="false">BF74+BG74</f>
        <v>467.715</v>
      </c>
      <c r="BI74" s="50" t="n">
        <v>258.071</v>
      </c>
      <c r="BJ74" s="50" t="n">
        <v>277.506</v>
      </c>
      <c r="BK74" s="50" t="n">
        <v>1003.292</v>
      </c>
      <c r="BL74" s="50" t="n">
        <v>298.694</v>
      </c>
      <c r="BM74" s="50" t="n">
        <v>323.814</v>
      </c>
      <c r="BN74" s="39" t="n">
        <f aca="false">BL74+BM74</f>
        <v>622.508</v>
      </c>
      <c r="BO74" s="50" t="n">
        <v>346.428</v>
      </c>
      <c r="BP74" s="50" t="n">
        <v>340.561</v>
      </c>
      <c r="BQ74" s="50" t="n">
        <v>1309.497</v>
      </c>
      <c r="BR74" s="50" t="n">
        <v>372.777</v>
      </c>
      <c r="BS74" s="50" t="n">
        <v>375.497</v>
      </c>
      <c r="BT74" s="39" t="n">
        <f aca="false">BR74+BS74</f>
        <v>748.274</v>
      </c>
      <c r="BU74" s="50" t="n">
        <v>378.958</v>
      </c>
      <c r="BV74" s="50" t="n">
        <v>390.797</v>
      </c>
      <c r="BW74" s="50" t="n">
        <v>1518.029</v>
      </c>
      <c r="BX74" s="50" t="n">
        <v>408.501</v>
      </c>
      <c r="BY74" s="50" t="n">
        <v>409.178</v>
      </c>
      <c r="BZ74" s="39" t="n">
        <f aca="false">BX74+BY74</f>
        <v>817.679</v>
      </c>
      <c r="CA74" s="50" t="n">
        <v>438.873</v>
      </c>
      <c r="CB74" s="50" t="n">
        <v>453.532</v>
      </c>
      <c r="CC74" s="50" t="n">
        <v>1710.084</v>
      </c>
      <c r="CD74" s="50" t="n">
        <v>496.546</v>
      </c>
      <c r="CE74" s="50" t="n">
        <v>490.056</v>
      </c>
      <c r="CF74" s="39" t="n">
        <f aca="false">CD74+CE74</f>
        <v>986.602</v>
      </c>
      <c r="CG74" s="50" t="n">
        <v>489.735</v>
      </c>
      <c r="CH74" s="50" t="n">
        <v>467.981</v>
      </c>
      <c r="CI74" s="50" t="n">
        <v>1944.318</v>
      </c>
      <c r="CJ74" s="50" t="n">
        <v>476.489</v>
      </c>
      <c r="CK74" s="50" t="n">
        <v>478.43</v>
      </c>
      <c r="CL74" s="39" t="n">
        <f aca="false">CJ74+CK74</f>
        <v>954.919</v>
      </c>
      <c r="CM74" s="50" t="n">
        <v>504.19</v>
      </c>
      <c r="CN74" s="50" t="n">
        <v>506.779</v>
      </c>
      <c r="CO74" s="50" t="n">
        <v>1965.888</v>
      </c>
      <c r="CP74" s="40" t="n">
        <f aca="false">CP71*CP51</f>
        <v>2058.9154519725</v>
      </c>
      <c r="CQ74" s="40" t="n">
        <f aca="false">CQ71*CQ51</f>
        <v>2185.02409170226</v>
      </c>
      <c r="CR74" s="40" t="n">
        <f aca="false">CR71*CR51</f>
        <v>2326.92324171808</v>
      </c>
      <c r="CS74" s="40" t="n">
        <f aca="false">CS71*CS51</f>
        <v>2476.30999099749</v>
      </c>
      <c r="CT74" s="40" t="n">
        <f aca="false">CT71*CT51</f>
        <v>2635.4200789025</v>
      </c>
      <c r="CU74" s="24" t="s">
        <v>186</v>
      </c>
      <c r="CW74" s="25"/>
      <c r="CX74" s="25"/>
      <c r="CY74" s="25"/>
      <c r="CZ74" s="25"/>
    </row>
    <row r="75" customFormat="false" ht="15" hidden="false" customHeight="false" outlineLevel="0" collapsed="false">
      <c r="B75" s="15" t="s">
        <v>187</v>
      </c>
      <c r="C75" s="50" t="n">
        <v>0</v>
      </c>
      <c r="D75" s="50" t="n">
        <v>22.375</v>
      </c>
      <c r="E75" s="50" t="n">
        <v>133.67</v>
      </c>
      <c r="F75" s="50" t="n">
        <v>106.029</v>
      </c>
      <c r="G75" s="50" t="n">
        <v>104.673</v>
      </c>
      <c r="H75" s="50" t="n">
        <v>125.202</v>
      </c>
      <c r="I75" s="50" t="n">
        <v>136.971</v>
      </c>
      <c r="J75" s="50" t="n">
        <v>36.311</v>
      </c>
      <c r="K75" s="50" t="n">
        <v>42.204</v>
      </c>
      <c r="L75" s="39" t="n">
        <f aca="false">J75+K75</f>
        <v>78.515</v>
      </c>
      <c r="M75" s="50" t="n">
        <v>45.631</v>
      </c>
      <c r="N75" s="50" t="n">
        <v>43.09</v>
      </c>
      <c r="O75" s="50" t="n">
        <v>167.236</v>
      </c>
      <c r="P75" s="50" t="n">
        <v>46.091</v>
      </c>
      <c r="Q75" s="50" t="n">
        <v>43.642</v>
      </c>
      <c r="R75" s="39" t="n">
        <f aca="false">P75+Q75</f>
        <v>89.733</v>
      </c>
      <c r="S75" s="50" t="n">
        <v>46.263</v>
      </c>
      <c r="T75" s="50" t="n">
        <v>38.497</v>
      </c>
      <c r="U75" s="50" t="n">
        <v>174.493</v>
      </c>
      <c r="V75" s="50" t="n">
        <v>37.073</v>
      </c>
      <c r="W75" s="50" t="n">
        <v>32.118</v>
      </c>
      <c r="X75" s="39" t="n">
        <f aca="false">V75+W75</f>
        <v>69.191</v>
      </c>
      <c r="Y75" s="50" t="n">
        <v>34.503</v>
      </c>
      <c r="Z75" s="50" t="n">
        <v>32.718</v>
      </c>
      <c r="AA75" s="50" t="n">
        <v>136.412</v>
      </c>
      <c r="AB75" s="50" t="n">
        <v>32.068</v>
      </c>
      <c r="AC75" s="50" t="n">
        <v>34.127</v>
      </c>
      <c r="AD75" s="39" t="n">
        <f aca="false">AB75+AC75</f>
        <v>66.195</v>
      </c>
      <c r="AE75" s="50" t="n">
        <v>37.744</v>
      </c>
      <c r="AF75" s="50" t="n">
        <v>37.02</v>
      </c>
      <c r="AG75" s="50" t="n">
        <v>140.959</v>
      </c>
      <c r="AH75" s="50" t="n">
        <v>33.087</v>
      </c>
      <c r="AI75" s="50" t="n">
        <v>33.686</v>
      </c>
      <c r="AJ75" s="39" t="n">
        <f aca="false">AH75+AI75</f>
        <v>66.773</v>
      </c>
      <c r="AK75" s="50" t="n">
        <v>34.785</v>
      </c>
      <c r="AL75" s="50" t="n">
        <v>35.994</v>
      </c>
      <c r="AM75" s="50" t="n">
        <v>137.552</v>
      </c>
      <c r="AN75" s="50" t="n">
        <v>38.297</v>
      </c>
      <c r="AO75" s="50" t="n">
        <v>50.313</v>
      </c>
      <c r="AP75" s="39" t="n">
        <f aca="false">AN75+AO75</f>
        <v>88.61</v>
      </c>
      <c r="AQ75" s="50" t="n">
        <v>57.538</v>
      </c>
      <c r="AR75" s="50" t="n">
        <v>50.313</v>
      </c>
      <c r="AS75" s="50" t="n">
        <v>196.461</v>
      </c>
      <c r="AT75" s="50" t="n">
        <v>57.756</v>
      </c>
      <c r="AU75" s="50" t="n">
        <v>61.212</v>
      </c>
      <c r="AV75" s="39" t="n">
        <f aca="false">AT75+AU75</f>
        <v>118.968</v>
      </c>
      <c r="AW75" s="50" t="n">
        <v>70.984</v>
      </c>
      <c r="AX75" s="50" t="n">
        <v>65.552</v>
      </c>
      <c r="AY75" s="50" t="n">
        <v>255.504</v>
      </c>
      <c r="AZ75" s="50" t="n">
        <v>58.764</v>
      </c>
      <c r="BA75" s="50" t="n">
        <v>57.9</v>
      </c>
      <c r="BB75" s="39" t="n">
        <f aca="false">AZ75+BA75</f>
        <v>116.664</v>
      </c>
      <c r="BC75" s="50" t="n">
        <v>53.987</v>
      </c>
      <c r="BD75" s="50" t="n">
        <v>54.643</v>
      </c>
      <c r="BE75" s="50" t="n">
        <v>225.294</v>
      </c>
      <c r="BF75" s="50" t="n">
        <v>64.36</v>
      </c>
      <c r="BG75" s="50" t="n">
        <v>73.629</v>
      </c>
      <c r="BH75" s="39" t="n">
        <f aca="false">BF75+BG75</f>
        <v>137.989</v>
      </c>
      <c r="BI75" s="50" t="n">
        <v>94.498</v>
      </c>
      <c r="BJ75" s="50" t="n">
        <v>113.641</v>
      </c>
      <c r="BK75" s="50" t="n">
        <v>346.128</v>
      </c>
      <c r="BL75" s="50" t="n">
        <v>126.408</v>
      </c>
      <c r="BM75" s="50" t="n">
        <v>140.304</v>
      </c>
      <c r="BN75" s="39" t="n">
        <f aca="false">BL75+BM75</f>
        <v>266.712</v>
      </c>
      <c r="BO75" s="50" t="n">
        <v>157.236</v>
      </c>
      <c r="BP75" s="50" t="n">
        <v>161.255</v>
      </c>
      <c r="BQ75" s="50" t="n">
        <v>585.203</v>
      </c>
      <c r="BR75" s="50" t="n">
        <v>151.112</v>
      </c>
      <c r="BS75" s="50" t="n">
        <v>154.727</v>
      </c>
      <c r="BT75" s="39" t="n">
        <f aca="false">BR75+BS75</f>
        <v>305.839</v>
      </c>
      <c r="BU75" s="50" t="n">
        <v>159.443</v>
      </c>
      <c r="BV75" s="50" t="n">
        <v>149.216</v>
      </c>
      <c r="BW75" s="50" t="n">
        <v>614.498</v>
      </c>
      <c r="BX75" s="50" t="n">
        <v>147.896</v>
      </c>
      <c r="BY75" s="50" t="n">
        <v>146.819</v>
      </c>
      <c r="BZ75" s="39" t="n">
        <f aca="false">BX75+BY75</f>
        <v>294.715</v>
      </c>
      <c r="CA75" s="50" t="n">
        <v>162.881</v>
      </c>
      <c r="CB75" s="50" t="n">
        <v>161.891</v>
      </c>
      <c r="CC75" s="50" t="n">
        <v>619.487</v>
      </c>
      <c r="CD75" s="50" t="n">
        <v>138.178</v>
      </c>
      <c r="CE75" s="50" t="n">
        <v>147.707</v>
      </c>
      <c r="CF75" s="39" t="n">
        <f aca="false">CD75+CE75</f>
        <v>285.885</v>
      </c>
      <c r="CG75" s="50" t="n">
        <v>169.714</v>
      </c>
      <c r="CH75" s="50" t="n">
        <v>147.398</v>
      </c>
      <c r="CI75" s="50" t="n">
        <v>602.997</v>
      </c>
      <c r="CJ75" s="50" t="n">
        <v>141.543</v>
      </c>
      <c r="CK75" s="50" t="n">
        <v>150.432</v>
      </c>
      <c r="CL75" s="39" t="n">
        <f aca="false">CJ75+CK75</f>
        <v>291.975</v>
      </c>
      <c r="CM75" s="50" t="n">
        <v>160.277</v>
      </c>
      <c r="CN75" s="50" t="n">
        <v>164.211</v>
      </c>
      <c r="CO75" s="50" t="n">
        <v>616.463</v>
      </c>
      <c r="CP75" s="40" t="n">
        <f aca="false">CP72*(1-CP48)</f>
        <v>643.6888377</v>
      </c>
      <c r="CQ75" s="40" t="n">
        <f aca="false">CQ72*(1-CQ48)</f>
        <v>672.015487413</v>
      </c>
      <c r="CR75" s="40" t="n">
        <f aca="false">CR72*(1-CR48)</f>
        <v>701.60415792477</v>
      </c>
      <c r="CS75" s="40" t="n">
        <f aca="false">CS72*(1-CS48)</f>
        <v>732.511777807773</v>
      </c>
      <c r="CT75" s="40" t="n">
        <f aca="false">CT72*(1-CT48)</f>
        <v>764.797875164397</v>
      </c>
      <c r="CU75" s="24" t="s">
        <v>188</v>
      </c>
      <c r="CW75" s="25"/>
      <c r="CX75" s="25"/>
      <c r="CY75" s="25"/>
      <c r="CZ75" s="25"/>
    </row>
    <row r="76" customFormat="false" ht="15" hidden="false" customHeight="false" outlineLevel="0" collapsed="false">
      <c r="B76" s="20" t="s">
        <v>189</v>
      </c>
      <c r="C76" s="21" t="n">
        <f aca="false">C73-C74-C75</f>
        <v>230.548</v>
      </c>
      <c r="D76" s="21" t="n">
        <f aca="false">D73-D74-D75</f>
        <v>266.782</v>
      </c>
      <c r="E76" s="21" t="n">
        <f aca="false">E73-E74-E75</f>
        <v>322.259</v>
      </c>
      <c r="F76" s="21" t="n">
        <f aca="false">F73-F74-F75</f>
        <v>312.26</v>
      </c>
      <c r="G76" s="21" t="n">
        <f aca="false">G73-G74-G75</f>
        <v>347.994</v>
      </c>
      <c r="H76" s="21" t="n">
        <f aca="false">H73-H74-H75</f>
        <v>372.895</v>
      </c>
      <c r="I76" s="21" t="n">
        <f aca="false">I73-I74-I75</f>
        <v>409.616</v>
      </c>
      <c r="J76" s="21" t="n">
        <f aca="false">J73-J74-J75</f>
        <v>105.436</v>
      </c>
      <c r="K76" s="21" t="n">
        <f aca="false">K73-K74-K75</f>
        <v>96.817</v>
      </c>
      <c r="L76" s="21" t="n">
        <f aca="false">L73-L74-L75</f>
        <v>202.253</v>
      </c>
      <c r="M76" s="21" t="n">
        <f aca="false">M73-M74-M75</f>
        <v>115.597</v>
      </c>
      <c r="N76" s="21" t="n">
        <f aca="false">N73-N74-N75</f>
        <v>103.072</v>
      </c>
      <c r="O76" s="21" t="n">
        <f aca="false">O73-O74-O75</f>
        <v>420.922</v>
      </c>
      <c r="P76" s="21" t="n">
        <f aca="false">P73-P74-P75</f>
        <v>107.836</v>
      </c>
      <c r="Q76" s="21" t="n">
        <f aca="false">Q73-Q74-Q75</f>
        <v>111.546</v>
      </c>
      <c r="R76" s="21" t="n">
        <f aca="false">R73-R74-R75</f>
        <v>219.382</v>
      </c>
      <c r="S76" s="21" t="n">
        <f aca="false">S73-S74-S75</f>
        <v>132.252</v>
      </c>
      <c r="T76" s="21" t="n">
        <f aca="false">T73-T74-T75</f>
        <v>116.939</v>
      </c>
      <c r="U76" s="21" t="n">
        <f aca="false">U73-U74-U75</f>
        <v>468.573</v>
      </c>
      <c r="V76" s="21" t="n">
        <f aca="false">V73-V74-V75</f>
        <v>122.308</v>
      </c>
      <c r="W76" s="21" t="n">
        <f aca="false">W73-W74-W75</f>
        <v>114.867</v>
      </c>
      <c r="X76" s="21" t="n">
        <f aca="false">X73-X74-X75</f>
        <v>237.175</v>
      </c>
      <c r="Y76" s="21" t="n">
        <f aca="false">Y73-Y74-Y75</f>
        <v>127.417</v>
      </c>
      <c r="Z76" s="21" t="n">
        <f aca="false">Z73-Z74-Z75</f>
        <v>118.784</v>
      </c>
      <c r="AA76" s="21" t="n">
        <f aca="false">AA73-AA74-AA75</f>
        <v>483.376</v>
      </c>
      <c r="AB76" s="21" t="n">
        <f aca="false">AB73-AB74-AB75</f>
        <v>120.861</v>
      </c>
      <c r="AC76" s="21" t="n">
        <f aca="false">AC73-AC74-AC75</f>
        <v>124.614</v>
      </c>
      <c r="AD76" s="21" t="n">
        <f aca="false">AD73-AD74-AD75</f>
        <v>245.475</v>
      </c>
      <c r="AE76" s="21" t="n">
        <f aca="false">AE73-AE74-AE75</f>
        <v>157.647</v>
      </c>
      <c r="AF76" s="21" t="n">
        <f aca="false">AF73-AF74-AF75</f>
        <v>141.464</v>
      </c>
      <c r="AG76" s="21" t="n">
        <f aca="false">AG73-AG74-AG75</f>
        <v>544.586</v>
      </c>
      <c r="AH76" s="21" t="n">
        <f aca="false">AH73-AH74-AH75</f>
        <v>145.293</v>
      </c>
      <c r="AI76" s="21" t="n">
        <f aca="false">AI73-AI74-AI75</f>
        <v>146.765</v>
      </c>
      <c r="AJ76" s="21" t="n">
        <f aca="false">AJ73-AJ74-AJ75</f>
        <v>292.058</v>
      </c>
      <c r="AK76" s="21" t="n">
        <f aca="false">AK73-AK74-AK75</f>
        <v>172.505</v>
      </c>
      <c r="AL76" s="21" t="n">
        <f aca="false">AL73-AL74-AL75</f>
        <v>167.465</v>
      </c>
      <c r="AM76" s="21" t="n">
        <f aca="false">AM73-AM74-AM75</f>
        <v>632.028</v>
      </c>
      <c r="AN76" s="21" t="n">
        <f aca="false">AN73-AN74-AN75</f>
        <v>163.264</v>
      </c>
      <c r="AO76" s="21" t="n">
        <f aca="false">AO73-AO74-AO75</f>
        <v>191.609</v>
      </c>
      <c r="AP76" s="21" t="n">
        <f aca="false">AP73-AP74-AP75</f>
        <v>354.873</v>
      </c>
      <c r="AQ76" s="21" t="n">
        <f aca="false">AQ73-AQ74-AQ75</f>
        <v>219.068</v>
      </c>
      <c r="AR76" s="21" t="n">
        <f aca="false">AR73-AR74-AR75</f>
        <v>188.425</v>
      </c>
      <c r="AS76" s="21" t="n">
        <f aca="false">AS73-AS74-AS75</f>
        <v>762.366</v>
      </c>
      <c r="AT76" s="21" t="n">
        <f aca="false">AT73-AT74-AT75</f>
        <v>195.918</v>
      </c>
      <c r="AU76" s="21" t="n">
        <f aca="false">AU73-AU74-AU75</f>
        <v>208.226</v>
      </c>
      <c r="AV76" s="21" t="n">
        <f aca="false">AV73-AV74-AV75</f>
        <v>404.144</v>
      </c>
      <c r="AW76" s="21" t="n">
        <f aca="false">AW73-AW74-AW75</f>
        <v>251.579</v>
      </c>
      <c r="AX76" s="21" t="n">
        <f aca="false">AX73-AX74-AX75</f>
        <v>242.619</v>
      </c>
      <c r="AY76" s="21" t="n">
        <f aca="false">AY73-AY74-AY75</f>
        <v>898.342</v>
      </c>
      <c r="AZ76" s="21" t="n">
        <f aca="false">AZ73-AZ74-AZ75</f>
        <v>254.869</v>
      </c>
      <c r="BA76" s="21" t="n">
        <f aca="false">BA73-BA74-BA75</f>
        <v>259.889</v>
      </c>
      <c r="BB76" s="21" t="n">
        <f aca="false">BB73-BB74-BB75</f>
        <v>514.758</v>
      </c>
      <c r="BC76" s="21" t="n">
        <f aca="false">BC73-BC74-BC75</f>
        <v>242.613</v>
      </c>
      <c r="BD76" s="21" t="n">
        <f aca="false">BD73-BD74-BD75</f>
        <v>250.431</v>
      </c>
      <c r="BE76" s="21" t="n">
        <f aca="false">BE73-BE74-BE75</f>
        <v>1007.802</v>
      </c>
      <c r="BF76" s="21" t="n">
        <f aca="false">BF73-BF74-BF75</f>
        <v>296.769</v>
      </c>
      <c r="BG76" s="21" t="n">
        <f aca="false">BG73-BG74-BG75</f>
        <v>307.498</v>
      </c>
      <c r="BH76" s="21" t="n">
        <f aca="false">BH73-BH74-BH75</f>
        <v>604.267</v>
      </c>
      <c r="BI76" s="21" t="n">
        <f aca="false">BI73-BI74-BI75</f>
        <v>381.341</v>
      </c>
      <c r="BJ76" s="21" t="n">
        <f aca="false">BJ73-BJ74-BJ75</f>
        <v>357.483</v>
      </c>
      <c r="BK76" s="21" t="n">
        <f aca="false">BK73-BK74-BK75</f>
        <v>1343.091</v>
      </c>
      <c r="BL76" s="21" t="n">
        <f aca="false">BL73-BL74-BL75</f>
        <v>385.03</v>
      </c>
      <c r="BM76" s="21" t="n">
        <f aca="false">BM73-BM74-BM75</f>
        <v>403.342</v>
      </c>
      <c r="BN76" s="21" t="n">
        <f aca="false">BN73-BN74-BN75</f>
        <v>788.372</v>
      </c>
      <c r="BO76" s="21" t="n">
        <f aca="false">BO73-BO74-BO75</f>
        <v>436.277</v>
      </c>
      <c r="BP76" s="21" t="n">
        <f aca="false">BP73-BP74-BP75</f>
        <v>381.572</v>
      </c>
      <c r="BQ76" s="21" t="n">
        <f aca="false">BQ73-BQ74-BQ75</f>
        <v>1606.221</v>
      </c>
      <c r="BR76" s="21" t="n">
        <f aca="false">BR73-BR74-BR75</f>
        <v>369.483</v>
      </c>
      <c r="BS76" s="21" t="n">
        <f aca="false">BS73-BS74-BS75</f>
        <v>426.5</v>
      </c>
      <c r="BT76" s="21" t="n">
        <f aca="false">BT73-BT74-BT75</f>
        <v>795.983</v>
      </c>
      <c r="BU76" s="21" t="n">
        <f aca="false">BU73-BU74-BU75</f>
        <v>483.43</v>
      </c>
      <c r="BV76" s="21" t="n">
        <f aca="false">BV73-BV74-BV75</f>
        <v>457.578</v>
      </c>
      <c r="BW76" s="21" t="n">
        <f aca="false">BW73-BW74-BW75</f>
        <v>1736.991</v>
      </c>
      <c r="BX76" s="21" t="n">
        <f aca="false">BX73-BX74-BX75</f>
        <v>464.019</v>
      </c>
      <c r="BY76" s="21" t="n">
        <f aca="false">BY73-BY74-BY75</f>
        <v>464.152</v>
      </c>
      <c r="BZ76" s="21" t="n">
        <f aca="false">BZ73-BZ74-BZ75</f>
        <v>928.171</v>
      </c>
      <c r="CA76" s="21" t="n">
        <f aca="false">CA73-CA74-CA75</f>
        <v>525.505</v>
      </c>
      <c r="CB76" s="21" t="n">
        <f aca="false">CB73-CB74-CB75</f>
        <v>453.576</v>
      </c>
      <c r="CC76" s="21" t="n">
        <f aca="false">CC73-CC74-CC75</f>
        <v>1907.252</v>
      </c>
      <c r="CD76" s="21" t="n">
        <f aca="false">CD73-CD74-CD75</f>
        <v>512.105</v>
      </c>
      <c r="CE76" s="21" t="n">
        <f aca="false">CE73-CE74-CE75</f>
        <v>525.553</v>
      </c>
      <c r="CF76" s="21" t="n">
        <f aca="false">CF73-CF74-CF75</f>
        <v>1037.658</v>
      </c>
      <c r="CG76" s="21" t="n">
        <f aca="false">CG73-CG74-CG75</f>
        <v>552.267</v>
      </c>
      <c r="CH76" s="21" t="n">
        <f aca="false">CH73-CH74-CH75</f>
        <v>509.718</v>
      </c>
      <c r="CI76" s="21" t="n">
        <f aca="false">CI73-CI74-CI75</f>
        <v>2099.643</v>
      </c>
      <c r="CJ76" s="21" t="n">
        <f aca="false">CJ73-CJ74-CJ75</f>
        <v>536.998</v>
      </c>
      <c r="CK76" s="21" t="n">
        <f aca="false">CK73-CK74-CK75</f>
        <v>492.812</v>
      </c>
      <c r="CL76" s="21" t="n">
        <f aca="false">CL73-CL74-CL75</f>
        <v>1029.81</v>
      </c>
      <c r="CM76" s="21" t="n">
        <f aca="false">CM73-CM74-CM75</f>
        <v>572.599</v>
      </c>
      <c r="CN76" s="21" t="n">
        <f aca="false">CN73-CN74-CN75</f>
        <v>481.449</v>
      </c>
      <c r="CO76" s="21" t="n">
        <f aca="false">CO73-CO74-CO75</f>
        <v>2083.858</v>
      </c>
      <c r="CP76" s="23" t="n">
        <f aca="false">CP73-CP74-CP75</f>
        <v>2184.1528858275</v>
      </c>
      <c r="CQ76" s="23" t="n">
        <f aca="false">CQ73-CQ74-CQ75</f>
        <v>2316.49003893173</v>
      </c>
      <c r="CR76" s="23" t="n">
        <f aca="false">CR73-CR74-CR75</f>
        <v>2465.10069393305</v>
      </c>
      <c r="CS76" s="23" t="n">
        <f aca="false">CS73-CS74-CS75</f>
        <v>2621.52160173089</v>
      </c>
      <c r="CT76" s="23" t="n">
        <f aca="false">CT73-CT74-CT75</f>
        <v>2788.04140342917</v>
      </c>
      <c r="CU76" s="24"/>
      <c r="CW76" s="48" t="n">
        <f aca="false">IFERROR((CT76/CO76)^(1/5)-1,"n/m")</f>
        <v>0.0599520507928</v>
      </c>
      <c r="CX76" s="48" t="n">
        <f aca="false">IFERROR((CO76/BK76)^(1/5)-1,"n/m")</f>
        <v>0.0918237485572455</v>
      </c>
      <c r="CY76" s="48" t="n">
        <f aca="false">IFERROR((CO76/AG76)^(1/10)-1,"n/m")</f>
        <v>0.14361584751563</v>
      </c>
      <c r="CZ76" s="48" t="n">
        <f aca="false">IFERROR((CO76/C76)^(1/20)-1,"n/m")</f>
        <v>0.116362753333533</v>
      </c>
    </row>
    <row r="77" customFormat="false" ht="15" hidden="false" customHeight="false" outlineLevel="0" collapsed="false">
      <c r="B77" s="28" t="s">
        <v>176</v>
      </c>
      <c r="C77" s="35" t="n">
        <f aca="false">IFERROR(C76/C73,"")</f>
        <v>0.436172245545064</v>
      </c>
      <c r="D77" s="35" t="n">
        <f aca="false">IFERROR(D76/D73,"")</f>
        <v>0.47581864878362</v>
      </c>
      <c r="E77" s="35" t="n">
        <f aca="false">IFERROR(E76/E73,"")</f>
        <v>0.410600523923104</v>
      </c>
      <c r="F77" s="35" t="n">
        <f aca="false">IFERROR(F76/F73,"")</f>
        <v>0.420222801790381</v>
      </c>
      <c r="G77" s="35" t="n">
        <f aca="false">IFERROR(G76/G73,"")</f>
        <v>0.450256767230058</v>
      </c>
      <c r="H77" s="35" t="n">
        <f aca="false">IFERROR(H76/H73,"")</f>
        <v>0.427511275488796</v>
      </c>
      <c r="I77" s="35" t="n">
        <f aca="false">IFERROR(I76/I73,"")</f>
        <v>0.443215742200476</v>
      </c>
      <c r="J77" s="35" t="n">
        <f aca="false">IFERROR(J76/J73,"")</f>
        <v>0.441402292498723</v>
      </c>
      <c r="K77" s="35" t="n">
        <f aca="false">IFERROR(K76/K73,"")</f>
        <v>0.363720720551496</v>
      </c>
      <c r="L77" s="35" t="n">
        <f aca="false">IFERROR(L76/L73,"")</f>
        <v>0.400460547548663</v>
      </c>
      <c r="M77" s="35" t="n">
        <f aca="false">IFERROR(M76/M73,"")</f>
        <v>0.416358711703729</v>
      </c>
      <c r="N77" s="35" t="n">
        <f aca="false">IFERROR(N76/N73,"")</f>
        <v>0.390872857863381</v>
      </c>
      <c r="O77" s="35" t="n">
        <f aca="false">IFERROR(O76/O73,"")</f>
        <v>0.402262644951289</v>
      </c>
      <c r="P77" s="35" t="n">
        <f aca="false">IFERROR(P76/P73,"")</f>
        <v>0.385289567426389</v>
      </c>
      <c r="Q77" s="35" t="n">
        <f aca="false">IFERROR(Q76/Q73,"")</f>
        <v>0.389430025765098</v>
      </c>
      <c r="R77" s="35" t="n">
        <f aca="false">IFERROR(R76/R73,"")</f>
        <v>0.387383744439952</v>
      </c>
      <c r="S77" s="35" t="n">
        <f aca="false">IFERROR(S76/S73,"")</f>
        <v>0.427002279463519</v>
      </c>
      <c r="T77" s="35" t="n">
        <f aca="false">IFERROR(T76/T73,"")</f>
        <v>0.406815098277961</v>
      </c>
      <c r="U77" s="35" t="n">
        <f aca="false">IFERROR(U76/U73,"")</f>
        <v>0.402730923970919</v>
      </c>
      <c r="V77" s="35" t="n">
        <f aca="false">IFERROR(V76/V73,"")</f>
        <v>0.421191104254337</v>
      </c>
      <c r="W77" s="35" t="n">
        <f aca="false">IFERROR(W76/W73,"")</f>
        <v>0.415796103642248</v>
      </c>
      <c r="X77" s="35" t="n">
        <f aca="false">IFERROR(X76/X73,"")</f>
        <v>0.418560860081462</v>
      </c>
      <c r="Y77" s="35" t="n">
        <f aca="false">IFERROR(Y76/Y73,"")</f>
        <v>0.428808448485909</v>
      </c>
      <c r="Z77" s="35" t="n">
        <f aca="false">IFERROR(Z76/Z73,"")</f>
        <v>0.420782661985951</v>
      </c>
      <c r="AA77" s="35" t="n">
        <f aca="false">IFERROR(AA76/AA73,"")</f>
        <v>0.421764991767583</v>
      </c>
      <c r="AB77" s="35" t="n">
        <f aca="false">IFERROR(AB76/AB73,"")</f>
        <v>0.418438709588074</v>
      </c>
      <c r="AC77" s="35" t="n">
        <f aca="false">IFERROR(AC76/AC73,"")</f>
        <v>0.415787471722288</v>
      </c>
      <c r="AD77" s="35" t="n">
        <f aca="false">IFERROR(AD76/AD73,"")</f>
        <v>0.417088611896477</v>
      </c>
      <c r="AE77" s="35" t="n">
        <f aca="false">IFERROR(AE76/AE73,"")</f>
        <v>0.453992270609309</v>
      </c>
      <c r="AF77" s="35" t="n">
        <f aca="false">IFERROR(AF76/AF73,"")</f>
        <v>0.42525228537331</v>
      </c>
      <c r="AG77" s="35" t="n">
        <f aca="false">IFERROR(AG76/AG73,"")</f>
        <v>0.429332200190942</v>
      </c>
      <c r="AH77" s="35" t="n">
        <f aca="false">IFERROR(AH76/AH73,"")</f>
        <v>0.419932888427734</v>
      </c>
      <c r="AI77" s="35" t="n">
        <f aca="false">IFERROR(AI76/AI73,"")</f>
        <v>0.419890024375451</v>
      </c>
      <c r="AJ77" s="35" t="n">
        <f aca="false">IFERROR(AJ76/AJ73,"")</f>
        <v>0.4199113472883</v>
      </c>
      <c r="AK77" s="35" t="n">
        <f aca="false">IFERROR(AK76/AK73,"")</f>
        <v>0.461413569712889</v>
      </c>
      <c r="AL77" s="35" t="n">
        <f aca="false">IFERROR(AL76/AL73,"")</f>
        <v>0.442331667529504</v>
      </c>
      <c r="AM77" s="35" t="n">
        <f aca="false">IFERROR(AM76/AM73,"")</f>
        <v>0.436489152827282</v>
      </c>
      <c r="AN77" s="35" t="n">
        <f aca="false">IFERROR(AN76/AN73,"")</f>
        <v>0.389495381326819</v>
      </c>
      <c r="AO77" s="35" t="n">
        <f aca="false">IFERROR(AO76/AO73,"")</f>
        <v>0.417352419702639</v>
      </c>
      <c r="AP77" s="35" t="n">
        <f aca="false">IFERROR(AP76/AP73,"")</f>
        <v>0.404057275975379</v>
      </c>
      <c r="AQ77" s="35" t="n">
        <f aca="false">IFERROR(AQ76/AQ73,"")</f>
        <v>0.458111493565427</v>
      </c>
      <c r="AR77" s="35" t="n">
        <f aca="false">IFERROR(AR76/AR73,"")</f>
        <v>0.4194464664543</v>
      </c>
      <c r="AS77" s="35" t="n">
        <f aca="false">IFERROR(AS76/AS73,"")</f>
        <v>0.422200870025115</v>
      </c>
      <c r="AT77" s="35" t="n">
        <f aca="false">IFERROR(AT76/AT73,"")</f>
        <v>0.424645835862045</v>
      </c>
      <c r="AU77" s="35" t="n">
        <f aca="false">IFERROR(AU76/AU73,"")</f>
        <v>0.429422270250651</v>
      </c>
      <c r="AV77" s="35" t="n">
        <f aca="false">IFERROR(AV76/AV73,"")</f>
        <v>0.427093438842778</v>
      </c>
      <c r="AW77" s="35" t="n">
        <f aca="false">IFERROR(AW76/AW73,"")</f>
        <v>0.454839491173642</v>
      </c>
      <c r="AX77" s="35" t="n">
        <f aca="false">IFERROR(AX76/AX73,"")</f>
        <v>0.447162143482468</v>
      </c>
      <c r="AY77" s="35" t="n">
        <f aca="false">IFERROR(AY76/AY73,"")</f>
        <v>0.4399416833949</v>
      </c>
      <c r="AZ77" s="35" t="n">
        <f aca="false">IFERROR(AZ76/AZ73,"")</f>
        <v>0.459700518015093</v>
      </c>
      <c r="BA77" s="35" t="n">
        <f aca="false">IFERROR(BA76/BA73,"")</f>
        <v>0.451870848836805</v>
      </c>
      <c r="BB77" s="35" t="n">
        <f aca="false">IFERROR(BB76/BB73,"")</f>
        <v>0.455713886065774</v>
      </c>
      <c r="BC77" s="35" t="n">
        <f aca="false">IFERROR(BC76/BC73,"")</f>
        <v>0.44082600479686</v>
      </c>
      <c r="BD77" s="35" t="n">
        <f aca="false">IFERROR(BD76/BD73,"")</f>
        <v>0.476413416302203</v>
      </c>
      <c r="BE77" s="35" t="n">
        <f aca="false">IFERROR(BE76/BE73,"")</f>
        <v>0.456932248752371</v>
      </c>
      <c r="BF77" s="35" t="n">
        <f aca="false">IFERROR(BF76/BF73,"")</f>
        <v>0.500504266873545</v>
      </c>
      <c r="BG77" s="35" t="n">
        <f aca="false">IFERROR(BG76/BG73,"")</f>
        <v>0.498350974262233</v>
      </c>
      <c r="BH77" s="35" t="n">
        <f aca="false">IFERROR(BH76/BH73,"")</f>
        <v>0.499406184115156</v>
      </c>
      <c r="BI77" s="35" t="n">
        <f aca="false">IFERROR(BI76/BI73,"")</f>
        <v>0.519601858538513</v>
      </c>
      <c r="BJ77" s="35" t="n">
        <f aca="false">IFERROR(BJ76/BJ73,"")</f>
        <v>0.477516263040487</v>
      </c>
      <c r="BK77" s="35" t="n">
        <f aca="false">IFERROR(BK76/BK73,"")</f>
        <v>0.498824703037425</v>
      </c>
      <c r="BL77" s="35" t="n">
        <f aca="false">IFERROR(BL76/BL73,"")</f>
        <v>0.475268227893726</v>
      </c>
      <c r="BM77" s="35" t="n">
        <f aca="false">IFERROR(BM76/BM73,"")</f>
        <v>0.464968989924607</v>
      </c>
      <c r="BN77" s="35" t="n">
        <f aca="false">IFERROR(BN76/BN73,"")</f>
        <v>0.469942632058331</v>
      </c>
      <c r="BO77" s="35" t="n">
        <f aca="false">IFERROR(BO76/BO73,"")</f>
        <v>0.464153601130284</v>
      </c>
      <c r="BP77" s="35" t="n">
        <f aca="false">IFERROR(BP76/BP73,"")</f>
        <v>0.431941570408473</v>
      </c>
      <c r="BQ77" s="35" t="n">
        <f aca="false">IFERROR(BQ76/BQ73,"")</f>
        <v>0.458799555888293</v>
      </c>
      <c r="BR77" s="35" t="n">
        <f aca="false">IFERROR(BR76/BR73,"")</f>
        <v>0.413582471803459</v>
      </c>
      <c r="BS77" s="35" t="n">
        <f aca="false">IFERROR(BS76/BS73,"")</f>
        <v>0.44579209887073</v>
      </c>
      <c r="BT77" s="35" t="n">
        <f aca="false">IFERROR(BT76/BT73,"")</f>
        <v>0.43023875517811</v>
      </c>
      <c r="BU77" s="35" t="n">
        <f aca="false">IFERROR(BU76/BU73,"")</f>
        <v>0.473101716428646</v>
      </c>
      <c r="BV77" s="35" t="n">
        <f aca="false">IFERROR(BV76/BV73,"")</f>
        <v>0.458682967268149</v>
      </c>
      <c r="BW77" s="35" t="n">
        <f aca="false">IFERROR(BW76/BW73,"")</f>
        <v>0.448890792083148</v>
      </c>
      <c r="BX77" s="35" t="n">
        <f aca="false">IFERROR(BX76/BX73,"")</f>
        <v>0.45473512763422</v>
      </c>
      <c r="BY77" s="35" t="n">
        <f aca="false">IFERROR(BY76/BY73,"")</f>
        <v>0.45498451696762</v>
      </c>
      <c r="BZ77" s="35" t="n">
        <f aca="false">IFERROR(BZ76/BZ73,"")</f>
        <v>0.454859805985107</v>
      </c>
      <c r="CA77" s="35" t="n">
        <f aca="false">IFERROR(CA76/CA73,"")</f>
        <v>0.466179467185447</v>
      </c>
      <c r="CB77" s="35" t="n">
        <f aca="false">IFERROR(CB76/CB73,"")</f>
        <v>0.424299742095175</v>
      </c>
      <c r="CC77" s="35" t="n">
        <f aca="false">IFERROR(CC76/CC73,"")</f>
        <v>0.450160887060895</v>
      </c>
      <c r="CD77" s="35" t="n">
        <f aca="false">IFERROR(CD76/CD73,"")</f>
        <v>0.446539981113139</v>
      </c>
      <c r="CE77" s="35" t="n">
        <f aca="false">IFERROR(CE76/CE73,"")</f>
        <v>0.451771487712711</v>
      </c>
      <c r="CF77" s="35" t="n">
        <f aca="false">IFERROR(CF76/CF73,"")</f>
        <v>0.449174402472572</v>
      </c>
      <c r="CG77" s="35" t="n">
        <f aca="false">IFERROR(CG76/CG73,"")</f>
        <v>0.455772639793483</v>
      </c>
      <c r="CH77" s="35" t="n">
        <f aca="false">IFERROR(CH76/CH73,"")</f>
        <v>0.453043604240345</v>
      </c>
      <c r="CI77" s="35" t="n">
        <f aca="false">IFERROR(CI76/CI73,"")</f>
        <v>0.451831714424791</v>
      </c>
      <c r="CJ77" s="35" t="n">
        <f aca="false">IFERROR(CJ76/CJ73,"")</f>
        <v>0.464921257456516</v>
      </c>
      <c r="CK77" s="35" t="n">
        <f aca="false">IFERROR(CK76/CK73,"")</f>
        <v>0.439354036912686</v>
      </c>
      <c r="CL77" s="35" t="n">
        <f aca="false">IFERROR(CL76/CL73,"")</f>
        <v>0.452324939913138</v>
      </c>
      <c r="CM77" s="35" t="n">
        <f aca="false">IFERROR(CM76/CM73,"")</f>
        <v>0.462868593914957</v>
      </c>
      <c r="CN77" s="35" t="n">
        <f aca="false">IFERROR(CN76/CN73,"")</f>
        <v>0.417765278682863</v>
      </c>
      <c r="CO77" s="35" t="n">
        <f aca="false">IFERROR(CO76/CO73,"")</f>
        <v>0.446584797209041</v>
      </c>
      <c r="CP77" s="45" t="n">
        <f aca="false">IFERROR(CP76/CP73,"")</f>
        <v>0.446953430953733</v>
      </c>
      <c r="CQ77" s="45" t="n">
        <f aca="false">IFERROR(CQ76/CQ73,"")</f>
        <v>0.447758147716221</v>
      </c>
      <c r="CR77" s="45" t="n">
        <f aca="false">IFERROR(CR76/CR73,"")</f>
        <v>0.448719981029599</v>
      </c>
      <c r="CS77" s="45" t="n">
        <f aca="false">IFERROR(CS76/CS73,"")</f>
        <v>0.449634169915076</v>
      </c>
      <c r="CT77" s="45" t="n">
        <f aca="false">IFERROR(CT76/CT73,"")</f>
        <v>0.450537258114741</v>
      </c>
      <c r="CU77" s="24"/>
      <c r="CW77" s="6"/>
      <c r="CX77" s="6"/>
      <c r="CY77" s="6"/>
      <c r="CZ77" s="6"/>
    </row>
    <row r="78" customFormat="false" ht="15" hidden="false" customHeight="false" outlineLevel="0" collapsed="false">
      <c r="B78" s="15" t="s">
        <v>190</v>
      </c>
      <c r="C78" s="50" t="n">
        <v>58.986</v>
      </c>
      <c r="D78" s="50" t="n">
        <v>63.637</v>
      </c>
      <c r="E78" s="50" t="n">
        <v>84.342</v>
      </c>
      <c r="F78" s="50" t="n">
        <v>86.935</v>
      </c>
      <c r="G78" s="50" t="n">
        <v>108.924</v>
      </c>
      <c r="H78" s="50" t="n">
        <v>107.605</v>
      </c>
      <c r="I78" s="50" t="n">
        <v>114.492</v>
      </c>
      <c r="J78" s="50" t="n">
        <v>31.079</v>
      </c>
      <c r="K78" s="50" t="n">
        <v>34.047</v>
      </c>
      <c r="L78" s="39" t="n">
        <f aca="false">J78+K78</f>
        <v>65.126</v>
      </c>
      <c r="M78" s="50" t="n">
        <v>32.784</v>
      </c>
      <c r="N78" s="50" t="n">
        <v>40.02</v>
      </c>
      <c r="O78" s="50" t="n">
        <v>137.93</v>
      </c>
      <c r="P78" s="50" t="n">
        <v>42.877</v>
      </c>
      <c r="Q78" s="50" t="n">
        <v>40.062</v>
      </c>
      <c r="R78" s="39" t="n">
        <f aca="false">P78+Q78</f>
        <v>82.939</v>
      </c>
      <c r="S78" s="50" t="n">
        <v>40.515</v>
      </c>
      <c r="T78" s="50" t="n">
        <v>41.081</v>
      </c>
      <c r="U78" s="50" t="n">
        <v>164.535</v>
      </c>
      <c r="V78" s="50" t="n">
        <v>39.907</v>
      </c>
      <c r="W78" s="50" t="n">
        <v>34.399</v>
      </c>
      <c r="X78" s="39" t="n">
        <f aca="false">V78+W78</f>
        <v>74.306</v>
      </c>
      <c r="Y78" s="50" t="n">
        <v>32.65</v>
      </c>
      <c r="Z78" s="50" t="n">
        <v>32.019</v>
      </c>
      <c r="AA78" s="50" t="n">
        <v>138.975</v>
      </c>
      <c r="AB78" s="50" t="n">
        <v>34.615</v>
      </c>
      <c r="AC78" s="50" t="n">
        <v>32.529</v>
      </c>
      <c r="AD78" s="39" t="n">
        <f aca="false">AB78+AC78</f>
        <v>67.144</v>
      </c>
      <c r="AE78" s="50" t="n">
        <v>35.699</v>
      </c>
      <c r="AF78" s="50" t="n">
        <v>35.273</v>
      </c>
      <c r="AG78" s="50" t="n">
        <v>138.116</v>
      </c>
      <c r="AH78" s="50" t="n">
        <v>40.469</v>
      </c>
      <c r="AI78" s="50" t="n">
        <v>37.885</v>
      </c>
      <c r="AJ78" s="39" t="n">
        <f aca="false">AH78+AI78</f>
        <v>78.354</v>
      </c>
      <c r="AK78" s="50" t="n">
        <v>35.717</v>
      </c>
      <c r="AL78" s="50" t="n">
        <v>37.293</v>
      </c>
      <c r="AM78" s="50" t="n">
        <v>151.364</v>
      </c>
      <c r="AN78" s="50" t="n">
        <v>39.322</v>
      </c>
      <c r="AO78" s="50" t="n">
        <v>40.662</v>
      </c>
      <c r="AP78" s="39" t="n">
        <f aca="false">AN78+AO78</f>
        <v>79.984</v>
      </c>
      <c r="AQ78" s="50" t="n">
        <v>44.449</v>
      </c>
      <c r="AR78" s="50" t="n">
        <v>52.457</v>
      </c>
      <c r="AS78" s="50" t="n">
        <v>176.89</v>
      </c>
      <c r="AT78" s="50" t="n">
        <v>44.478</v>
      </c>
      <c r="AU78" s="50" t="n">
        <v>43.487</v>
      </c>
      <c r="AV78" s="39" t="n">
        <f aca="false">AT78+AU78</f>
        <v>87.965</v>
      </c>
      <c r="AW78" s="50" t="n">
        <v>44.085</v>
      </c>
      <c r="AX78" s="50" t="n">
        <v>49.817</v>
      </c>
      <c r="AY78" s="50" t="n">
        <v>181.867</v>
      </c>
      <c r="AZ78" s="50" t="n">
        <v>49.478</v>
      </c>
      <c r="BA78" s="50" t="n">
        <v>49.997</v>
      </c>
      <c r="BB78" s="39" t="n">
        <f aca="false">AZ78+BA78</f>
        <v>99.475</v>
      </c>
      <c r="BC78" s="50" t="n">
        <v>47.512</v>
      </c>
      <c r="BD78" s="50" t="n">
        <v>44.716</v>
      </c>
      <c r="BE78" s="50" t="n">
        <v>191.703</v>
      </c>
      <c r="BF78" s="50" t="n">
        <v>48.175</v>
      </c>
      <c r="BG78" s="50" t="n">
        <v>49.277</v>
      </c>
      <c r="BH78" s="39" t="n">
        <f aca="false">BF78+BG78</f>
        <v>97.452</v>
      </c>
      <c r="BI78" s="50" t="n">
        <v>53.23</v>
      </c>
      <c r="BJ78" s="50" t="n">
        <v>55.983</v>
      </c>
      <c r="BK78" s="50" t="n">
        <v>206.665</v>
      </c>
      <c r="BL78" s="50" t="n">
        <v>54.909</v>
      </c>
      <c r="BM78" s="50" t="n">
        <v>56.014</v>
      </c>
      <c r="BN78" s="39" t="n">
        <f aca="false">BL78+BM78</f>
        <v>110.923</v>
      </c>
      <c r="BO78" s="50" t="n">
        <v>63.522</v>
      </c>
      <c r="BP78" s="50" t="n">
        <v>56.779</v>
      </c>
      <c r="BQ78" s="50" t="n">
        <v>231.224</v>
      </c>
      <c r="BR78" s="50" t="n">
        <v>57.98</v>
      </c>
      <c r="BS78" s="50" t="n">
        <v>60.975</v>
      </c>
      <c r="BT78" s="39" t="n">
        <f aca="false">BR78+BS78</f>
        <v>118.955</v>
      </c>
      <c r="BU78" s="50" t="n">
        <v>64.506</v>
      </c>
      <c r="BV78" s="50" t="n">
        <v>66.961</v>
      </c>
      <c r="BW78" s="50" t="n">
        <v>250.422</v>
      </c>
      <c r="BX78" s="50" t="n">
        <v>68.643</v>
      </c>
      <c r="BY78" s="50" t="n">
        <v>84.252</v>
      </c>
      <c r="BZ78" s="39" t="n">
        <f aca="false">BX78+BY78</f>
        <v>152.895</v>
      </c>
      <c r="CA78" s="50" t="n">
        <v>88.302</v>
      </c>
      <c r="CB78" s="50" t="n">
        <v>94.032</v>
      </c>
      <c r="CC78" s="50" t="n">
        <v>335.229</v>
      </c>
      <c r="CD78" s="50" t="n">
        <v>105.738</v>
      </c>
      <c r="CE78" s="50" t="n">
        <v>99.342</v>
      </c>
      <c r="CF78" s="39" t="n">
        <f aca="false">CD78+CE78</f>
        <v>205.08</v>
      </c>
      <c r="CG78" s="50" t="n">
        <v>100.722</v>
      </c>
      <c r="CH78" s="50" t="n">
        <v>97.127</v>
      </c>
      <c r="CI78" s="50" t="n">
        <v>402.929</v>
      </c>
      <c r="CJ78" s="50" t="n">
        <v>106.304</v>
      </c>
      <c r="CK78" s="50" t="n">
        <v>104.102</v>
      </c>
      <c r="CL78" s="39" t="n">
        <f aca="false">CJ78+CK78</f>
        <v>210.406</v>
      </c>
      <c r="CM78" s="50" t="n">
        <v>108.317</v>
      </c>
      <c r="CN78" s="50" t="n">
        <v>112.545</v>
      </c>
      <c r="CO78" s="50" t="n">
        <v>431.268</v>
      </c>
      <c r="CP78" s="40" t="n">
        <f aca="false">CP73-CP74-CP75-CP79-CP58+CP102+CP125+CP86+CP85</f>
        <v>473.7878744025</v>
      </c>
      <c r="CQ78" s="40" t="n">
        <f aca="false">CQ73-CQ74-CQ75-CQ79-CQ58+CQ102+CQ125+CQ86+CQ85</f>
        <v>479.88702452505</v>
      </c>
      <c r="CR78" s="40" t="n">
        <f aca="false">CR73-CR74-CR75-CR79-CR58+CR102+CR125+CR86+CR85</f>
        <v>487.394580245725</v>
      </c>
      <c r="CS78" s="40" t="n">
        <f aca="false">CS73-CS74-CS75-CS79-CS58+CS102+CS125+CS86+CS85</f>
        <v>493.446271485195</v>
      </c>
      <c r="CT78" s="40" t="n">
        <f aca="false">CT73-CT74-CT75-CT79-CT58+CT102+CT125+CT86+CT85</f>
        <v>498.385441155624</v>
      </c>
      <c r="CU78" s="24" t="s">
        <v>191</v>
      </c>
      <c r="CW78" s="25"/>
      <c r="CX78" s="25"/>
      <c r="CY78" s="25"/>
      <c r="CZ78" s="25"/>
    </row>
    <row r="79" customFormat="false" ht="15" hidden="false" customHeight="false" outlineLevel="0" collapsed="false">
      <c r="B79" s="15" t="s">
        <v>192</v>
      </c>
      <c r="C79" s="50" t="n">
        <v>0</v>
      </c>
      <c r="D79" s="50" t="n">
        <v>0</v>
      </c>
      <c r="E79" s="50" t="n">
        <v>0</v>
      </c>
      <c r="F79" s="50" t="n">
        <v>0</v>
      </c>
      <c r="G79" s="50" t="n">
        <v>0</v>
      </c>
      <c r="H79" s="50" t="n">
        <v>0</v>
      </c>
      <c r="I79" s="50" t="n">
        <v>8.771</v>
      </c>
      <c r="J79" s="50" t="n">
        <v>0</v>
      </c>
      <c r="K79" s="50" t="n">
        <v>0</v>
      </c>
      <c r="L79" s="39" t="n">
        <f aca="false">J79+K79</f>
        <v>0</v>
      </c>
      <c r="M79" s="50" t="n">
        <v>0</v>
      </c>
      <c r="N79" s="50" t="n">
        <v>0</v>
      </c>
      <c r="O79" s="50" t="n">
        <v>0</v>
      </c>
      <c r="P79" s="50" t="n">
        <v>0</v>
      </c>
      <c r="Q79" s="50" t="n">
        <v>0</v>
      </c>
      <c r="R79" s="39" t="n">
        <f aca="false">P79+Q79</f>
        <v>0</v>
      </c>
      <c r="S79" s="50" t="n">
        <v>29.104</v>
      </c>
      <c r="T79" s="50" t="n">
        <v>0</v>
      </c>
      <c r="U79" s="50" t="n">
        <v>29.104</v>
      </c>
      <c r="V79" s="50" t="n">
        <v>0</v>
      </c>
      <c r="W79" s="50" t="n">
        <v>0</v>
      </c>
      <c r="X79" s="39" t="n">
        <f aca="false">V79+W79</f>
        <v>0</v>
      </c>
      <c r="Y79" s="50" t="n">
        <v>0</v>
      </c>
      <c r="Z79" s="50" t="n">
        <v>0</v>
      </c>
      <c r="AA79" s="50" t="n">
        <v>0</v>
      </c>
      <c r="AB79" s="50" t="n">
        <v>0</v>
      </c>
      <c r="AC79" s="50" t="n">
        <v>0</v>
      </c>
      <c r="AD79" s="39" t="n">
        <f aca="false">AB79+AC79</f>
        <v>0</v>
      </c>
      <c r="AE79" s="50" t="n">
        <v>0</v>
      </c>
      <c r="AF79" s="50" t="n">
        <v>0</v>
      </c>
      <c r="AG79" s="50" t="n">
        <v>0</v>
      </c>
      <c r="AH79" s="50" t="n">
        <v>0</v>
      </c>
      <c r="AI79" s="50" t="n">
        <v>0</v>
      </c>
      <c r="AJ79" s="39" t="n">
        <f aca="false">AH79+AI79</f>
        <v>0</v>
      </c>
      <c r="AK79" s="50" t="n">
        <v>0</v>
      </c>
      <c r="AL79" s="50" t="n">
        <v>19.365</v>
      </c>
      <c r="AM79" s="50" t="n">
        <v>19.365</v>
      </c>
      <c r="AN79" s="50" t="n">
        <v>0</v>
      </c>
      <c r="AO79" s="50" t="n">
        <v>0</v>
      </c>
      <c r="AP79" s="39" t="n">
        <f aca="false">AN79+AO79</f>
        <v>0</v>
      </c>
      <c r="AQ79" s="50" t="n">
        <v>0</v>
      </c>
      <c r="AR79" s="50" t="n">
        <v>1.131</v>
      </c>
      <c r="AS79" s="50" t="n">
        <v>1.131</v>
      </c>
      <c r="AT79" s="50" t="n">
        <v>0</v>
      </c>
      <c r="AU79" s="50" t="n">
        <v>0</v>
      </c>
      <c r="AV79" s="39" t="n">
        <f aca="false">AT79+AU79</f>
        <v>0</v>
      </c>
      <c r="AW79" s="50" t="n">
        <v>0</v>
      </c>
      <c r="AX79" s="50" t="n">
        <v>0</v>
      </c>
      <c r="AY79" s="50" t="n">
        <v>0</v>
      </c>
      <c r="AZ79" s="50" t="n">
        <v>0</v>
      </c>
      <c r="BA79" s="50" t="n">
        <v>0</v>
      </c>
      <c r="BB79" s="39" t="n">
        <f aca="false">AZ79+BA79</f>
        <v>0</v>
      </c>
      <c r="BC79" s="50" t="n">
        <v>0</v>
      </c>
      <c r="BD79" s="50" t="n">
        <v>0</v>
      </c>
      <c r="BE79" s="50" t="n">
        <v>0</v>
      </c>
      <c r="BF79" s="50" t="n">
        <v>0</v>
      </c>
      <c r="BG79" s="50" t="n">
        <v>0</v>
      </c>
      <c r="BH79" s="39" t="n">
        <f aca="false">BF79+BG79</f>
        <v>0</v>
      </c>
      <c r="BI79" s="50" t="n">
        <v>0</v>
      </c>
      <c r="BJ79" s="50" t="n">
        <v>0</v>
      </c>
      <c r="BK79" s="50" t="n">
        <v>0</v>
      </c>
      <c r="BL79" s="50" t="n">
        <v>0</v>
      </c>
      <c r="BM79" s="50" t="n">
        <v>0</v>
      </c>
      <c r="BN79" s="39" t="n">
        <f aca="false">BL79+BM79</f>
        <v>0</v>
      </c>
      <c r="BO79" s="50" t="n">
        <v>0</v>
      </c>
      <c r="BP79" s="50" t="n">
        <v>0</v>
      </c>
      <c r="BQ79" s="50" t="n">
        <v>0</v>
      </c>
      <c r="BR79" s="50" t="n">
        <v>0</v>
      </c>
      <c r="BS79" s="50" t="n">
        <v>0</v>
      </c>
      <c r="BT79" s="39" t="n">
        <f aca="false">BR79+BS79</f>
        <v>0</v>
      </c>
      <c r="BU79" s="50" t="n">
        <v>0</v>
      </c>
      <c r="BV79" s="50" t="n">
        <v>0</v>
      </c>
      <c r="BW79" s="50" t="n">
        <v>0</v>
      </c>
      <c r="BX79" s="50" t="n">
        <v>0</v>
      </c>
      <c r="BY79" s="50" t="n">
        <v>0</v>
      </c>
      <c r="BZ79" s="39" t="n">
        <f aca="false">BX79+BY79</f>
        <v>0</v>
      </c>
      <c r="CA79" s="50" t="n">
        <v>0</v>
      </c>
      <c r="CB79" s="50" t="n">
        <v>0</v>
      </c>
      <c r="CC79" s="50" t="n">
        <v>0</v>
      </c>
      <c r="CD79" s="50" t="n">
        <v>0</v>
      </c>
      <c r="CE79" s="50" t="n">
        <v>0</v>
      </c>
      <c r="CF79" s="39" t="n">
        <f aca="false">CD79+CE79</f>
        <v>0</v>
      </c>
      <c r="CG79" s="50" t="n">
        <v>0</v>
      </c>
      <c r="CH79" s="50" t="n">
        <v>0</v>
      </c>
      <c r="CI79" s="50" t="n">
        <v>0</v>
      </c>
      <c r="CJ79" s="50" t="n">
        <v>0</v>
      </c>
      <c r="CK79" s="50" t="n">
        <v>0</v>
      </c>
      <c r="CL79" s="39" t="n">
        <f aca="false">CJ79+CK79</f>
        <v>0</v>
      </c>
      <c r="CM79" s="50" t="n">
        <v>0</v>
      </c>
      <c r="CN79" s="50" t="n">
        <v>0</v>
      </c>
      <c r="CO79" s="50" t="n">
        <v>0</v>
      </c>
      <c r="CP79" s="51" t="n">
        <v>0</v>
      </c>
      <c r="CQ79" s="51" t="n">
        <v>0</v>
      </c>
      <c r="CR79" s="51" t="n">
        <v>0</v>
      </c>
      <c r="CS79" s="51" t="n">
        <v>0</v>
      </c>
      <c r="CT79" s="51" t="n">
        <v>0</v>
      </c>
      <c r="CU79" s="24"/>
      <c r="CW79" s="25"/>
      <c r="CX79" s="25"/>
      <c r="CY79" s="25"/>
      <c r="CZ79" s="25"/>
    </row>
    <row r="80" customFormat="false" ht="15" hidden="false" customHeight="false" outlineLevel="0" collapsed="false">
      <c r="B80" s="20" t="s">
        <v>193</v>
      </c>
      <c r="C80" s="21" t="n">
        <f aca="false">C74+C75+C78+C79</f>
        <v>357.009</v>
      </c>
      <c r="D80" s="21" t="n">
        <f aca="false">D74+D75+D78+D79</f>
        <v>357.535</v>
      </c>
      <c r="E80" s="21" t="n">
        <f aca="false">E74+E75+E78+E79</f>
        <v>546.931</v>
      </c>
      <c r="F80" s="21" t="n">
        <f aca="false">F74+F75+F78+F79</f>
        <v>517.757</v>
      </c>
      <c r="G80" s="21" t="n">
        <f aca="false">G74+G75+G78+G79</f>
        <v>533.809</v>
      </c>
      <c r="H80" s="21" t="n">
        <f aca="false">H74+H75+H78+H79</f>
        <v>606.956</v>
      </c>
      <c r="I80" s="21" t="n">
        <f aca="false">I74+I75+I78+I79</f>
        <v>637.838</v>
      </c>
      <c r="J80" s="21" t="n">
        <f aca="false">J74+J75+J78+J79</f>
        <v>164.509</v>
      </c>
      <c r="K80" s="21" t="n">
        <f aca="false">K74+K75+K78+K79</f>
        <v>203.415</v>
      </c>
      <c r="L80" s="21" t="n">
        <f aca="false">L74+L75+L78+L79</f>
        <v>367.924</v>
      </c>
      <c r="M80" s="21" t="n">
        <f aca="false">M74+M75+M78+M79</f>
        <v>194.825</v>
      </c>
      <c r="N80" s="21" t="n">
        <f aca="false">N74+N75+N78+N79</f>
        <v>200.645</v>
      </c>
      <c r="O80" s="21" t="n">
        <f aca="false">O74+O75+O78+O79</f>
        <v>763.394</v>
      </c>
      <c r="P80" s="21" t="n">
        <f aca="false">P74+P75+P78+P79</f>
        <v>214.924</v>
      </c>
      <c r="Q80" s="21" t="n">
        <f aca="false">Q74+Q75+Q78+Q79</f>
        <v>214.95</v>
      </c>
      <c r="R80" s="21" t="n">
        <f aca="false">R74+R75+R78+R79</f>
        <v>429.874</v>
      </c>
      <c r="S80" s="21" t="n">
        <f aca="false">S74+S75+S78+S79</f>
        <v>247.089</v>
      </c>
      <c r="T80" s="21" t="n">
        <f aca="false">T74+T75+T78+T79</f>
        <v>211.592</v>
      </c>
      <c r="U80" s="21" t="n">
        <f aca="false">U74+U75+U78+U79</f>
        <v>888.555</v>
      </c>
      <c r="V80" s="21" t="n">
        <f aca="false">V74+V75+V78+V79</f>
        <v>207.985</v>
      </c>
      <c r="W80" s="21" t="n">
        <f aca="false">W74+W75+W78+W79</f>
        <v>195.79</v>
      </c>
      <c r="X80" s="21" t="n">
        <f aca="false">X74+X75+X78+X79</f>
        <v>403.775</v>
      </c>
      <c r="Y80" s="21" t="n">
        <f aca="false">Y74+Y75+Y78+Y79</f>
        <v>202.375</v>
      </c>
      <c r="Z80" s="21" t="n">
        <f aca="false">Z74+Z75+Z78+Z79</f>
        <v>195.528</v>
      </c>
      <c r="AA80" s="21" t="n">
        <f aca="false">AA74+AA75+AA78+AA79</f>
        <v>801.678</v>
      </c>
      <c r="AB80" s="21" t="n">
        <f aca="false">AB74+AB75+AB78+AB79</f>
        <v>202.592</v>
      </c>
      <c r="AC80" s="21" t="n">
        <f aca="false">AC74+AC75+AC78+AC79</f>
        <v>207.621</v>
      </c>
      <c r="AD80" s="21" t="n">
        <f aca="false">AD74+AD75+AD78+AD79</f>
        <v>410.213</v>
      </c>
      <c r="AE80" s="21" t="n">
        <f aca="false">AE74+AE75+AE78+AE79</f>
        <v>225.298</v>
      </c>
      <c r="AF80" s="21" t="n">
        <f aca="false">AF74+AF75+AF78+AF79</f>
        <v>226.468</v>
      </c>
      <c r="AG80" s="21" t="n">
        <f aca="false">AG74+AG75+AG78+AG79</f>
        <v>861.979</v>
      </c>
      <c r="AH80" s="21" t="n">
        <f aca="false">AH74+AH75+AH78+AH79</f>
        <v>241.167</v>
      </c>
      <c r="AI80" s="21" t="n">
        <f aca="false">AI74+AI75+AI78+AI79</f>
        <v>240.652</v>
      </c>
      <c r="AJ80" s="21" t="n">
        <f aca="false">AJ74+AJ75+AJ78+AJ79</f>
        <v>481.819</v>
      </c>
      <c r="AK80" s="21" t="n">
        <f aca="false">AK74+AK75+AK78+AK79</f>
        <v>237.074</v>
      </c>
      <c r="AL80" s="21" t="n">
        <f aca="false">AL74+AL75+AL78+AL79</f>
        <v>267.789</v>
      </c>
      <c r="AM80" s="21" t="n">
        <f aca="false">AM74+AM75+AM78+AM79</f>
        <v>986.682</v>
      </c>
      <c r="AN80" s="21" t="n">
        <f aca="false">AN74+AN75+AN78+AN79</f>
        <v>295.226</v>
      </c>
      <c r="AO80" s="21" t="n">
        <f aca="false">AO74+AO75+AO78+AO79</f>
        <v>308.159</v>
      </c>
      <c r="AP80" s="21" t="n">
        <f aca="false">AP74+AP75+AP78+AP79</f>
        <v>603.385</v>
      </c>
      <c r="AQ80" s="21" t="n">
        <f aca="false">AQ74+AQ75+AQ78+AQ79</f>
        <v>303.579</v>
      </c>
      <c r="AR80" s="21" t="n">
        <f aca="false">AR74+AR75+AR78+AR79</f>
        <v>314.386</v>
      </c>
      <c r="AS80" s="21" t="n">
        <f aca="false">AS74+AS75+AS78+AS79</f>
        <v>1221.35</v>
      </c>
      <c r="AT80" s="21" t="n">
        <f aca="false">AT74+AT75+AT78+AT79</f>
        <v>309.928</v>
      </c>
      <c r="AU80" s="21" t="n">
        <f aca="false">AU74+AU75+AU78+AU79</f>
        <v>320.159</v>
      </c>
      <c r="AV80" s="21" t="n">
        <f aca="false">AV74+AV75+AV78+AV79</f>
        <v>630.087</v>
      </c>
      <c r="AW80" s="21" t="n">
        <f aca="false">AW74+AW75+AW78+AW79</f>
        <v>345.622</v>
      </c>
      <c r="AX80" s="21" t="n">
        <f aca="false">AX74+AX75+AX78+AX79</f>
        <v>349.773</v>
      </c>
      <c r="AY80" s="21" t="n">
        <f aca="false">AY74+AY75+AY78+AY79</f>
        <v>1325.482</v>
      </c>
      <c r="AZ80" s="21" t="n">
        <f aca="false">AZ74+AZ75+AZ78+AZ79</f>
        <v>349.033</v>
      </c>
      <c r="BA80" s="21" t="n">
        <f aca="false">BA74+BA75+BA78+BA79</f>
        <v>365.248</v>
      </c>
      <c r="BB80" s="21" t="n">
        <f aca="false">BB74+BB75+BB78+BB79</f>
        <v>714.281</v>
      </c>
      <c r="BC80" s="21" t="n">
        <f aca="false">BC74+BC75+BC78+BC79</f>
        <v>355.259</v>
      </c>
      <c r="BD80" s="21" t="n">
        <f aca="false">BD74+BD75+BD78+BD79</f>
        <v>319.944</v>
      </c>
      <c r="BE80" s="21" t="n">
        <f aca="false">BE74+BE75+BE78+BE79</f>
        <v>1389.484</v>
      </c>
      <c r="BF80" s="21" t="n">
        <f aca="false">BF74+BF75+BF78+BF79</f>
        <v>344.346</v>
      </c>
      <c r="BG80" s="21" t="n">
        <f aca="false">BG74+BG75+BG78+BG79</f>
        <v>358.81</v>
      </c>
      <c r="BH80" s="21" t="n">
        <f aca="false">BH74+BH75+BH78+BH79</f>
        <v>703.156</v>
      </c>
      <c r="BI80" s="21" t="n">
        <f aca="false">BI74+BI75+BI78+BI79</f>
        <v>405.799</v>
      </c>
      <c r="BJ80" s="21" t="n">
        <f aca="false">BJ74+BJ75+BJ78+BJ79</f>
        <v>447.13</v>
      </c>
      <c r="BK80" s="21" t="n">
        <f aca="false">BK74+BK75+BK78+BK79</f>
        <v>1556.085</v>
      </c>
      <c r="BL80" s="21" t="n">
        <f aca="false">BL74+BL75+BL78+BL79</f>
        <v>480.011</v>
      </c>
      <c r="BM80" s="21" t="n">
        <f aca="false">BM74+BM75+BM78+BM79</f>
        <v>520.132</v>
      </c>
      <c r="BN80" s="21" t="n">
        <f aca="false">BN74+BN75+BN78+BN79</f>
        <v>1000.143</v>
      </c>
      <c r="BO80" s="21" t="n">
        <f aca="false">BO74+BO75+BO78+BO79</f>
        <v>567.186</v>
      </c>
      <c r="BP80" s="21" t="n">
        <f aca="false">BP74+BP75+BP78+BP79</f>
        <v>558.595</v>
      </c>
      <c r="BQ80" s="21" t="n">
        <f aca="false">BQ74+BQ75+BQ78+BQ79</f>
        <v>2125.924</v>
      </c>
      <c r="BR80" s="21" t="n">
        <f aca="false">BR74+BR75+BR78+BR79</f>
        <v>581.869</v>
      </c>
      <c r="BS80" s="21" t="n">
        <f aca="false">BS74+BS75+BS78+BS79</f>
        <v>591.199</v>
      </c>
      <c r="BT80" s="21" t="n">
        <f aca="false">BT74+BT75+BT78+BT79</f>
        <v>1173.068</v>
      </c>
      <c r="BU80" s="21" t="n">
        <f aca="false">BU74+BU75+BU78+BU79</f>
        <v>602.907</v>
      </c>
      <c r="BV80" s="21" t="n">
        <f aca="false">BV74+BV75+BV78+BV79</f>
        <v>606.974</v>
      </c>
      <c r="BW80" s="21" t="n">
        <f aca="false">BW74+BW75+BW78+BW79</f>
        <v>2382.949</v>
      </c>
      <c r="BX80" s="21" t="n">
        <f aca="false">BX74+BX75+BX78+BX79</f>
        <v>625.04</v>
      </c>
      <c r="BY80" s="21" t="n">
        <f aca="false">BY74+BY75+BY78+BY79</f>
        <v>640.249</v>
      </c>
      <c r="BZ80" s="21" t="n">
        <f aca="false">BZ74+BZ75+BZ78+BZ79</f>
        <v>1265.289</v>
      </c>
      <c r="CA80" s="21" t="n">
        <f aca="false">CA74+CA75+CA78+CA79</f>
        <v>690.056</v>
      </c>
      <c r="CB80" s="21" t="n">
        <f aca="false">CB74+CB75+CB78+CB79</f>
        <v>709.455</v>
      </c>
      <c r="CC80" s="21" t="n">
        <f aca="false">CC74+CC75+CC78+CC79</f>
        <v>2664.8</v>
      </c>
      <c r="CD80" s="21" t="n">
        <f aca="false">CD74+CD75+CD78+CD79</f>
        <v>740.462</v>
      </c>
      <c r="CE80" s="21" t="n">
        <f aca="false">CE74+CE75+CE78+CE79</f>
        <v>737.105</v>
      </c>
      <c r="CF80" s="21" t="n">
        <f aca="false">CF74+CF75+CF78+CF79</f>
        <v>1477.567</v>
      </c>
      <c r="CG80" s="21" t="n">
        <f aca="false">CG74+CG75+CG78+CG79</f>
        <v>760.171</v>
      </c>
      <c r="CH80" s="21" t="n">
        <f aca="false">CH74+CH75+CH78+CH79</f>
        <v>712.506</v>
      </c>
      <c r="CI80" s="21" t="n">
        <f aca="false">CI74+CI75+CI78+CI79</f>
        <v>2950.244</v>
      </c>
      <c r="CJ80" s="21" t="n">
        <f aca="false">CJ74+CJ75+CJ78+CJ79</f>
        <v>724.336</v>
      </c>
      <c r="CK80" s="21" t="n">
        <f aca="false">CK74+CK75+CK78+CK79</f>
        <v>732.964</v>
      </c>
      <c r="CL80" s="21" t="n">
        <f aca="false">CL74+CL75+CL78+CL79</f>
        <v>1457.3</v>
      </c>
      <c r="CM80" s="21" t="n">
        <f aca="false">CM74+CM75+CM78+CM79</f>
        <v>772.784</v>
      </c>
      <c r="CN80" s="21" t="n">
        <f aca="false">CN74+CN75+CN78+CN79</f>
        <v>783.535</v>
      </c>
      <c r="CO80" s="21" t="n">
        <f aca="false">CO74+CO75+CO78+CO79</f>
        <v>3013.619</v>
      </c>
      <c r="CP80" s="23" t="n">
        <f aca="false">CP74+CP75+CP78+CP79</f>
        <v>3176.392164075</v>
      </c>
      <c r="CQ80" s="23" t="n">
        <f aca="false">CQ74+CQ75+CQ78+CQ79</f>
        <v>3336.92660364031</v>
      </c>
      <c r="CR80" s="23" t="n">
        <f aca="false">CR74+CR75+CR78+CR79</f>
        <v>3515.92197988858</v>
      </c>
      <c r="CS80" s="23" t="n">
        <f aca="false">CS74+CS75+CS78+CS79</f>
        <v>3702.26804029046</v>
      </c>
      <c r="CT80" s="23" t="n">
        <f aca="false">CT74+CT75+CT78+CT79</f>
        <v>3898.60339522252</v>
      </c>
      <c r="CU80" s="24"/>
      <c r="CW80" s="6"/>
      <c r="CX80" s="6"/>
      <c r="CY80" s="6"/>
      <c r="CZ80" s="6"/>
    </row>
    <row r="81" customFormat="false" ht="15" hidden="false" customHeight="false" outlineLevel="0" collapsed="false">
      <c r="B81" s="41" t="s">
        <v>194</v>
      </c>
      <c r="C81" s="42" t="n">
        <f aca="false">C73-C80</f>
        <v>171.562</v>
      </c>
      <c r="D81" s="42" t="n">
        <f aca="false">D73-D80</f>
        <v>203.145</v>
      </c>
      <c r="E81" s="42" t="n">
        <f aca="false">E73-E80</f>
        <v>237.917</v>
      </c>
      <c r="F81" s="42" t="n">
        <f aca="false">F73-F80</f>
        <v>225.325</v>
      </c>
      <c r="G81" s="42" t="n">
        <f aca="false">G73-G80</f>
        <v>239.07</v>
      </c>
      <c r="H81" s="42" t="n">
        <f aca="false">H73-H80</f>
        <v>265.29</v>
      </c>
      <c r="I81" s="42" t="n">
        <f aca="false">I73-I80</f>
        <v>286.353</v>
      </c>
      <c r="J81" s="21" t="n">
        <f aca="false">J73-J80</f>
        <v>74.357</v>
      </c>
      <c r="K81" s="21" t="n">
        <f aca="false">K73-K80</f>
        <v>62.77</v>
      </c>
      <c r="L81" s="21" t="n">
        <f aca="false">L73-L80</f>
        <v>137.127</v>
      </c>
      <c r="M81" s="21" t="n">
        <f aca="false">M73-M80</f>
        <v>82.8130000000001</v>
      </c>
      <c r="N81" s="21" t="n">
        <f aca="false">N73-N80</f>
        <v>63.052</v>
      </c>
      <c r="O81" s="42" t="n">
        <f aca="false">O73-O80</f>
        <v>282.992</v>
      </c>
      <c r="P81" s="21" t="n">
        <f aca="false">P73-P80</f>
        <v>64.959</v>
      </c>
      <c r="Q81" s="21" t="n">
        <f aca="false">Q73-Q80</f>
        <v>71.484</v>
      </c>
      <c r="R81" s="21" t="n">
        <f aca="false">R73-R80</f>
        <v>136.443</v>
      </c>
      <c r="S81" s="21" t="n">
        <f aca="false">S73-S80</f>
        <v>62.633</v>
      </c>
      <c r="T81" s="21" t="n">
        <f aca="false">T73-T80</f>
        <v>75.858</v>
      </c>
      <c r="U81" s="42" t="n">
        <f aca="false">U73-U80</f>
        <v>274.934</v>
      </c>
      <c r="V81" s="21" t="n">
        <f aca="false">V73-V80</f>
        <v>82.401</v>
      </c>
      <c r="W81" s="21" t="n">
        <f aca="false">W73-W80</f>
        <v>80.4680000000001</v>
      </c>
      <c r="X81" s="21" t="n">
        <f aca="false">X73-X80</f>
        <v>162.869</v>
      </c>
      <c r="Y81" s="21" t="n">
        <f aca="false">Y73-Y80</f>
        <v>94.767</v>
      </c>
      <c r="Z81" s="21" t="n">
        <f aca="false">Z73-Z80</f>
        <v>86.765</v>
      </c>
      <c r="AA81" s="42" t="n">
        <f aca="false">AA73-AA80</f>
        <v>344.401</v>
      </c>
      <c r="AB81" s="21" t="n">
        <f aca="false">AB73-AB80</f>
        <v>86.246</v>
      </c>
      <c r="AC81" s="21" t="n">
        <f aca="false">AC73-AC80</f>
        <v>92.085</v>
      </c>
      <c r="AD81" s="21" t="n">
        <f aca="false">AD73-AD80</f>
        <v>178.331</v>
      </c>
      <c r="AE81" s="21" t="n">
        <f aca="false">AE73-AE80</f>
        <v>121.948</v>
      </c>
      <c r="AF81" s="21" t="n">
        <f aca="false">AF73-AF80</f>
        <v>106.191</v>
      </c>
      <c r="AG81" s="42" t="n">
        <f aca="false">AG73-AG80</f>
        <v>406.47</v>
      </c>
      <c r="AH81" s="21" t="n">
        <f aca="false">AH73-AH80</f>
        <v>104.824</v>
      </c>
      <c r="AI81" s="21" t="n">
        <f aca="false">AI73-AI80</f>
        <v>108.88</v>
      </c>
      <c r="AJ81" s="21" t="n">
        <f aca="false">AJ73-AJ80</f>
        <v>213.704</v>
      </c>
      <c r="AK81" s="21" t="n">
        <f aca="false">AK73-AK80</f>
        <v>136.788</v>
      </c>
      <c r="AL81" s="21" t="n">
        <f aca="false">AL73-AL80</f>
        <v>110.807</v>
      </c>
      <c r="AM81" s="42" t="n">
        <f aca="false">AM73-AM80</f>
        <v>461.299</v>
      </c>
      <c r="AN81" s="21" t="n">
        <f aca="false">AN73-AN80</f>
        <v>123.942</v>
      </c>
      <c r="AO81" s="21" t="n">
        <f aca="false">AO73-AO80</f>
        <v>150.947</v>
      </c>
      <c r="AP81" s="21" t="n">
        <f aca="false">AP73-AP80</f>
        <v>274.889</v>
      </c>
      <c r="AQ81" s="21" t="n">
        <f aca="false">AQ73-AQ80</f>
        <v>174.619</v>
      </c>
      <c r="AR81" s="21" t="n">
        <f aca="false">AR73-AR80</f>
        <v>134.837</v>
      </c>
      <c r="AS81" s="42" t="n">
        <f aca="false">AS73-AS80</f>
        <v>584.345</v>
      </c>
      <c r="AT81" s="21" t="n">
        <f aca="false">AT73-AT80</f>
        <v>151.44</v>
      </c>
      <c r="AU81" s="21" t="n">
        <f aca="false">AU73-AU80</f>
        <v>164.739</v>
      </c>
      <c r="AV81" s="21" t="n">
        <f aca="false">AV73-AV80</f>
        <v>316.179</v>
      </c>
      <c r="AW81" s="21" t="n">
        <f aca="false">AW73-AW80</f>
        <v>207.494</v>
      </c>
      <c r="AX81" s="21" t="n">
        <f aca="false">AX73-AX80</f>
        <v>192.802</v>
      </c>
      <c r="AY81" s="42" t="n">
        <f aca="false">AY73-AY80</f>
        <v>716.475</v>
      </c>
      <c r="AZ81" s="21" t="n">
        <f aca="false">AZ73-AZ80</f>
        <v>205.391</v>
      </c>
      <c r="BA81" s="21" t="n">
        <f aca="false">BA73-BA80</f>
        <v>209.892</v>
      </c>
      <c r="BB81" s="21" t="n">
        <f aca="false">BB73-BB80</f>
        <v>415.283</v>
      </c>
      <c r="BC81" s="21" t="n">
        <f aca="false">BC73-BC80</f>
        <v>195.101</v>
      </c>
      <c r="BD81" s="21" t="n">
        <f aca="false">BD73-BD80</f>
        <v>205.715</v>
      </c>
      <c r="BE81" s="42" t="n">
        <f aca="false">BE73-BE80</f>
        <v>816.099</v>
      </c>
      <c r="BF81" s="21" t="n">
        <f aca="false">BF73-BF80</f>
        <v>248.594</v>
      </c>
      <c r="BG81" s="21" t="n">
        <f aca="false">BG73-BG80</f>
        <v>258.221</v>
      </c>
      <c r="BH81" s="21" t="n">
        <f aca="false">BH73-BH80</f>
        <v>506.815</v>
      </c>
      <c r="BI81" s="21" t="n">
        <f aca="false">BI73-BI80</f>
        <v>328.111</v>
      </c>
      <c r="BJ81" s="21" t="n">
        <f aca="false">BJ73-BJ80</f>
        <v>301.5</v>
      </c>
      <c r="BK81" s="42" t="n">
        <f aca="false">BK73-BK80</f>
        <v>1136.426</v>
      </c>
      <c r="BL81" s="21" t="n">
        <f aca="false">BL73-BL80</f>
        <v>330.121</v>
      </c>
      <c r="BM81" s="21" t="n">
        <f aca="false">BM73-BM80</f>
        <v>347.328</v>
      </c>
      <c r="BN81" s="21" t="n">
        <f aca="false">BN73-BN80</f>
        <v>677.449</v>
      </c>
      <c r="BO81" s="21" t="n">
        <f aca="false">BO73-BO80</f>
        <v>372.755</v>
      </c>
      <c r="BP81" s="21" t="n">
        <f aca="false">BP73-BP80</f>
        <v>324.793</v>
      </c>
      <c r="BQ81" s="42" t="n">
        <f aca="false">BQ73-BQ80</f>
        <v>1374.997</v>
      </c>
      <c r="BR81" s="21" t="n">
        <f aca="false">BR73-BR80</f>
        <v>311.503</v>
      </c>
      <c r="BS81" s="21" t="n">
        <f aca="false">BS73-BS80</f>
        <v>365.525</v>
      </c>
      <c r="BT81" s="21" t="n">
        <f aca="false">BT73-BT80</f>
        <v>677.028</v>
      </c>
      <c r="BU81" s="21" t="n">
        <f aca="false">BU73-BU80</f>
        <v>418.924</v>
      </c>
      <c r="BV81" s="21" t="n">
        <f aca="false">BV73-BV80</f>
        <v>390.617</v>
      </c>
      <c r="BW81" s="42" t="n">
        <f aca="false">BW73-BW80</f>
        <v>1486.569</v>
      </c>
      <c r="BX81" s="21" t="n">
        <f aca="false">BX73-BX80</f>
        <v>395.376</v>
      </c>
      <c r="BY81" s="21" t="n">
        <f aca="false">BY73-BY80</f>
        <v>379.9</v>
      </c>
      <c r="BZ81" s="21" t="n">
        <f aca="false">BZ73-BZ80</f>
        <v>775.276</v>
      </c>
      <c r="CA81" s="21" t="n">
        <f aca="false">CA73-CA80</f>
        <v>437.203</v>
      </c>
      <c r="CB81" s="21" t="n">
        <f aca="false">CB73-CB80</f>
        <v>359.544</v>
      </c>
      <c r="CC81" s="42" t="n">
        <f aca="false">CC73-CC80</f>
        <v>1572.023</v>
      </c>
      <c r="CD81" s="21" t="n">
        <f aca="false">CD73-CD80</f>
        <v>406.367</v>
      </c>
      <c r="CE81" s="21" t="n">
        <f aca="false">CE73-CE80</f>
        <v>426.211</v>
      </c>
      <c r="CF81" s="21" t="n">
        <f aca="false">CF73-CF80</f>
        <v>832.578</v>
      </c>
      <c r="CG81" s="21" t="n">
        <f aca="false">CG73-CG80</f>
        <v>451.545</v>
      </c>
      <c r="CH81" s="21" t="n">
        <f aca="false">CH73-CH80</f>
        <v>412.591</v>
      </c>
      <c r="CI81" s="42" t="n">
        <f aca="false">CI73-CI80</f>
        <v>1696.714</v>
      </c>
      <c r="CJ81" s="21" t="n">
        <f aca="false">CJ73-CJ80</f>
        <v>430.694</v>
      </c>
      <c r="CK81" s="21" t="n">
        <f aca="false">CK73-CK80</f>
        <v>388.71</v>
      </c>
      <c r="CL81" s="21" t="n">
        <f aca="false">CL73-CL80</f>
        <v>819.404</v>
      </c>
      <c r="CM81" s="21" t="n">
        <f aca="false">CM73-CM80</f>
        <v>464.282</v>
      </c>
      <c r="CN81" s="21" t="n">
        <f aca="false">CN73-CN80</f>
        <v>368.904</v>
      </c>
      <c r="CO81" s="42" t="n">
        <f aca="false">CO73-CO80</f>
        <v>1652.59</v>
      </c>
      <c r="CP81" s="42" t="n">
        <f aca="false">CP73-CP80</f>
        <v>1710.365011425</v>
      </c>
      <c r="CQ81" s="42" t="n">
        <f aca="false">CQ73-CQ80</f>
        <v>1836.60301440668</v>
      </c>
      <c r="CR81" s="42" t="n">
        <f aca="false">CR73-CR80</f>
        <v>1977.70611368732</v>
      </c>
      <c r="CS81" s="42" t="n">
        <f aca="false">CS73-CS80</f>
        <v>2128.0753302457</v>
      </c>
      <c r="CT81" s="42" t="n">
        <f aca="false">CT73-CT80</f>
        <v>2289.65596227355</v>
      </c>
      <c r="CU81" s="24"/>
      <c r="CW81" s="25" t="n">
        <f aca="false">IFERROR((CT81/CO81)^(1/5)-1,"n/m")</f>
        <v>0.0673848201173917</v>
      </c>
      <c r="CX81" s="25" t="n">
        <f aca="false">IFERROR((CO81/BK81)^(1/5)-1,"n/m")</f>
        <v>0.0777667765953016</v>
      </c>
      <c r="CY81" s="25" t="n">
        <f aca="false">IFERROR((CO81/AG81)^(1/10)-1,"n/m")</f>
        <v>0.15057163267267</v>
      </c>
      <c r="CZ81" s="25" t="n">
        <f aca="false">IFERROR((CO81/C81)^(1/20)-1,"n/m")</f>
        <v>0.11992051696523</v>
      </c>
    </row>
    <row r="82" customFormat="false" ht="15" hidden="false" customHeight="false" outlineLevel="0" collapsed="false">
      <c r="B82" s="28" t="s">
        <v>195</v>
      </c>
      <c r="C82" s="35" t="n">
        <f aca="false">IFERROR(C81/C73,"")</f>
        <v>0.324577019927313</v>
      </c>
      <c r="D82" s="35" t="n">
        <f aca="false">IFERROR(D81/D73,"")</f>
        <v>0.362318969822358</v>
      </c>
      <c r="E82" s="35" t="n">
        <f aca="false">IFERROR(E81/E73,"")</f>
        <v>0.303137677614009</v>
      </c>
      <c r="F82" s="35" t="n">
        <f aca="false">IFERROR(F81/F73,"")</f>
        <v>0.303230329896297</v>
      </c>
      <c r="G82" s="35" t="n">
        <f aca="false">IFERROR(G81/G73,"")</f>
        <v>0.309323969211222</v>
      </c>
      <c r="H82" s="35" t="n">
        <f aca="false">IFERROR(H81/H73,"")</f>
        <v>0.304145848762849</v>
      </c>
      <c r="I82" s="35" t="n">
        <f aca="false">IFERROR(I81/I73,"")</f>
        <v>0.309841796771447</v>
      </c>
      <c r="J82" s="35" t="n">
        <f aca="false">IFERROR(J81/J73,"")</f>
        <v>0.311291686552293</v>
      </c>
      <c r="K82" s="35" t="n">
        <f aca="false">IFERROR(K81/K73,"")</f>
        <v>0.235813438022428</v>
      </c>
      <c r="L82" s="35" t="n">
        <f aca="false">IFERROR(L81/L73,"")</f>
        <v>0.27151119391903</v>
      </c>
      <c r="M82" s="35" t="n">
        <f aca="false">IFERROR(M81/M73,"")</f>
        <v>0.298276892932524</v>
      </c>
      <c r="N82" s="35" t="n">
        <f aca="false">IFERROR(N81/N73,"")</f>
        <v>0.239107763835008</v>
      </c>
      <c r="O82" s="35" t="n">
        <f aca="false">IFERROR(O81/O73,"")</f>
        <v>0.270447043442859</v>
      </c>
      <c r="P82" s="35" t="n">
        <f aca="false">IFERROR(P81/P73,"")</f>
        <v>0.2320934104608</v>
      </c>
      <c r="Q82" s="35" t="n">
        <f aca="false">IFERROR(Q81/Q73,"")</f>
        <v>0.249565344896206</v>
      </c>
      <c r="R82" s="35" t="n">
        <f aca="false">IFERROR(R81/R73,"")</f>
        <v>0.240930432955394</v>
      </c>
      <c r="S82" s="35" t="n">
        <f aca="false">IFERROR(S81/S73,"")</f>
        <v>0.202223284106392</v>
      </c>
      <c r="T82" s="35" t="n">
        <f aca="false">IFERROR(T81/T73,"")</f>
        <v>0.263899808662376</v>
      </c>
      <c r="U82" s="35" t="n">
        <f aca="false">IFERROR(U81/U73,"")</f>
        <v>0.236301331598322</v>
      </c>
      <c r="V82" s="35" t="n">
        <f aca="false">IFERROR(V81/V73,"")</f>
        <v>0.283763680067221</v>
      </c>
      <c r="W82" s="35" t="n">
        <f aca="false">IFERROR(W81/W73,"")</f>
        <v>0.291278442615237</v>
      </c>
      <c r="X82" s="35" t="n">
        <f aca="false">IFERROR(X81/X73,"")</f>
        <v>0.287427379448119</v>
      </c>
      <c r="Y82" s="35" t="n">
        <f aca="false">IFERROR(Y81/Y73,"")</f>
        <v>0.318928323831703</v>
      </c>
      <c r="Z82" s="35" t="n">
        <f aca="false">IFERROR(Z81/Z73,"")</f>
        <v>0.307357957866472</v>
      </c>
      <c r="AA82" s="35" t="n">
        <f aca="false">IFERROR(AA81/AA73,"")</f>
        <v>0.300503717457523</v>
      </c>
      <c r="AB82" s="35" t="n">
        <f aca="false">IFERROR(AB81/AB73,"")</f>
        <v>0.298596445066093</v>
      </c>
      <c r="AC82" s="35" t="n">
        <f aca="false">IFERROR(AC81/AC73,"")</f>
        <v>0.307251106083962</v>
      </c>
      <c r="AD82" s="35" t="n">
        <f aca="false">IFERROR(AD81/AD73,"")</f>
        <v>0.303003683666812</v>
      </c>
      <c r="AE82" s="35" t="n">
        <f aca="false">IFERROR(AE81/AE73,"")</f>
        <v>0.351186190769656</v>
      </c>
      <c r="AF82" s="35" t="n">
        <f aca="false">IFERROR(AF81/AF73,"")</f>
        <v>0.319218779591113</v>
      </c>
      <c r="AG82" s="35" t="n">
        <f aca="false">IFERROR(AG81/AG73,"")</f>
        <v>0.320446466511464</v>
      </c>
      <c r="AH82" s="35" t="n">
        <f aca="false">IFERROR(AH81/AH73,"")</f>
        <v>0.302967418227642</v>
      </c>
      <c r="AI82" s="35" t="n">
        <f aca="false">IFERROR(AI81/AI73,"")</f>
        <v>0.311502237277274</v>
      </c>
      <c r="AJ82" s="35" t="n">
        <f aca="false">IFERROR(AJ81/AJ73,"")</f>
        <v>0.307256553701315</v>
      </c>
      <c r="AK82" s="35" t="n">
        <f aca="false">IFERROR(AK81/AK73,"")</f>
        <v>0.36587831873793</v>
      </c>
      <c r="AL82" s="35" t="n">
        <f aca="false">IFERROR(AL81/AL73,"")</f>
        <v>0.292678739342201</v>
      </c>
      <c r="AM82" s="35" t="n">
        <f aca="false">IFERROR(AM81/AM73,"")</f>
        <v>0.318580837731987</v>
      </c>
      <c r="AN82" s="35" t="n">
        <f aca="false">IFERROR(AN81/AN73,"")</f>
        <v>0.295685739369418</v>
      </c>
      <c r="AO82" s="35" t="n">
        <f aca="false">IFERROR(AO81/AO73,"")</f>
        <v>0.328784637970316</v>
      </c>
      <c r="AP82" s="35" t="n">
        <f aca="false">IFERROR(AP81/AP73,"")</f>
        <v>0.312987746420821</v>
      </c>
      <c r="AQ82" s="35" t="n">
        <f aca="false">IFERROR(AQ81/AQ73,"")</f>
        <v>0.365160456547288</v>
      </c>
      <c r="AR82" s="35" t="n">
        <f aca="false">IFERROR(AR81/AR73,"")</f>
        <v>0.30015604721931</v>
      </c>
      <c r="AS82" s="35" t="n">
        <f aca="false">IFERROR(AS81/AS73,"")</f>
        <v>0.323612237947162</v>
      </c>
      <c r="AT82" s="35" t="n">
        <f aca="false">IFERROR(AT81/AT73,"")</f>
        <v>0.328241230427771</v>
      </c>
      <c r="AU82" s="35" t="n">
        <f aca="false">IFERROR(AU81/AU73,"")</f>
        <v>0.33973949160442</v>
      </c>
      <c r="AV82" s="35" t="n">
        <f aca="false">IFERROR(AV81/AV73,"")</f>
        <v>0.334133319806482</v>
      </c>
      <c r="AW82" s="35" t="n">
        <f aca="false">IFERROR(AW81/AW73,"")</f>
        <v>0.375136499396148</v>
      </c>
      <c r="AX82" s="35" t="n">
        <f aca="false">IFERROR(AX81/AX73,"")</f>
        <v>0.35534626549325</v>
      </c>
      <c r="AY82" s="35" t="n">
        <f aca="false">IFERROR(AY81/AY73,"")</f>
        <v>0.350876634522666</v>
      </c>
      <c r="AZ82" s="35" t="n">
        <f aca="false">IFERROR(AZ81/AZ73,"")</f>
        <v>0.370458349566397</v>
      </c>
      <c r="BA82" s="35" t="n">
        <f aca="false">IFERROR(BA81/BA73,"")</f>
        <v>0.364940710087979</v>
      </c>
      <c r="BB82" s="35" t="n">
        <f aca="false">IFERROR(BB81/BB73,"")</f>
        <v>0.367648933570829</v>
      </c>
      <c r="BC82" s="35" t="n">
        <f aca="false">IFERROR(BC81/BC73,"")</f>
        <v>0.354497056472127</v>
      </c>
      <c r="BD82" s="35" t="n">
        <f aca="false">IFERROR(BD81/BD73,"")</f>
        <v>0.391346861748776</v>
      </c>
      <c r="BE82" s="35" t="n">
        <f aca="false">IFERROR(BE81/BE73,"")</f>
        <v>0.370015093514957</v>
      </c>
      <c r="BF82" s="35" t="n">
        <f aca="false">IFERROR(BF81/BF73,"")</f>
        <v>0.419256585826559</v>
      </c>
      <c r="BG82" s="35" t="n">
        <f aca="false">IFERROR(BG81/BG73,"")</f>
        <v>0.418489508630847</v>
      </c>
      <c r="BH82" s="35" t="n">
        <f aca="false">IFERROR(BH81/BH73,"")</f>
        <v>0.418865410823896</v>
      </c>
      <c r="BI82" s="35" t="n">
        <f aca="false">IFERROR(BI81/BI73,"")</f>
        <v>0.447072529329209</v>
      </c>
      <c r="BJ82" s="35" t="n">
        <f aca="false">IFERROR(BJ81/BJ73,"")</f>
        <v>0.402735663812564</v>
      </c>
      <c r="BK82" s="35" t="n">
        <f aca="false">IFERROR(BK81/BK73,"")</f>
        <v>0.422069213459109</v>
      </c>
      <c r="BL82" s="35" t="n">
        <f aca="false">IFERROR(BL81/BL73,"")</f>
        <v>0.407490384283055</v>
      </c>
      <c r="BM82" s="35" t="n">
        <f aca="false">IFERROR(BM81/BM73,"")</f>
        <v>0.400396560071934</v>
      </c>
      <c r="BN82" s="35" t="n">
        <f aca="false">IFERROR(BN81/BN73,"")</f>
        <v>0.403822264293106</v>
      </c>
      <c r="BO82" s="35" t="n">
        <f aca="false">IFERROR(BO81/BO73,"")</f>
        <v>0.396572763609631</v>
      </c>
      <c r="BP82" s="35" t="n">
        <f aca="false">IFERROR(BP81/BP73,"")</f>
        <v>0.367667434921009</v>
      </c>
      <c r="BQ82" s="35" t="n">
        <f aca="false">IFERROR(BQ81/BQ73,"")</f>
        <v>0.392752935584665</v>
      </c>
      <c r="BR82" s="35" t="n">
        <f aca="false">IFERROR(BR81/BR73,"")</f>
        <v>0.348682295840926</v>
      </c>
      <c r="BS82" s="35" t="n">
        <f aca="false">IFERROR(BS81/BS73,"")</f>
        <v>0.382058984618343</v>
      </c>
      <c r="BT82" s="35" t="n">
        <f aca="false">IFERROR(BT81/BT73,"")</f>
        <v>0.365942091653622</v>
      </c>
      <c r="BU82" s="35" t="n">
        <f aca="false">IFERROR(BU81/BU73,"")</f>
        <v>0.409973860648189</v>
      </c>
      <c r="BV82" s="35" t="n">
        <f aca="false">IFERROR(BV81/BV73,"")</f>
        <v>0.391560268687268</v>
      </c>
      <c r="BW82" s="35" t="n">
        <f aca="false">IFERROR(BW81/BW73,"")</f>
        <v>0.384174204642542</v>
      </c>
      <c r="BX82" s="35" t="n">
        <f aca="false">IFERROR(BX81/BX73,"")</f>
        <v>0.387465504264927</v>
      </c>
      <c r="BY82" s="35" t="n">
        <f aca="false">IFERROR(BY81/BY73,"")</f>
        <v>0.372396581283715</v>
      </c>
      <c r="BZ82" s="35" t="n">
        <f aca="false">IFERROR(BZ81/BZ73,"")</f>
        <v>0.379932028629326</v>
      </c>
      <c r="CA82" s="35" t="n">
        <f aca="false">IFERROR(CA81/CA73,"")</f>
        <v>0.387846093932273</v>
      </c>
      <c r="CB82" s="35" t="n">
        <f aca="false">IFERROR(CB81/CB73,"")</f>
        <v>0.336337077957977</v>
      </c>
      <c r="CC82" s="35" t="n">
        <f aca="false">IFERROR(CC81/CC73,"")</f>
        <v>0.371038157600636</v>
      </c>
      <c r="CD82" s="35" t="n">
        <f aca="false">IFERROR(CD81/CD73,"")</f>
        <v>0.354339661797879</v>
      </c>
      <c r="CE82" s="35" t="n">
        <f aca="false">IFERROR(CE81/CE73,"")</f>
        <v>0.366375946002634</v>
      </c>
      <c r="CF82" s="35" t="n">
        <f aca="false">IFERROR(CF81/CF73,"")</f>
        <v>0.360400754065221</v>
      </c>
      <c r="CG82" s="35" t="n">
        <f aca="false">IFERROR(CG81/CG73,"")</f>
        <v>0.372649201628104</v>
      </c>
      <c r="CH82" s="35" t="n">
        <f aca="false">IFERROR(CH81/CH73,"")</f>
        <v>0.366715936492587</v>
      </c>
      <c r="CI82" s="35" t="n">
        <f aca="false">IFERROR(CI81/CI73,"")</f>
        <v>0.365123592681492</v>
      </c>
      <c r="CJ82" s="35" t="n">
        <f aca="false">IFERROR(CJ81/CJ73,"")</f>
        <v>0.372885552756206</v>
      </c>
      <c r="CK82" s="35" t="n">
        <f aca="false">IFERROR(CK81/CK73,"")</f>
        <v>0.346544539679087</v>
      </c>
      <c r="CL82" s="35" t="n">
        <f aca="false">IFERROR(CL81/CL73,"")</f>
        <v>0.359908007365033</v>
      </c>
      <c r="CM82" s="35" t="n">
        <f aca="false">IFERROR(CM81/CM73,"")</f>
        <v>0.375308997256411</v>
      </c>
      <c r="CN82" s="35" t="n">
        <f aca="false">IFERROR(CN81/CN73,"")</f>
        <v>0.32010718137793</v>
      </c>
      <c r="CO82" s="35" t="n">
        <f aca="false">IFERROR(CO81/CO73,"")</f>
        <v>0.354161161662497</v>
      </c>
      <c r="CP82" s="45" t="n">
        <f aca="false">IFERROR(CP81/CP73,"")</f>
        <v>0.35</v>
      </c>
      <c r="CQ82" s="45" t="n">
        <f aca="false">IFERROR(CQ81/CQ73,"")</f>
        <v>0.355</v>
      </c>
      <c r="CR82" s="45" t="n">
        <f aca="false">IFERROR(CR81/CR73,"")</f>
        <v>0.36</v>
      </c>
      <c r="CS82" s="45" t="n">
        <f aca="false">IFERROR(CS81/CS73,"")</f>
        <v>0.365</v>
      </c>
      <c r="CT82" s="45" t="n">
        <f aca="false">IFERROR(CT81/CT73,"")</f>
        <v>0.37</v>
      </c>
      <c r="CU82" s="24"/>
      <c r="CW82" s="49" t="n">
        <f aca="false">IFERROR(AVERAGE(CP82:CT82),"n/m")</f>
        <v>0.36</v>
      </c>
      <c r="CX82" s="6"/>
      <c r="CY82" s="6"/>
      <c r="CZ82" s="6"/>
    </row>
    <row r="83" customFormat="false" ht="15" hidden="false" customHeight="false" outlineLevel="0" collapsed="false">
      <c r="B83" s="15" t="s">
        <v>196</v>
      </c>
      <c r="C83" s="50" t="n">
        <v>0.072</v>
      </c>
      <c r="D83" s="50" t="n">
        <v>0.083</v>
      </c>
      <c r="E83" s="50" t="n">
        <v>0.209</v>
      </c>
      <c r="F83" s="50" t="n">
        <v>0.274</v>
      </c>
      <c r="G83" s="50" t="n">
        <v>0.216</v>
      </c>
      <c r="H83" s="50" t="n">
        <v>4.078</v>
      </c>
      <c r="I83" s="50" t="n">
        <v>11.341</v>
      </c>
      <c r="J83" s="50" t="n">
        <v>2.632</v>
      </c>
      <c r="K83" s="50" t="n">
        <v>2.588</v>
      </c>
      <c r="L83" s="39" t="n">
        <f aca="false">J83+K83</f>
        <v>5.22</v>
      </c>
      <c r="M83" s="50" t="n">
        <v>2.538</v>
      </c>
      <c r="N83" s="50" t="n">
        <v>2.509</v>
      </c>
      <c r="O83" s="50" t="n">
        <v>10.267</v>
      </c>
      <c r="P83" s="50" t="n">
        <v>2.286</v>
      </c>
      <c r="Q83" s="50" t="n">
        <v>2.209</v>
      </c>
      <c r="R83" s="39" t="n">
        <f aca="false">P83+Q83</f>
        <v>4.495</v>
      </c>
      <c r="S83" s="50" t="n">
        <v>2.104</v>
      </c>
      <c r="T83" s="50" t="n">
        <v>2.169</v>
      </c>
      <c r="U83" s="50" t="n">
        <v>8.768</v>
      </c>
      <c r="V83" s="50" t="n">
        <v>1.91</v>
      </c>
      <c r="W83" s="50" t="n">
        <v>4.688</v>
      </c>
      <c r="X83" s="39" t="n">
        <f aca="false">V83+W83</f>
        <v>6.598</v>
      </c>
      <c r="Y83" s="50" t="n">
        <v>5.917</v>
      </c>
      <c r="Z83" s="50" t="n">
        <v>5.606</v>
      </c>
      <c r="AA83" s="50" t="n">
        <v>18.121</v>
      </c>
      <c r="AB83" s="50" t="n">
        <v>5.724</v>
      </c>
      <c r="AC83" s="50" t="n">
        <v>5.57</v>
      </c>
      <c r="AD83" s="39" t="n">
        <f aca="false">AB83+AC83</f>
        <v>11.294</v>
      </c>
      <c r="AE83" s="50" t="n">
        <v>5.702</v>
      </c>
      <c r="AF83" s="50" t="n">
        <v>6.61</v>
      </c>
      <c r="AG83" s="50" t="n">
        <v>23.606</v>
      </c>
      <c r="AH83" s="50" t="n">
        <v>5.959</v>
      </c>
      <c r="AI83" s="50" t="n">
        <v>6.144</v>
      </c>
      <c r="AJ83" s="39" t="n">
        <f aca="false">AH83+AI83</f>
        <v>12.103</v>
      </c>
      <c r="AK83" s="50" t="n">
        <v>5.869</v>
      </c>
      <c r="AL83" s="50" t="n">
        <v>5.807</v>
      </c>
      <c r="AM83" s="50" t="n">
        <v>23.779</v>
      </c>
      <c r="AN83" s="50" t="n">
        <v>5.595</v>
      </c>
      <c r="AO83" s="50" t="n">
        <v>5.758</v>
      </c>
      <c r="AP83" s="39" t="n">
        <f aca="false">AN83+AO83</f>
        <v>11.353</v>
      </c>
      <c r="AQ83" s="50" t="n">
        <v>4.416</v>
      </c>
      <c r="AR83" s="50" t="n">
        <v>4.599</v>
      </c>
      <c r="AS83" s="50" t="n">
        <v>20.368</v>
      </c>
      <c r="AT83" s="50" t="n">
        <v>4.651</v>
      </c>
      <c r="AU83" s="50" t="n">
        <v>5.233</v>
      </c>
      <c r="AV83" s="39" t="n">
        <f aca="false">AT83+AU83</f>
        <v>9.884</v>
      </c>
      <c r="AW83" s="50" t="n">
        <v>5.324</v>
      </c>
      <c r="AX83" s="50" t="n">
        <v>4.602</v>
      </c>
      <c r="AY83" s="50" t="n">
        <v>19.81</v>
      </c>
      <c r="AZ83" s="50" t="n">
        <v>4.611</v>
      </c>
      <c r="BA83" s="50" t="n">
        <v>4.914</v>
      </c>
      <c r="BB83" s="39" t="n">
        <f aca="false">AZ83+BA83</f>
        <v>9.525</v>
      </c>
      <c r="BC83" s="50" t="n">
        <v>5.803</v>
      </c>
      <c r="BD83" s="50" t="n">
        <v>4.902</v>
      </c>
      <c r="BE83" s="50" t="n">
        <v>20.23</v>
      </c>
      <c r="BF83" s="50"/>
      <c r="BG83" s="50"/>
      <c r="BH83" s="39"/>
      <c r="BI83" s="50"/>
      <c r="BJ83" s="50"/>
      <c r="BK83" s="50"/>
      <c r="BL83" s="50"/>
      <c r="BM83" s="50"/>
      <c r="BN83" s="39"/>
      <c r="BO83" s="50"/>
      <c r="BP83" s="50"/>
      <c r="BQ83" s="50"/>
      <c r="BR83" s="50"/>
      <c r="BS83" s="50"/>
      <c r="BT83" s="39"/>
      <c r="BU83" s="50"/>
      <c r="BV83" s="50"/>
      <c r="BW83" s="50"/>
      <c r="BX83" s="50"/>
      <c r="BY83" s="50"/>
      <c r="BZ83" s="39"/>
      <c r="CA83" s="50"/>
      <c r="CB83" s="50"/>
      <c r="CC83" s="50"/>
      <c r="CD83" s="50"/>
      <c r="CE83" s="50"/>
      <c r="CF83" s="39"/>
      <c r="CG83" s="50"/>
      <c r="CH83" s="50"/>
      <c r="CI83" s="50"/>
      <c r="CJ83" s="50"/>
      <c r="CK83" s="50"/>
      <c r="CL83" s="39"/>
      <c r="CM83" s="50"/>
      <c r="CN83" s="50"/>
      <c r="CO83" s="50"/>
      <c r="CP83" s="40" t="n">
        <f aca="false">CP304</f>
        <v>0</v>
      </c>
      <c r="CQ83" s="40" t="n">
        <f aca="false">CQ304</f>
        <v>0</v>
      </c>
      <c r="CR83" s="40" t="n">
        <f aca="false">CR304</f>
        <v>0</v>
      </c>
      <c r="CS83" s="40" t="n">
        <f aca="false">CS304</f>
        <v>0</v>
      </c>
      <c r="CT83" s="40" t="n">
        <f aca="false">CT304</f>
        <v>0</v>
      </c>
      <c r="CU83" s="24" t="s">
        <v>197</v>
      </c>
      <c r="CW83" s="25"/>
      <c r="CX83" s="25"/>
      <c r="CY83" s="25"/>
      <c r="CZ83" s="25"/>
    </row>
    <row r="84" customFormat="false" ht="15" hidden="false" customHeight="false" outlineLevel="0" collapsed="false">
      <c r="B84" s="15" t="s">
        <v>198</v>
      </c>
      <c r="C84" s="50" t="n">
        <v>8.182</v>
      </c>
      <c r="D84" s="50" t="n">
        <v>13.727</v>
      </c>
      <c r="E84" s="50" t="n">
        <v>7.761</v>
      </c>
      <c r="F84" s="50" t="n">
        <v>1.692</v>
      </c>
      <c r="G84" s="50" t="n">
        <v>0.205</v>
      </c>
      <c r="H84" s="50" t="n">
        <v>0.493</v>
      </c>
      <c r="I84" s="50" t="n">
        <v>0.357</v>
      </c>
      <c r="J84" s="50" t="n">
        <v>0.156</v>
      </c>
      <c r="K84" s="50" t="n">
        <v>0.191</v>
      </c>
      <c r="L84" s="39" t="n">
        <f aca="false">J84+K84</f>
        <v>0.347</v>
      </c>
      <c r="M84" s="50" t="n">
        <v>0.138</v>
      </c>
      <c r="N84" s="50" t="n">
        <v>0.153</v>
      </c>
      <c r="O84" s="50" t="n">
        <v>0.638</v>
      </c>
      <c r="P84" s="50" t="n">
        <v>0.149</v>
      </c>
      <c r="Q84" s="50" t="n">
        <v>0.143</v>
      </c>
      <c r="R84" s="39" t="n">
        <f aca="false">P84+Q84</f>
        <v>0.292</v>
      </c>
      <c r="S84" s="50" t="n">
        <v>0.081</v>
      </c>
      <c r="T84" s="50" t="n">
        <v>0.118</v>
      </c>
      <c r="U84" s="50" t="n">
        <v>0.491</v>
      </c>
      <c r="V84" s="50" t="n">
        <v>0.139</v>
      </c>
      <c r="W84" s="50" t="n">
        <v>0.183</v>
      </c>
      <c r="X84" s="39" t="n">
        <f aca="false">V84+W84</f>
        <v>0.322</v>
      </c>
      <c r="Y84" s="50" t="n">
        <v>0.261</v>
      </c>
      <c r="Z84" s="50" t="n">
        <v>0.234</v>
      </c>
      <c r="AA84" s="50" t="n">
        <v>0.817</v>
      </c>
      <c r="AB84" s="50" t="n">
        <v>0.211</v>
      </c>
      <c r="AC84" s="50" t="n">
        <v>0.602</v>
      </c>
      <c r="AD84" s="39" t="n">
        <f aca="false">AB84+AC84</f>
        <v>0.813</v>
      </c>
      <c r="AE84" s="50" t="n">
        <v>0.283</v>
      </c>
      <c r="AF84" s="50" t="n">
        <v>0.353</v>
      </c>
      <c r="AG84" s="50" t="n">
        <v>1.449</v>
      </c>
      <c r="AH84" s="50" t="n">
        <v>0.337</v>
      </c>
      <c r="AI84" s="50" t="n">
        <v>0.384</v>
      </c>
      <c r="AJ84" s="39" t="n">
        <f aca="false">AH84+AI84</f>
        <v>0.721</v>
      </c>
      <c r="AK84" s="50" t="n">
        <v>0.363</v>
      </c>
      <c r="AL84" s="50" t="n">
        <v>0.322</v>
      </c>
      <c r="AM84" s="50" t="n">
        <v>1.406</v>
      </c>
      <c r="AN84" s="50" t="n">
        <v>0.197</v>
      </c>
      <c r="AO84" s="50" t="n">
        <v>0.197</v>
      </c>
      <c r="AP84" s="39" t="n">
        <f aca="false">AN84+AO84</f>
        <v>0.394</v>
      </c>
      <c r="AQ84" s="50" t="n">
        <v>0.282</v>
      </c>
      <c r="AR84" s="50" t="n">
        <v>0.617</v>
      </c>
      <c r="AS84" s="50" t="n">
        <v>1.293</v>
      </c>
      <c r="AT84" s="50" t="n">
        <v>0.96</v>
      </c>
      <c r="AU84" s="50" t="n">
        <v>0.678</v>
      </c>
      <c r="AV84" s="39" t="n">
        <f aca="false">AT84+AU84</f>
        <v>1.638</v>
      </c>
      <c r="AW84" s="50" t="n">
        <v>0.24</v>
      </c>
      <c r="AX84" s="50" t="n">
        <v>0.347</v>
      </c>
      <c r="AY84" s="50" t="n">
        <v>2.225</v>
      </c>
      <c r="AZ84" s="50" t="n">
        <v>0.585</v>
      </c>
      <c r="BA84" s="50" t="n">
        <v>0.45</v>
      </c>
      <c r="BB84" s="39" t="n">
        <f aca="false">AZ84+BA84</f>
        <v>1.035</v>
      </c>
      <c r="BC84" s="50" t="n">
        <v>0.225</v>
      </c>
      <c r="BD84" s="50" t="n">
        <v>0.099</v>
      </c>
      <c r="BE84" s="50" t="n">
        <v>1.359</v>
      </c>
      <c r="BF84" s="50" t="n">
        <v>-5.032</v>
      </c>
      <c r="BG84" s="50" t="n">
        <v>-4.849</v>
      </c>
      <c r="BH84" s="39" t="n">
        <f aca="false">BF84+BG84</f>
        <v>-9.881</v>
      </c>
      <c r="BI84" s="50" t="n">
        <v>-5.346</v>
      </c>
      <c r="BJ84" s="50" t="n">
        <v>-5.02</v>
      </c>
      <c r="BK84" s="50" t="n">
        <v>-20.247</v>
      </c>
      <c r="BL84" s="50" t="n">
        <v>-5.107</v>
      </c>
      <c r="BM84" s="50" t="n">
        <v>-4.433</v>
      </c>
      <c r="BN84" s="39" t="n">
        <f aca="false">BL84+BM84</f>
        <v>-9.54</v>
      </c>
      <c r="BO84" s="50" t="n">
        <v>-4.492</v>
      </c>
      <c r="BP84" s="50" t="n">
        <v>-2.656</v>
      </c>
      <c r="BQ84" s="50" t="n">
        <v>-16.688</v>
      </c>
      <c r="BR84" s="50" t="n">
        <v>4.422</v>
      </c>
      <c r="BS84" s="50" t="n">
        <v>14.48</v>
      </c>
      <c r="BT84" s="39" t="n">
        <f aca="false">BR84+BS84</f>
        <v>18.902</v>
      </c>
      <c r="BU84" s="50" t="n">
        <v>17.878</v>
      </c>
      <c r="BV84" s="50" t="n">
        <v>29.148</v>
      </c>
      <c r="BW84" s="50" t="n">
        <v>65.928</v>
      </c>
      <c r="BX84" s="50" t="n">
        <v>32.005</v>
      </c>
      <c r="BY84" s="50" t="n">
        <v>33.956</v>
      </c>
      <c r="BZ84" s="39" t="n">
        <f aca="false">BX84+BY84</f>
        <v>65.961</v>
      </c>
      <c r="CA84" s="50" t="n">
        <v>36.218</v>
      </c>
      <c r="CB84" s="50" t="n">
        <v>43.494</v>
      </c>
      <c r="CC84" s="50" t="n">
        <v>145.673</v>
      </c>
      <c r="CD84" s="50" t="n">
        <v>45.547</v>
      </c>
      <c r="CE84" s="50" t="n">
        <v>40.747</v>
      </c>
      <c r="CF84" s="39" t="n">
        <f aca="false">CD84+CE84</f>
        <v>86.294</v>
      </c>
      <c r="CG84" s="50" t="n">
        <v>42.776</v>
      </c>
      <c r="CH84" s="50" t="n">
        <v>49.839</v>
      </c>
      <c r="CI84" s="50" t="n">
        <v>178.909</v>
      </c>
      <c r="CJ84" s="50" t="n">
        <v>53.505</v>
      </c>
      <c r="CK84" s="50" t="n">
        <v>49.987</v>
      </c>
      <c r="CL84" s="39" t="n">
        <f aca="false">CJ84+CK84</f>
        <v>103.492</v>
      </c>
      <c r="CM84" s="50" t="n">
        <v>38.813</v>
      </c>
      <c r="CN84" s="50" t="n">
        <v>39.618</v>
      </c>
      <c r="CO84" s="50" t="n">
        <v>181.923</v>
      </c>
      <c r="CP84" s="40" t="n">
        <f aca="false">CP305*(CO243+CO244)</f>
        <v>157.14307</v>
      </c>
      <c r="CQ84" s="40" t="n">
        <f aca="false">CQ305*(CP243+CP244)</f>
        <v>127.055686563</v>
      </c>
      <c r="CR84" s="40" t="n">
        <f aca="false">CR305*(CQ243+CQ244)</f>
        <v>136.193167195087</v>
      </c>
      <c r="CS84" s="40" t="n">
        <f aca="false">CS305*(CR243+CR244)</f>
        <v>146.405188693798</v>
      </c>
      <c r="CT84" s="40" t="n">
        <f aca="false">CT305*(CS243+CS244)</f>
        <v>157.273512420213</v>
      </c>
      <c r="CU84" s="24" t="s">
        <v>199</v>
      </c>
      <c r="CW84" s="25"/>
      <c r="CX84" s="25"/>
      <c r="CY84" s="25"/>
      <c r="CZ84" s="25"/>
    </row>
    <row r="85" customFormat="false" ht="15" hidden="false" customHeight="false" outlineLevel="0" collapsed="false">
      <c r="B85" s="15" t="s">
        <v>200</v>
      </c>
      <c r="C85" s="50" t="n">
        <v>0</v>
      </c>
      <c r="D85" s="50" t="n">
        <v>0</v>
      </c>
      <c r="E85" s="50" t="n">
        <v>0</v>
      </c>
      <c r="F85" s="50"/>
      <c r="G85" s="50"/>
      <c r="H85" s="50"/>
      <c r="I85" s="50"/>
      <c r="J85" s="50"/>
      <c r="K85" s="50"/>
      <c r="L85" s="39"/>
      <c r="M85" s="50"/>
      <c r="N85" s="50"/>
      <c r="O85" s="50"/>
      <c r="P85" s="50"/>
      <c r="Q85" s="50"/>
      <c r="R85" s="39"/>
      <c r="S85" s="50"/>
      <c r="T85" s="50"/>
      <c r="U85" s="50"/>
      <c r="V85" s="50"/>
      <c r="W85" s="50"/>
      <c r="X85" s="39"/>
      <c r="Y85" s="50"/>
      <c r="Z85" s="50"/>
      <c r="AA85" s="50"/>
      <c r="AB85" s="50"/>
      <c r="AC85" s="50"/>
      <c r="AD85" s="39"/>
      <c r="AE85" s="50"/>
      <c r="AF85" s="50"/>
      <c r="AG85" s="50"/>
      <c r="AH85" s="50"/>
      <c r="AI85" s="50"/>
      <c r="AJ85" s="39"/>
      <c r="AK85" s="50"/>
      <c r="AL85" s="50"/>
      <c r="AM85" s="50"/>
      <c r="AN85" s="50"/>
      <c r="AO85" s="50"/>
      <c r="AP85" s="39"/>
      <c r="AQ85" s="50"/>
      <c r="AR85" s="50"/>
      <c r="AS85" s="50"/>
      <c r="AT85" s="50"/>
      <c r="AU85" s="50"/>
      <c r="AV85" s="39"/>
      <c r="AW85" s="50"/>
      <c r="AX85" s="50"/>
      <c r="AY85" s="50"/>
      <c r="AZ85" s="50"/>
      <c r="BA85" s="50"/>
      <c r="BB85" s="39"/>
      <c r="BC85" s="50"/>
      <c r="BD85" s="50"/>
      <c r="BE85" s="50" t="n">
        <v>0</v>
      </c>
      <c r="BF85" s="50"/>
      <c r="BG85" s="50"/>
      <c r="BH85" s="39"/>
      <c r="BI85" s="50"/>
      <c r="BJ85" s="50"/>
      <c r="BK85" s="50" t="n">
        <v>0</v>
      </c>
      <c r="BL85" s="50"/>
      <c r="BM85" s="50"/>
      <c r="BN85" s="39"/>
      <c r="BO85" s="50"/>
      <c r="BP85" s="50" t="n">
        <v>-16.759</v>
      </c>
      <c r="BQ85" s="50" t="n">
        <v>-16.759</v>
      </c>
      <c r="BR85" s="50"/>
      <c r="BS85" s="50"/>
      <c r="BT85" s="39"/>
      <c r="BU85" s="50"/>
      <c r="BV85" s="50"/>
      <c r="BW85" s="50" t="n">
        <v>0</v>
      </c>
      <c r="BX85" s="50"/>
      <c r="BY85" s="50"/>
      <c r="BZ85" s="39"/>
      <c r="CA85" s="50"/>
      <c r="CB85" s="50"/>
      <c r="CC85" s="50" t="n">
        <v>0</v>
      </c>
      <c r="CD85" s="50"/>
      <c r="CE85" s="50"/>
      <c r="CF85" s="39"/>
      <c r="CG85" s="50"/>
      <c r="CH85" s="50"/>
      <c r="CI85" s="50"/>
      <c r="CJ85" s="50"/>
      <c r="CK85" s="50"/>
      <c r="CL85" s="39"/>
      <c r="CM85" s="50"/>
      <c r="CN85" s="50"/>
      <c r="CO85" s="50"/>
      <c r="CP85" s="51" t="n">
        <v>0</v>
      </c>
      <c r="CQ85" s="51" t="n">
        <v>0</v>
      </c>
      <c r="CR85" s="51" t="n">
        <v>0</v>
      </c>
      <c r="CS85" s="51" t="n">
        <v>0</v>
      </c>
      <c r="CT85" s="51" t="n">
        <v>0</v>
      </c>
      <c r="CU85" s="24"/>
      <c r="CW85" s="25"/>
      <c r="CX85" s="25"/>
      <c r="CY85" s="25"/>
      <c r="CZ85" s="25"/>
    </row>
    <row r="86" customFormat="false" ht="15" hidden="false" customHeight="false" outlineLevel="0" collapsed="false">
      <c r="B86" s="15" t="s">
        <v>201</v>
      </c>
      <c r="C86" s="50" t="n">
        <v>-5.15</v>
      </c>
      <c r="D86" s="50" t="n">
        <v>0.632</v>
      </c>
      <c r="E86" s="50" t="n">
        <v>4.181</v>
      </c>
      <c r="F86" s="50" t="n">
        <v>0.989</v>
      </c>
      <c r="G86" s="50" t="n">
        <v>0.436</v>
      </c>
      <c r="H86" s="50" t="n">
        <v>2.172</v>
      </c>
      <c r="I86" s="50" t="n">
        <v>2.687</v>
      </c>
      <c r="J86" s="50" t="n">
        <v>-0.293</v>
      </c>
      <c r="K86" s="50" t="n">
        <v>0.744</v>
      </c>
      <c r="L86" s="39" t="n">
        <f aca="false">J86+K86</f>
        <v>0.451</v>
      </c>
      <c r="M86" s="50" t="n">
        <v>1.592</v>
      </c>
      <c r="N86" s="50" t="n">
        <v>1.466</v>
      </c>
      <c r="O86" s="50" t="n">
        <v>3.509</v>
      </c>
      <c r="P86" s="50" t="n">
        <v>1.423</v>
      </c>
      <c r="Q86" s="50" t="n">
        <v>1.17</v>
      </c>
      <c r="R86" s="39" t="n">
        <f aca="false">P86+Q86</f>
        <v>2.593</v>
      </c>
      <c r="S86" s="50" t="n">
        <v>0.708</v>
      </c>
      <c r="T86" s="50" t="n">
        <v>0.077</v>
      </c>
      <c r="U86" s="50" t="n">
        <v>3.378</v>
      </c>
      <c r="V86" s="50" t="n">
        <v>1.593</v>
      </c>
      <c r="W86" s="50" t="n">
        <v>4.141</v>
      </c>
      <c r="X86" s="39" t="n">
        <f aca="false">V86+W86</f>
        <v>5.734</v>
      </c>
      <c r="Y86" s="50" t="n">
        <v>-0.815</v>
      </c>
      <c r="Z86" s="50" t="n">
        <v>0.053</v>
      </c>
      <c r="AA86" s="50" t="n">
        <v>4.972</v>
      </c>
      <c r="AB86" s="50" t="n">
        <v>1.027</v>
      </c>
      <c r="AC86" s="50" t="n">
        <v>4.435</v>
      </c>
      <c r="AD86" s="39" t="n">
        <f aca="false">AB86+AC86</f>
        <v>5.462</v>
      </c>
      <c r="AE86" s="50" t="n">
        <v>0.039</v>
      </c>
      <c r="AF86" s="50" t="n">
        <v>6.051</v>
      </c>
      <c r="AG86" s="50" t="n">
        <v>11.552</v>
      </c>
      <c r="AH86" s="50" t="n">
        <v>3.332</v>
      </c>
      <c r="AI86" s="50" t="n">
        <v>-3.021</v>
      </c>
      <c r="AJ86" s="39" t="n">
        <f aca="false">AH86+AI86</f>
        <v>0.311</v>
      </c>
      <c r="AK86" s="50" t="n">
        <v>-0.194</v>
      </c>
      <c r="AL86" s="50" t="n">
        <v>1.057</v>
      </c>
      <c r="AM86" s="50" t="n">
        <v>1.174</v>
      </c>
      <c r="AN86" s="50" t="n">
        <v>-4.416</v>
      </c>
      <c r="AO86" s="50" t="n">
        <v>-0.948</v>
      </c>
      <c r="AP86" s="39" t="n">
        <f aca="false">AN86+AO86</f>
        <v>-5.364</v>
      </c>
      <c r="AQ86" s="50" t="n">
        <v>0.731</v>
      </c>
      <c r="AR86" s="50" t="n">
        <v>1.874</v>
      </c>
      <c r="AS86" s="50" t="n">
        <v>-2.759</v>
      </c>
      <c r="AT86" s="50" t="n">
        <v>1.037</v>
      </c>
      <c r="AU86" s="50" t="n">
        <v>4.782</v>
      </c>
      <c r="AV86" s="39" t="n">
        <f aca="false">AT86+AU86</f>
        <v>5.819</v>
      </c>
      <c r="AW86" s="50" t="n">
        <v>1.719</v>
      </c>
      <c r="AX86" s="50" t="n">
        <v>-1.477</v>
      </c>
      <c r="AY86" s="50" t="n">
        <v>6.061</v>
      </c>
      <c r="AZ86" s="50" t="n">
        <v>0.717</v>
      </c>
      <c r="BA86" s="50" t="n">
        <v>-0.354</v>
      </c>
      <c r="BB86" s="39" t="n">
        <f aca="false">AZ86+BA86</f>
        <v>0.363</v>
      </c>
      <c r="BC86" s="50" t="n">
        <v>2.277</v>
      </c>
      <c r="BD86" s="50" t="n">
        <v>0.971</v>
      </c>
      <c r="BE86" s="50" t="n">
        <v>3.611</v>
      </c>
      <c r="BF86" s="50" t="n">
        <v>3.253</v>
      </c>
      <c r="BG86" s="50" t="n">
        <v>-0.92</v>
      </c>
      <c r="BH86" s="39" t="n">
        <f aca="false">BF86+BG86</f>
        <v>2.333</v>
      </c>
      <c r="BI86" s="50" t="n">
        <v>0.77</v>
      </c>
      <c r="BJ86" s="50" t="n">
        <v>2.564</v>
      </c>
      <c r="BK86" s="50" t="n">
        <v>5.667</v>
      </c>
      <c r="BL86" s="50" t="n">
        <v>0.812</v>
      </c>
      <c r="BM86" s="50" t="n">
        <v>-0.84</v>
      </c>
      <c r="BN86" s="39" t="n">
        <f aca="false">BL86+BM86</f>
        <v>-0.0279999999999999</v>
      </c>
      <c r="BO86" s="50" t="n">
        <v>1.342</v>
      </c>
      <c r="BP86" s="50" t="n">
        <v>-1.91</v>
      </c>
      <c r="BQ86" s="50" t="n">
        <v>-0.596</v>
      </c>
      <c r="BR86" s="50" t="n">
        <v>-2.822</v>
      </c>
      <c r="BS86" s="50" t="n">
        <v>-2.902</v>
      </c>
      <c r="BT86" s="39" t="n">
        <f aca="false">BR86+BS86</f>
        <v>-5.724</v>
      </c>
      <c r="BU86" s="50" t="n">
        <v>3.628</v>
      </c>
      <c r="BV86" s="50" t="n">
        <v>3.927</v>
      </c>
      <c r="BW86" s="50" t="n">
        <v>1.831</v>
      </c>
      <c r="BX86" s="50" t="n">
        <v>-4.072</v>
      </c>
      <c r="BY86" s="50" t="n">
        <v>-3.103</v>
      </c>
      <c r="BZ86" s="39" t="n">
        <f aca="false">BX86+BY86</f>
        <v>-7.175</v>
      </c>
      <c r="CA86" s="50" t="n">
        <v>-1.309</v>
      </c>
      <c r="CB86" s="50" t="n">
        <v>5.389</v>
      </c>
      <c r="CC86" s="50" t="n">
        <v>-3.095</v>
      </c>
      <c r="CD86" s="50" t="n">
        <v>-0.596</v>
      </c>
      <c r="CE86" s="50" t="n">
        <v>-3.907</v>
      </c>
      <c r="CF86" s="39" t="n">
        <f aca="false">CD86+CE86</f>
        <v>-4.503</v>
      </c>
      <c r="CG86" s="50" t="n">
        <v>8.483</v>
      </c>
      <c r="CH86" s="50" t="n">
        <v>15.978</v>
      </c>
      <c r="CI86" s="50" t="n">
        <v>19.958</v>
      </c>
      <c r="CJ86" s="50" t="n">
        <v>2.924</v>
      </c>
      <c r="CK86" s="50" t="n">
        <v>2.352</v>
      </c>
      <c r="CL86" s="39" t="n">
        <f aca="false">CJ86+CK86</f>
        <v>5.276</v>
      </c>
      <c r="CM86" s="50" t="n">
        <v>-1.001</v>
      </c>
      <c r="CN86" s="50" t="n">
        <v>-3.811</v>
      </c>
      <c r="CO86" s="50" t="n">
        <v>0.464</v>
      </c>
      <c r="CP86" s="51" t="n">
        <v>0</v>
      </c>
      <c r="CQ86" s="51" t="n">
        <v>0</v>
      </c>
      <c r="CR86" s="51" t="n">
        <v>0</v>
      </c>
      <c r="CS86" s="51" t="n">
        <v>0</v>
      </c>
      <c r="CT86" s="51" t="n">
        <v>0</v>
      </c>
      <c r="CU86" s="24"/>
      <c r="CW86" s="25"/>
      <c r="CX86" s="25"/>
      <c r="CY86" s="25"/>
      <c r="CZ86" s="25"/>
    </row>
    <row r="87" customFormat="false" ht="15" hidden="false" customHeight="false" outlineLevel="0" collapsed="false">
      <c r="B87" s="41" t="s">
        <v>202</v>
      </c>
      <c r="C87" s="42" t="n">
        <f aca="false">C81-C83+C84+C85+C86</f>
        <v>174.522</v>
      </c>
      <c r="D87" s="42" t="n">
        <f aca="false">D81-D83+D84+D85+D86</f>
        <v>217.421</v>
      </c>
      <c r="E87" s="42" t="n">
        <f aca="false">E81-E83+E84+E85+E86</f>
        <v>249.65</v>
      </c>
      <c r="F87" s="42" t="n">
        <f aca="false">F81-F83+F84+F85+F86</f>
        <v>227.732</v>
      </c>
      <c r="G87" s="42" t="n">
        <f aca="false">G81-G83+G84+G85+G86</f>
        <v>239.495</v>
      </c>
      <c r="H87" s="42" t="n">
        <f aca="false">H81-H83+H84+H85+H86</f>
        <v>263.877</v>
      </c>
      <c r="I87" s="42" t="n">
        <f aca="false">I81-I83+I84+I85+I86</f>
        <v>278.056</v>
      </c>
      <c r="J87" s="21" t="n">
        <f aca="false">J81-J83+J84+J85+J86</f>
        <v>71.588</v>
      </c>
      <c r="K87" s="21" t="n">
        <f aca="false">K81-K83+K84+K85+K86</f>
        <v>61.117</v>
      </c>
      <c r="L87" s="21" t="n">
        <f aca="false">L81-L83+L84+L85+L86</f>
        <v>132.705</v>
      </c>
      <c r="M87" s="21" t="n">
        <f aca="false">M81-M83+M84+M85+M86</f>
        <v>82.0050000000001</v>
      </c>
      <c r="N87" s="21" t="n">
        <f aca="false">N81-N83+N84+N85+N86</f>
        <v>62.162</v>
      </c>
      <c r="O87" s="42" t="n">
        <f aca="false">O81-O83+O84+O85+O86</f>
        <v>276.872</v>
      </c>
      <c r="P87" s="21" t="n">
        <f aca="false">P81-P83+P84+P85+P86</f>
        <v>64.245</v>
      </c>
      <c r="Q87" s="21" t="n">
        <f aca="false">Q81-Q83+Q84+Q85+Q86</f>
        <v>70.588</v>
      </c>
      <c r="R87" s="21" t="n">
        <f aca="false">R81-R83+R84+R85+R86</f>
        <v>134.833</v>
      </c>
      <c r="S87" s="21" t="n">
        <f aca="false">S81-S83+S84+S85+S86</f>
        <v>61.318</v>
      </c>
      <c r="T87" s="21" t="n">
        <f aca="false">T81-T83+T84+T85+T86</f>
        <v>73.8839999999999</v>
      </c>
      <c r="U87" s="42" t="n">
        <f aca="false">U81-U83+U84+U85+U86</f>
        <v>270.035</v>
      </c>
      <c r="V87" s="21" t="n">
        <f aca="false">V81-V83+V84+V85+V86</f>
        <v>82.223</v>
      </c>
      <c r="W87" s="21" t="n">
        <f aca="false">W81-W83+W84+W85+W86</f>
        <v>80.1040000000001</v>
      </c>
      <c r="X87" s="21" t="n">
        <f aca="false">X81-X83+X84+X85+X86</f>
        <v>162.327</v>
      </c>
      <c r="Y87" s="21" t="n">
        <f aca="false">Y81-Y83+Y84+Y85+Y86</f>
        <v>88.296</v>
      </c>
      <c r="Z87" s="21" t="n">
        <f aca="false">Z81-Z83+Z84+Z85+Z86</f>
        <v>81.446</v>
      </c>
      <c r="AA87" s="42" t="n">
        <f aca="false">AA81-AA83+AA84+AA85+AA86</f>
        <v>332.069</v>
      </c>
      <c r="AB87" s="21" t="n">
        <f aca="false">AB81-AB83+AB84+AB85+AB86</f>
        <v>81.76</v>
      </c>
      <c r="AC87" s="21" t="n">
        <f aca="false">AC81-AC83+AC84+AC85+AC86</f>
        <v>91.552</v>
      </c>
      <c r="AD87" s="21" t="n">
        <f aca="false">AD81-AD83+AD84+AD85+AD86</f>
        <v>173.312</v>
      </c>
      <c r="AE87" s="21" t="n">
        <f aca="false">AE81-AE83+AE84+AE85+AE86</f>
        <v>116.568</v>
      </c>
      <c r="AF87" s="21" t="n">
        <f aca="false">AF81-AF83+AF84+AF85+AF86</f>
        <v>105.985</v>
      </c>
      <c r="AG87" s="42" t="n">
        <f aca="false">AG81-AG83+AG84+AG85+AG86</f>
        <v>395.865</v>
      </c>
      <c r="AH87" s="21" t="n">
        <f aca="false">AH81-AH83+AH84+AH85+AH86</f>
        <v>102.534</v>
      </c>
      <c r="AI87" s="21" t="n">
        <f aca="false">AI81-AI83+AI84+AI85+AI86</f>
        <v>100.099</v>
      </c>
      <c r="AJ87" s="21" t="n">
        <f aca="false">AJ81-AJ83+AJ84+AJ85+AJ86</f>
        <v>202.633</v>
      </c>
      <c r="AK87" s="21" t="n">
        <f aca="false">AK81-AK83+AK84+AK85+AK86</f>
        <v>131.088</v>
      </c>
      <c r="AL87" s="21" t="n">
        <f aca="false">AL81-AL83+AL84+AL85+AL86</f>
        <v>106.379</v>
      </c>
      <c r="AM87" s="42" t="n">
        <f aca="false">AM81-AM83+AM84+AM85+AM86</f>
        <v>440.1</v>
      </c>
      <c r="AN87" s="21" t="n">
        <f aca="false">AN81-AN83+AN84+AN85+AN86</f>
        <v>114.128</v>
      </c>
      <c r="AO87" s="21" t="n">
        <f aca="false">AO81-AO83+AO84+AO85+AO86</f>
        <v>144.438</v>
      </c>
      <c r="AP87" s="21" t="n">
        <f aca="false">AP81-AP83+AP84+AP85+AP86</f>
        <v>258.566</v>
      </c>
      <c r="AQ87" s="21" t="n">
        <f aca="false">AQ81-AQ83+AQ84+AQ85+AQ86</f>
        <v>171.216</v>
      </c>
      <c r="AR87" s="21" t="n">
        <f aca="false">AR81-AR83+AR84+AR85+AR86</f>
        <v>132.729</v>
      </c>
      <c r="AS87" s="42" t="n">
        <f aca="false">AS81-AS83+AS84+AS85+AS86</f>
        <v>562.511</v>
      </c>
      <c r="AT87" s="21" t="n">
        <f aca="false">AT81-AT83+AT84+AT85+AT86</f>
        <v>148.786</v>
      </c>
      <c r="AU87" s="21" t="n">
        <f aca="false">AU81-AU83+AU84+AU85+AU86</f>
        <v>164.966</v>
      </c>
      <c r="AV87" s="21" t="n">
        <f aca="false">AV81-AV83+AV84+AV85+AV86</f>
        <v>313.752</v>
      </c>
      <c r="AW87" s="21" t="n">
        <f aca="false">AW81-AW83+AW84+AW85+AW86</f>
        <v>204.129</v>
      </c>
      <c r="AX87" s="21" t="n">
        <f aca="false">AX81-AX83+AX84+AX85+AX86</f>
        <v>187.07</v>
      </c>
      <c r="AY87" s="42" t="n">
        <f aca="false">AY81-AY83+AY84+AY85+AY86</f>
        <v>704.951</v>
      </c>
      <c r="AZ87" s="21" t="n">
        <f aca="false">AZ81-AZ83+AZ84+AZ85+AZ86</f>
        <v>202.082</v>
      </c>
      <c r="BA87" s="21" t="n">
        <f aca="false">BA81-BA83+BA84+BA85+BA86</f>
        <v>205.074</v>
      </c>
      <c r="BB87" s="21" t="n">
        <f aca="false">BB81-BB83+BB84+BB85+BB86</f>
        <v>407.156</v>
      </c>
      <c r="BC87" s="21" t="n">
        <f aca="false">BC81-BC83+BC84+BC85+BC86</f>
        <v>191.8</v>
      </c>
      <c r="BD87" s="21" t="n">
        <f aca="false">BD81-BD83+BD84+BD85+BD86</f>
        <v>201.883</v>
      </c>
      <c r="BE87" s="42" t="n">
        <f aca="false">BE81-BE83+BE84+BE85+BE86</f>
        <v>800.839</v>
      </c>
      <c r="BF87" s="21" t="n">
        <f aca="false">BF81-BF83+BF84+BF85+BF86</f>
        <v>246.815</v>
      </c>
      <c r="BG87" s="21" t="n">
        <f aca="false">BG81-BG83+BG84+BG85+BG86</f>
        <v>252.452</v>
      </c>
      <c r="BH87" s="21" t="n">
        <f aca="false">BH81-BH83+BH84+BH85+BH86</f>
        <v>499.267</v>
      </c>
      <c r="BI87" s="21" t="n">
        <f aca="false">BI81-BI83+BI84+BI85+BI86</f>
        <v>323.535</v>
      </c>
      <c r="BJ87" s="21" t="n">
        <f aca="false">BJ81-BJ83+BJ84+BJ85+BJ86</f>
        <v>299.044</v>
      </c>
      <c r="BK87" s="42" t="n">
        <f aca="false">BK81-BK83+BK84+BK85+BK86</f>
        <v>1121.846</v>
      </c>
      <c r="BL87" s="21" t="n">
        <f aca="false">BL81-BL83+BL84+BL85+BL86</f>
        <v>325.826</v>
      </c>
      <c r="BM87" s="21" t="n">
        <f aca="false">BM81-BM83+BM84+BM85+BM86</f>
        <v>342.055</v>
      </c>
      <c r="BN87" s="21" t="n">
        <f aca="false">BN81-BN83+BN84+BN85+BN86</f>
        <v>667.881</v>
      </c>
      <c r="BO87" s="21" t="n">
        <f aca="false">BO81-BO83+BO84+BO85+BO86</f>
        <v>369.605</v>
      </c>
      <c r="BP87" s="21" t="n">
        <f aca="false">BP81-BP83+BP84+BP85+BP86</f>
        <v>303.468</v>
      </c>
      <c r="BQ87" s="42" t="n">
        <f aca="false">BQ81-BQ83+BQ84+BQ85+BQ86</f>
        <v>1340.954</v>
      </c>
      <c r="BR87" s="21" t="n">
        <f aca="false">BR81-BR83+BR84+BR85+BR86</f>
        <v>313.103</v>
      </c>
      <c r="BS87" s="21" t="n">
        <f aca="false">BS81-BS83+BS84+BS85+BS86</f>
        <v>377.103</v>
      </c>
      <c r="BT87" s="21" t="n">
        <f aca="false">BT81-BT83+BT84+BT85+BT86</f>
        <v>690.206</v>
      </c>
      <c r="BU87" s="21" t="n">
        <f aca="false">BU81-BU83+BU84+BU85+BU86</f>
        <v>440.43</v>
      </c>
      <c r="BV87" s="21" t="n">
        <f aca="false">BV81-BV83+BV84+BV85+BV86</f>
        <v>423.692</v>
      </c>
      <c r="BW87" s="42" t="n">
        <f aca="false">BW81-BW83+BW84+BW85+BW86</f>
        <v>1554.328</v>
      </c>
      <c r="BX87" s="21" t="n">
        <f aca="false">BX81-BX83+BX84+BX85+BX86</f>
        <v>423.309</v>
      </c>
      <c r="BY87" s="21" t="n">
        <f aca="false">BY81-BY83+BY84+BY85+BY86</f>
        <v>410.753</v>
      </c>
      <c r="BZ87" s="21" t="n">
        <f aca="false">BZ81-BZ83+BZ84+BZ85+BZ86</f>
        <v>834.062</v>
      </c>
      <c r="CA87" s="21" t="n">
        <f aca="false">CA81-CA83+CA84+CA85+CA86</f>
        <v>472.112</v>
      </c>
      <c r="CB87" s="21" t="n">
        <f aca="false">CB81-CB83+CB84+CB85+CB86</f>
        <v>408.427</v>
      </c>
      <c r="CC87" s="42" t="n">
        <f aca="false">CC81-CC83+CC84+CC85+CC86</f>
        <v>1714.601</v>
      </c>
      <c r="CD87" s="21" t="n">
        <f aca="false">CD81-CD83+CD84+CD85+CD86</f>
        <v>451.318</v>
      </c>
      <c r="CE87" s="21" t="n">
        <f aca="false">CE81-CE83+CE84+CE85+CE86</f>
        <v>463.051</v>
      </c>
      <c r="CF87" s="21" t="n">
        <f aca="false">CF81-CF83+CF84+CF85+CF86</f>
        <v>914.369</v>
      </c>
      <c r="CG87" s="21" t="n">
        <f aca="false">CG81-CG83+CG84+CG85+CG86</f>
        <v>502.804</v>
      </c>
      <c r="CH87" s="21" t="n">
        <f aca="false">CH81-CH83+CH84+CH85+CH86</f>
        <v>478.408</v>
      </c>
      <c r="CI87" s="42" t="n">
        <f aca="false">CI81-CI83+CI84+CI85+CI86</f>
        <v>1895.581</v>
      </c>
      <c r="CJ87" s="21" t="n">
        <f aca="false">CJ81-CJ83+CJ84+CJ85+CJ86</f>
        <v>487.123</v>
      </c>
      <c r="CK87" s="21" t="n">
        <f aca="false">CK81-CK83+CK84+CK85+CK86</f>
        <v>441.049</v>
      </c>
      <c r="CL87" s="21" t="n">
        <f aca="false">CL81-CL83+CL84+CL85+CL86</f>
        <v>928.172</v>
      </c>
      <c r="CM87" s="21" t="n">
        <f aca="false">CM81-CM83+CM84+CM85+CM86</f>
        <v>502.094</v>
      </c>
      <c r="CN87" s="21" t="n">
        <f aca="false">CN81-CN83+CN84+CN85+CN86</f>
        <v>404.711</v>
      </c>
      <c r="CO87" s="42" t="n">
        <f aca="false">CO81-CO83+CO84+CO85+CO86</f>
        <v>1834.977</v>
      </c>
      <c r="CP87" s="42" t="n">
        <f aca="false">CP81-CP83+CP84+CP85+CP86</f>
        <v>1867.508081425</v>
      </c>
      <c r="CQ87" s="42" t="n">
        <f aca="false">CQ81-CQ83+CQ84+CQ85+CQ86</f>
        <v>1963.65870096968</v>
      </c>
      <c r="CR87" s="42" t="n">
        <f aca="false">CR81-CR83+CR84+CR85+CR86</f>
        <v>2113.89928088241</v>
      </c>
      <c r="CS87" s="42" t="n">
        <f aca="false">CS81-CS83+CS84+CS85+CS86</f>
        <v>2274.48051893949</v>
      </c>
      <c r="CT87" s="42" t="n">
        <f aca="false">CT81-CT83+CT84+CT85+CT86</f>
        <v>2446.92947469376</v>
      </c>
      <c r="CU87" s="24"/>
      <c r="CW87" s="25" t="n">
        <f aca="false">IFERROR((CT87/CO87)^(1/5)-1,"n/m")</f>
        <v>0.0592492506707232</v>
      </c>
      <c r="CX87" s="25" t="n">
        <f aca="false">IFERROR((CO87/BK87)^(1/5)-1,"n/m")</f>
        <v>0.103416505952212</v>
      </c>
      <c r="CY87" s="25" t="n">
        <f aca="false">IFERROR((CO87/AG87)^(1/10)-1,"n/m")</f>
        <v>0.165757858958838</v>
      </c>
      <c r="CZ87" s="25" t="n">
        <f aca="false">IFERROR((CO87/C87)^(1/20)-1,"n/m")</f>
        <v>0.124835520432797</v>
      </c>
    </row>
    <row r="88" customFormat="false" ht="15" hidden="false" customHeight="false" outlineLevel="0" collapsed="false">
      <c r="B88" s="15" t="s">
        <v>203</v>
      </c>
      <c r="C88" s="50" t="n">
        <v>61.862</v>
      </c>
      <c r="D88" s="50" t="n">
        <v>81.083</v>
      </c>
      <c r="E88" s="50" t="n">
        <v>92.718</v>
      </c>
      <c r="F88" s="50" t="n">
        <v>88.186</v>
      </c>
      <c r="G88" s="50" t="n">
        <v>87.868</v>
      </c>
      <c r="H88" s="50" t="n">
        <v>97.502</v>
      </c>
      <c r="I88" s="50" t="n">
        <v>95.937</v>
      </c>
      <c r="J88" s="50" t="n">
        <v>25.743</v>
      </c>
      <c r="K88" s="50" t="n">
        <v>21.477</v>
      </c>
      <c r="L88" s="39" t="n">
        <f aca="false">J88+K88</f>
        <v>47.22</v>
      </c>
      <c r="M88" s="50" t="n">
        <v>28.769</v>
      </c>
      <c r="N88" s="50" t="n">
        <v>20.858</v>
      </c>
      <c r="O88" s="50" t="n">
        <v>96.847</v>
      </c>
      <c r="P88" s="50" t="n">
        <v>22.823</v>
      </c>
      <c r="Q88" s="50" t="n">
        <v>25.243</v>
      </c>
      <c r="R88" s="39" t="n">
        <f aca="false">P88+Q88</f>
        <v>48.066</v>
      </c>
      <c r="S88" s="50" t="n">
        <v>20.441</v>
      </c>
      <c r="T88" s="50" t="n">
        <v>22.841</v>
      </c>
      <c r="U88" s="50" t="n">
        <v>91.348</v>
      </c>
      <c r="V88" s="50" t="n">
        <v>29.608</v>
      </c>
      <c r="W88" s="50" t="n">
        <v>27.911</v>
      </c>
      <c r="X88" s="39" t="n">
        <f aca="false">V88+W88</f>
        <v>57.519</v>
      </c>
      <c r="Y88" s="50" t="n">
        <v>30.733</v>
      </c>
      <c r="Z88" s="50" t="n">
        <v>24.034</v>
      </c>
      <c r="AA88" s="50" t="n">
        <v>112.286</v>
      </c>
      <c r="AB88" s="50" t="n">
        <v>29.15</v>
      </c>
      <c r="AC88" s="50" t="n">
        <v>32.548</v>
      </c>
      <c r="AD88" s="39" t="n">
        <f aca="false">AB88+AC88</f>
        <v>61.698</v>
      </c>
      <c r="AE88" s="50" t="n">
        <v>41.944</v>
      </c>
      <c r="AF88" s="50" t="n">
        <v>21.863</v>
      </c>
      <c r="AG88" s="50" t="n">
        <v>125.505</v>
      </c>
      <c r="AH88" s="50" t="n">
        <v>-64.746</v>
      </c>
      <c r="AI88" s="50" t="n">
        <v>34.033</v>
      </c>
      <c r="AJ88" s="39" t="n">
        <f aca="false">AH88+AI88</f>
        <v>-30.713</v>
      </c>
      <c r="AK88" s="50" t="n">
        <v>40.542</v>
      </c>
      <c r="AL88" s="50" t="n">
        <v>36.01</v>
      </c>
      <c r="AM88" s="50" t="n">
        <v>45.839</v>
      </c>
      <c r="AN88" s="50" t="n">
        <v>36.568</v>
      </c>
      <c r="AO88" s="50" t="n">
        <v>41.137</v>
      </c>
      <c r="AP88" s="39" t="n">
        <f aca="false">AN88+AO88</f>
        <v>77.705</v>
      </c>
      <c r="AQ88" s="50" t="n">
        <v>43.811</v>
      </c>
      <c r="AR88" s="50" t="n">
        <v>22.988</v>
      </c>
      <c r="AS88" s="50" t="n">
        <v>144.504</v>
      </c>
      <c r="AT88" s="50" t="n">
        <v>34.703</v>
      </c>
      <c r="AU88" s="50" t="n">
        <v>33.593</v>
      </c>
      <c r="AV88" s="39" t="n">
        <f aca="false">AT88+AU88</f>
        <v>68.296</v>
      </c>
      <c r="AW88" s="50" t="n">
        <v>11.388</v>
      </c>
      <c r="AX88" s="50" t="n">
        <v>33.574</v>
      </c>
      <c r="AY88" s="50" t="n">
        <v>113.258</v>
      </c>
      <c r="AZ88" s="50" t="n">
        <v>-16.098</v>
      </c>
      <c r="BA88" s="50" t="n">
        <v>36.367</v>
      </c>
      <c r="BB88" s="39" t="n">
        <f aca="false">AZ88+BA88</f>
        <v>20.269</v>
      </c>
      <c r="BC88" s="50" t="n">
        <v>44.313</v>
      </c>
      <c r="BD88" s="50" t="n">
        <v>36.35</v>
      </c>
      <c r="BE88" s="50" t="n">
        <v>100.932</v>
      </c>
      <c r="BF88" s="50" t="n">
        <v>46.53</v>
      </c>
      <c r="BG88" s="50" t="n">
        <v>59.012</v>
      </c>
      <c r="BH88" s="39" t="n">
        <f aca="false">BF88+BG88</f>
        <v>105.542</v>
      </c>
      <c r="BI88" s="50" t="n">
        <v>36.739</v>
      </c>
      <c r="BJ88" s="50" t="n">
        <v>43.07</v>
      </c>
      <c r="BK88" s="50" t="n">
        <v>185.351</v>
      </c>
      <c r="BL88" s="50" t="n">
        <v>65.463</v>
      </c>
      <c r="BM88" s="50" t="n">
        <v>54.643</v>
      </c>
      <c r="BN88" s="39" t="n">
        <f aca="false">BL88+BM88</f>
        <v>120.106</v>
      </c>
      <c r="BO88" s="50" t="n">
        <v>90.985</v>
      </c>
      <c r="BP88" s="50" t="n">
        <v>39.733</v>
      </c>
      <c r="BQ88" s="50" t="n">
        <v>250.824</v>
      </c>
      <c r="BR88" s="50" t="n">
        <v>67.255</v>
      </c>
      <c r="BS88" s="50" t="n">
        <v>83.426</v>
      </c>
      <c r="BT88" s="39" t="n">
        <f aca="false">BR88+BS88</f>
        <v>150.681</v>
      </c>
      <c r="BU88" s="50" t="n">
        <v>89.999</v>
      </c>
      <c r="BV88" s="50" t="n">
        <v>75.907</v>
      </c>
      <c r="BW88" s="50" t="n">
        <v>316.587</v>
      </c>
      <c r="BX88" s="50" t="n">
        <v>90.777</v>
      </c>
      <c r="BY88" s="50" t="n">
        <v>85.226</v>
      </c>
      <c r="BZ88" s="39" t="n">
        <f aca="false">BX88+BY88</f>
        <v>176.003</v>
      </c>
      <c r="CA88" s="50" t="n">
        <v>90.002</v>
      </c>
      <c r="CB88" s="50" t="n">
        <v>86.249</v>
      </c>
      <c r="CC88" s="50" t="n">
        <v>352.254</v>
      </c>
      <c r="CD88" s="50" t="n">
        <v>90.142</v>
      </c>
      <c r="CE88" s="50" t="n">
        <v>76.51</v>
      </c>
      <c r="CF88" s="39" t="n">
        <f aca="false">CD88+CE88</f>
        <v>166.652</v>
      </c>
      <c r="CG88" s="50" t="n">
        <v>97.466</v>
      </c>
      <c r="CH88" s="50" t="n">
        <v>83.1</v>
      </c>
      <c r="CI88" s="50" t="n">
        <v>347.218</v>
      </c>
      <c r="CJ88" s="50" t="n">
        <v>84.913</v>
      </c>
      <c r="CK88" s="50" t="n">
        <v>91.082</v>
      </c>
      <c r="CL88" s="39" t="n">
        <f aca="false">CJ88+CK88</f>
        <v>175.995</v>
      </c>
      <c r="CM88" s="50" t="n">
        <v>100.701</v>
      </c>
      <c r="CN88" s="50" t="n">
        <v>77.884</v>
      </c>
      <c r="CO88" s="50" t="n">
        <v>354.58</v>
      </c>
      <c r="CP88" s="40" t="n">
        <f aca="false">CP87*CP89</f>
        <v>382.839156692125</v>
      </c>
      <c r="CQ88" s="40" t="n">
        <f aca="false">CQ87*CQ89</f>
        <v>402.550033698785</v>
      </c>
      <c r="CR88" s="40" t="n">
        <f aca="false">CR87*CR89</f>
        <v>433.349352580894</v>
      </c>
      <c r="CS88" s="40" t="n">
        <f aca="false">CS87*CS89</f>
        <v>466.268506382596</v>
      </c>
      <c r="CT88" s="40" t="n">
        <f aca="false">CT87*CT89</f>
        <v>501.62054231222</v>
      </c>
      <c r="CU88" s="24"/>
      <c r="CW88" s="25"/>
      <c r="CX88" s="25"/>
      <c r="CY88" s="25"/>
      <c r="CZ88" s="25"/>
    </row>
    <row r="89" customFormat="false" ht="15" hidden="false" customHeight="false" outlineLevel="0" collapsed="false">
      <c r="B89" s="28" t="s">
        <v>204</v>
      </c>
      <c r="C89" s="29" t="n">
        <f aca="false">IFERROR(C88/C87,"")</f>
        <v>0.354465339613344</v>
      </c>
      <c r="D89" s="29" t="n">
        <f aca="false">IFERROR(D88/D87,"")</f>
        <v>0.372930857644846</v>
      </c>
      <c r="E89" s="29" t="n">
        <f aca="false">IFERROR(E88/E87,"")</f>
        <v>0.371391948728219</v>
      </c>
      <c r="F89" s="29" t="n">
        <f aca="false">IFERROR(F88/F87,"")</f>
        <v>0.387235873746334</v>
      </c>
      <c r="G89" s="29" t="n">
        <f aca="false">IFERROR(G88/G87,"")</f>
        <v>0.366888661558696</v>
      </c>
      <c r="H89" s="29" t="n">
        <f aca="false">IFERROR(H88/H87,"")</f>
        <v>0.369497910011104</v>
      </c>
      <c r="I89" s="29" t="n">
        <f aca="false">IFERROR(I88/I87,"")</f>
        <v>0.345027620335472</v>
      </c>
      <c r="J89" s="29" t="n">
        <f aca="false">IFERROR(J88/J87,"")</f>
        <v>0.359599374196793</v>
      </c>
      <c r="K89" s="29" t="n">
        <f aca="false">IFERROR(K88/K87,"")</f>
        <v>0.351407955233405</v>
      </c>
      <c r="L89" s="29" t="n">
        <f aca="false">IFERROR(L88/L87,"")</f>
        <v>0.355826833955013</v>
      </c>
      <c r="M89" s="29" t="n">
        <f aca="false">IFERROR(M88/M87,"")</f>
        <v>0.350820071946832</v>
      </c>
      <c r="N89" s="29" t="n">
        <f aca="false">IFERROR(N88/N87,"")</f>
        <v>0.335542614458994</v>
      </c>
      <c r="O89" s="29" t="n">
        <f aca="false">IFERROR(O88/O87,"")</f>
        <v>0.349789794562108</v>
      </c>
      <c r="P89" s="29" t="n">
        <f aca="false">IFERROR(P88/P87,"")</f>
        <v>0.355249435753755</v>
      </c>
      <c r="Q89" s="29" t="n">
        <f aca="false">IFERROR(Q88/Q87,"")</f>
        <v>0.357610358701196</v>
      </c>
      <c r="R89" s="29" t="n">
        <f aca="false">IFERROR(R88/R87,"")</f>
        <v>0.356485430124673</v>
      </c>
      <c r="S89" s="29" t="n">
        <f aca="false">IFERROR(S88/S87,"")</f>
        <v>0.333360514041554</v>
      </c>
      <c r="T89" s="29" t="n">
        <f aca="false">IFERROR(T88/T87,"")</f>
        <v>0.309146770613394</v>
      </c>
      <c r="U89" s="29" t="n">
        <f aca="false">IFERROR(U88/U87,"")</f>
        <v>0.338282074545892</v>
      </c>
      <c r="V89" s="29" t="n">
        <f aca="false">IFERROR(V88/V87,"")</f>
        <v>0.360093891003734</v>
      </c>
      <c r="W89" s="29" t="n">
        <f aca="false">IFERROR(W88/W87,"")</f>
        <v>0.348434535104364</v>
      </c>
      <c r="X89" s="29" t="n">
        <f aca="false">IFERROR(X88/X87,"")</f>
        <v>0.354340313071763</v>
      </c>
      <c r="Y89" s="29" t="n">
        <f aca="false">IFERROR(Y88/Y87,"")</f>
        <v>0.348067862643834</v>
      </c>
      <c r="Z89" s="29" t="n">
        <f aca="false">IFERROR(Z88/Z87,"")</f>
        <v>0.295091226088451</v>
      </c>
      <c r="AA89" s="29" t="n">
        <f aca="false">IFERROR(AA88/AA87,"")</f>
        <v>0.338140567171281</v>
      </c>
      <c r="AB89" s="29" t="n">
        <f aca="false">IFERROR(AB88/AB87,"")</f>
        <v>0.356531311154599</v>
      </c>
      <c r="AC89" s="29" t="n">
        <f aca="false">IFERROR(AC88/AC87,"")</f>
        <v>0.355513806361412</v>
      </c>
      <c r="AD89" s="29" t="n">
        <f aca="false">IFERROR(AD88/AD87,"")</f>
        <v>0.355993814623338</v>
      </c>
      <c r="AE89" s="29" t="n">
        <f aca="false">IFERROR(AE88/AE87,"")</f>
        <v>0.359824308558095</v>
      </c>
      <c r="AF89" s="29" t="n">
        <f aca="false">IFERROR(AF88/AF87,"")</f>
        <v>0.206283908100203</v>
      </c>
      <c r="AG89" s="29" t="n">
        <f aca="false">IFERROR(AG88/AG87,"")</f>
        <v>0.317039899965898</v>
      </c>
      <c r="AH89" s="29" t="n">
        <f aca="false">IFERROR(AH88/AH87,"")</f>
        <v>-0.631458833167535</v>
      </c>
      <c r="AI89" s="29" t="n">
        <f aca="false">IFERROR(AI88/AI87,"")</f>
        <v>0.339993406527538</v>
      </c>
      <c r="AJ89" s="29" t="n">
        <f aca="false">IFERROR(AJ88/AJ87,"")</f>
        <v>-0.151569586395108</v>
      </c>
      <c r="AK89" s="29" t="n">
        <f aca="false">IFERROR(AK88/AK87,"")</f>
        <v>0.309273160014647</v>
      </c>
      <c r="AL89" s="29" t="n">
        <f aca="false">IFERROR(AL88/AL87,"")</f>
        <v>0.33850666014909</v>
      </c>
      <c r="AM89" s="29" t="n">
        <f aca="false">IFERROR(AM88/AM87,"")</f>
        <v>0.104155873665076</v>
      </c>
      <c r="AN89" s="29" t="n">
        <f aca="false">IFERROR(AN88/AN87,"")</f>
        <v>0.320412168792934</v>
      </c>
      <c r="AO89" s="29" t="n">
        <f aca="false">IFERROR(AO88/AO87,"")</f>
        <v>0.284807322172835</v>
      </c>
      <c r="AP89" s="29" t="n">
        <f aca="false">IFERROR(AP88/AP87,"")</f>
        <v>0.30052288390585</v>
      </c>
      <c r="AQ89" s="29" t="n">
        <f aca="false">IFERROR(AQ88/AQ87,"")</f>
        <v>0.255881459676666</v>
      </c>
      <c r="AR89" s="29" t="n">
        <f aca="false">IFERROR(AR88/AR87,"")</f>
        <v>0.173195006366355</v>
      </c>
      <c r="AS89" s="29" t="n">
        <f aca="false">IFERROR(AS88/AS87,"")</f>
        <v>0.25689097635424</v>
      </c>
      <c r="AT89" s="29" t="n">
        <f aca="false">IFERROR(AT88/AT87,"")</f>
        <v>0.23324103074214</v>
      </c>
      <c r="AU89" s="29" t="n">
        <f aca="false">IFERROR(AU88/AU87,"")</f>
        <v>0.20363590073106</v>
      </c>
      <c r="AV89" s="29" t="n">
        <f aca="false">IFERROR(AV88/AV87,"")</f>
        <v>0.217675106453505</v>
      </c>
      <c r="AW89" s="29" t="n">
        <f aca="false">IFERROR(AW88/AW87,"")</f>
        <v>0.055788251546816</v>
      </c>
      <c r="AX89" s="29" t="n">
        <f aca="false">IFERROR(AX88/AX87,"")</f>
        <v>0.179472924573689</v>
      </c>
      <c r="AY89" s="29" t="n">
        <f aca="false">IFERROR(AY88/AY87,"")</f>
        <v>0.160660811886216</v>
      </c>
      <c r="AZ89" s="29" t="n">
        <f aca="false">IFERROR(AZ88/AZ87,"")</f>
        <v>-0.0796607317821479</v>
      </c>
      <c r="BA89" s="29" t="n">
        <f aca="false">IFERROR(BA88/BA87,"")</f>
        <v>0.17733598603431</v>
      </c>
      <c r="BB89" s="29" t="n">
        <f aca="false">IFERROR(BB88/BB87,"")</f>
        <v>0.0497819017772058</v>
      </c>
      <c r="BC89" s="29" t="n">
        <f aca="false">IFERROR(BC88/BC87,"")</f>
        <v>0.231037539103233</v>
      </c>
      <c r="BD89" s="29" t="n">
        <f aca="false">IFERROR(BD88/BD87,"")</f>
        <v>0.180054784206694</v>
      </c>
      <c r="BE89" s="29" t="n">
        <f aca="false">IFERROR(BE88/BE87,"")</f>
        <v>0.126032823076798</v>
      </c>
      <c r="BF89" s="29" t="n">
        <f aca="false">IFERROR(BF88/BF87,"")</f>
        <v>0.188521767315601</v>
      </c>
      <c r="BG89" s="29" t="n">
        <f aca="false">IFERROR(BG88/BG87,"")</f>
        <v>0.233755327745472</v>
      </c>
      <c r="BH89" s="29" t="n">
        <f aca="false">IFERROR(BH88/BH87,"")</f>
        <v>0.211393903462476</v>
      </c>
      <c r="BI89" s="29" t="n">
        <f aca="false">IFERROR(BI88/BI87,"")</f>
        <v>0.113554947687267</v>
      </c>
      <c r="BJ89" s="29" t="n">
        <f aca="false">IFERROR(BJ88/BJ87,"")</f>
        <v>0.14402562833563</v>
      </c>
      <c r="BK89" s="29" t="n">
        <f aca="false">IFERROR(BK88/BK87,"")</f>
        <v>0.165219646903407</v>
      </c>
      <c r="BL89" s="29" t="n">
        <f aca="false">IFERROR(BL88/BL87,"")</f>
        <v>0.200913984764875</v>
      </c>
      <c r="BM89" s="29" t="n">
        <f aca="false">IFERROR(BM88/BM87,"")</f>
        <v>0.159749163146278</v>
      </c>
      <c r="BN89" s="29" t="n">
        <f aca="false">IFERROR(BN88/BN87,"")</f>
        <v>0.179831437037436</v>
      </c>
      <c r="BO89" s="29" t="n">
        <f aca="false">IFERROR(BO88/BO87,"")</f>
        <v>0.246168206598937</v>
      </c>
      <c r="BP89" s="29" t="n">
        <f aca="false">IFERROR(BP88/BP87,"")</f>
        <v>0.130929785018519</v>
      </c>
      <c r="BQ89" s="29" t="n">
        <f aca="false">IFERROR(BQ88/BQ87,"")</f>
        <v>0.187048921886955</v>
      </c>
      <c r="BR89" s="29" t="n">
        <f aca="false">IFERROR(BR88/BR87,"")</f>
        <v>0.214801518988959</v>
      </c>
      <c r="BS89" s="29" t="n">
        <f aca="false">IFERROR(BS88/BS87,"")</f>
        <v>0.221228682879744</v>
      </c>
      <c r="BT89" s="29" t="n">
        <f aca="false">IFERROR(BT88/BT87,"")</f>
        <v>0.218313083340336</v>
      </c>
      <c r="BU89" s="29" t="n">
        <f aca="false">IFERROR(BU88/BU87,"")</f>
        <v>0.204343482505733</v>
      </c>
      <c r="BV89" s="29" t="n">
        <f aca="false">IFERROR(BV88/BV87,"")</f>
        <v>0.179156085080672</v>
      </c>
      <c r="BW89" s="29" t="n">
        <f aca="false">IFERROR(BW88/BW87,"")</f>
        <v>0.203680947650689</v>
      </c>
      <c r="BX89" s="29" t="n">
        <f aca="false">IFERROR(BX88/BX87,"")</f>
        <v>0.214446184701955</v>
      </c>
      <c r="BY89" s="29" t="n">
        <f aca="false">IFERROR(BY88/BY87,"")</f>
        <v>0.207487224682473</v>
      </c>
      <c r="BZ89" s="29" t="n">
        <f aca="false">IFERROR(BZ88/BZ87,"")</f>
        <v>0.211019084912153</v>
      </c>
      <c r="CA89" s="29" t="n">
        <f aca="false">IFERROR(CA88/CA87,"")</f>
        <v>0.190636967499237</v>
      </c>
      <c r="CB89" s="29" t="n">
        <f aca="false">IFERROR(CB88/CB87,"")</f>
        <v>0.211173600178245</v>
      </c>
      <c r="CC89" s="29" t="n">
        <f aca="false">IFERROR(CC88/CC87,"")</f>
        <v>0.205443715476662</v>
      </c>
      <c r="CD89" s="29" t="n">
        <f aca="false">IFERROR(CD88/CD87,"")</f>
        <v>0.19973056691734</v>
      </c>
      <c r="CE89" s="29" t="n">
        <f aca="false">IFERROR(CE88/CE87,"")</f>
        <v>0.165230179829004</v>
      </c>
      <c r="CF89" s="29" t="n">
        <f aca="false">IFERROR(CF88/CF87,"")</f>
        <v>0.182259022342184</v>
      </c>
      <c r="CG89" s="29" t="n">
        <f aca="false">IFERROR(CG88/CG87,"")</f>
        <v>0.19384491770153</v>
      </c>
      <c r="CH89" s="29" t="n">
        <f aca="false">IFERROR(CH88/CH87,"")</f>
        <v>0.173701108677112</v>
      </c>
      <c r="CI89" s="29" t="n">
        <f aca="false">IFERROR(CI88/CI87,"")</f>
        <v>0.1831723360806</v>
      </c>
      <c r="CJ89" s="29" t="n">
        <f aca="false">IFERROR(CJ88/CJ87,"")</f>
        <v>0.174315316665401</v>
      </c>
      <c r="CK89" s="29" t="n">
        <f aca="false">IFERROR(CK88/CK87,"")</f>
        <v>0.206512201592113</v>
      </c>
      <c r="CL89" s="29" t="n">
        <f aca="false">IFERROR(CL88/CL87,"")</f>
        <v>0.189614640389928</v>
      </c>
      <c r="CM89" s="29" t="n">
        <f aca="false">IFERROR(CM88/CM87,"")</f>
        <v>0.200562046150721</v>
      </c>
      <c r="CN89" s="29" t="n">
        <f aca="false">IFERROR(CN88/CN87,"")</f>
        <v>0.192443496717411</v>
      </c>
      <c r="CO89" s="29" t="n">
        <f aca="false">IFERROR(CO88/CO87,"")</f>
        <v>0.193234029636339</v>
      </c>
      <c r="CP89" s="34" t="n">
        <v>0.205</v>
      </c>
      <c r="CQ89" s="34" t="n">
        <v>0.205</v>
      </c>
      <c r="CR89" s="34" t="n">
        <v>0.205</v>
      </c>
      <c r="CS89" s="34" t="n">
        <v>0.205</v>
      </c>
      <c r="CT89" s="34" t="n">
        <v>0.205</v>
      </c>
      <c r="CU89" s="24" t="s">
        <v>205</v>
      </c>
      <c r="CW89" s="49" t="n">
        <f aca="false">IFERROR(AVERAGE(CP89:CT89),"n/m")</f>
        <v>0.205</v>
      </c>
      <c r="CX89" s="6"/>
      <c r="CY89" s="6"/>
      <c r="CZ89" s="6"/>
    </row>
    <row r="90" customFormat="false" ht="15" hidden="false" customHeight="false" outlineLevel="0" collapsed="false">
      <c r="B90" s="15" t="s">
        <v>206</v>
      </c>
      <c r="C90" s="50" t="n">
        <v>-15.713</v>
      </c>
      <c r="D90" s="50" t="n">
        <v>0</v>
      </c>
      <c r="E90" s="50" t="n">
        <v>0</v>
      </c>
      <c r="F90" s="50" t="n">
        <v>1.557</v>
      </c>
      <c r="G90" s="50" t="n">
        <v>0</v>
      </c>
      <c r="H90" s="50" t="n">
        <v>0</v>
      </c>
      <c r="I90" s="50" t="n">
        <v>0</v>
      </c>
      <c r="J90" s="50" t="n">
        <v>0</v>
      </c>
      <c r="K90" s="50" t="n">
        <v>0</v>
      </c>
      <c r="L90" s="39" t="n">
        <f aca="false">J90+K90</f>
        <v>0</v>
      </c>
      <c r="M90" s="50" t="n">
        <v>0</v>
      </c>
      <c r="N90" s="50" t="n">
        <v>0</v>
      </c>
      <c r="O90" s="50" t="n">
        <v>0</v>
      </c>
      <c r="P90" s="50" t="n">
        <v>0</v>
      </c>
      <c r="Q90" s="50" t="n">
        <v>0</v>
      </c>
      <c r="R90" s="39" t="n">
        <f aca="false">P90+Q90</f>
        <v>0</v>
      </c>
      <c r="S90" s="50" t="n">
        <v>0</v>
      </c>
      <c r="T90" s="50" t="n">
        <v>0</v>
      </c>
      <c r="U90" s="50" t="n">
        <v>0</v>
      </c>
      <c r="V90" s="50" t="n">
        <v>0</v>
      </c>
      <c r="W90" s="50" t="n">
        <v>0</v>
      </c>
      <c r="X90" s="39" t="n">
        <f aca="false">V90+W90</f>
        <v>0</v>
      </c>
      <c r="Y90" s="50" t="n">
        <v>0</v>
      </c>
      <c r="Z90" s="50" t="n">
        <v>0</v>
      </c>
      <c r="AA90" s="50" t="n">
        <v>0</v>
      </c>
      <c r="AB90" s="50" t="n">
        <v>0</v>
      </c>
      <c r="AC90" s="50" t="n">
        <v>0.003</v>
      </c>
      <c r="AD90" s="39" t="n">
        <f aca="false">AB90+AC90</f>
        <v>0.003</v>
      </c>
      <c r="AE90" s="50" t="n">
        <v>-0.001</v>
      </c>
      <c r="AF90" s="50" t="n">
        <v>-0.002</v>
      </c>
      <c r="AG90" s="50" t="n">
        <v>0</v>
      </c>
      <c r="AH90" s="50" t="n">
        <v>0</v>
      </c>
      <c r="AI90" s="50" t="n">
        <v>0</v>
      </c>
      <c r="AJ90" s="39" t="n">
        <f aca="false">AH90+AI90</f>
        <v>0</v>
      </c>
      <c r="AK90" s="50" t="n">
        <v>0</v>
      </c>
      <c r="AL90" s="50" t="n">
        <v>0</v>
      </c>
      <c r="AM90" s="50" t="n">
        <v>0</v>
      </c>
      <c r="AN90" s="50" t="n">
        <v>0</v>
      </c>
      <c r="AO90" s="50" t="n">
        <v>0</v>
      </c>
      <c r="AP90" s="39" t="n">
        <f aca="false">AN90+AO90</f>
        <v>0</v>
      </c>
      <c r="AQ90" s="50" t="n">
        <v>0</v>
      </c>
      <c r="AR90" s="50" t="n">
        <v>0</v>
      </c>
      <c r="AS90" s="50" t="n">
        <v>0</v>
      </c>
      <c r="AT90" s="50" t="n">
        <v>0</v>
      </c>
      <c r="AU90" s="50" t="n">
        <v>0</v>
      </c>
      <c r="AV90" s="39" t="n">
        <f aca="false">AT90+AU90</f>
        <v>0</v>
      </c>
      <c r="AW90" s="50" t="n">
        <v>0</v>
      </c>
      <c r="AX90" s="50" t="n">
        <v>0</v>
      </c>
      <c r="AY90" s="50" t="n">
        <v>0</v>
      </c>
      <c r="AZ90" s="50" t="n">
        <v>0</v>
      </c>
      <c r="BA90" s="50" t="n">
        <v>0</v>
      </c>
      <c r="BB90" s="39" t="n">
        <f aca="false">AZ90+BA90</f>
        <v>0</v>
      </c>
      <c r="BC90" s="50" t="n">
        <v>0</v>
      </c>
      <c r="BD90" s="50" t="n">
        <v>0</v>
      </c>
      <c r="BE90" s="50" t="n">
        <v>0</v>
      </c>
      <c r="BF90" s="50" t="n">
        <v>0</v>
      </c>
      <c r="BG90" s="50" t="n">
        <v>0</v>
      </c>
      <c r="BH90" s="39" t="n">
        <f aca="false">BF90+BG90</f>
        <v>0</v>
      </c>
      <c r="BI90" s="50" t="n">
        <v>0</v>
      </c>
      <c r="BJ90" s="50" t="n">
        <v>0</v>
      </c>
      <c r="BK90" s="50" t="n">
        <v>0</v>
      </c>
      <c r="BL90" s="50" t="n">
        <v>0</v>
      </c>
      <c r="BM90" s="50" t="n">
        <v>0</v>
      </c>
      <c r="BN90" s="39" t="n">
        <f aca="false">BL90+BM90</f>
        <v>0</v>
      </c>
      <c r="BO90" s="50" t="n">
        <v>0</v>
      </c>
      <c r="BP90" s="50" t="n">
        <v>0</v>
      </c>
      <c r="BQ90" s="50" t="n">
        <v>0</v>
      </c>
      <c r="BR90" s="50" t="n">
        <v>0</v>
      </c>
      <c r="BS90" s="50" t="n">
        <v>0</v>
      </c>
      <c r="BT90" s="39" t="n">
        <f aca="false">BR90+BS90</f>
        <v>0</v>
      </c>
      <c r="BU90" s="50" t="n">
        <v>0</v>
      </c>
      <c r="BV90" s="50" t="n">
        <v>0</v>
      </c>
      <c r="BW90" s="50" t="n">
        <v>0</v>
      </c>
      <c r="BX90" s="50" t="n">
        <v>0</v>
      </c>
      <c r="BY90" s="50" t="n">
        <v>0</v>
      </c>
      <c r="BZ90" s="39" t="n">
        <f aca="false">BX90+BY90</f>
        <v>0</v>
      </c>
      <c r="CA90" s="50" t="n">
        <v>0</v>
      </c>
      <c r="CB90" s="50" t="n">
        <v>0</v>
      </c>
      <c r="CC90" s="50" t="n">
        <v>0</v>
      </c>
      <c r="CD90" s="50" t="n">
        <v>0</v>
      </c>
      <c r="CE90" s="50" t="n">
        <v>0</v>
      </c>
      <c r="CF90" s="39" t="n">
        <f aca="false">CD90+CE90</f>
        <v>0</v>
      </c>
      <c r="CG90" s="50" t="n">
        <v>0</v>
      </c>
      <c r="CH90" s="50" t="n">
        <v>0</v>
      </c>
      <c r="CI90" s="50" t="n">
        <v>0</v>
      </c>
      <c r="CJ90" s="50" t="n">
        <v>0</v>
      </c>
      <c r="CK90" s="50" t="n">
        <v>0</v>
      </c>
      <c r="CL90" s="39" t="n">
        <f aca="false">CJ90+CK90</f>
        <v>0</v>
      </c>
      <c r="CM90" s="50" t="n">
        <v>0</v>
      </c>
      <c r="CN90" s="50" t="n">
        <v>0</v>
      </c>
      <c r="CO90" s="50" t="n">
        <v>0</v>
      </c>
      <c r="CP90" s="51" t="n">
        <v>0</v>
      </c>
      <c r="CQ90" s="51" t="n">
        <v>0</v>
      </c>
      <c r="CR90" s="51" t="n">
        <v>0</v>
      </c>
      <c r="CS90" s="51" t="n">
        <v>0</v>
      </c>
      <c r="CT90" s="51" t="n">
        <v>0</v>
      </c>
      <c r="CU90" s="24"/>
      <c r="CW90" s="25"/>
      <c r="CX90" s="25"/>
      <c r="CY90" s="25"/>
      <c r="CZ90" s="25"/>
    </row>
    <row r="91" customFormat="false" ht="15" hidden="false" customHeight="false" outlineLevel="0" collapsed="false">
      <c r="B91" s="41" t="s">
        <v>207</v>
      </c>
      <c r="C91" s="42" t="n">
        <f aca="false">C87-C88+C90</f>
        <v>96.947</v>
      </c>
      <c r="D91" s="42" t="n">
        <f aca="false">D87-D88+D90</f>
        <v>136.338</v>
      </c>
      <c r="E91" s="42" t="n">
        <f aca="false">E87-E88+E90</f>
        <v>156.932</v>
      </c>
      <c r="F91" s="42" t="n">
        <f aca="false">F87-F88+F90</f>
        <v>141.103</v>
      </c>
      <c r="G91" s="42" t="n">
        <f aca="false">G87-G88+G90</f>
        <v>151.627</v>
      </c>
      <c r="H91" s="42" t="n">
        <f aca="false">H87-H88+H90</f>
        <v>166.375</v>
      </c>
      <c r="I91" s="42" t="n">
        <f aca="false">I87-I88+I90</f>
        <v>182.119</v>
      </c>
      <c r="J91" s="21" t="n">
        <f aca="false">J87-J88+J90</f>
        <v>45.845</v>
      </c>
      <c r="K91" s="21" t="n">
        <f aca="false">K87-K88+K90</f>
        <v>39.64</v>
      </c>
      <c r="L91" s="21" t="n">
        <f aca="false">L87-L88+L90</f>
        <v>85.485</v>
      </c>
      <c r="M91" s="21" t="n">
        <f aca="false">M87-M88+M90</f>
        <v>53.2360000000001</v>
      </c>
      <c r="N91" s="21" t="n">
        <f aca="false">N87-N88+N90</f>
        <v>41.304</v>
      </c>
      <c r="O91" s="42" t="n">
        <f aca="false">O87-O88+O90</f>
        <v>180.025</v>
      </c>
      <c r="P91" s="21" t="n">
        <f aca="false">P87-P88+P90</f>
        <v>41.422</v>
      </c>
      <c r="Q91" s="21" t="n">
        <f aca="false">Q87-Q88+Q90</f>
        <v>45.345</v>
      </c>
      <c r="R91" s="21" t="n">
        <f aca="false">R87-R88+R90</f>
        <v>86.767</v>
      </c>
      <c r="S91" s="21" t="n">
        <f aca="false">S87-S88+S90</f>
        <v>40.877</v>
      </c>
      <c r="T91" s="21" t="n">
        <f aca="false">T87-T88+T90</f>
        <v>51.0429999999999</v>
      </c>
      <c r="U91" s="42" t="n">
        <f aca="false">U87-U88+U90</f>
        <v>178.687</v>
      </c>
      <c r="V91" s="21" t="n">
        <f aca="false">V87-V88+V90</f>
        <v>52.615</v>
      </c>
      <c r="W91" s="21" t="n">
        <f aca="false">W87-W88+W90</f>
        <v>52.1930000000001</v>
      </c>
      <c r="X91" s="21" t="n">
        <f aca="false">X87-X88+X90</f>
        <v>104.808</v>
      </c>
      <c r="Y91" s="21" t="n">
        <f aca="false">Y87-Y88+Y90</f>
        <v>57.563</v>
      </c>
      <c r="Z91" s="21" t="n">
        <f aca="false">Z87-Z88+Z90</f>
        <v>57.412</v>
      </c>
      <c r="AA91" s="42" t="n">
        <f aca="false">AA87-AA88+AA90</f>
        <v>219.783</v>
      </c>
      <c r="AB91" s="21" t="n">
        <f aca="false">AB87-AB88+AB90</f>
        <v>52.61</v>
      </c>
      <c r="AC91" s="21" t="n">
        <f aca="false">AC87-AC88+AC90</f>
        <v>59.007</v>
      </c>
      <c r="AD91" s="21" t="n">
        <f aca="false">AD87-AD88+AD90</f>
        <v>111.617</v>
      </c>
      <c r="AE91" s="21" t="n">
        <f aca="false">AE87-AE88+AE90</f>
        <v>74.623</v>
      </c>
      <c r="AF91" s="21" t="n">
        <f aca="false">AF87-AF88+AF90</f>
        <v>84.12</v>
      </c>
      <c r="AG91" s="42" t="n">
        <f aca="false">AG87-AG88+AG90</f>
        <v>270.36</v>
      </c>
      <c r="AH91" s="21" t="n">
        <f aca="false">AH87-AH88+AH90</f>
        <v>167.28</v>
      </c>
      <c r="AI91" s="21" t="n">
        <f aca="false">AI87-AI88+AI90</f>
        <v>66.0660000000001</v>
      </c>
      <c r="AJ91" s="21" t="n">
        <f aca="false">AJ87-AJ88+AJ90</f>
        <v>233.346</v>
      </c>
      <c r="AK91" s="21" t="n">
        <f aca="false">AK87-AK88+AK90</f>
        <v>90.546</v>
      </c>
      <c r="AL91" s="21" t="n">
        <f aca="false">AL87-AL88+AL90</f>
        <v>70.369</v>
      </c>
      <c r="AM91" s="42" t="n">
        <f aca="false">AM87-AM88+AM90</f>
        <v>394.261</v>
      </c>
      <c r="AN91" s="21" t="n">
        <f aca="false">AN87-AN88+AN90</f>
        <v>77.56</v>
      </c>
      <c r="AO91" s="21" t="n">
        <f aca="false">AO87-AO88+AO90</f>
        <v>103.301</v>
      </c>
      <c r="AP91" s="21" t="n">
        <f aca="false">AP87-AP88+AP90</f>
        <v>180.861</v>
      </c>
      <c r="AQ91" s="21" t="n">
        <f aca="false">AQ87-AQ88+AQ90</f>
        <v>127.405</v>
      </c>
      <c r="AR91" s="21" t="n">
        <f aca="false">AR87-AR88+AR90</f>
        <v>109.741</v>
      </c>
      <c r="AS91" s="42" t="n">
        <f aca="false">AS87-AS88+AS90</f>
        <v>418.007</v>
      </c>
      <c r="AT91" s="21" t="n">
        <f aca="false">AT87-AT88+AT90</f>
        <v>114.083</v>
      </c>
      <c r="AU91" s="21" t="n">
        <f aca="false">AU87-AU88+AU90</f>
        <v>131.373</v>
      </c>
      <c r="AV91" s="21" t="n">
        <f aca="false">AV87-AV88+AV90</f>
        <v>245.456</v>
      </c>
      <c r="AW91" s="21" t="n">
        <f aca="false">AW87-AW88+AW90</f>
        <v>192.741</v>
      </c>
      <c r="AX91" s="21" t="n">
        <f aca="false">AX87-AX88+AX90</f>
        <v>153.496</v>
      </c>
      <c r="AY91" s="42" t="n">
        <f aca="false">AY87-AY88+AY90</f>
        <v>591.693</v>
      </c>
      <c r="AZ91" s="21" t="n">
        <f aca="false">AZ87-AZ88+AZ90</f>
        <v>218.18</v>
      </c>
      <c r="BA91" s="21" t="n">
        <f aca="false">BA87-BA88+BA90</f>
        <v>168.707</v>
      </c>
      <c r="BB91" s="21" t="n">
        <f aca="false">BB87-BB88+BB90</f>
        <v>386.887</v>
      </c>
      <c r="BC91" s="21" t="n">
        <f aca="false">BC87-BC88+BC90</f>
        <v>147.487</v>
      </c>
      <c r="BD91" s="21" t="n">
        <f aca="false">BD87-BD88+BD90</f>
        <v>165.533</v>
      </c>
      <c r="BE91" s="42" t="n">
        <f aca="false">BE87-BE88+BE90</f>
        <v>699.907</v>
      </c>
      <c r="BF91" s="21" t="n">
        <f aca="false">BF87-BF88+BF90</f>
        <v>200.285</v>
      </c>
      <c r="BG91" s="21" t="n">
        <f aca="false">BG87-BG88+BG90</f>
        <v>193.44</v>
      </c>
      <c r="BH91" s="21" t="n">
        <f aca="false">BH87-BH88+BH90</f>
        <v>393.725</v>
      </c>
      <c r="BI91" s="21" t="n">
        <f aca="false">BI87-BI88+BI90</f>
        <v>286.796</v>
      </c>
      <c r="BJ91" s="21" t="n">
        <f aca="false">BJ87-BJ88+BJ90</f>
        <v>255.974</v>
      </c>
      <c r="BK91" s="42" t="n">
        <f aca="false">BK87-BK88+BK90</f>
        <v>936.495</v>
      </c>
      <c r="BL91" s="21" t="n">
        <f aca="false">BL87-BL88+BL90</f>
        <v>260.363</v>
      </c>
      <c r="BM91" s="21" t="n">
        <f aca="false">BM87-BM88+BM90</f>
        <v>287.412</v>
      </c>
      <c r="BN91" s="21" t="n">
        <f aca="false">BN87-BN88+BN90</f>
        <v>547.775</v>
      </c>
      <c r="BO91" s="21" t="n">
        <f aca="false">BO87-BO88+BO90</f>
        <v>278.62</v>
      </c>
      <c r="BP91" s="21" t="n">
        <f aca="false">BP87-BP88+BP90</f>
        <v>263.735</v>
      </c>
      <c r="BQ91" s="42" t="n">
        <f aca="false">BQ87-BQ88+BQ90</f>
        <v>1090.13</v>
      </c>
      <c r="BR91" s="21" t="n">
        <f aca="false">BR87-BR88+BR90</f>
        <v>245.848</v>
      </c>
      <c r="BS91" s="21" t="n">
        <f aca="false">BS87-BS88+BS90</f>
        <v>293.677</v>
      </c>
      <c r="BT91" s="21" t="n">
        <f aca="false">BT87-BT88+BT90</f>
        <v>539.525</v>
      </c>
      <c r="BU91" s="21" t="n">
        <f aca="false">BU87-BU88+BU90</f>
        <v>350.431</v>
      </c>
      <c r="BV91" s="21" t="n">
        <f aca="false">BV87-BV88+BV90</f>
        <v>347.785</v>
      </c>
      <c r="BW91" s="42" t="n">
        <f aca="false">BW87-BW88+BW90</f>
        <v>1237.741</v>
      </c>
      <c r="BX91" s="21" t="n">
        <f aca="false">BX87-BX88+BX90</f>
        <v>332.532</v>
      </c>
      <c r="BY91" s="21" t="n">
        <f aca="false">BY87-BY88+BY90</f>
        <v>325.527</v>
      </c>
      <c r="BZ91" s="21" t="n">
        <f aca="false">BZ87-BZ88+BZ90</f>
        <v>658.059</v>
      </c>
      <c r="CA91" s="21" t="n">
        <f aca="false">CA87-CA88+CA90</f>
        <v>382.11</v>
      </c>
      <c r="CB91" s="21" t="n">
        <f aca="false">CB87-CB88+CB90</f>
        <v>322.178</v>
      </c>
      <c r="CC91" s="42" t="n">
        <f aca="false">CC87-CC88+CC90</f>
        <v>1362.347</v>
      </c>
      <c r="CD91" s="21" t="n">
        <f aca="false">CD87-CD88+CD90</f>
        <v>361.176</v>
      </c>
      <c r="CE91" s="21" t="n">
        <f aca="false">CE87-CE88+CE90</f>
        <v>386.541</v>
      </c>
      <c r="CF91" s="21" t="n">
        <f aca="false">CF87-CF88+CF90</f>
        <v>747.717</v>
      </c>
      <c r="CG91" s="21" t="n">
        <f aca="false">CG87-CG88+CG90</f>
        <v>405.338</v>
      </c>
      <c r="CH91" s="21" t="n">
        <f aca="false">CH87-CH88+CH90</f>
        <v>395.308</v>
      </c>
      <c r="CI91" s="42" t="n">
        <f aca="false">CI87-CI88+CI90</f>
        <v>1548.363</v>
      </c>
      <c r="CJ91" s="21" t="n">
        <f aca="false">CJ87-CJ88+CJ90</f>
        <v>402.21</v>
      </c>
      <c r="CK91" s="21" t="n">
        <f aca="false">CK87-CK88+CK90</f>
        <v>349.967</v>
      </c>
      <c r="CL91" s="21" t="n">
        <f aca="false">CL87-CL88+CL90</f>
        <v>752.177</v>
      </c>
      <c r="CM91" s="21" t="n">
        <f aca="false">CM87-CM88+CM90</f>
        <v>401.393</v>
      </c>
      <c r="CN91" s="21" t="n">
        <f aca="false">CN87-CN88+CN90</f>
        <v>326.827</v>
      </c>
      <c r="CO91" s="42" t="n">
        <f aca="false">CO87-CO88+CO90</f>
        <v>1480.397</v>
      </c>
      <c r="CP91" s="42" t="n">
        <f aca="false">CP87-CP88+CP90</f>
        <v>1484.66892473288</v>
      </c>
      <c r="CQ91" s="42" t="n">
        <f aca="false">CQ87-CQ88+CQ90</f>
        <v>1561.1086672709</v>
      </c>
      <c r="CR91" s="42" t="n">
        <f aca="false">CR87-CR88+CR90</f>
        <v>1680.54992830152</v>
      </c>
      <c r="CS91" s="42" t="n">
        <f aca="false">CS87-CS88+CS90</f>
        <v>1808.2120125569</v>
      </c>
      <c r="CT91" s="42" t="n">
        <f aca="false">CT87-CT88+CT90</f>
        <v>1945.30893238154</v>
      </c>
      <c r="CU91" s="24"/>
      <c r="CW91" s="25" t="n">
        <f aca="false">IFERROR((CT91/CO91)^(1/5)-1,"n/m")</f>
        <v>0.0561414241565694</v>
      </c>
      <c r="CX91" s="25" t="n">
        <f aca="false">IFERROR((CO91/BK91)^(1/5)-1,"n/m")</f>
        <v>0.0959091340912426</v>
      </c>
      <c r="CY91" s="25" t="n">
        <f aca="false">IFERROR((CO91/AG91)^(1/10)-1,"n/m")</f>
        <v>0.185341735001388</v>
      </c>
      <c r="CZ91" s="25" t="n">
        <f aca="false">IFERROR((CO91/C91)^(1/20)-1,"n/m")</f>
        <v>0.146019984738526</v>
      </c>
    </row>
    <row r="92" customFormat="false" ht="15" hidden="false" customHeight="false" outlineLevel="0" collapsed="false">
      <c r="B92" s="15" t="s">
        <v>208</v>
      </c>
      <c r="C92" s="50" t="n">
        <v>0</v>
      </c>
      <c r="D92" s="50" t="n">
        <v>0</v>
      </c>
      <c r="E92" s="50" t="n">
        <v>0</v>
      </c>
      <c r="F92" s="50"/>
      <c r="G92" s="50"/>
      <c r="H92" s="50"/>
      <c r="I92" s="50"/>
      <c r="J92" s="50"/>
      <c r="K92" s="50"/>
      <c r="L92" s="39"/>
      <c r="M92" s="50"/>
      <c r="N92" s="50"/>
      <c r="O92" s="50"/>
      <c r="P92" s="50"/>
      <c r="Q92" s="50"/>
      <c r="R92" s="39"/>
      <c r="S92" s="50"/>
      <c r="T92" s="50"/>
      <c r="U92" s="50"/>
      <c r="V92" s="50"/>
      <c r="W92" s="50"/>
      <c r="X92" s="39"/>
      <c r="Y92" s="50"/>
      <c r="Z92" s="50"/>
      <c r="AA92" s="50" t="n">
        <v>0</v>
      </c>
      <c r="AB92" s="50"/>
      <c r="AC92" s="50"/>
      <c r="AD92" s="39"/>
      <c r="AE92" s="50"/>
      <c r="AF92" s="50"/>
      <c r="AG92" s="50" t="n">
        <v>0</v>
      </c>
      <c r="AH92" s="50" t="n">
        <v>0</v>
      </c>
      <c r="AI92" s="50" t="n">
        <v>0</v>
      </c>
      <c r="AJ92" s="39" t="n">
        <f aca="false">AH92+AI92</f>
        <v>0</v>
      </c>
      <c r="AK92" s="50" t="n">
        <v>0</v>
      </c>
      <c r="AL92" s="50" t="n">
        <v>0.034</v>
      </c>
      <c r="AM92" s="50" t="n">
        <v>0.034</v>
      </c>
      <c r="AN92" s="50" t="n">
        <v>0.045</v>
      </c>
      <c r="AO92" s="50" t="n">
        <v>0.045</v>
      </c>
      <c r="AP92" s="39" t="n">
        <f aca="false">AN92+AO92</f>
        <v>0.09</v>
      </c>
      <c r="AQ92" s="50" t="n">
        <v>0.057</v>
      </c>
      <c r="AR92" s="50" t="n">
        <v>-0.007</v>
      </c>
      <c r="AS92" s="50" t="n">
        <v>0.14</v>
      </c>
      <c r="AT92" s="50" t="n">
        <v>0</v>
      </c>
      <c r="AU92" s="50" t="n">
        <v>0</v>
      </c>
      <c r="AV92" s="39" t="n">
        <f aca="false">AT92+AU92</f>
        <v>0</v>
      </c>
      <c r="AW92" s="50" t="n">
        <v>0</v>
      </c>
      <c r="AX92" s="50" t="n">
        <v>0</v>
      </c>
      <c r="AY92" s="50" t="n">
        <v>0</v>
      </c>
      <c r="AZ92" s="50"/>
      <c r="BA92" s="50"/>
      <c r="BB92" s="39"/>
      <c r="BC92" s="50"/>
      <c r="BD92" s="50"/>
      <c r="BE92" s="50" t="n">
        <v>0</v>
      </c>
      <c r="BF92" s="50"/>
      <c r="BG92" s="50"/>
      <c r="BH92" s="39"/>
      <c r="BI92" s="50"/>
      <c r="BJ92" s="50"/>
      <c r="BK92" s="50"/>
      <c r="BL92" s="50"/>
      <c r="BM92" s="50"/>
      <c r="BN92" s="39"/>
      <c r="BO92" s="50"/>
      <c r="BP92" s="50"/>
      <c r="BQ92" s="50" t="n">
        <v>0</v>
      </c>
      <c r="BR92" s="50" t="n">
        <v>0</v>
      </c>
      <c r="BS92" s="50" t="n">
        <v>0</v>
      </c>
      <c r="BT92" s="39" t="n">
        <f aca="false">BR92+BS92</f>
        <v>0</v>
      </c>
      <c r="BU92" s="50" t="n">
        <v>0</v>
      </c>
      <c r="BV92" s="50" t="n">
        <v>0</v>
      </c>
      <c r="BW92" s="50" t="n">
        <v>0</v>
      </c>
      <c r="BX92" s="50" t="n">
        <v>0.005</v>
      </c>
      <c r="BY92" s="50" t="n">
        <v>-0.108</v>
      </c>
      <c r="BZ92" s="39" t="n">
        <f aca="false">BX92+BY92</f>
        <v>-0.103</v>
      </c>
      <c r="CA92" s="50" t="n">
        <v>-0.181</v>
      </c>
      <c r="CB92" s="50" t="n">
        <v>-0.389</v>
      </c>
      <c r="CC92" s="50" t="n">
        <v>-0.673</v>
      </c>
      <c r="CD92" s="50" t="n">
        <v>-0.91</v>
      </c>
      <c r="CE92" s="50" t="n">
        <v>-0.859</v>
      </c>
      <c r="CF92" s="39" t="n">
        <f aca="false">CD92+CE92</f>
        <v>-1.769</v>
      </c>
      <c r="CG92" s="50" t="n">
        <v>-1.271</v>
      </c>
      <c r="CH92" s="50" t="n">
        <v>-1.046</v>
      </c>
      <c r="CI92" s="50" t="n">
        <v>-4.086</v>
      </c>
      <c r="CJ92" s="50" t="n">
        <v>-1.504</v>
      </c>
      <c r="CK92" s="50" t="n">
        <v>-0.765</v>
      </c>
      <c r="CL92" s="39" t="n">
        <f aca="false">CJ92+CK92</f>
        <v>-2.269</v>
      </c>
      <c r="CM92" s="50" t="n">
        <v>-1.008</v>
      </c>
      <c r="CN92" s="50" t="n">
        <v>-0.596</v>
      </c>
      <c r="CO92" s="50" t="n">
        <v>-3.873</v>
      </c>
      <c r="CP92" s="51" t="n">
        <v>0</v>
      </c>
      <c r="CQ92" s="51" t="n">
        <v>0</v>
      </c>
      <c r="CR92" s="51" t="n">
        <v>0</v>
      </c>
      <c r="CS92" s="51" t="n">
        <v>0</v>
      </c>
      <c r="CT92" s="51" t="n">
        <v>0</v>
      </c>
      <c r="CU92" s="24"/>
      <c r="CW92" s="25"/>
      <c r="CX92" s="25"/>
      <c r="CY92" s="25"/>
      <c r="CZ92" s="25"/>
    </row>
    <row r="93" customFormat="false" ht="15" hidden="false" customHeight="false" outlineLevel="0" collapsed="false">
      <c r="B93" s="41" t="s">
        <v>209</v>
      </c>
      <c r="C93" s="42" t="n">
        <f aca="false">C91-C92</f>
        <v>96.947</v>
      </c>
      <c r="D93" s="42" t="n">
        <f aca="false">D91-D92</f>
        <v>136.338</v>
      </c>
      <c r="E93" s="42" t="n">
        <f aca="false">E91-E92</f>
        <v>156.932</v>
      </c>
      <c r="F93" s="42" t="n">
        <f aca="false">F91-F92</f>
        <v>141.103</v>
      </c>
      <c r="G93" s="42" t="n">
        <f aca="false">G91-G92</f>
        <v>151.627</v>
      </c>
      <c r="H93" s="42" t="n">
        <f aca="false">H91-H92</f>
        <v>166.375</v>
      </c>
      <c r="I93" s="42" t="n">
        <f aca="false">I91-I92</f>
        <v>182.119</v>
      </c>
      <c r="J93" s="21" t="n">
        <f aca="false">J91-J92</f>
        <v>45.845</v>
      </c>
      <c r="K93" s="21" t="n">
        <f aca="false">K91-K92</f>
        <v>39.64</v>
      </c>
      <c r="L93" s="21" t="n">
        <f aca="false">L91-L92</f>
        <v>85.485</v>
      </c>
      <c r="M93" s="21" t="n">
        <f aca="false">M91-M92</f>
        <v>53.2360000000001</v>
      </c>
      <c r="N93" s="21" t="n">
        <f aca="false">N91-N92</f>
        <v>41.304</v>
      </c>
      <c r="O93" s="42" t="n">
        <f aca="false">O91-O92</f>
        <v>180.025</v>
      </c>
      <c r="P93" s="21" t="n">
        <f aca="false">P91-P92</f>
        <v>41.422</v>
      </c>
      <c r="Q93" s="21" t="n">
        <f aca="false">Q91-Q92</f>
        <v>45.345</v>
      </c>
      <c r="R93" s="21" t="n">
        <f aca="false">R91-R92</f>
        <v>86.767</v>
      </c>
      <c r="S93" s="21" t="n">
        <f aca="false">S91-S92</f>
        <v>40.877</v>
      </c>
      <c r="T93" s="21" t="n">
        <f aca="false">T91-T92</f>
        <v>51.0429999999999</v>
      </c>
      <c r="U93" s="42" t="n">
        <f aca="false">U91-U92</f>
        <v>178.687</v>
      </c>
      <c r="V93" s="21" t="n">
        <f aca="false">V91-V92</f>
        <v>52.615</v>
      </c>
      <c r="W93" s="21" t="n">
        <f aca="false">W91-W92</f>
        <v>52.1930000000001</v>
      </c>
      <c r="X93" s="21" t="n">
        <f aca="false">X91-X92</f>
        <v>104.808</v>
      </c>
      <c r="Y93" s="21" t="n">
        <f aca="false">Y91-Y92</f>
        <v>57.563</v>
      </c>
      <c r="Z93" s="21" t="n">
        <f aca="false">Z91-Z92</f>
        <v>57.412</v>
      </c>
      <c r="AA93" s="42" t="n">
        <f aca="false">AA91-AA92</f>
        <v>219.783</v>
      </c>
      <c r="AB93" s="21" t="n">
        <f aca="false">AB91-AB92</f>
        <v>52.61</v>
      </c>
      <c r="AC93" s="21" t="n">
        <f aca="false">AC91-AC92</f>
        <v>59.007</v>
      </c>
      <c r="AD93" s="21" t="n">
        <f aca="false">AD91-AD92</f>
        <v>111.617</v>
      </c>
      <c r="AE93" s="21" t="n">
        <f aca="false">AE91-AE92</f>
        <v>74.623</v>
      </c>
      <c r="AF93" s="21" t="n">
        <f aca="false">AF91-AF92</f>
        <v>84.12</v>
      </c>
      <c r="AG93" s="42" t="n">
        <f aca="false">AG91-AG92</f>
        <v>270.36</v>
      </c>
      <c r="AH93" s="21" t="n">
        <f aca="false">AH91-AH92</f>
        <v>167.28</v>
      </c>
      <c r="AI93" s="21" t="n">
        <f aca="false">AI91-AI92</f>
        <v>66.0660000000001</v>
      </c>
      <c r="AJ93" s="21" t="n">
        <f aca="false">AJ91-AJ92</f>
        <v>233.346</v>
      </c>
      <c r="AK93" s="21" t="n">
        <f aca="false">AK91-AK92</f>
        <v>90.546</v>
      </c>
      <c r="AL93" s="21" t="n">
        <f aca="false">AL91-AL92</f>
        <v>70.335</v>
      </c>
      <c r="AM93" s="42" t="n">
        <f aca="false">AM91-AM92</f>
        <v>394.227</v>
      </c>
      <c r="AN93" s="21" t="n">
        <f aca="false">AN91-AN92</f>
        <v>77.515</v>
      </c>
      <c r="AO93" s="21" t="n">
        <f aca="false">AO91-AO92</f>
        <v>103.256</v>
      </c>
      <c r="AP93" s="21" t="n">
        <f aca="false">AP91-AP92</f>
        <v>180.771</v>
      </c>
      <c r="AQ93" s="21" t="n">
        <f aca="false">AQ91-AQ92</f>
        <v>127.348</v>
      </c>
      <c r="AR93" s="21" t="n">
        <f aca="false">AR91-AR92</f>
        <v>109.748</v>
      </c>
      <c r="AS93" s="42" t="n">
        <f aca="false">AS91-AS92</f>
        <v>417.867</v>
      </c>
      <c r="AT93" s="21" t="n">
        <f aca="false">AT91-AT92</f>
        <v>114.083</v>
      </c>
      <c r="AU93" s="21" t="n">
        <f aca="false">AU91-AU92</f>
        <v>131.373</v>
      </c>
      <c r="AV93" s="21" t="n">
        <f aca="false">AV91-AV92</f>
        <v>245.456</v>
      </c>
      <c r="AW93" s="21" t="n">
        <f aca="false">AW91-AW92</f>
        <v>192.741</v>
      </c>
      <c r="AX93" s="21" t="n">
        <f aca="false">AX91-AX92</f>
        <v>153.496</v>
      </c>
      <c r="AY93" s="42" t="n">
        <f aca="false">AY91-AY92</f>
        <v>591.693</v>
      </c>
      <c r="AZ93" s="21" t="n">
        <f aca="false">AZ91-AZ92</f>
        <v>218.18</v>
      </c>
      <c r="BA93" s="21" t="n">
        <f aca="false">BA91-BA92</f>
        <v>168.707</v>
      </c>
      <c r="BB93" s="21" t="n">
        <f aca="false">BB91-BB92</f>
        <v>386.887</v>
      </c>
      <c r="BC93" s="21" t="n">
        <f aca="false">BC91-BC92</f>
        <v>147.487</v>
      </c>
      <c r="BD93" s="21" t="n">
        <f aca="false">BD91-BD92</f>
        <v>165.533</v>
      </c>
      <c r="BE93" s="42" t="n">
        <f aca="false">BE91-BE92</f>
        <v>699.907</v>
      </c>
      <c r="BF93" s="21" t="n">
        <f aca="false">BF91-BF92</f>
        <v>200.285</v>
      </c>
      <c r="BG93" s="21" t="n">
        <f aca="false">BG91-BG92</f>
        <v>193.44</v>
      </c>
      <c r="BH93" s="21" t="n">
        <f aca="false">BH91-BH92</f>
        <v>393.725</v>
      </c>
      <c r="BI93" s="21" t="n">
        <f aca="false">BI91-BI92</f>
        <v>286.796</v>
      </c>
      <c r="BJ93" s="21" t="n">
        <f aca="false">BJ91-BJ92</f>
        <v>255.974</v>
      </c>
      <c r="BK93" s="42" t="n">
        <f aca="false">BK91-BK92</f>
        <v>936.495</v>
      </c>
      <c r="BL93" s="21" t="n">
        <f aca="false">BL91-BL92</f>
        <v>260.363</v>
      </c>
      <c r="BM93" s="21" t="n">
        <f aca="false">BM91-BM92</f>
        <v>287.412</v>
      </c>
      <c r="BN93" s="21" t="n">
        <f aca="false">BN91-BN92</f>
        <v>547.775</v>
      </c>
      <c r="BO93" s="21" t="n">
        <f aca="false">BO91-BO92</f>
        <v>278.62</v>
      </c>
      <c r="BP93" s="21" t="n">
        <f aca="false">BP91-BP92</f>
        <v>263.735</v>
      </c>
      <c r="BQ93" s="42" t="n">
        <f aca="false">BQ91-BQ92</f>
        <v>1090.13</v>
      </c>
      <c r="BR93" s="21" t="n">
        <f aca="false">BR91-BR92</f>
        <v>245.848</v>
      </c>
      <c r="BS93" s="21" t="n">
        <f aca="false">BS91-BS92</f>
        <v>293.677</v>
      </c>
      <c r="BT93" s="21" t="n">
        <f aca="false">BT91-BT92</f>
        <v>539.525</v>
      </c>
      <c r="BU93" s="21" t="n">
        <f aca="false">BU91-BU92</f>
        <v>350.431</v>
      </c>
      <c r="BV93" s="21" t="n">
        <f aca="false">BV91-BV92</f>
        <v>347.785</v>
      </c>
      <c r="BW93" s="42" t="n">
        <f aca="false">BW91-BW92</f>
        <v>1237.741</v>
      </c>
      <c r="BX93" s="21" t="n">
        <f aca="false">BX91-BX92</f>
        <v>332.527</v>
      </c>
      <c r="BY93" s="21" t="n">
        <f aca="false">BY91-BY92</f>
        <v>325.635</v>
      </c>
      <c r="BZ93" s="21" t="n">
        <f aca="false">BZ91-BZ92</f>
        <v>658.162</v>
      </c>
      <c r="CA93" s="21" t="n">
        <f aca="false">CA91-CA92</f>
        <v>382.291</v>
      </c>
      <c r="CB93" s="21" t="n">
        <f aca="false">CB91-CB92</f>
        <v>322.567</v>
      </c>
      <c r="CC93" s="42" t="n">
        <f aca="false">CC91-CC92</f>
        <v>1363.02</v>
      </c>
      <c r="CD93" s="21" t="n">
        <f aca="false">CD91-CD92</f>
        <v>362.086</v>
      </c>
      <c r="CE93" s="21" t="n">
        <f aca="false">CE91-CE92</f>
        <v>387.4</v>
      </c>
      <c r="CF93" s="21" t="n">
        <f aca="false">CF91-CF92</f>
        <v>749.486</v>
      </c>
      <c r="CG93" s="21" t="n">
        <f aca="false">CG91-CG92</f>
        <v>406.609</v>
      </c>
      <c r="CH93" s="21" t="n">
        <f aca="false">CH91-CH92</f>
        <v>396.354</v>
      </c>
      <c r="CI93" s="42" t="n">
        <f aca="false">CI91-CI92</f>
        <v>1552.449</v>
      </c>
      <c r="CJ93" s="21" t="n">
        <f aca="false">CJ91-CJ92</f>
        <v>403.714</v>
      </c>
      <c r="CK93" s="21" t="n">
        <f aca="false">CK91-CK92</f>
        <v>350.732</v>
      </c>
      <c r="CL93" s="21" t="n">
        <f aca="false">CL91-CL92</f>
        <v>754.446</v>
      </c>
      <c r="CM93" s="21" t="n">
        <f aca="false">CM91-CM92</f>
        <v>402.401</v>
      </c>
      <c r="CN93" s="21" t="n">
        <f aca="false">CN91-CN92</f>
        <v>327.423</v>
      </c>
      <c r="CO93" s="42" t="n">
        <f aca="false">CO91-CO92</f>
        <v>1484.27</v>
      </c>
      <c r="CP93" s="42" t="n">
        <f aca="false">CP91-CP92</f>
        <v>1484.66892473288</v>
      </c>
      <c r="CQ93" s="42" t="n">
        <f aca="false">CQ91-CQ92</f>
        <v>1561.1086672709</v>
      </c>
      <c r="CR93" s="42" t="n">
        <f aca="false">CR91-CR92</f>
        <v>1680.54992830152</v>
      </c>
      <c r="CS93" s="42" t="n">
        <f aca="false">CS91-CS92</f>
        <v>1808.2120125569</v>
      </c>
      <c r="CT93" s="42" t="n">
        <f aca="false">CT91-CT92</f>
        <v>1945.30893238154</v>
      </c>
      <c r="CU93" s="24"/>
      <c r="CW93" s="25" t="n">
        <f aca="false">IFERROR((CT93/CO93)^(1/5)-1,"n/m")</f>
        <v>0.0555896765896544</v>
      </c>
      <c r="CX93" s="25" t="n">
        <f aca="false">IFERROR((CO93/BK93)^(1/5)-1,"n/m")</f>
        <v>0.0964819562888302</v>
      </c>
      <c r="CY93" s="25" t="n">
        <f aca="false">IFERROR((CO93/AG93)^(1/10)-1,"n/m")</f>
        <v>0.185651478452758</v>
      </c>
      <c r="CZ93" s="25" t="n">
        <f aca="false">IFERROR((CO93/C93)^(1/20)-1,"n/m")</f>
        <v>0.146169709070497</v>
      </c>
    </row>
    <row r="94" customFormat="false" ht="15" hidden="false" customHeight="false" outlineLevel="0" collapsed="false">
      <c r="B94" s="43" t="s">
        <v>210</v>
      </c>
      <c r="C94" s="39" t="n">
        <f aca="false">IF(ISNUMBER(C95),ROUND(C93-C95,1),"")</f>
        <v>0</v>
      </c>
      <c r="D94" s="39" t="n">
        <f aca="false">IF(ISNUMBER(D95),ROUND(D93-D95,1),"")</f>
        <v>0</v>
      </c>
      <c r="E94" s="39" t="n">
        <f aca="false">IF(ISNUMBER(E95),ROUND(E93-E95,1),"")</f>
        <v>0</v>
      </c>
      <c r="F94" s="39" t="n">
        <f aca="false">IF(ISNUMBER(F95),ROUND(F93-F95,1),"")</f>
        <v>0</v>
      </c>
      <c r="G94" s="39" t="n">
        <f aca="false">IF(ISNUMBER(G95),ROUND(G93-G95,1),"")</f>
        <v>0</v>
      </c>
      <c r="H94" s="39" t="n">
        <f aca="false">IF(ISNUMBER(H95),ROUND(H93-H95,1),"")</f>
        <v>0</v>
      </c>
      <c r="I94" s="39" t="n">
        <f aca="false">IF(ISNUMBER(I95),ROUND(I93-I95,1),"")</f>
        <v>0</v>
      </c>
      <c r="J94" s="39" t="n">
        <f aca="false">IF(ISNUMBER(J95),ROUND(J93-J95,1),"")</f>
        <v>0</v>
      </c>
      <c r="K94" s="39" t="n">
        <f aca="false">IF(ISNUMBER(K95),ROUND(K93-K95,1),"")</f>
        <v>0</v>
      </c>
      <c r="L94" s="39" t="n">
        <f aca="false">IF(ISNUMBER(L95),ROUND(L93-L95,1),"")</f>
        <v>0</v>
      </c>
      <c r="M94" s="39" t="n">
        <f aca="false">IF(ISNUMBER(M95),ROUND(M93-M95,1),"")</f>
        <v>0</v>
      </c>
      <c r="N94" s="39" t="n">
        <f aca="false">IF(ISNUMBER(N95),ROUND(N93-N95,1),"")</f>
        <v>0</v>
      </c>
      <c r="O94" s="39" t="n">
        <f aca="false">IF(ISNUMBER(O95),ROUND(O93-O95,1),"")</f>
        <v>0</v>
      </c>
      <c r="P94" s="39" t="n">
        <f aca="false">IF(ISNUMBER(P95),ROUND(P93-P95,1),"")</f>
        <v>0</v>
      </c>
      <c r="Q94" s="39" t="n">
        <f aca="false">IF(ISNUMBER(Q95),ROUND(Q93-Q95,1),"")</f>
        <v>0</v>
      </c>
      <c r="R94" s="39" t="n">
        <f aca="false">IF(ISNUMBER(R95),ROUND(R93-R95,1),"")</f>
        <v>0</v>
      </c>
      <c r="S94" s="39" t="n">
        <f aca="false">IF(ISNUMBER(S95),ROUND(S93-S95,1),"")</f>
        <v>0</v>
      </c>
      <c r="T94" s="39" t="n">
        <f aca="false">IF(ISNUMBER(T95),ROUND(T93-T95,1),"")</f>
        <v>0</v>
      </c>
      <c r="U94" s="39" t="n">
        <f aca="false">IF(ISNUMBER(U95),ROUND(U93-U95,1),"")</f>
        <v>0</v>
      </c>
      <c r="V94" s="39" t="n">
        <f aca="false">IF(ISNUMBER(V95),ROUND(V93-V95,1),"")</f>
        <v>0</v>
      </c>
      <c r="W94" s="39" t="n">
        <f aca="false">IF(ISNUMBER(W95),ROUND(W93-W95,1),"")</f>
        <v>0</v>
      </c>
      <c r="X94" s="39" t="n">
        <f aca="false">IF(ISNUMBER(X95),ROUND(X93-X95,1),"")</f>
        <v>0</v>
      </c>
      <c r="Y94" s="39" t="n">
        <f aca="false">IF(ISNUMBER(Y95),ROUND(Y93-Y95,1),"")</f>
        <v>0</v>
      </c>
      <c r="Z94" s="39" t="n">
        <f aca="false">IF(ISNUMBER(Z95),ROUND(Z93-Z95,1),"")</f>
        <v>0</v>
      </c>
      <c r="AA94" s="39" t="n">
        <f aca="false">IF(ISNUMBER(AA95),ROUND(AA93-AA95,1),"")</f>
        <v>0</v>
      </c>
      <c r="AB94" s="39" t="n">
        <f aca="false">IF(ISNUMBER(AB95),ROUND(AB93-AB95,1),"")</f>
        <v>0</v>
      </c>
      <c r="AC94" s="39" t="n">
        <f aca="false">IF(ISNUMBER(AC95),ROUND(AC93-AC95,1),"")</f>
        <v>0</v>
      </c>
      <c r="AD94" s="39" t="n">
        <f aca="false">IF(ISNUMBER(AD95),ROUND(AD93-AD95,1),"")</f>
        <v>0</v>
      </c>
      <c r="AE94" s="39" t="n">
        <f aca="false">IF(ISNUMBER(AE95),ROUND(AE93-AE95,1),"")</f>
        <v>0</v>
      </c>
      <c r="AF94" s="39" t="n">
        <f aca="false">IF(ISNUMBER(AF95),ROUND(AF93-AF95,1),"")</f>
        <v>0</v>
      </c>
      <c r="AG94" s="39" t="n">
        <f aca="false">IF(ISNUMBER(AG95),ROUND(AG93-AG95,1),"")</f>
        <v>0</v>
      </c>
      <c r="AH94" s="39" t="n">
        <f aca="false">IF(ISNUMBER(AH95),ROUND(AH93-AH95,1),"")</f>
        <v>0</v>
      </c>
      <c r="AI94" s="39" t="n">
        <f aca="false">IF(ISNUMBER(AI95),ROUND(AI93-AI95,1),"")</f>
        <v>0</v>
      </c>
      <c r="AJ94" s="39" t="n">
        <f aca="false">IF(ISNUMBER(AJ95),ROUND(AJ93-AJ95,1),"")</f>
        <v>0</v>
      </c>
      <c r="AK94" s="39" t="n">
        <f aca="false">IF(ISNUMBER(AK95),ROUND(AK93-AK95,1),"")</f>
        <v>0</v>
      </c>
      <c r="AL94" s="39" t="n">
        <f aca="false">IF(ISNUMBER(AL95),ROUND(AL93-AL95,1),"")</f>
        <v>0</v>
      </c>
      <c r="AM94" s="39" t="n">
        <f aca="false">IF(ISNUMBER(AM95),ROUND(AM93-AM95,1),"")</f>
        <v>0</v>
      </c>
      <c r="AN94" s="39" t="n">
        <f aca="false">IF(ISNUMBER(AN95),ROUND(AN93-AN95,1),"")</f>
        <v>0</v>
      </c>
      <c r="AO94" s="39" t="n">
        <f aca="false">IF(ISNUMBER(AO95),ROUND(AO93-AO95,1),"")</f>
        <v>0</v>
      </c>
      <c r="AP94" s="39" t="n">
        <f aca="false">IF(ISNUMBER(AP95),ROUND(AP93-AP95,1),"")</f>
        <v>0</v>
      </c>
      <c r="AQ94" s="39" t="n">
        <f aca="false">IF(ISNUMBER(AQ95),ROUND(AQ93-AQ95,1),"")</f>
        <v>0</v>
      </c>
      <c r="AR94" s="39" t="n">
        <f aca="false">IF(ISNUMBER(AR95),ROUND(AR93-AR95,1),"")</f>
        <v>0</v>
      </c>
      <c r="AS94" s="39" t="n">
        <f aca="false">IF(ISNUMBER(AS95),ROUND(AS93-AS95,1),"")</f>
        <v>0</v>
      </c>
      <c r="AT94" s="39" t="n">
        <f aca="false">IF(ISNUMBER(AT95),ROUND(AT93-AT95,1),"")</f>
        <v>0</v>
      </c>
      <c r="AU94" s="39" t="n">
        <f aca="false">IF(ISNUMBER(AU95),ROUND(AU93-AU95,1),"")</f>
        <v>0</v>
      </c>
      <c r="AV94" s="39" t="n">
        <f aca="false">IF(ISNUMBER(AV95),ROUND(AV93-AV95,1),"")</f>
        <v>0</v>
      </c>
      <c r="AW94" s="39" t="n">
        <f aca="false">IF(ISNUMBER(AW95),ROUND(AW93-AW95,1),"")</f>
        <v>0</v>
      </c>
      <c r="AX94" s="39" t="n">
        <f aca="false">IF(ISNUMBER(AX95),ROUND(AX93-AX95,1),"")</f>
        <v>0</v>
      </c>
      <c r="AY94" s="39" t="n">
        <f aca="false">IF(ISNUMBER(AY95),ROUND(AY93-AY95,1),"")</f>
        <v>0</v>
      </c>
      <c r="AZ94" s="39" t="n">
        <f aca="false">IF(ISNUMBER(AZ95),ROUND(AZ93-AZ95,1),"")</f>
        <v>0</v>
      </c>
      <c r="BA94" s="39" t="n">
        <f aca="false">IF(ISNUMBER(BA95),ROUND(BA93-BA95,1),"")</f>
        <v>0</v>
      </c>
      <c r="BB94" s="39" t="n">
        <f aca="false">IF(ISNUMBER(BB95),ROUND(BB93-BB95,1),"")</f>
        <v>0</v>
      </c>
      <c r="BC94" s="39" t="n">
        <f aca="false">IF(ISNUMBER(BC95),ROUND(BC93-BC95,1),"")</f>
        <v>0</v>
      </c>
      <c r="BD94" s="39" t="n">
        <f aca="false">IF(ISNUMBER(BD95),ROUND(BD93-BD95,1),"")</f>
        <v>0</v>
      </c>
      <c r="BE94" s="39" t="n">
        <f aca="false">IF(ISNUMBER(BE95),ROUND(BE93-BE95,1),"")</f>
        <v>0</v>
      </c>
      <c r="BF94" s="39" t="n">
        <f aca="false">IF(ISNUMBER(BF95),ROUND(BF93-BF95,1),"")</f>
        <v>0</v>
      </c>
      <c r="BG94" s="39" t="n">
        <f aca="false">IF(ISNUMBER(BG95),ROUND(BG93-BG95,1),"")</f>
        <v>0</v>
      </c>
      <c r="BH94" s="39" t="n">
        <f aca="false">IF(ISNUMBER(BH95),ROUND(BH93-BH95,1),"")</f>
        <v>0</v>
      </c>
      <c r="BI94" s="39" t="n">
        <f aca="false">IF(ISNUMBER(BI95),ROUND(BI93-BI95,1),"")</f>
        <v>0</v>
      </c>
      <c r="BJ94" s="39" t="n">
        <f aca="false">IF(ISNUMBER(BJ95),ROUND(BJ93-BJ95,1),"")</f>
        <v>0</v>
      </c>
      <c r="BK94" s="39" t="n">
        <f aca="false">IF(ISNUMBER(BK95),ROUND(BK93-BK95,1),"")</f>
        <v>0</v>
      </c>
      <c r="BL94" s="39" t="n">
        <f aca="false">IF(ISNUMBER(BL95),ROUND(BL93-BL95,1),"")</f>
        <v>0</v>
      </c>
      <c r="BM94" s="39" t="n">
        <f aca="false">IF(ISNUMBER(BM95),ROUND(BM93-BM95,1),"")</f>
        <v>0</v>
      </c>
      <c r="BN94" s="39" t="n">
        <f aca="false">IF(ISNUMBER(BN95),ROUND(BN93-BN95,1),"")</f>
        <v>0</v>
      </c>
      <c r="BO94" s="39" t="n">
        <f aca="false">IF(ISNUMBER(BO95),ROUND(BO93-BO95,1),"")</f>
        <v>0</v>
      </c>
      <c r="BP94" s="39" t="n">
        <f aca="false">IF(ISNUMBER(BP95),ROUND(BP93-BP95,1),"")</f>
        <v>0</v>
      </c>
      <c r="BQ94" s="39" t="n">
        <f aca="false">IF(ISNUMBER(BQ95),ROUND(BQ93-BQ95,1),"")</f>
        <v>0</v>
      </c>
      <c r="BR94" s="39" t="n">
        <f aca="false">IF(ISNUMBER(BR95),ROUND(BR93-BR95,1),"")</f>
        <v>0</v>
      </c>
      <c r="BS94" s="39" t="n">
        <f aca="false">IF(ISNUMBER(BS95),ROUND(BS93-BS95,1),"")</f>
        <v>0</v>
      </c>
      <c r="BT94" s="39" t="n">
        <f aca="false">IF(ISNUMBER(BT95),ROUND(BT93-BT95,1),"")</f>
        <v>0</v>
      </c>
      <c r="BU94" s="39" t="n">
        <f aca="false">IF(ISNUMBER(BU95),ROUND(BU93-BU95,1),"")</f>
        <v>0</v>
      </c>
      <c r="BV94" s="39" t="n">
        <f aca="false">IF(ISNUMBER(BV95),ROUND(BV93-BV95,1),"")</f>
        <v>0</v>
      </c>
      <c r="BW94" s="39" t="n">
        <f aca="false">IF(ISNUMBER(BW95),ROUND(BW93-BW95,1),"")</f>
        <v>0</v>
      </c>
      <c r="BX94" s="39" t="n">
        <f aca="false">IF(ISNUMBER(BX95),ROUND(BX93-BX95,1),"")</f>
        <v>0</v>
      </c>
      <c r="BY94" s="39" t="n">
        <f aca="false">IF(ISNUMBER(BY95),ROUND(BY93-BY95,1),"")</f>
        <v>0</v>
      </c>
      <c r="BZ94" s="39" t="n">
        <f aca="false">IF(ISNUMBER(BZ95),ROUND(BZ93-BZ95,1),"")</f>
        <v>0</v>
      </c>
      <c r="CA94" s="39" t="n">
        <f aca="false">IF(ISNUMBER(CA95),ROUND(CA93-CA95,1),"")</f>
        <v>0</v>
      </c>
      <c r="CB94" s="39" t="n">
        <f aca="false">IF(ISNUMBER(CB95),ROUND(CB93-CB95,1),"")</f>
        <v>0</v>
      </c>
      <c r="CC94" s="39" t="n">
        <f aca="false">IF(ISNUMBER(CC95),ROUND(CC93-CC95,1),"")</f>
        <v>0</v>
      </c>
      <c r="CD94" s="39" t="n">
        <f aca="false">IF(ISNUMBER(CD95),ROUND(CD93-CD95,1),"")</f>
        <v>0</v>
      </c>
      <c r="CE94" s="39" t="n">
        <f aca="false">IF(ISNUMBER(CE95),ROUND(CE93-CE95,1),"")</f>
        <v>0</v>
      </c>
      <c r="CF94" s="39" t="n">
        <f aca="false">IF(ISNUMBER(CF95),ROUND(CF93-CF95,1),"")</f>
        <v>0</v>
      </c>
      <c r="CG94" s="39" t="n">
        <f aca="false">IF(ISNUMBER(CG95),ROUND(CG93-CG95,1),"")</f>
        <v>0</v>
      </c>
      <c r="CH94" s="39" t="n">
        <f aca="false">IF(ISNUMBER(CH95),ROUND(CH93-CH95,1),"")</f>
        <v>0</v>
      </c>
      <c r="CI94" s="39" t="n">
        <f aca="false">IF(ISNUMBER(CI95),ROUND(CI93-CI95,1),"")</f>
        <v>0</v>
      </c>
      <c r="CJ94" s="39" t="n">
        <f aca="false">IF(ISNUMBER(CJ95),ROUND(CJ93-CJ95,1),"")</f>
        <v>0</v>
      </c>
      <c r="CK94" s="39" t="n">
        <f aca="false">IF(ISNUMBER(CK95),ROUND(CK93-CK95,1),"")</f>
        <v>0</v>
      </c>
      <c r="CL94" s="39" t="n">
        <f aca="false">IF(ISNUMBER(CL95),ROUND(CL93-CL95,1),"")</f>
        <v>0</v>
      </c>
      <c r="CM94" s="39" t="n">
        <f aca="false">IF(ISNUMBER(CM95),ROUND(CM93-CM95,1),"")</f>
        <v>0</v>
      </c>
      <c r="CN94" s="39" t="n">
        <f aca="false">IF(ISNUMBER(CN95),ROUND(CN93-CN95,1),"")</f>
        <v>0</v>
      </c>
      <c r="CO94" s="39" t="n">
        <f aca="false">IF(ISNUMBER(CO95),ROUND(CO93-CO95,1),"")</f>
        <v>0</v>
      </c>
      <c r="CP94" s="40"/>
      <c r="CQ94" s="40"/>
      <c r="CR94" s="40"/>
      <c r="CS94" s="40"/>
      <c r="CT94" s="40"/>
      <c r="CU94" s="24"/>
      <c r="CW94" s="6"/>
      <c r="CX94" s="6"/>
      <c r="CY94" s="6"/>
      <c r="CZ94" s="6"/>
    </row>
    <row r="95" customFormat="false" ht="15" hidden="false" customHeight="false" outlineLevel="0" collapsed="false">
      <c r="B95" s="52" t="s">
        <v>211</v>
      </c>
      <c r="C95" s="50" t="n">
        <v>96.947</v>
      </c>
      <c r="D95" s="50" t="n">
        <v>136.338</v>
      </c>
      <c r="E95" s="50" t="n">
        <v>156.932</v>
      </c>
      <c r="F95" s="50" t="n">
        <v>141.103</v>
      </c>
      <c r="G95" s="50" t="n">
        <v>151.627</v>
      </c>
      <c r="H95" s="50" t="n">
        <v>166.375</v>
      </c>
      <c r="I95" s="50" t="n">
        <v>182.119</v>
      </c>
      <c r="J95" s="50" t="n">
        <v>45.845</v>
      </c>
      <c r="K95" s="50" t="n">
        <v>39.64</v>
      </c>
      <c r="L95" s="39" t="n">
        <f aca="false">J95+K95</f>
        <v>85.485</v>
      </c>
      <c r="M95" s="50" t="n">
        <v>53.236</v>
      </c>
      <c r="N95" s="50" t="n">
        <v>41.304</v>
      </c>
      <c r="O95" s="50" t="n">
        <v>180.025</v>
      </c>
      <c r="P95" s="50" t="n">
        <v>41.422</v>
      </c>
      <c r="Q95" s="50" t="n">
        <v>45.345</v>
      </c>
      <c r="R95" s="39" t="n">
        <f aca="false">P95+Q95</f>
        <v>86.767</v>
      </c>
      <c r="S95" s="50" t="n">
        <v>40.877</v>
      </c>
      <c r="T95" s="50" t="n">
        <v>51.043</v>
      </c>
      <c r="U95" s="50" t="n">
        <v>178.687</v>
      </c>
      <c r="V95" s="50" t="n">
        <v>52.615</v>
      </c>
      <c r="W95" s="50" t="n">
        <v>52.193</v>
      </c>
      <c r="X95" s="39" t="n">
        <f aca="false">V95+W95</f>
        <v>104.808</v>
      </c>
      <c r="Y95" s="50" t="n">
        <v>57.563</v>
      </c>
      <c r="Z95" s="50" t="n">
        <v>57.412</v>
      </c>
      <c r="AA95" s="50" t="n">
        <v>219.783</v>
      </c>
      <c r="AB95" s="50" t="n">
        <v>52.61</v>
      </c>
      <c r="AC95" s="50" t="n">
        <v>59.007</v>
      </c>
      <c r="AD95" s="39" t="n">
        <f aca="false">AB95+AC95</f>
        <v>111.617</v>
      </c>
      <c r="AE95" s="50" t="n">
        <v>74.623</v>
      </c>
      <c r="AF95" s="50" t="n">
        <v>84.12</v>
      </c>
      <c r="AG95" s="50" t="n">
        <v>270.36</v>
      </c>
      <c r="AH95" s="50" t="n">
        <v>167.28</v>
      </c>
      <c r="AI95" s="50" t="n">
        <v>66.066</v>
      </c>
      <c r="AJ95" s="39" t="n">
        <f aca="false">AH95+AI95</f>
        <v>233.346</v>
      </c>
      <c r="AK95" s="50" t="n">
        <v>90.546</v>
      </c>
      <c r="AL95" s="50" t="n">
        <v>70.335</v>
      </c>
      <c r="AM95" s="50" t="n">
        <v>394.227</v>
      </c>
      <c r="AN95" s="50" t="n">
        <v>77.515</v>
      </c>
      <c r="AO95" s="50" t="n">
        <v>103.256</v>
      </c>
      <c r="AP95" s="39" t="n">
        <f aca="false">AN95+AO95</f>
        <v>180.771</v>
      </c>
      <c r="AQ95" s="50" t="n">
        <v>127.348</v>
      </c>
      <c r="AR95" s="50" t="n">
        <v>109.748</v>
      </c>
      <c r="AS95" s="50" t="n">
        <v>417.867</v>
      </c>
      <c r="AT95" s="50" t="n">
        <v>114.083</v>
      </c>
      <c r="AU95" s="50" t="n">
        <v>131.373</v>
      </c>
      <c r="AV95" s="39" t="n">
        <f aca="false">AT95+AU95</f>
        <v>245.456</v>
      </c>
      <c r="AW95" s="50" t="n">
        <v>192.741</v>
      </c>
      <c r="AX95" s="50" t="n">
        <v>153.496</v>
      </c>
      <c r="AY95" s="50" t="n">
        <v>591.693</v>
      </c>
      <c r="AZ95" s="50" t="n">
        <v>218.18</v>
      </c>
      <c r="BA95" s="50" t="n">
        <v>168.707</v>
      </c>
      <c r="BB95" s="39" t="n">
        <f aca="false">AZ95+BA95</f>
        <v>386.887</v>
      </c>
      <c r="BC95" s="50" t="n">
        <v>147.487</v>
      </c>
      <c r="BD95" s="50" t="n">
        <v>165.533</v>
      </c>
      <c r="BE95" s="50" t="n">
        <v>699.907</v>
      </c>
      <c r="BF95" s="50" t="n">
        <v>200.285</v>
      </c>
      <c r="BG95" s="50" t="n">
        <v>193.44</v>
      </c>
      <c r="BH95" s="39" t="n">
        <f aca="false">BF95+BG95</f>
        <v>393.725</v>
      </c>
      <c r="BI95" s="50" t="n">
        <v>286.796</v>
      </c>
      <c r="BJ95" s="50" t="n">
        <v>255.974</v>
      </c>
      <c r="BK95" s="50" t="n">
        <v>936.495</v>
      </c>
      <c r="BL95" s="50" t="n">
        <v>260.363</v>
      </c>
      <c r="BM95" s="50" t="n">
        <v>287.412</v>
      </c>
      <c r="BN95" s="39" t="n">
        <f aca="false">BL95+BM95</f>
        <v>547.775</v>
      </c>
      <c r="BO95" s="50" t="n">
        <v>278.62</v>
      </c>
      <c r="BP95" s="50" t="n">
        <v>263.735</v>
      </c>
      <c r="BQ95" s="50" t="n">
        <v>1090.13</v>
      </c>
      <c r="BR95" s="50" t="n">
        <v>245.848</v>
      </c>
      <c r="BS95" s="50" t="n">
        <v>293.677</v>
      </c>
      <c r="BT95" s="39" t="n">
        <f aca="false">BR95+BS95</f>
        <v>539.525</v>
      </c>
      <c r="BU95" s="50" t="n">
        <v>350.431</v>
      </c>
      <c r="BV95" s="50" t="n">
        <v>347.785</v>
      </c>
      <c r="BW95" s="50" t="n">
        <v>1237.741</v>
      </c>
      <c r="BX95" s="50" t="n">
        <v>332.527</v>
      </c>
      <c r="BY95" s="50" t="n">
        <v>325.635</v>
      </c>
      <c r="BZ95" s="39" t="n">
        <f aca="false">BX95+BY95</f>
        <v>658.162</v>
      </c>
      <c r="CA95" s="50" t="n">
        <v>382.291</v>
      </c>
      <c r="CB95" s="50" t="n">
        <v>322.567</v>
      </c>
      <c r="CC95" s="50" t="n">
        <v>1363.02</v>
      </c>
      <c r="CD95" s="50" t="n">
        <v>362.086</v>
      </c>
      <c r="CE95" s="50" t="n">
        <v>387.4</v>
      </c>
      <c r="CF95" s="39" t="n">
        <f aca="false">CD95+CE95</f>
        <v>749.486</v>
      </c>
      <c r="CG95" s="50" t="n">
        <v>406.609</v>
      </c>
      <c r="CH95" s="50" t="n">
        <v>396.354</v>
      </c>
      <c r="CI95" s="50" t="n">
        <v>1552.449</v>
      </c>
      <c r="CJ95" s="50" t="n">
        <v>403.714</v>
      </c>
      <c r="CK95" s="50" t="n">
        <v>350.732</v>
      </c>
      <c r="CL95" s="39" t="n">
        <f aca="false">CJ95+CK95</f>
        <v>754.446</v>
      </c>
      <c r="CM95" s="50" t="n">
        <v>402.401</v>
      </c>
      <c r="CN95" s="50" t="n">
        <v>327.423</v>
      </c>
      <c r="CO95" s="50" t="n">
        <v>1484.27</v>
      </c>
      <c r="CP95" s="40"/>
      <c r="CQ95" s="40"/>
      <c r="CR95" s="40"/>
      <c r="CS95" s="40"/>
      <c r="CT95" s="40"/>
      <c r="CU95" s="24"/>
      <c r="CW95" s="6"/>
      <c r="CX95" s="6"/>
      <c r="CY95" s="6"/>
      <c r="CZ95" s="6"/>
    </row>
    <row r="96" customFormat="false" ht="15" hidden="false" customHeight="false" outlineLevel="0" collapsed="false">
      <c r="B96" s="28" t="s">
        <v>212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40"/>
      <c r="CQ96" s="40"/>
      <c r="CR96" s="40"/>
      <c r="CS96" s="40"/>
      <c r="CT96" s="40"/>
      <c r="CU96" s="24"/>
      <c r="CW96" s="6"/>
      <c r="CX96" s="6"/>
      <c r="CY96" s="6"/>
      <c r="CZ96" s="6"/>
    </row>
    <row r="97" customFormat="false" ht="15" hidden="false" customHeight="false" outlineLevel="0" collapsed="false">
      <c r="B97" s="15" t="s">
        <v>213</v>
      </c>
      <c r="C97" s="32" t="n">
        <v>1445.952</v>
      </c>
      <c r="D97" s="32" t="n">
        <v>1450.416</v>
      </c>
      <c r="E97" s="32" t="n">
        <v>1398.592</v>
      </c>
      <c r="F97" s="32" t="n">
        <v>1336.592</v>
      </c>
      <c r="G97" s="32" t="n">
        <v>1346.64</v>
      </c>
      <c r="H97" s="32" t="n">
        <v>1210.384</v>
      </c>
      <c r="I97" s="32" t="n">
        <v>1024.96</v>
      </c>
      <c r="J97" s="32" t="n">
        <v>994.416</v>
      </c>
      <c r="K97" s="32" t="n">
        <v>997.672</v>
      </c>
      <c r="L97" s="31" t="n">
        <f aca="false">AVERAGE(J97,K97)</f>
        <v>996.044</v>
      </c>
      <c r="M97" s="32" t="n">
        <v>1002.16</v>
      </c>
      <c r="N97" s="32" t="n">
        <v>1003.04</v>
      </c>
      <c r="O97" s="32" t="n">
        <v>999.296</v>
      </c>
      <c r="P97" s="32" t="n">
        <v>1003.68</v>
      </c>
      <c r="Q97" s="32" t="n">
        <v>1004.512</v>
      </c>
      <c r="R97" s="31" t="n">
        <f aca="false">AVERAGE(P97,Q97)</f>
        <v>1004.096</v>
      </c>
      <c r="S97" s="32" t="n">
        <v>1006.352</v>
      </c>
      <c r="T97" s="32" t="n">
        <v>1007.672</v>
      </c>
      <c r="U97" s="32" t="n">
        <v>1005.544</v>
      </c>
      <c r="V97" s="32" t="n">
        <v>1009.736</v>
      </c>
      <c r="W97" s="32" t="n">
        <v>1010.4</v>
      </c>
      <c r="X97" s="31" t="n">
        <f aca="false">AVERAGE(V97,W97)</f>
        <v>1010.068</v>
      </c>
      <c r="Y97" s="32" t="n">
        <v>1011.32</v>
      </c>
      <c r="Z97" s="32" t="n">
        <v>997.944</v>
      </c>
      <c r="AA97" s="32" t="n">
        <v>1007.316</v>
      </c>
      <c r="AB97" s="32" t="n">
        <v>961.24</v>
      </c>
      <c r="AC97" s="32" t="n">
        <v>938.448</v>
      </c>
      <c r="AD97" s="31" t="n">
        <f aca="false">AVERAGE(AB97,AC97)</f>
        <v>949.844</v>
      </c>
      <c r="AE97" s="32" t="n">
        <v>884.352</v>
      </c>
      <c r="AF97" s="32" t="n">
        <v>876.624</v>
      </c>
      <c r="AG97" s="32" t="n">
        <v>915.384</v>
      </c>
      <c r="AH97" s="32" t="n">
        <v>901.744</v>
      </c>
      <c r="AI97" s="32" t="n">
        <v>916.568</v>
      </c>
      <c r="AJ97" s="31" t="n">
        <f aca="false">AVERAGE(AH97,AI97)</f>
        <v>909.156</v>
      </c>
      <c r="AK97" s="32" t="n">
        <v>919.68</v>
      </c>
      <c r="AL97" s="32" t="n">
        <v>921.144</v>
      </c>
      <c r="AM97" s="32" t="n">
        <v>914.744</v>
      </c>
      <c r="AN97" s="32" t="n">
        <v>922.776</v>
      </c>
      <c r="AO97" s="32" t="n">
        <v>925.912</v>
      </c>
      <c r="AP97" s="31" t="n">
        <f aca="false">AVERAGE(AN97,AO97)</f>
        <v>924.344</v>
      </c>
      <c r="AQ97" s="32" t="n">
        <v>928.04</v>
      </c>
      <c r="AR97" s="32" t="n">
        <v>931.98</v>
      </c>
      <c r="AS97" s="32" t="n">
        <v>927.172</v>
      </c>
      <c r="AT97" s="32" t="n">
        <v>935.552</v>
      </c>
      <c r="AU97" s="32" t="n">
        <v>923.192</v>
      </c>
      <c r="AV97" s="31" t="n">
        <f aca="false">AVERAGE(AT97,AU97)</f>
        <v>929.372</v>
      </c>
      <c r="AW97" s="32" t="n">
        <v>911.936</v>
      </c>
      <c r="AX97" s="32" t="n">
        <v>916.816</v>
      </c>
      <c r="AY97" s="32" t="n">
        <v>921.956</v>
      </c>
      <c r="AZ97" s="32" t="n">
        <v>924.676</v>
      </c>
      <c r="BA97" s="32" t="n">
        <v>930.684</v>
      </c>
      <c r="BB97" s="31" t="n">
        <f aca="false">AVERAGE(AZ97,BA97)</f>
        <v>927.68</v>
      </c>
      <c r="BC97" s="32" t="n">
        <v>936.532</v>
      </c>
      <c r="BD97" s="32" t="n">
        <v>939.452</v>
      </c>
      <c r="BE97" s="32" t="n">
        <v>932.808</v>
      </c>
      <c r="BF97" s="32" t="n">
        <v>943.164</v>
      </c>
      <c r="BG97" s="32" t="n">
        <v>944.608</v>
      </c>
      <c r="BH97" s="31" t="n">
        <f aca="false">AVERAGE(BF97,BG97)</f>
        <v>943.886</v>
      </c>
      <c r="BI97" s="32" t="n">
        <v>945.584</v>
      </c>
      <c r="BJ97" s="32" t="n">
        <v>946.716</v>
      </c>
      <c r="BK97" s="32" t="n">
        <v>945.008</v>
      </c>
      <c r="BL97" s="32" t="n">
        <v>948.272</v>
      </c>
      <c r="BM97" s="32" t="n">
        <v>948.744</v>
      </c>
      <c r="BN97" s="31" t="n">
        <f aca="false">AVERAGE(BL97,BM97)</f>
        <v>948.508</v>
      </c>
      <c r="BO97" s="32" t="n">
        <v>950.02</v>
      </c>
      <c r="BP97" s="32" t="n">
        <v>951.364</v>
      </c>
      <c r="BQ97" s="32" t="n">
        <v>949.676</v>
      </c>
      <c r="BR97" s="32" t="n">
        <v>952.198</v>
      </c>
      <c r="BS97" s="32" t="n">
        <v>952.752</v>
      </c>
      <c r="BT97" s="31" t="n">
        <f aca="false">AVERAGE(BR97,BS97)</f>
        <v>952.475</v>
      </c>
      <c r="BU97" s="32" t="n">
        <v>953.574</v>
      </c>
      <c r="BV97" s="32" t="n">
        <v>955.773</v>
      </c>
      <c r="BW97" s="32" t="n">
        <v>953.574</v>
      </c>
      <c r="BX97" s="32" t="n">
        <v>958.127</v>
      </c>
      <c r="BY97" s="32" t="n">
        <v>960.525</v>
      </c>
      <c r="BZ97" s="31" t="n">
        <f aca="false">AVERAGE(BX97,BY97)</f>
        <v>959.326</v>
      </c>
      <c r="CA97" s="32" t="n">
        <v>961.813</v>
      </c>
      <c r="CB97" s="32" t="n">
        <v>962.515</v>
      </c>
      <c r="CC97" s="32" t="n">
        <v>960.739</v>
      </c>
      <c r="CD97" s="32" t="n">
        <v>963.176</v>
      </c>
      <c r="CE97" s="32" t="n">
        <v>964.746</v>
      </c>
      <c r="CF97" s="31" t="n">
        <f aca="false">AVERAGE(CD97,CE97)</f>
        <v>963.961</v>
      </c>
      <c r="CG97" s="32" t="n">
        <v>966.234</v>
      </c>
      <c r="CH97" s="32" t="n">
        <v>967.1</v>
      </c>
      <c r="CI97" s="32" t="n">
        <v>965.306</v>
      </c>
      <c r="CJ97" s="32" t="n">
        <v>967.65</v>
      </c>
      <c r="CK97" s="32" t="n">
        <v>967.212</v>
      </c>
      <c r="CL97" s="31" t="n">
        <f aca="false">AVERAGE(CJ97,CK97)</f>
        <v>967.431</v>
      </c>
      <c r="CM97" s="32" t="n">
        <v>936.293</v>
      </c>
      <c r="CN97" s="32" t="n">
        <v>927.067</v>
      </c>
      <c r="CO97" s="32" t="n">
        <v>949.64</v>
      </c>
      <c r="CP97" s="33" t="n">
        <f aca="false">AVERAGE(CP227,CP228)</f>
        <v>894.612476472659</v>
      </c>
      <c r="CQ97" s="33" t="n">
        <f aca="false">AVERAGE(CQ227,CQ228)</f>
        <v>846.5485594711</v>
      </c>
      <c r="CR97" s="33" t="n">
        <f aca="false">AVERAGE(CR227,CR228)</f>
        <v>813.86581368535</v>
      </c>
      <c r="CS97" s="33" t="n">
        <f aca="false">AVERAGE(CS227,CS228)</f>
        <v>781.093752647945</v>
      </c>
      <c r="CT97" s="33" t="n">
        <f aca="false">AVERAGE(CT227,CT228)</f>
        <v>748.040457671242</v>
      </c>
      <c r="CU97" s="24" t="s">
        <v>214</v>
      </c>
      <c r="CW97" s="6"/>
      <c r="CX97" s="6"/>
      <c r="CY97" s="6"/>
      <c r="CZ97" s="6"/>
    </row>
    <row r="98" customFormat="false" ht="15" hidden="false" customHeight="false" outlineLevel="0" collapsed="false">
      <c r="B98" s="15" t="s">
        <v>215</v>
      </c>
      <c r="C98" s="32" t="n">
        <v>1486.8</v>
      </c>
      <c r="D98" s="32" t="n">
        <v>1495.28</v>
      </c>
      <c r="E98" s="32" t="n">
        <v>1437.728</v>
      </c>
      <c r="F98" s="32" t="n">
        <v>1358.88</v>
      </c>
      <c r="G98" s="32" t="n">
        <v>1360.432</v>
      </c>
      <c r="H98" s="32" t="n">
        <v>1226.816</v>
      </c>
      <c r="I98" s="32" t="n">
        <v>1051.424</v>
      </c>
      <c r="J98" s="32" t="n">
        <v>1027.784</v>
      </c>
      <c r="K98" s="32" t="n">
        <v>1036.16</v>
      </c>
      <c r="L98" s="31" t="n">
        <f aca="false">AVERAGE(J98,K98)</f>
        <v>1031.972</v>
      </c>
      <c r="M98" s="32" t="n">
        <v>1044.24</v>
      </c>
      <c r="N98" s="32" t="n">
        <v>1044.904</v>
      </c>
      <c r="O98" s="32" t="n">
        <v>1038.248</v>
      </c>
      <c r="P98" s="32" t="n">
        <v>1045.648</v>
      </c>
      <c r="Q98" s="32" t="n">
        <v>1048.808</v>
      </c>
      <c r="R98" s="31" t="n">
        <f aca="false">AVERAGE(P98,Q98)</f>
        <v>1047.228</v>
      </c>
      <c r="S98" s="32" t="n">
        <v>1051.888</v>
      </c>
      <c r="T98" s="32" t="n">
        <v>1053.032</v>
      </c>
      <c r="U98" s="32" t="n">
        <v>1049.84</v>
      </c>
      <c r="V98" s="32" t="n">
        <v>1052.136</v>
      </c>
      <c r="W98" s="32" t="n">
        <v>1054.976</v>
      </c>
      <c r="X98" s="31" t="n">
        <f aca="false">AVERAGE(V98,W98)</f>
        <v>1053.556</v>
      </c>
      <c r="Y98" s="32" t="n">
        <v>1056.992</v>
      </c>
      <c r="Z98" s="32" t="n">
        <v>1041.64</v>
      </c>
      <c r="AA98" s="32" t="n">
        <v>1051.404</v>
      </c>
      <c r="AB98" s="32" t="n">
        <v>1017.152</v>
      </c>
      <c r="AC98" s="32" t="n">
        <v>996.896</v>
      </c>
      <c r="AD98" s="31" t="n">
        <f aca="false">AVERAGE(AB98,AC98)</f>
        <v>1007.024</v>
      </c>
      <c r="AE98" s="32" t="n">
        <v>945.648</v>
      </c>
      <c r="AF98" s="32" t="n">
        <v>948.152</v>
      </c>
      <c r="AG98" s="32" t="n">
        <v>977.18</v>
      </c>
      <c r="AH98" s="32" t="n">
        <v>951.032</v>
      </c>
      <c r="AI98" s="32" t="n">
        <v>942.352</v>
      </c>
      <c r="AJ98" s="31" t="n">
        <f aca="false">AVERAGE(AH98,AI98)</f>
        <v>946.692</v>
      </c>
      <c r="AK98" s="32" t="n">
        <v>948.54</v>
      </c>
      <c r="AL98" s="32" t="n">
        <v>950.536</v>
      </c>
      <c r="AM98" s="32" t="n">
        <v>948.076</v>
      </c>
      <c r="AN98" s="32" t="n">
        <v>955.164</v>
      </c>
      <c r="AO98" s="32" t="n">
        <v>965.44</v>
      </c>
      <c r="AP98" s="31" t="n">
        <f aca="false">AVERAGE(AN98,AO98)</f>
        <v>960.302</v>
      </c>
      <c r="AQ98" s="32" t="n">
        <v>971.84</v>
      </c>
      <c r="AR98" s="32" t="n">
        <v>977.624</v>
      </c>
      <c r="AS98" s="32" t="n">
        <v>967.508</v>
      </c>
      <c r="AT98" s="32" t="n">
        <v>979.304</v>
      </c>
      <c r="AU98" s="32" t="n">
        <v>962.64</v>
      </c>
      <c r="AV98" s="31" t="n">
        <f aca="false">AVERAGE(AT98,AU98)</f>
        <v>970.972</v>
      </c>
      <c r="AW98" s="32" t="n">
        <v>951.568</v>
      </c>
      <c r="AX98" s="32" t="n">
        <v>953.416</v>
      </c>
      <c r="AY98" s="32" t="n">
        <v>961.812</v>
      </c>
      <c r="AZ98" s="32" t="n">
        <v>954.648</v>
      </c>
      <c r="BA98" s="32" t="n">
        <v>953.88</v>
      </c>
      <c r="BB98" s="31" t="n">
        <f aca="false">AVERAGE(AZ98,BA98)</f>
        <v>954.264</v>
      </c>
      <c r="BC98" s="32" t="n">
        <v>954.364</v>
      </c>
      <c r="BD98" s="32" t="n">
        <v>955.708</v>
      </c>
      <c r="BE98" s="32" t="n">
        <v>954.624</v>
      </c>
      <c r="BF98" s="32" t="n">
        <v>959.872</v>
      </c>
      <c r="BG98" s="32" t="n">
        <v>961.12</v>
      </c>
      <c r="BH98" s="31" t="n">
        <f aca="false">AVERAGE(BF98,BG98)</f>
        <v>960.496</v>
      </c>
      <c r="BI98" s="32" t="n">
        <v>960.832</v>
      </c>
      <c r="BJ98" s="32" t="n">
        <v>962.856</v>
      </c>
      <c r="BK98" s="32" t="n">
        <v>961.16</v>
      </c>
      <c r="BL98" s="32" t="n">
        <v>964.884</v>
      </c>
      <c r="BM98" s="32" t="n">
        <v>964.748</v>
      </c>
      <c r="BN98" s="31" t="n">
        <f aca="false">AVERAGE(BL98,BM98)</f>
        <v>964.816</v>
      </c>
      <c r="BO98" s="32" t="n">
        <v>962.896</v>
      </c>
      <c r="BP98" s="32" t="n">
        <v>962.944</v>
      </c>
      <c r="BQ98" s="32" t="n">
        <v>964.604</v>
      </c>
      <c r="BR98" s="32" t="n">
        <v>964.336</v>
      </c>
      <c r="BS98" s="32" t="n">
        <v>965.072</v>
      </c>
      <c r="BT98" s="31" t="n">
        <f aca="false">AVERAGE(BR98,BS98)</f>
        <v>964.704</v>
      </c>
      <c r="BU98" s="32" t="n">
        <v>967.38</v>
      </c>
      <c r="BV98" s="32" t="n">
        <v>970.255</v>
      </c>
      <c r="BW98" s="32" t="n">
        <v>966.647</v>
      </c>
      <c r="BX98" s="32" t="n">
        <v>971.682</v>
      </c>
      <c r="BY98" s="32" t="n">
        <v>974.589</v>
      </c>
      <c r="BZ98" s="31" t="n">
        <f aca="false">AVERAGE(BX98,BY98)</f>
        <v>973.1355</v>
      </c>
      <c r="CA98" s="32" t="n">
        <v>976.445</v>
      </c>
      <c r="CB98" s="32" t="n">
        <v>976.5</v>
      </c>
      <c r="CC98" s="32" t="n">
        <v>974.798</v>
      </c>
      <c r="CD98" s="32" t="n">
        <v>976.506</v>
      </c>
      <c r="CE98" s="32" t="n">
        <v>977.91</v>
      </c>
      <c r="CF98" s="31" t="n">
        <f aca="false">AVERAGE(CD98,CE98)</f>
        <v>977.208</v>
      </c>
      <c r="CG98" s="32" t="n">
        <v>978.089</v>
      </c>
      <c r="CH98" s="32" t="n">
        <v>977.778</v>
      </c>
      <c r="CI98" s="32" t="n">
        <v>977.563</v>
      </c>
      <c r="CJ98" s="32" t="n">
        <v>977.1</v>
      </c>
      <c r="CK98" s="32" t="n">
        <v>975.089</v>
      </c>
      <c r="CL98" s="31" t="n">
        <f aca="false">AVERAGE(CJ98,CK98)</f>
        <v>976.0945</v>
      </c>
      <c r="CM98" s="32" t="n">
        <v>942.77</v>
      </c>
      <c r="CN98" s="32" t="n">
        <v>932.14</v>
      </c>
      <c r="CO98" s="32" t="n">
        <v>956.86</v>
      </c>
      <c r="CP98" s="33" t="n">
        <f aca="false">CP97+CP299</f>
        <v>901.112476472659</v>
      </c>
      <c r="CQ98" s="33" t="n">
        <f aca="false">CQ97+CQ299</f>
        <v>853.0485594711</v>
      </c>
      <c r="CR98" s="33" t="n">
        <f aca="false">CR97+CR299</f>
        <v>820.36581368535</v>
      </c>
      <c r="CS98" s="33" t="n">
        <f aca="false">CS97+CS299</f>
        <v>787.593752647945</v>
      </c>
      <c r="CT98" s="33" t="n">
        <f aca="false">CT97+CT299</f>
        <v>754.540457671242</v>
      </c>
      <c r="CU98" s="24" t="s">
        <v>216</v>
      </c>
      <c r="CW98" s="6"/>
      <c r="CX98" s="6"/>
      <c r="CY98" s="6"/>
      <c r="CZ98" s="6"/>
    </row>
    <row r="99" customFormat="false" ht="15" hidden="false" customHeight="false" outlineLevel="0" collapsed="false">
      <c r="B99" s="41" t="s">
        <v>217</v>
      </c>
      <c r="C99" s="53" t="n">
        <f aca="false">IFERROR(C93/C97,"")</f>
        <v>0.0670471772230337</v>
      </c>
      <c r="D99" s="53" t="n">
        <f aca="false">IFERROR(D93/D97,"")</f>
        <v>0.0939992388390641</v>
      </c>
      <c r="E99" s="53" t="n">
        <f aca="false">IFERROR(E93/E97,"")</f>
        <v>0.112207134031941</v>
      </c>
      <c r="F99" s="53" t="n">
        <f aca="false">IFERROR(F93/F97,"")</f>
        <v>0.105569238780421</v>
      </c>
      <c r="G99" s="53" t="n">
        <f aca="false">IFERROR(G93/G97,"")</f>
        <v>0.112596536565081</v>
      </c>
      <c r="H99" s="53" t="n">
        <f aca="false">IFERROR(H93/H97,"")</f>
        <v>0.137456377480205</v>
      </c>
      <c r="I99" s="53" t="n">
        <f aca="false">IFERROR(I93/I97,"")</f>
        <v>0.177684007180768</v>
      </c>
      <c r="J99" s="54" t="n">
        <f aca="false">IFERROR(J93/J97,"")</f>
        <v>0.0461024360026387</v>
      </c>
      <c r="K99" s="54" t="n">
        <f aca="false">IFERROR(K93/K97,"")</f>
        <v>0.0397324972536064</v>
      </c>
      <c r="L99" s="54" t="n">
        <f aca="false">IFERROR(L93/L97,"")</f>
        <v>0.0858245218082735</v>
      </c>
      <c r="M99" s="54" t="n">
        <f aca="false">IFERROR(M93/M97,"")</f>
        <v>0.0531212580825418</v>
      </c>
      <c r="N99" s="54" t="n">
        <f aca="false">IFERROR(N93/N97,"")</f>
        <v>0.0411788163981496</v>
      </c>
      <c r="O99" s="53" t="n">
        <f aca="false">IFERROR(O93/O97,"")</f>
        <v>0.180151826886128</v>
      </c>
      <c r="P99" s="54" t="n">
        <f aca="false">IFERROR(P93/P97,"")</f>
        <v>0.0412701259365535</v>
      </c>
      <c r="Q99" s="54" t="n">
        <f aca="false">IFERROR(Q93/Q97,"")</f>
        <v>0.0451413223535408</v>
      </c>
      <c r="R99" s="54" t="n">
        <f aca="false">IFERROR(R93/R97,"")</f>
        <v>0.0864130521384409</v>
      </c>
      <c r="S99" s="54" t="n">
        <f aca="false">IFERROR(S93/S97,"")</f>
        <v>0.0406189881870359</v>
      </c>
      <c r="T99" s="54" t="n">
        <f aca="false">IFERROR(T93/T97,"")</f>
        <v>0.050654379599711</v>
      </c>
      <c r="U99" s="53" t="n">
        <f aca="false">IFERROR(U93/U97,"")</f>
        <v>0.177701821103801</v>
      </c>
      <c r="V99" s="54" t="n">
        <f aca="false">IFERROR(V93/V97,"")</f>
        <v>0.0521076796311115</v>
      </c>
      <c r="W99" s="54" t="n">
        <f aca="false">IFERROR(W93/W97,"")</f>
        <v>0.0516557798891529</v>
      </c>
      <c r="X99" s="54" t="n">
        <f aca="false">IFERROR(X93/X97,"")</f>
        <v>0.103763310985003</v>
      </c>
      <c r="Y99" s="54" t="n">
        <f aca="false">IFERROR(Y93/Y97,"")</f>
        <v>0.0569186805363288</v>
      </c>
      <c r="Z99" s="54" t="n">
        <f aca="false">IFERROR(Z93/Z97,"")</f>
        <v>0.0575302822603272</v>
      </c>
      <c r="AA99" s="53" t="n">
        <f aca="false">IFERROR(AA93/AA97,"")</f>
        <v>0.218186745767962</v>
      </c>
      <c r="AB99" s="54" t="n">
        <f aca="false">IFERROR(AB93/AB97,"")</f>
        <v>0.0547313886230286</v>
      </c>
      <c r="AC99" s="54" t="n">
        <f aca="false">IFERROR(AC93/AC97,"")</f>
        <v>0.0628772185565955</v>
      </c>
      <c r="AD99" s="54" t="n">
        <f aca="false">IFERROR(AD93/AD97,"")</f>
        <v>0.117510875470077</v>
      </c>
      <c r="AE99" s="54" t="n">
        <f aca="false">IFERROR(AE93/AE97,"")</f>
        <v>0.0843815584744536</v>
      </c>
      <c r="AF99" s="54" t="n">
        <f aca="false">IFERROR(AF93/AF97,"")</f>
        <v>0.0959590428735695</v>
      </c>
      <c r="AG99" s="53" t="n">
        <f aca="false">IFERROR(AG93/AG97,"")</f>
        <v>0.295351459059804</v>
      </c>
      <c r="AH99" s="54" t="n">
        <f aca="false">IFERROR(AH93/AH97,"")</f>
        <v>0.185507194946681</v>
      </c>
      <c r="AI99" s="54" t="n">
        <f aca="false">IFERROR(AI93/AI97,"")</f>
        <v>0.0720797584030864</v>
      </c>
      <c r="AJ99" s="54" t="n">
        <f aca="false">IFERROR(AJ93/AJ97,"")</f>
        <v>0.256662222984834</v>
      </c>
      <c r="AK99" s="54" t="n">
        <f aca="false">IFERROR(AK93/AK97,"")</f>
        <v>0.0984538100208769</v>
      </c>
      <c r="AL99" s="54" t="n">
        <f aca="false">IFERROR(AL93/AL97,"")</f>
        <v>0.0763561397566505</v>
      </c>
      <c r="AM99" s="53" t="n">
        <f aca="false">IFERROR(AM93/AM97,"")</f>
        <v>0.430969757658973</v>
      </c>
      <c r="AN99" s="54" t="n">
        <f aca="false">IFERROR(AN93/AN97,"")</f>
        <v>0.0840019679748932</v>
      </c>
      <c r="AO99" s="54" t="n">
        <f aca="false">IFERROR(AO93/AO97,"")</f>
        <v>0.111518157233085</v>
      </c>
      <c r="AP99" s="54" t="n">
        <f aca="false">IFERROR(AP93/AP97,"")</f>
        <v>0.195566801969829</v>
      </c>
      <c r="AQ99" s="54" t="n">
        <f aca="false">IFERROR(AQ93/AQ97,"")</f>
        <v>0.137222533511487</v>
      </c>
      <c r="AR99" s="54" t="n">
        <f aca="false">IFERROR(AR93/AR97,"")</f>
        <v>0.117757891800253</v>
      </c>
      <c r="AS99" s="53" t="n">
        <f aca="false">IFERROR(AS93/AS97,"")</f>
        <v>0.450689839641404</v>
      </c>
      <c r="AT99" s="54" t="n">
        <f aca="false">IFERROR(AT93/AT97,"")</f>
        <v>0.121941912368313</v>
      </c>
      <c r="AU99" s="54" t="n">
        <f aca="false">IFERROR(AU93/AU97,"")</f>
        <v>0.142303009558142</v>
      </c>
      <c r="AV99" s="54" t="n">
        <f aca="false">IFERROR(AV93/AV97,"")</f>
        <v>0.264109527724098</v>
      </c>
      <c r="AW99" s="54" t="n">
        <f aca="false">IFERROR(AW93/AW97,"")</f>
        <v>0.211353647624395</v>
      </c>
      <c r="AX99" s="54" t="n">
        <f aca="false">IFERROR(AX93/AX97,"")</f>
        <v>0.167422907104588</v>
      </c>
      <c r="AY99" s="53" t="n">
        <f aca="false">IFERROR(AY93/AY97,"")</f>
        <v>0.641780084949824</v>
      </c>
      <c r="AZ99" s="54" t="n">
        <f aca="false">IFERROR(AZ93/AZ97,"")</f>
        <v>0.235952917562476</v>
      </c>
      <c r="BA99" s="54" t="n">
        <f aca="false">IFERROR(BA93/BA97,"")</f>
        <v>0.181272053672353</v>
      </c>
      <c r="BB99" s="54" t="n">
        <f aca="false">IFERROR(BB93/BB97,"")</f>
        <v>0.41704790444981</v>
      </c>
      <c r="BC99" s="54" t="n">
        <f aca="false">IFERROR(BC93/BC97,"")</f>
        <v>0.15748207215557</v>
      </c>
      <c r="BD99" s="54" t="n">
        <f aca="false">IFERROR(BD93/BD97,"")</f>
        <v>0.176201657987848</v>
      </c>
      <c r="BE99" s="53" t="n">
        <f aca="false">IFERROR(BE93/BE97,"")</f>
        <v>0.750322681623657</v>
      </c>
      <c r="BF99" s="54" t="n">
        <f aca="false">IFERROR(BF93/BF97,"")</f>
        <v>0.212354373152495</v>
      </c>
      <c r="BG99" s="54" t="n">
        <f aca="false">IFERROR(BG93/BG97,"")</f>
        <v>0.204783359869914</v>
      </c>
      <c r="BH99" s="54" t="n">
        <f aca="false">IFERROR(BH93/BH97,"")</f>
        <v>0.417131941781105</v>
      </c>
      <c r="BI99" s="54" t="n">
        <f aca="false">IFERROR(BI93/BI97,"")</f>
        <v>0.30330039425371</v>
      </c>
      <c r="BJ99" s="54" t="n">
        <f aca="false">IFERROR(BJ93/BJ97,"")</f>
        <v>0.270380980146105</v>
      </c>
      <c r="BK99" s="53" t="n">
        <f aca="false">IFERROR(BK93/BK97,"")</f>
        <v>0.990991610653032</v>
      </c>
      <c r="BL99" s="54" t="n">
        <f aca="false">IFERROR(BL93/BL97,"")</f>
        <v>0.274565736413181</v>
      </c>
      <c r="BM99" s="54" t="n">
        <f aca="false">IFERROR(BM93/BM97,"")</f>
        <v>0.30293946522982</v>
      </c>
      <c r="BN99" s="54" t="n">
        <f aca="false">IFERROR(BN93/BN97,"")</f>
        <v>0.577512261362055</v>
      </c>
      <c r="BO99" s="54" t="n">
        <f aca="false">IFERROR(BO93/BO97,"")</f>
        <v>0.293278036251868</v>
      </c>
      <c r="BP99" s="54" t="n">
        <f aca="false">IFERROR(BP93/BP97,"")</f>
        <v>0.277217763127467</v>
      </c>
      <c r="BQ99" s="53" t="n">
        <f aca="false">IFERROR(BQ93/BQ97,"")</f>
        <v>1.14789675636743</v>
      </c>
      <c r="BR99" s="54" t="n">
        <f aca="false">IFERROR(BR93/BR97,"")</f>
        <v>0.258189998298673</v>
      </c>
      <c r="BS99" s="54" t="n">
        <f aca="false">IFERROR(BS93/BS97,"")</f>
        <v>0.308240759400138</v>
      </c>
      <c r="BT99" s="54" t="n">
        <f aca="false">IFERROR(BT93/BT97,"")</f>
        <v>0.56644531352529</v>
      </c>
      <c r="BU99" s="54" t="n">
        <f aca="false">IFERROR(BU93/BU97,"")</f>
        <v>0.367492192530417</v>
      </c>
      <c r="BV99" s="54" t="n">
        <f aca="false">IFERROR(BV93/BV97,"")</f>
        <v>0.363878243055621</v>
      </c>
      <c r="BW99" s="53" t="n">
        <f aca="false">IFERROR(BW93/BW97,"")</f>
        <v>1.29800204284093</v>
      </c>
      <c r="BX99" s="54" t="n">
        <f aca="false">IFERROR(BX93/BX97,"")</f>
        <v>0.34705941905405</v>
      </c>
      <c r="BY99" s="54" t="n">
        <f aca="false">IFERROR(BY93/BY97,"")</f>
        <v>0.339017724681815</v>
      </c>
      <c r="BZ99" s="54" t="n">
        <f aca="false">IFERROR(BZ93/BZ97,"")</f>
        <v>0.686067092938167</v>
      </c>
      <c r="CA99" s="54" t="n">
        <f aca="false">IFERROR(CA93/CA97,"")</f>
        <v>0.397469154606977</v>
      </c>
      <c r="CB99" s="54" t="n">
        <f aca="false">IFERROR(CB93/CB97,"")</f>
        <v>0.335129322659907</v>
      </c>
      <c r="CC99" s="53" t="n">
        <f aca="false">IFERROR(CC93/CC97,"")</f>
        <v>1.41872038087347</v>
      </c>
      <c r="CD99" s="54" t="n">
        <f aca="false">IFERROR(CD93/CD97,"")</f>
        <v>0.37592921750542</v>
      </c>
      <c r="CE99" s="54" t="n">
        <f aca="false">IFERROR(CE93/CE97,"")</f>
        <v>0.401556471858914</v>
      </c>
      <c r="CF99" s="54" t="n">
        <f aca="false">IFERROR(CF93/CF97,"")</f>
        <v>0.777506558875307</v>
      </c>
      <c r="CG99" s="54" t="n">
        <f aca="false">IFERROR(CG93/CG97,"")</f>
        <v>0.420818352490183</v>
      </c>
      <c r="CH99" s="54" t="n">
        <f aca="false">IFERROR(CH93/CH97,"")</f>
        <v>0.409837658980457</v>
      </c>
      <c r="CI99" s="53" t="n">
        <f aca="false">IFERROR(CI93/CI97,"")</f>
        <v>1.60824546827638</v>
      </c>
      <c r="CJ99" s="54" t="n">
        <f aca="false">IFERROR(CJ93/CJ97,"")</f>
        <v>0.417210768356327</v>
      </c>
      <c r="CK99" s="54" t="n">
        <f aca="false">IFERROR(CK93/CK97,"")</f>
        <v>0.362621638275787</v>
      </c>
      <c r="CL99" s="54" t="n">
        <f aca="false">IFERROR(CL93/CL97,"")</f>
        <v>0.779844764122713</v>
      </c>
      <c r="CM99" s="54" t="n">
        <f aca="false">IFERROR(CM93/CM97,"")</f>
        <v>0.429781062124783</v>
      </c>
      <c r="CN99" s="54" t="n">
        <f aca="false">IFERROR(CN93/CN97,"")</f>
        <v>0.353181593131888</v>
      </c>
      <c r="CO99" s="53" t="n">
        <f aca="false">IFERROR(CO93/CO97,"")</f>
        <v>1.56298176150962</v>
      </c>
      <c r="CP99" s="53" t="n">
        <f aca="false">IFERROR(CP93/CP97,"")</f>
        <v>1.65956653163024</v>
      </c>
      <c r="CQ99" s="53" t="n">
        <f aca="false">IFERROR(CQ93/CQ97,"")</f>
        <v>1.84408637851352</v>
      </c>
      <c r="CR99" s="53" t="n">
        <f aca="false">IFERROR(CR93/CR97,"")</f>
        <v>2.06489804589733</v>
      </c>
      <c r="CS99" s="53" t="n">
        <f aca="false">IFERROR(CS93/CS97,"")</f>
        <v>2.31497436309914</v>
      </c>
      <c r="CT99" s="53" t="n">
        <f aca="false">IFERROR(CT93/CT97,"")</f>
        <v>2.60053973342239</v>
      </c>
      <c r="CU99" s="24"/>
      <c r="CW99" s="25" t="n">
        <f aca="false">IFERROR((CT99/CO99)^(1/5)-1,"n/m")</f>
        <v>0.10718939338121</v>
      </c>
      <c r="CX99" s="25" t="n">
        <f aca="false">IFERROR((CO99/BK99)^(1/5)-1,"n/m")</f>
        <v>0.0954102148407794</v>
      </c>
      <c r="CY99" s="25" t="n">
        <f aca="false">IFERROR((CO99/AG99)^(1/10)-1,"n/m")</f>
        <v>0.181303468052033</v>
      </c>
      <c r="CZ99" s="25" t="n">
        <f aca="false">IFERROR((CO99/C99)^(1/20)-1,"n/m")</f>
        <v>0.170519547116266</v>
      </c>
    </row>
    <row r="100" customFormat="false" ht="15" hidden="false" customHeight="false" outlineLevel="0" collapsed="false">
      <c r="B100" s="41" t="s">
        <v>218</v>
      </c>
      <c r="C100" s="53" t="n">
        <f aca="false">IFERROR(C93/C98,"")</f>
        <v>0.0652051385525962</v>
      </c>
      <c r="D100" s="53" t="n">
        <f aca="false">IFERROR(D93/D98,"")</f>
        <v>0.0911789096356535</v>
      </c>
      <c r="E100" s="53" t="n">
        <f aca="false">IFERROR(E93/E98,"")</f>
        <v>0.109152774377351</v>
      </c>
      <c r="F100" s="53" t="n">
        <f aca="false">IFERROR(F93/F98,"")</f>
        <v>0.103837719298246</v>
      </c>
      <c r="G100" s="53" t="n">
        <f aca="false">IFERROR(G93/G98,"")</f>
        <v>0.111455037811519</v>
      </c>
      <c r="H100" s="53" t="n">
        <f aca="false">IFERROR(H93/H98,"")</f>
        <v>0.135615283791538</v>
      </c>
      <c r="I100" s="53" t="n">
        <f aca="false">IFERROR(I93/I98,"")</f>
        <v>0.173211758529385</v>
      </c>
      <c r="J100" s="54" t="n">
        <f aca="false">IFERROR(J93/J98,"")</f>
        <v>0.0446056759007729</v>
      </c>
      <c r="K100" s="54" t="n">
        <f aca="false">IFERROR(K93/K98,"")</f>
        <v>0.0382566399011736</v>
      </c>
      <c r="L100" s="54" t="n">
        <f aca="false">IFERROR(L93/L98,"")</f>
        <v>0.0828365498288713</v>
      </c>
      <c r="M100" s="54" t="n">
        <f aca="false">IFERROR(M93/M98,"")</f>
        <v>0.0509806174825711</v>
      </c>
      <c r="N100" s="54" t="n">
        <f aca="false">IFERROR(N93/N98,"")</f>
        <v>0.0395289902230253</v>
      </c>
      <c r="O100" s="53" t="n">
        <f aca="false">IFERROR(O93/O98,"")</f>
        <v>0.173393062158559</v>
      </c>
      <c r="P100" s="54" t="n">
        <f aca="false">IFERROR(P93/P98,"")</f>
        <v>0.03961371321898</v>
      </c>
      <c r="Q100" s="54" t="n">
        <f aca="false">IFERROR(Q93/Q98,"")</f>
        <v>0.0432347960732565</v>
      </c>
      <c r="R100" s="54" t="n">
        <f aca="false">IFERROR(R93/R98,"")</f>
        <v>0.0828539725828568</v>
      </c>
      <c r="S100" s="54" t="n">
        <f aca="false">IFERROR(S93/S98,"")</f>
        <v>0.0388606011286373</v>
      </c>
      <c r="T100" s="54" t="n">
        <f aca="false">IFERROR(T93/T98,"")</f>
        <v>0.0484724110948195</v>
      </c>
      <c r="U100" s="53" t="n">
        <f aca="false">IFERROR(U93/U98,"")</f>
        <v>0.170204031090452</v>
      </c>
      <c r="V100" s="54" t="n">
        <f aca="false">IFERROR(V93/V98,"")</f>
        <v>0.0500077936692595</v>
      </c>
      <c r="W100" s="54" t="n">
        <f aca="false">IFERROR(W93/W98,"")</f>
        <v>0.0494731633705412</v>
      </c>
      <c r="X100" s="54" t="n">
        <f aca="false">IFERROR(X93/X98,"")</f>
        <v>0.099480236456344</v>
      </c>
      <c r="Y100" s="54" t="n">
        <f aca="false">IFERROR(Y93/Y98,"")</f>
        <v>0.054459257969786</v>
      </c>
      <c r="Z100" s="54" t="n">
        <f aca="false">IFERROR(Z93/Z98,"")</f>
        <v>0.0551169309934334</v>
      </c>
      <c r="AA100" s="53" t="n">
        <f aca="false">IFERROR(AA93/AA98,"")</f>
        <v>0.209037629683737</v>
      </c>
      <c r="AB100" s="54" t="n">
        <f aca="false">IFERROR(AB93/AB98,"")</f>
        <v>0.0517228496822501</v>
      </c>
      <c r="AC100" s="54" t="n">
        <f aca="false">IFERROR(AC93/AC98,"")</f>
        <v>0.0591907280197733</v>
      </c>
      <c r="AD100" s="54" t="n">
        <f aca="false">IFERROR(AD93/AD98,"")</f>
        <v>0.110838470582628</v>
      </c>
      <c r="AE100" s="54" t="n">
        <f aca="false">IFERROR(AE93/AE98,"")</f>
        <v>0.0789120264622777</v>
      </c>
      <c r="AF100" s="54" t="n">
        <f aca="false">IFERROR(AF93/AF98,"")</f>
        <v>0.0887199520751947</v>
      </c>
      <c r="AG100" s="53" t="n">
        <f aca="false">IFERROR(AG93/AG98,"")</f>
        <v>0.276673693690006</v>
      </c>
      <c r="AH100" s="54" t="n">
        <f aca="false">IFERROR(AH93/AH98,"")</f>
        <v>0.175893135036466</v>
      </c>
      <c r="AI100" s="54" t="n">
        <f aca="false">IFERROR(AI93/AI98,"")</f>
        <v>0.0701075606567398</v>
      </c>
      <c r="AJ100" s="54" t="n">
        <f aca="false">IFERROR(AJ93/AJ98,"")</f>
        <v>0.246485657426069</v>
      </c>
      <c r="AK100" s="54" t="n">
        <f aca="false">IFERROR(AK93/AK98,"")</f>
        <v>0.095458283256373</v>
      </c>
      <c r="AL100" s="54" t="n">
        <f aca="false">IFERROR(AL93/AL98,"")</f>
        <v>0.0739950932947306</v>
      </c>
      <c r="AM100" s="53" t="n">
        <f aca="false">IFERROR(AM93/AM98,"")</f>
        <v>0.415817930208127</v>
      </c>
      <c r="AN100" s="54" t="n">
        <f aca="false">IFERROR(AN93/AN98,"")</f>
        <v>0.0811536029414844</v>
      </c>
      <c r="AO100" s="54" t="n">
        <f aca="false">IFERROR(AO93/AO98,"")</f>
        <v>0.106952270467352</v>
      </c>
      <c r="AP100" s="54" t="n">
        <f aca="false">IFERROR(AP93/AP98,"")</f>
        <v>0.188243906604381</v>
      </c>
      <c r="AQ100" s="54" t="n">
        <f aca="false">IFERROR(AQ93/AQ98,"")</f>
        <v>0.131038030951597</v>
      </c>
      <c r="AR100" s="54" t="n">
        <f aca="false">IFERROR(AR93/AR98,"")</f>
        <v>0.112259928152337</v>
      </c>
      <c r="AS100" s="53" t="n">
        <f aca="false">IFERROR(AS93/AS98,"")</f>
        <v>0.431900304700323</v>
      </c>
      <c r="AT100" s="54" t="n">
        <f aca="false">IFERROR(AT93/AT98,"")</f>
        <v>0.116493958974945</v>
      </c>
      <c r="AU100" s="54" t="n">
        <f aca="false">IFERROR(AU93/AU98,"")</f>
        <v>0.13647157816006</v>
      </c>
      <c r="AV100" s="54" t="n">
        <f aca="false">IFERROR(AV93/AV98,"")</f>
        <v>0.252794107348101</v>
      </c>
      <c r="AW100" s="54" t="n">
        <f aca="false">IFERROR(AW93/AW98,"")</f>
        <v>0.202550947488776</v>
      </c>
      <c r="AX100" s="54" t="n">
        <f aca="false">IFERROR(AX93/AX98,"")</f>
        <v>0.160995829732247</v>
      </c>
      <c r="AY100" s="53" t="n">
        <f aca="false">IFERROR(AY93/AY98,"")</f>
        <v>0.615185711968659</v>
      </c>
      <c r="AZ100" s="54" t="n">
        <f aca="false">IFERROR(AZ93/AZ98,"")</f>
        <v>0.228544971549723</v>
      </c>
      <c r="BA100" s="54" t="n">
        <f aca="false">IFERROR(BA93/BA98,"")</f>
        <v>0.176863966117331</v>
      </c>
      <c r="BB100" s="54" t="n">
        <f aca="false">IFERROR(BB93/BB98,"")</f>
        <v>0.405429734329284</v>
      </c>
      <c r="BC100" s="54" t="n">
        <f aca="false">IFERROR(BC93/BC98,"")</f>
        <v>0.15453956771211</v>
      </c>
      <c r="BD100" s="54" t="n">
        <f aca="false">IFERROR(BD93/BD98,"")</f>
        <v>0.173204577130253</v>
      </c>
      <c r="BE100" s="53" t="n">
        <f aca="false">IFERROR(BE93/BE98,"")</f>
        <v>0.733175574886029</v>
      </c>
      <c r="BF100" s="54" t="n">
        <f aca="false">IFERROR(BF93/BF98,"")</f>
        <v>0.20865802940392</v>
      </c>
      <c r="BG100" s="54" t="n">
        <f aca="false">IFERROR(BG93/BG98,"")</f>
        <v>0.201265190610954</v>
      </c>
      <c r="BH100" s="54" t="n">
        <f aca="false">IFERROR(BH93/BH98,"")</f>
        <v>0.409918417151139</v>
      </c>
      <c r="BI100" s="54" t="n">
        <f aca="false">IFERROR(BI93/BI98,"")</f>
        <v>0.298487144474788</v>
      </c>
      <c r="BJ100" s="54" t="n">
        <f aca="false">IFERROR(BJ93/BJ98,"")</f>
        <v>0.265848683499921</v>
      </c>
      <c r="BK100" s="53" t="n">
        <f aca="false">IFERROR(BK93/BK98,"")</f>
        <v>0.974338299554705</v>
      </c>
      <c r="BL100" s="54" t="n">
        <f aca="false">IFERROR(BL93/BL98,"")</f>
        <v>0.269838654180192</v>
      </c>
      <c r="BM100" s="54" t="n">
        <f aca="false">IFERROR(BM93/BM98,"")</f>
        <v>0.297914066678552</v>
      </c>
      <c r="BN100" s="54" t="n">
        <f aca="false">IFERROR(BN93/BN98,"")</f>
        <v>0.567750742110413</v>
      </c>
      <c r="BO100" s="54" t="n">
        <f aca="false">IFERROR(BO93/BO98,"")</f>
        <v>0.28935627523637</v>
      </c>
      <c r="BP100" s="54" t="n">
        <f aca="false">IFERROR(BP93/BP98,"")</f>
        <v>0.273884047255084</v>
      </c>
      <c r="BQ100" s="53" t="n">
        <f aca="false">IFERROR(BQ93/BQ98,"")</f>
        <v>1.1301321578596</v>
      </c>
      <c r="BR100" s="54" t="n">
        <f aca="false">IFERROR(BR93/BR98,"")</f>
        <v>0.25494018682285</v>
      </c>
      <c r="BS100" s="54" t="n">
        <f aca="false">IFERROR(BS93/BS98,"")</f>
        <v>0.304305792728418</v>
      </c>
      <c r="BT100" s="54" t="n">
        <f aca="false">IFERROR(BT93/BT98,"")</f>
        <v>0.559264810760607</v>
      </c>
      <c r="BU100" s="54" t="n">
        <f aca="false">IFERROR(BU93/BU98,"")</f>
        <v>0.362247513903533</v>
      </c>
      <c r="BV100" s="54" t="n">
        <f aca="false">IFERROR(BV93/BV98,"")</f>
        <v>0.358447006199401</v>
      </c>
      <c r="BW100" s="53" t="n">
        <f aca="false">IFERROR(BW93/BW98,"")</f>
        <v>1.28044777462714</v>
      </c>
      <c r="BX100" s="54" t="n">
        <f aca="false">IFERROR(BX93/BX98,"")</f>
        <v>0.34221792726427</v>
      </c>
      <c r="BY100" s="54" t="n">
        <f aca="false">IFERROR(BY93/BY98,"")</f>
        <v>0.334125462117877</v>
      </c>
      <c r="BZ100" s="54" t="n">
        <f aca="false">IFERROR(BZ93/BZ98,"")</f>
        <v>0.676331302269828</v>
      </c>
      <c r="CA100" s="54" t="n">
        <f aca="false">IFERROR(CA93/CA98,"")</f>
        <v>0.391513090855092</v>
      </c>
      <c r="CB100" s="54" t="n">
        <f aca="false">IFERROR(CB93/CB98,"")</f>
        <v>0.330329749103943</v>
      </c>
      <c r="CC100" s="53" t="n">
        <f aca="false">IFERROR(CC93/CC98,"")</f>
        <v>1.3982589213355</v>
      </c>
      <c r="CD100" s="54" t="n">
        <f aca="false">IFERROR(CD93/CD98,"")</f>
        <v>0.370797516861136</v>
      </c>
      <c r="CE100" s="54" t="n">
        <f aca="false">IFERROR(CE93/CE98,"")</f>
        <v>0.396150975038603</v>
      </c>
      <c r="CF100" s="54" t="n">
        <f aca="false">IFERROR(CF93/CF98,"")</f>
        <v>0.766966705143634</v>
      </c>
      <c r="CG100" s="54" t="n">
        <f aca="false">IFERROR(CG93/CG98,"")</f>
        <v>0.41571779255262</v>
      </c>
      <c r="CH100" s="54" t="n">
        <f aca="false">IFERROR(CH93/CH98,"")</f>
        <v>0.405361953326829</v>
      </c>
      <c r="CI100" s="53" t="n">
        <f aca="false">IFERROR(CI93/CI98,"")</f>
        <v>1.58808076819601</v>
      </c>
      <c r="CJ100" s="54" t="n">
        <f aca="false">IFERROR(CJ93/CJ98,"")</f>
        <v>0.413175724081466</v>
      </c>
      <c r="CK100" s="54" t="n">
        <f aca="false">IFERROR(CK93/CK98,"")</f>
        <v>0.359692294754633</v>
      </c>
      <c r="CL100" s="54" t="n">
        <f aca="false">IFERROR(CL93/CL98,"")</f>
        <v>0.772923113489524</v>
      </c>
      <c r="CM100" s="54" t="n">
        <f aca="false">IFERROR(CM93/CM98,"")</f>
        <v>0.426828388684409</v>
      </c>
      <c r="CN100" s="54" t="n">
        <f aca="false">IFERROR(CN93/CN98,"")</f>
        <v>0.351259467461969</v>
      </c>
      <c r="CO100" s="53" t="n">
        <f aca="false">IFERROR(CO93/CO98,"")</f>
        <v>1.55118826160567</v>
      </c>
      <c r="CP100" s="53" t="n">
        <f aca="false">IFERROR(CP93/CP98,"")</f>
        <v>1.64759557047141</v>
      </c>
      <c r="CQ100" s="53" t="n">
        <f aca="false">IFERROR(CQ93/CQ98,"")</f>
        <v>1.83003493756417</v>
      </c>
      <c r="CR100" s="53" t="n">
        <f aca="false">IFERROR(CR93/CR98,"")</f>
        <v>2.04853725041508</v>
      </c>
      <c r="CS100" s="53" t="n">
        <f aca="false">IFERROR(CS93/CS98,"")</f>
        <v>2.29586891271999</v>
      </c>
      <c r="CT100" s="53" t="n">
        <f aca="false">IFERROR(CT93/CT98,"")</f>
        <v>2.57813734519338</v>
      </c>
      <c r="CU100" s="24" t="s">
        <v>219</v>
      </c>
      <c r="CW100" s="25" t="n">
        <f aca="false">IFERROR((CT100/CO100)^(1/5)-1,"n/m")</f>
        <v>0.106950773406091</v>
      </c>
      <c r="CX100" s="25" t="n">
        <f aca="false">IFERROR((CO100/BK100)^(1/5)-1,"n/m")</f>
        <v>0.0974656780436407</v>
      </c>
      <c r="CY100" s="25" t="n">
        <f aca="false">IFERROR((CO100/AG100)^(1/10)-1,"n/m")</f>
        <v>0.188145600283776</v>
      </c>
      <c r="CZ100" s="25" t="n">
        <f aca="false">IFERROR((CO100/C100)^(1/20)-1,"n/m")</f>
        <v>0.171707296478526</v>
      </c>
    </row>
    <row r="101" customFormat="false" ht="15" hidden="false" customHeight="false" outlineLevel="0" collapsed="false">
      <c r="B101" s="52" t="s">
        <v>220</v>
      </c>
      <c r="C101" s="55" t="n">
        <v>0.065</v>
      </c>
      <c r="D101" s="55" t="n">
        <v>0.09125</v>
      </c>
      <c r="E101" s="55" t="n">
        <v>0.109375</v>
      </c>
      <c r="F101" s="55" t="n">
        <v>0.10375</v>
      </c>
      <c r="G101" s="55" t="n">
        <v>0.11125</v>
      </c>
      <c r="H101" s="55" t="n">
        <v>0.135</v>
      </c>
      <c r="I101" s="55" t="n">
        <v>0.17375</v>
      </c>
      <c r="J101" s="55" t="n">
        <v>0.045</v>
      </c>
      <c r="K101" s="55" t="n">
        <v>0.03875</v>
      </c>
      <c r="L101" s="56" t="n">
        <f aca="false">J101+K101</f>
        <v>0.08375</v>
      </c>
      <c r="M101" s="55" t="n">
        <v>0.05125</v>
      </c>
      <c r="N101" s="55" t="n">
        <v>0.04</v>
      </c>
      <c r="O101" s="55" t="n">
        <v>0.17375</v>
      </c>
      <c r="P101" s="55" t="n">
        <v>0.04</v>
      </c>
      <c r="Q101" s="55" t="n">
        <v>0.04375</v>
      </c>
      <c r="R101" s="56" t="n">
        <f aca="false">P101+Q101</f>
        <v>0.08375</v>
      </c>
      <c r="S101" s="55" t="n">
        <v>0.03875</v>
      </c>
      <c r="T101" s="55" t="n">
        <v>0.04875</v>
      </c>
      <c r="U101" s="55" t="n">
        <v>0.17</v>
      </c>
      <c r="V101" s="55" t="n">
        <v>0.05</v>
      </c>
      <c r="W101" s="55" t="n">
        <v>0.05</v>
      </c>
      <c r="X101" s="56" t="n">
        <f aca="false">V101+W101</f>
        <v>0.1</v>
      </c>
      <c r="Y101" s="55" t="n">
        <v>0.055</v>
      </c>
      <c r="Z101" s="55" t="n">
        <v>0.055</v>
      </c>
      <c r="AA101" s="55" t="n">
        <v>0.21</v>
      </c>
      <c r="AB101" s="55" t="n">
        <v>0.0525</v>
      </c>
      <c r="AC101" s="55" t="n">
        <v>0.06</v>
      </c>
      <c r="AD101" s="56" t="n">
        <f aca="false">AB101+AC101</f>
        <v>0.1125</v>
      </c>
      <c r="AE101" s="55" t="n">
        <v>0.08</v>
      </c>
      <c r="AF101" s="55" t="n">
        <v>0.08875</v>
      </c>
      <c r="AG101" s="55" t="n">
        <v>0.2775</v>
      </c>
      <c r="AH101" s="55" t="n">
        <v>0.175</v>
      </c>
      <c r="AI101" s="55" t="n">
        <v>0.07</v>
      </c>
      <c r="AJ101" s="56" t="n">
        <f aca="false">AH101+AI101</f>
        <v>0.245</v>
      </c>
      <c r="AK101" s="55" t="n">
        <v>0.095</v>
      </c>
      <c r="AL101" s="55" t="n">
        <v>0.075</v>
      </c>
      <c r="AM101" s="55" t="n">
        <v>0.415</v>
      </c>
      <c r="AN101" s="55" t="n">
        <v>0.08</v>
      </c>
      <c r="AO101" s="55" t="n">
        <v>0.1075</v>
      </c>
      <c r="AP101" s="56" t="n">
        <f aca="false">AN101+AO101</f>
        <v>0.1875</v>
      </c>
      <c r="AQ101" s="55" t="n">
        <v>0.13</v>
      </c>
      <c r="AR101" s="55" t="n">
        <v>0.1125</v>
      </c>
      <c r="AS101" s="55" t="n">
        <v>0.4325</v>
      </c>
      <c r="AT101" s="55" t="n">
        <v>0.1175</v>
      </c>
      <c r="AU101" s="55" t="n">
        <v>0.1375</v>
      </c>
      <c r="AV101" s="56" t="n">
        <f aca="false">AT101+AU101</f>
        <v>0.255</v>
      </c>
      <c r="AW101" s="55" t="n">
        <v>0.2025</v>
      </c>
      <c r="AX101" s="55" t="n">
        <v>0.16</v>
      </c>
      <c r="AY101" s="55" t="n">
        <v>0.615</v>
      </c>
      <c r="AZ101" s="55" t="n">
        <v>0.2275</v>
      </c>
      <c r="BA101" s="55" t="n">
        <v>0.1775</v>
      </c>
      <c r="BB101" s="56" t="n">
        <f aca="false">AZ101+BA101</f>
        <v>0.405</v>
      </c>
      <c r="BC101" s="55" t="n">
        <v>0.155</v>
      </c>
      <c r="BD101" s="55" t="n">
        <v>0.1725</v>
      </c>
      <c r="BE101" s="55" t="n">
        <v>0.7325</v>
      </c>
      <c r="BF101" s="55" t="n">
        <v>0.2075</v>
      </c>
      <c r="BG101" s="55" t="n">
        <v>0.2025</v>
      </c>
      <c r="BH101" s="56" t="n">
        <f aca="false">BF101+BG101</f>
        <v>0.41</v>
      </c>
      <c r="BI101" s="55" t="n">
        <v>0.2975</v>
      </c>
      <c r="BJ101" s="55" t="n">
        <v>0.265</v>
      </c>
      <c r="BK101" s="55" t="n">
        <v>0.97</v>
      </c>
      <c r="BL101" s="55" t="n">
        <v>0.27</v>
      </c>
      <c r="BM101" s="55" t="n">
        <v>0.3</v>
      </c>
      <c r="BN101" s="56" t="n">
        <f aca="false">BL101+BM101</f>
        <v>0.57</v>
      </c>
      <c r="BO101" s="55" t="n">
        <v>0.29</v>
      </c>
      <c r="BP101" s="55" t="n">
        <v>0.275</v>
      </c>
      <c r="BQ101" s="55" t="n">
        <v>1.13</v>
      </c>
      <c r="BR101" s="55" t="n">
        <v>0.25</v>
      </c>
      <c r="BS101" s="55" t="n">
        <v>0.3</v>
      </c>
      <c r="BT101" s="56" t="n">
        <f aca="false">BR101+BS101</f>
        <v>0.55</v>
      </c>
      <c r="BU101" s="55" t="n">
        <v>0.36</v>
      </c>
      <c r="BV101" s="55" t="n">
        <v>0.36</v>
      </c>
      <c r="BW101" s="55" t="n">
        <v>1.28</v>
      </c>
      <c r="BX101" s="55" t="n">
        <v>0.34</v>
      </c>
      <c r="BY101" s="55" t="n">
        <v>0.33</v>
      </c>
      <c r="BZ101" s="56" t="n">
        <f aca="false">BX101+BY101</f>
        <v>0.67</v>
      </c>
      <c r="CA101" s="55" t="n">
        <v>0.39</v>
      </c>
      <c r="CB101" s="55" t="n">
        <v>0.33</v>
      </c>
      <c r="CC101" s="55" t="n">
        <v>1.4</v>
      </c>
      <c r="CD101" s="55" t="n">
        <v>0.37</v>
      </c>
      <c r="CE101" s="55" t="n">
        <v>0.4</v>
      </c>
      <c r="CF101" s="56" t="n">
        <f aca="false">CD101+CE101</f>
        <v>0.77</v>
      </c>
      <c r="CG101" s="55" t="n">
        <v>0.42</v>
      </c>
      <c r="CH101" s="55" t="n">
        <v>0.41</v>
      </c>
      <c r="CI101" s="55" t="n">
        <v>1.59</v>
      </c>
      <c r="CJ101" s="55" t="n">
        <v>0.41</v>
      </c>
      <c r="CK101" s="55" t="n">
        <v>0.36</v>
      </c>
      <c r="CL101" s="56" t="n">
        <f aca="false">CJ101+CK101</f>
        <v>0.77</v>
      </c>
      <c r="CM101" s="55" t="n">
        <v>0.43</v>
      </c>
      <c r="CN101" s="55" t="n">
        <v>0.35</v>
      </c>
      <c r="CO101" s="55" t="n">
        <v>1.55</v>
      </c>
      <c r="CP101" s="57"/>
      <c r="CQ101" s="57"/>
      <c r="CR101" s="57"/>
      <c r="CS101" s="57"/>
      <c r="CT101" s="57"/>
      <c r="CU101" s="24"/>
      <c r="CW101" s="6"/>
      <c r="CX101" s="6"/>
      <c r="CY101" s="6"/>
      <c r="CZ101" s="6"/>
    </row>
    <row r="102" customFormat="false" ht="15" hidden="false" customHeight="false" outlineLevel="0" collapsed="false">
      <c r="B102" s="15" t="s">
        <v>221</v>
      </c>
      <c r="C102" s="32" t="n">
        <v>31.456</v>
      </c>
      <c r="D102" s="32" t="n">
        <v>37.089</v>
      </c>
      <c r="E102" s="32" t="n">
        <v>42.804</v>
      </c>
      <c r="F102" s="32" t="n">
        <v>41.354</v>
      </c>
      <c r="G102" s="32" t="n">
        <v>43.242</v>
      </c>
      <c r="H102" s="32" t="n">
        <v>45.694</v>
      </c>
      <c r="I102" s="32" t="n">
        <v>48.167</v>
      </c>
      <c r="J102" s="32" t="n">
        <v>12.839</v>
      </c>
      <c r="K102" s="32" t="n">
        <v>14.612</v>
      </c>
      <c r="L102" s="31" t="n">
        <f aca="false">J102+K102</f>
        <v>27.451</v>
      </c>
      <c r="M102" s="32" t="n">
        <v>14.797</v>
      </c>
      <c r="N102" s="32" t="n">
        <v>14.48</v>
      </c>
      <c r="O102" s="32" t="n">
        <v>56.728</v>
      </c>
      <c r="P102" s="32" t="n">
        <v>14.504</v>
      </c>
      <c r="Q102" s="32" t="n">
        <v>13.076</v>
      </c>
      <c r="R102" s="31" t="n">
        <f aca="false">P102+Q102</f>
        <v>27.58</v>
      </c>
      <c r="S102" s="32" t="n">
        <v>12.769</v>
      </c>
      <c r="T102" s="32" t="n">
        <v>13.377</v>
      </c>
      <c r="U102" s="32" t="n">
        <v>53.726</v>
      </c>
      <c r="V102" s="32" t="n">
        <v>13.967</v>
      </c>
      <c r="W102" s="32" t="n">
        <v>11.4</v>
      </c>
      <c r="X102" s="31" t="n">
        <f aca="false">V102+W102</f>
        <v>25.367</v>
      </c>
      <c r="Y102" s="32" t="n">
        <v>12.212</v>
      </c>
      <c r="Z102" s="32" t="n">
        <v>8.994</v>
      </c>
      <c r="AA102" s="32" t="n">
        <v>46.573</v>
      </c>
      <c r="AB102" s="32" t="n">
        <v>11.521</v>
      </c>
      <c r="AC102" s="32" t="n">
        <v>11.691</v>
      </c>
      <c r="AD102" s="31" t="n">
        <f aca="false">AB102+AC102</f>
        <v>23.212</v>
      </c>
      <c r="AE102" s="32" t="n">
        <v>12.358</v>
      </c>
      <c r="AF102" s="32" t="n">
        <v>13.005</v>
      </c>
      <c r="AG102" s="32" t="n">
        <v>48.575</v>
      </c>
      <c r="AH102" s="32" t="n">
        <v>14.709</v>
      </c>
      <c r="AI102" s="32" t="n">
        <v>15.215</v>
      </c>
      <c r="AJ102" s="31" t="n">
        <f aca="false">AH102+AI102</f>
        <v>29.924</v>
      </c>
      <c r="AK102" s="32" t="n">
        <v>13.208</v>
      </c>
      <c r="AL102" s="32" t="n">
        <v>13.868</v>
      </c>
      <c r="AM102" s="32" t="n">
        <v>57</v>
      </c>
      <c r="AN102" s="32" t="n">
        <v>15.902</v>
      </c>
      <c r="AO102" s="32" t="n">
        <v>17.871</v>
      </c>
      <c r="AP102" s="31" t="n">
        <f aca="false">AN102+AO102</f>
        <v>33.773</v>
      </c>
      <c r="AQ102" s="32" t="n">
        <v>16.573</v>
      </c>
      <c r="AR102" s="32" t="n">
        <v>28.252</v>
      </c>
      <c r="AS102" s="32" t="n">
        <v>78.598</v>
      </c>
      <c r="AT102" s="32" t="n">
        <v>21.869</v>
      </c>
      <c r="AU102" s="32" t="n">
        <v>20.399</v>
      </c>
      <c r="AV102" s="31" t="n">
        <f aca="false">AT102+AU102</f>
        <v>42.268</v>
      </c>
      <c r="AW102" s="32" t="n">
        <v>21.112</v>
      </c>
      <c r="AX102" s="32" t="n">
        <v>21.515</v>
      </c>
      <c r="AY102" s="32" t="n">
        <v>84.895</v>
      </c>
      <c r="AZ102" s="32" t="n">
        <v>23.014</v>
      </c>
      <c r="BA102" s="32" t="n">
        <v>24.282</v>
      </c>
      <c r="BB102" s="31" t="n">
        <f aca="false">AZ102+BA102</f>
        <v>47.296</v>
      </c>
      <c r="BC102" s="32" t="n">
        <v>26.715</v>
      </c>
      <c r="BD102" s="32" t="n">
        <v>27.379</v>
      </c>
      <c r="BE102" s="32" t="n">
        <v>101.39</v>
      </c>
      <c r="BF102" s="32" t="n">
        <v>28.949</v>
      </c>
      <c r="BG102" s="32" t="n">
        <v>31.392</v>
      </c>
      <c r="BH102" s="31" t="n">
        <f aca="false">BF102+BG102</f>
        <v>60.341</v>
      </c>
      <c r="BI102" s="32" t="n">
        <v>31.966</v>
      </c>
      <c r="BJ102" s="32" t="n">
        <v>29.664</v>
      </c>
      <c r="BK102" s="32" t="n">
        <v>121.971</v>
      </c>
      <c r="BL102" s="32" t="n">
        <v>31.76</v>
      </c>
      <c r="BM102" s="32" t="n">
        <v>33.303</v>
      </c>
      <c r="BN102" s="31" t="n">
        <f aca="false">BL102+BM102</f>
        <v>65.063</v>
      </c>
      <c r="BO102" s="32" t="n">
        <v>36.579</v>
      </c>
      <c r="BP102" s="32" t="n">
        <v>36.333</v>
      </c>
      <c r="BQ102" s="32" t="n">
        <v>137.985</v>
      </c>
      <c r="BR102" s="32" t="n">
        <v>39.058</v>
      </c>
      <c r="BS102" s="32" t="n">
        <v>38.414</v>
      </c>
      <c r="BT102" s="31" t="n">
        <f aca="false">BR102+BS102</f>
        <v>77.472</v>
      </c>
      <c r="BU102" s="32" t="n">
        <v>37.371</v>
      </c>
      <c r="BV102" s="32" t="n">
        <v>44.635</v>
      </c>
      <c r="BW102" s="32" t="n">
        <v>159.478</v>
      </c>
      <c r="BX102" s="32" t="n">
        <v>43.164</v>
      </c>
      <c r="BY102" s="32" t="n">
        <v>45.262</v>
      </c>
      <c r="BZ102" s="31" t="n">
        <f aca="false">BX102+BY102</f>
        <v>88.426</v>
      </c>
      <c r="CA102" s="32" t="n">
        <v>50.733</v>
      </c>
      <c r="CB102" s="32" t="n">
        <v>50.603</v>
      </c>
      <c r="CC102" s="32" t="n">
        <v>189.761</v>
      </c>
      <c r="CD102" s="32" t="n">
        <v>53.627</v>
      </c>
      <c r="CE102" s="32" t="n">
        <v>54.199</v>
      </c>
      <c r="CF102" s="31" t="n">
        <f aca="false">CD102+CE102</f>
        <v>107.826</v>
      </c>
      <c r="CG102" s="32" t="n">
        <v>54.416</v>
      </c>
      <c r="CH102" s="32" t="n">
        <v>53.607</v>
      </c>
      <c r="CI102" s="32" t="n">
        <v>215.849</v>
      </c>
      <c r="CJ102" s="32" t="n">
        <v>54.042</v>
      </c>
      <c r="CK102" s="32" t="n">
        <v>55.387</v>
      </c>
      <c r="CL102" s="31" t="n">
        <f aca="false">CJ102+CK102</f>
        <v>109.429</v>
      </c>
      <c r="CM102" s="32" t="n">
        <v>58.983</v>
      </c>
      <c r="CN102" s="32" t="n">
        <v>60.961</v>
      </c>
      <c r="CO102" s="32" t="n">
        <v>229.373</v>
      </c>
      <c r="CP102" s="33" t="n">
        <f aca="false">CP73*CP52</f>
        <v>244.337858775</v>
      </c>
      <c r="CQ102" s="33" t="n">
        <f aca="false">CQ73*CQ52</f>
        <v>258.67648090235</v>
      </c>
      <c r="CR102" s="33" t="n">
        <f aca="false">CR73*CR52</f>
        <v>274.681404678795</v>
      </c>
      <c r="CS102" s="33" t="n">
        <f aca="false">CS73*CS52</f>
        <v>291.517168526808</v>
      </c>
      <c r="CT102" s="33" t="n">
        <f aca="false">CT73*CT52</f>
        <v>309.412967874803</v>
      </c>
      <c r="CU102" s="24"/>
      <c r="CW102" s="6"/>
      <c r="CX102" s="6"/>
      <c r="CY102" s="6"/>
      <c r="CZ102" s="6"/>
    </row>
    <row r="103" customFormat="false" ht="15" hidden="false" customHeight="false" outlineLevel="0" collapsed="false">
      <c r="B103" s="15" t="s">
        <v>222</v>
      </c>
      <c r="C103" s="32" t="n">
        <v>3.53</v>
      </c>
      <c r="D103" s="32" t="n">
        <v>3.424</v>
      </c>
      <c r="E103" s="32" t="n">
        <v>6.356</v>
      </c>
      <c r="F103" s="32" t="n">
        <v>9.413</v>
      </c>
      <c r="G103" s="32" t="n">
        <v>17.955</v>
      </c>
      <c r="H103" s="32" t="n">
        <v>19.007</v>
      </c>
      <c r="I103" s="32" t="n">
        <v>21.791</v>
      </c>
      <c r="J103" s="32" t="n">
        <v>5.174</v>
      </c>
      <c r="K103" s="32" t="n">
        <v>4.746</v>
      </c>
      <c r="L103" s="31" t="n">
        <f aca="false">J103+K103</f>
        <v>9.92</v>
      </c>
      <c r="M103" s="32" t="n">
        <v>4.677</v>
      </c>
      <c r="N103" s="32" t="n">
        <v>4.886</v>
      </c>
      <c r="O103" s="32" t="n">
        <v>19.557</v>
      </c>
      <c r="P103" s="32" t="n">
        <v>4.867</v>
      </c>
      <c r="Q103" s="32" t="n">
        <v>5.772</v>
      </c>
      <c r="R103" s="31" t="n">
        <f aca="false">P103+Q103</f>
        <v>10.639</v>
      </c>
      <c r="S103" s="32" t="n">
        <v>6.623</v>
      </c>
      <c r="T103" s="32" t="n">
        <v>4.837</v>
      </c>
      <c r="U103" s="32" t="n">
        <v>22.099</v>
      </c>
      <c r="V103" s="32" t="n">
        <v>4.366</v>
      </c>
      <c r="W103" s="32" t="n">
        <v>4.504</v>
      </c>
      <c r="X103" s="31" t="n">
        <f aca="false">V103+W103</f>
        <v>8.87</v>
      </c>
      <c r="Y103" s="32" t="n">
        <v>4.42</v>
      </c>
      <c r="Z103" s="32" t="n">
        <v>4.864</v>
      </c>
      <c r="AA103" s="32" t="n">
        <v>18.154</v>
      </c>
      <c r="AB103" s="32" t="n">
        <v>5.414</v>
      </c>
      <c r="AC103" s="32" t="n">
        <v>5.386</v>
      </c>
      <c r="AD103" s="31" t="n">
        <f aca="false">AB103+AC103</f>
        <v>10.8</v>
      </c>
      <c r="AE103" s="32" t="n">
        <v>5.034</v>
      </c>
      <c r="AF103" s="32" t="n">
        <v>5.03</v>
      </c>
      <c r="AG103" s="32" t="n">
        <v>20.864</v>
      </c>
      <c r="AH103" s="32" t="n">
        <v>5.085</v>
      </c>
      <c r="AI103" s="32" t="n">
        <v>5.52</v>
      </c>
      <c r="AJ103" s="31" t="n">
        <f aca="false">AH103+AI103</f>
        <v>10.605</v>
      </c>
      <c r="AK103" s="32" t="n">
        <v>5.008</v>
      </c>
      <c r="AL103" s="32" t="n">
        <v>5.227</v>
      </c>
      <c r="AM103" s="32" t="n">
        <v>20.84</v>
      </c>
      <c r="AN103" s="32" t="n">
        <v>5.306</v>
      </c>
      <c r="AO103" s="32" t="n">
        <v>5.992</v>
      </c>
      <c r="AP103" s="31" t="n">
        <f aca="false">AN103+AO103</f>
        <v>11.298</v>
      </c>
      <c r="AQ103" s="32" t="n">
        <v>5.941</v>
      </c>
      <c r="AR103" s="32" t="n">
        <v>5.982</v>
      </c>
      <c r="AS103" s="32" t="n">
        <v>23.221</v>
      </c>
      <c r="AT103" s="32" t="n">
        <v>6.021</v>
      </c>
      <c r="AU103" s="32" t="n">
        <v>5.929</v>
      </c>
      <c r="AV103" s="31" t="n">
        <f aca="false">AT103+AU103</f>
        <v>11.95</v>
      </c>
      <c r="AW103" s="32" t="n">
        <v>5.65</v>
      </c>
      <c r="AX103" s="32" t="n">
        <v>5.845</v>
      </c>
      <c r="AY103" s="32" t="n">
        <v>23.445</v>
      </c>
      <c r="AZ103" s="32" t="n">
        <v>5.533</v>
      </c>
      <c r="BA103" s="32" t="n">
        <v>6.141</v>
      </c>
      <c r="BB103" s="31" t="n">
        <f aca="false">AZ103+BA103</f>
        <v>11.674</v>
      </c>
      <c r="BC103" s="32" t="n">
        <v>5.555</v>
      </c>
      <c r="BD103" s="32" t="n">
        <v>6.093</v>
      </c>
      <c r="BE103" s="32" t="n">
        <v>23.322</v>
      </c>
      <c r="BF103" s="32" t="n">
        <v>8.913</v>
      </c>
      <c r="BG103" s="32" t="n">
        <v>8.865</v>
      </c>
      <c r="BH103" s="31" t="n">
        <f aca="false">BF103+BG103</f>
        <v>17.778</v>
      </c>
      <c r="BI103" s="32" t="n">
        <v>9.367</v>
      </c>
      <c r="BJ103" s="32" t="n">
        <v>13.777</v>
      </c>
      <c r="BK103" s="32" t="n">
        <v>40.922</v>
      </c>
      <c r="BL103" s="32" t="n">
        <v>9.452</v>
      </c>
      <c r="BM103" s="32" t="n">
        <v>9.662</v>
      </c>
      <c r="BN103" s="31" t="n">
        <f aca="false">BL103+BM103</f>
        <v>19.114</v>
      </c>
      <c r="BO103" s="32" t="n">
        <v>9.818</v>
      </c>
      <c r="BP103" s="32" t="n">
        <v>10.033</v>
      </c>
      <c r="BQ103" s="32" t="n">
        <v>38.965</v>
      </c>
      <c r="BR103" s="32" t="n">
        <v>10.192</v>
      </c>
      <c r="BS103" s="32" t="n">
        <v>10.131</v>
      </c>
      <c r="BT103" s="31" t="n">
        <f aca="false">BR103+BS103</f>
        <v>20.323</v>
      </c>
      <c r="BU103" s="32" t="n">
        <v>10.081</v>
      </c>
      <c r="BV103" s="32" t="n">
        <v>9.269</v>
      </c>
      <c r="BW103" s="32" t="n">
        <v>39.673</v>
      </c>
      <c r="BX103" s="32" t="n">
        <v>8.317</v>
      </c>
      <c r="BY103" s="32" t="n">
        <v>9.169</v>
      </c>
      <c r="BZ103" s="31" t="n">
        <f aca="false">BX103+BY103</f>
        <v>17.486</v>
      </c>
      <c r="CA103" s="32" t="n">
        <v>9.018</v>
      </c>
      <c r="CB103" s="32" t="n">
        <v>8.54</v>
      </c>
      <c r="CC103" s="32" t="n">
        <v>35.234</v>
      </c>
      <c r="CD103" s="32" t="n">
        <v>10.415</v>
      </c>
      <c r="CE103" s="32" t="n">
        <v>9.317</v>
      </c>
      <c r="CF103" s="31" t="n">
        <f aca="false">CD103+CE103</f>
        <v>19.732</v>
      </c>
      <c r="CG103" s="32" t="n">
        <v>9.173</v>
      </c>
      <c r="CH103" s="32" t="n">
        <v>9.099</v>
      </c>
      <c r="CI103" s="32" t="n">
        <v>38.004</v>
      </c>
      <c r="CJ103" s="32" t="n">
        <v>9.319</v>
      </c>
      <c r="CK103" s="32" t="n">
        <v>10.231</v>
      </c>
      <c r="CL103" s="31" t="n">
        <f aca="false">CJ103+CK103</f>
        <v>19.55</v>
      </c>
      <c r="CM103" s="32" t="n">
        <v>9.463</v>
      </c>
      <c r="CN103" s="32" t="n">
        <v>9.805</v>
      </c>
      <c r="CO103" s="32" t="n">
        <v>38.818</v>
      </c>
      <c r="CP103" s="33" t="n">
        <f aca="false">CP73*CP53</f>
        <v>39.094057404</v>
      </c>
      <c r="CQ103" s="33" t="n">
        <f aca="false">CQ73*CQ53</f>
        <v>41.388236944376</v>
      </c>
      <c r="CR103" s="33" t="n">
        <f aca="false">CR73*CR53</f>
        <v>43.9490247486072</v>
      </c>
      <c r="CS103" s="33" t="n">
        <f aca="false">CS73*CS53</f>
        <v>46.6427469642892</v>
      </c>
      <c r="CT103" s="33" t="n">
        <f aca="false">CT73*CT53</f>
        <v>49.5060748599685</v>
      </c>
      <c r="CU103" s="24"/>
      <c r="CW103" s="6"/>
      <c r="CX103" s="6"/>
      <c r="CY103" s="6"/>
      <c r="CZ103" s="6"/>
    </row>
    <row r="104" customFormat="false" ht="15" hidden="false" customHeight="false" outlineLevel="0" collapsed="false">
      <c r="B104" s="15" t="s">
        <v>223</v>
      </c>
      <c r="C104" s="32" t="n">
        <v>0.7</v>
      </c>
      <c r="D104" s="32" t="n">
        <v>1.4</v>
      </c>
      <c r="E104" s="32" t="n">
        <v>5.8</v>
      </c>
      <c r="F104" s="32" t="n">
        <v>4.1</v>
      </c>
      <c r="G104" s="32" t="n">
        <v>3.9</v>
      </c>
      <c r="H104" s="32" t="n">
        <v>4.7</v>
      </c>
      <c r="I104" s="32" t="n">
        <v>4.5</v>
      </c>
      <c r="J104" s="32" t="n">
        <v>1.1</v>
      </c>
      <c r="K104" s="32" t="n">
        <v>1.1</v>
      </c>
      <c r="L104" s="31" t="n">
        <f aca="false">J104+K104</f>
        <v>2.2</v>
      </c>
      <c r="M104" s="32" t="n">
        <v>1</v>
      </c>
      <c r="N104" s="32" t="n">
        <v>1.6</v>
      </c>
      <c r="O104" s="32" t="n">
        <v>4.8</v>
      </c>
      <c r="P104" s="32" t="n">
        <v>1.1</v>
      </c>
      <c r="Q104" s="32" t="n">
        <v>1.2</v>
      </c>
      <c r="R104" s="31" t="n">
        <f aca="false">P104+Q104</f>
        <v>2.3</v>
      </c>
      <c r="S104" s="32" t="n">
        <v>1.5</v>
      </c>
      <c r="T104" s="32" t="n">
        <v>3.1</v>
      </c>
      <c r="U104" s="32" t="n">
        <v>6.9</v>
      </c>
      <c r="V104" s="32" t="n">
        <v>1.9</v>
      </c>
      <c r="W104" s="32" t="n">
        <v>1.7</v>
      </c>
      <c r="X104" s="31" t="n">
        <f aca="false">V104+W104</f>
        <v>3.6</v>
      </c>
      <c r="Y104" s="32" t="n">
        <v>1.5</v>
      </c>
      <c r="Z104" s="32" t="n">
        <v>1.7</v>
      </c>
      <c r="AA104" s="32" t="n">
        <v>6.8</v>
      </c>
      <c r="AB104" s="32" t="n">
        <v>1.5</v>
      </c>
      <c r="AC104" s="32" t="n">
        <v>1.5</v>
      </c>
      <c r="AD104" s="31" t="n">
        <f aca="false">AB104+AC104</f>
        <v>3</v>
      </c>
      <c r="AE104" s="32" t="n">
        <v>1.4</v>
      </c>
      <c r="AF104" s="32" t="n">
        <v>1.4</v>
      </c>
      <c r="AG104" s="32" t="n">
        <v>5.8</v>
      </c>
      <c r="AH104" s="32" t="n">
        <v>1.3</v>
      </c>
      <c r="AI104" s="32" t="n">
        <v>1.3</v>
      </c>
      <c r="AJ104" s="31" t="n">
        <f aca="false">AH104+AI104</f>
        <v>2.6</v>
      </c>
      <c r="AK104" s="32" t="n">
        <v>1.4</v>
      </c>
      <c r="AL104" s="32" t="n">
        <v>2.8</v>
      </c>
      <c r="AM104" s="32" t="n">
        <v>6.8</v>
      </c>
      <c r="AN104" s="32" t="n">
        <v>3.8</v>
      </c>
      <c r="AO104" s="32" t="n">
        <v>3.5</v>
      </c>
      <c r="AP104" s="31" t="n">
        <f aca="false">AN104+AO104</f>
        <v>7.3</v>
      </c>
      <c r="AQ104" s="32" t="n">
        <v>3.6</v>
      </c>
      <c r="AR104" s="32" t="n">
        <v>3.1</v>
      </c>
      <c r="AS104" s="32" t="n">
        <v>14</v>
      </c>
      <c r="AT104" s="32" t="n">
        <v>2.9</v>
      </c>
      <c r="AU104" s="32" t="n">
        <v>2.6</v>
      </c>
      <c r="AV104" s="31" t="n">
        <f aca="false">AT104+AU104</f>
        <v>5.5</v>
      </c>
      <c r="AW104" s="32" t="n">
        <v>2.5</v>
      </c>
      <c r="AX104" s="32" t="n">
        <v>2.5</v>
      </c>
      <c r="AY104" s="32" t="n">
        <v>10.5</v>
      </c>
      <c r="AZ104" s="32" t="n">
        <v>2.5</v>
      </c>
      <c r="BA104" s="32" t="n">
        <v>2.3</v>
      </c>
      <c r="BB104" s="31" t="n">
        <f aca="false">AZ104+BA104</f>
        <v>4.8</v>
      </c>
      <c r="BC104" s="32" t="n">
        <v>2.2</v>
      </c>
      <c r="BD104" s="32" t="n">
        <v>1.9</v>
      </c>
      <c r="BE104" s="32" t="n">
        <v>8.9</v>
      </c>
      <c r="BF104" s="32" t="n">
        <v>1.8</v>
      </c>
      <c r="BG104" s="32" t="n">
        <v>1.8</v>
      </c>
      <c r="BH104" s="31" t="n">
        <f aca="false">BF104+BG104</f>
        <v>3.6</v>
      </c>
      <c r="BI104" s="32" t="n">
        <v>1.8</v>
      </c>
      <c r="BJ104" s="32" t="n">
        <v>1.6</v>
      </c>
      <c r="BK104" s="32" t="n">
        <v>6.9</v>
      </c>
      <c r="BL104" s="32" t="n">
        <v>1.8</v>
      </c>
      <c r="BM104" s="32" t="n">
        <v>1.8</v>
      </c>
      <c r="BN104" s="31" t="n">
        <f aca="false">BL104+BM104</f>
        <v>3.6</v>
      </c>
      <c r="BO104" s="32" t="n">
        <v>1.9</v>
      </c>
      <c r="BP104" s="32" t="n">
        <v>1.9</v>
      </c>
      <c r="BQ104" s="32" t="n">
        <v>7.5</v>
      </c>
      <c r="BR104" s="32" t="n">
        <v>1.9</v>
      </c>
      <c r="BS104" s="32" t="n">
        <v>1.9</v>
      </c>
      <c r="BT104" s="31" t="n">
        <f aca="false">BR104+BS104</f>
        <v>3.8</v>
      </c>
      <c r="BU104" s="32" t="n">
        <v>1.9</v>
      </c>
      <c r="BV104" s="32" t="n">
        <v>6.8</v>
      </c>
      <c r="BW104" s="32" t="n">
        <v>12.4</v>
      </c>
      <c r="BX104" s="32" t="n">
        <v>3.1</v>
      </c>
      <c r="BY104" s="32" t="n">
        <v>3.5</v>
      </c>
      <c r="BZ104" s="31" t="n">
        <f aca="false">BX104+BY104</f>
        <v>6.6</v>
      </c>
      <c r="CA104" s="32" t="n">
        <v>3.3</v>
      </c>
      <c r="CB104" s="32" t="n">
        <v>3.4</v>
      </c>
      <c r="CC104" s="32" t="n">
        <v>13.4</v>
      </c>
      <c r="CD104" s="32" t="n">
        <v>3.6</v>
      </c>
      <c r="CE104" s="32" t="n">
        <v>3.4</v>
      </c>
      <c r="CF104" s="31" t="n">
        <f aca="false">CD104+CE104</f>
        <v>7</v>
      </c>
      <c r="CG104" s="32" t="n">
        <v>3.5</v>
      </c>
      <c r="CH104" s="32" t="n">
        <v>3.5</v>
      </c>
      <c r="CI104" s="32" t="n">
        <v>13.9</v>
      </c>
      <c r="CJ104" s="32"/>
      <c r="CK104" s="32"/>
      <c r="CL104" s="31"/>
      <c r="CM104" s="32"/>
      <c r="CN104" s="32"/>
      <c r="CO104" s="32" t="n">
        <v>13</v>
      </c>
      <c r="CP104" s="33" t="n">
        <f aca="false">CP298</f>
        <v>12</v>
      </c>
      <c r="CQ104" s="33" t="n">
        <f aca="false">CQ298</f>
        <v>11</v>
      </c>
      <c r="CR104" s="33" t="n">
        <f aca="false">CR298</f>
        <v>9</v>
      </c>
      <c r="CS104" s="33" t="n">
        <f aca="false">CS298</f>
        <v>7</v>
      </c>
      <c r="CT104" s="33" t="n">
        <f aca="false">CT298</f>
        <v>5</v>
      </c>
      <c r="CU104" s="24"/>
      <c r="CW104" s="6"/>
      <c r="CX104" s="6"/>
      <c r="CY104" s="6"/>
      <c r="CZ104" s="6"/>
    </row>
    <row r="105" customFormat="false" ht="15" hidden="false" customHeight="false" outlineLevel="0" collapsed="false">
      <c r="B105" s="15"/>
      <c r="CP105" s="6"/>
      <c r="CQ105" s="6"/>
      <c r="CR105" s="6"/>
      <c r="CS105" s="6"/>
      <c r="CT105" s="6"/>
      <c r="CU105" s="6"/>
    </row>
    <row r="106" customFormat="false" ht="15" hidden="false" customHeight="false" outlineLevel="0" collapsed="false">
      <c r="B106" s="11" t="s">
        <v>224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 t="s">
        <v>225</v>
      </c>
    </row>
    <row r="107" customFormat="false" ht="15" hidden="false" customHeight="false" outlineLevel="0" collapsed="false">
      <c r="B107" s="20" t="s">
        <v>226</v>
      </c>
      <c r="C107" s="21" t="n">
        <f aca="false">C91</f>
        <v>96.947</v>
      </c>
      <c r="D107" s="21" t="n">
        <f aca="false">D91</f>
        <v>136.338</v>
      </c>
      <c r="E107" s="21" t="n">
        <f aca="false">E91</f>
        <v>156.932</v>
      </c>
      <c r="F107" s="21" t="n">
        <f aca="false">F91</f>
        <v>141.103</v>
      </c>
      <c r="G107" s="21" t="n">
        <f aca="false">G91</f>
        <v>151.627</v>
      </c>
      <c r="H107" s="21" t="n">
        <f aca="false">H91</f>
        <v>166.375</v>
      </c>
      <c r="I107" s="21" t="n">
        <f aca="false">I91</f>
        <v>182.119</v>
      </c>
      <c r="J107" s="21" t="n">
        <f aca="false">J91</f>
        <v>45.845</v>
      </c>
      <c r="K107" s="21" t="n">
        <f aca="false">K91</f>
        <v>39.64</v>
      </c>
      <c r="L107" s="21" t="n">
        <f aca="false">L91</f>
        <v>85.485</v>
      </c>
      <c r="M107" s="21" t="n">
        <f aca="false">M91</f>
        <v>53.2360000000001</v>
      </c>
      <c r="N107" s="21" t="n">
        <f aca="false">N91</f>
        <v>41.304</v>
      </c>
      <c r="O107" s="21" t="n">
        <f aca="false">O91</f>
        <v>180.025</v>
      </c>
      <c r="P107" s="21" t="n">
        <f aca="false">P91</f>
        <v>41.422</v>
      </c>
      <c r="Q107" s="21" t="n">
        <f aca="false">Q91</f>
        <v>45.345</v>
      </c>
      <c r="R107" s="21" t="n">
        <f aca="false">R91</f>
        <v>86.767</v>
      </c>
      <c r="S107" s="21" t="n">
        <f aca="false">S91</f>
        <v>40.877</v>
      </c>
      <c r="T107" s="21" t="n">
        <f aca="false">T91</f>
        <v>51.0429999999999</v>
      </c>
      <c r="U107" s="21" t="n">
        <f aca="false">U91</f>
        <v>178.687</v>
      </c>
      <c r="V107" s="21" t="n">
        <f aca="false">V91</f>
        <v>52.615</v>
      </c>
      <c r="W107" s="21" t="n">
        <f aca="false">W91</f>
        <v>52.1930000000001</v>
      </c>
      <c r="X107" s="21" t="n">
        <f aca="false">X91</f>
        <v>104.808</v>
      </c>
      <c r="Y107" s="21" t="n">
        <f aca="false">Y91</f>
        <v>57.563</v>
      </c>
      <c r="Z107" s="21" t="n">
        <f aca="false">Z91</f>
        <v>57.412</v>
      </c>
      <c r="AA107" s="21" t="n">
        <f aca="false">AA91</f>
        <v>219.783</v>
      </c>
      <c r="AB107" s="21" t="n">
        <f aca="false">AB91</f>
        <v>52.61</v>
      </c>
      <c r="AC107" s="21" t="n">
        <f aca="false">AC91</f>
        <v>59.007</v>
      </c>
      <c r="AD107" s="21" t="n">
        <f aca="false">AD91</f>
        <v>111.617</v>
      </c>
      <c r="AE107" s="21" t="n">
        <f aca="false">AE91</f>
        <v>74.623</v>
      </c>
      <c r="AF107" s="21" t="n">
        <f aca="false">AF91</f>
        <v>84.12</v>
      </c>
      <c r="AG107" s="21" t="n">
        <f aca="false">AG91</f>
        <v>270.36</v>
      </c>
      <c r="AH107" s="21" t="n">
        <f aca="false">AH91</f>
        <v>167.28</v>
      </c>
      <c r="AI107" s="21" t="n">
        <f aca="false">AI91</f>
        <v>66.0660000000001</v>
      </c>
      <c r="AJ107" s="21" t="n">
        <f aca="false">AJ91</f>
        <v>233.346</v>
      </c>
      <c r="AK107" s="21" t="n">
        <f aca="false">AK91</f>
        <v>90.546</v>
      </c>
      <c r="AL107" s="21" t="n">
        <f aca="false">AL91</f>
        <v>70.369</v>
      </c>
      <c r="AM107" s="21" t="n">
        <f aca="false">AM91</f>
        <v>394.261</v>
      </c>
      <c r="AN107" s="21" t="n">
        <f aca="false">AN91</f>
        <v>77.56</v>
      </c>
      <c r="AO107" s="21" t="n">
        <f aca="false">AO91</f>
        <v>103.301</v>
      </c>
      <c r="AP107" s="21" t="n">
        <f aca="false">AP91</f>
        <v>180.861</v>
      </c>
      <c r="AQ107" s="21" t="n">
        <f aca="false">AQ91</f>
        <v>127.405</v>
      </c>
      <c r="AR107" s="21" t="n">
        <f aca="false">AR91</f>
        <v>109.741</v>
      </c>
      <c r="AS107" s="21" t="n">
        <f aca="false">AS91</f>
        <v>418.007</v>
      </c>
      <c r="AT107" s="21" t="n">
        <f aca="false">AT91</f>
        <v>114.083</v>
      </c>
      <c r="AU107" s="21" t="n">
        <f aca="false">AU91</f>
        <v>131.373</v>
      </c>
      <c r="AV107" s="21" t="n">
        <f aca="false">AV91</f>
        <v>245.456</v>
      </c>
      <c r="AW107" s="21" t="n">
        <f aca="false">AW91</f>
        <v>192.741</v>
      </c>
      <c r="AX107" s="21" t="n">
        <f aca="false">AX91</f>
        <v>153.496</v>
      </c>
      <c r="AY107" s="21" t="n">
        <f aca="false">AY91</f>
        <v>591.693</v>
      </c>
      <c r="AZ107" s="21" t="n">
        <f aca="false">AZ91</f>
        <v>218.18</v>
      </c>
      <c r="BA107" s="21" t="n">
        <f aca="false">BA91</f>
        <v>168.707</v>
      </c>
      <c r="BB107" s="21" t="n">
        <f aca="false">BB91</f>
        <v>386.887</v>
      </c>
      <c r="BC107" s="21" t="n">
        <f aca="false">BC91</f>
        <v>147.487</v>
      </c>
      <c r="BD107" s="21" t="n">
        <f aca="false">BD91</f>
        <v>165.533</v>
      </c>
      <c r="BE107" s="21" t="n">
        <f aca="false">BE91</f>
        <v>699.907</v>
      </c>
      <c r="BF107" s="21" t="n">
        <f aca="false">BF91</f>
        <v>200.285</v>
      </c>
      <c r="BG107" s="21" t="n">
        <f aca="false">BG91</f>
        <v>193.44</v>
      </c>
      <c r="BH107" s="21" t="n">
        <f aca="false">BH91</f>
        <v>393.725</v>
      </c>
      <c r="BI107" s="21" t="n">
        <f aca="false">BI91</f>
        <v>286.796</v>
      </c>
      <c r="BJ107" s="21" t="n">
        <f aca="false">BJ91</f>
        <v>255.974</v>
      </c>
      <c r="BK107" s="21" t="n">
        <f aca="false">BK91</f>
        <v>936.495</v>
      </c>
      <c r="BL107" s="21" t="n">
        <f aca="false">BL91</f>
        <v>260.363</v>
      </c>
      <c r="BM107" s="21" t="n">
        <f aca="false">BM91</f>
        <v>287.412</v>
      </c>
      <c r="BN107" s="21" t="n">
        <f aca="false">BN91</f>
        <v>547.775</v>
      </c>
      <c r="BO107" s="21" t="n">
        <f aca="false">BO91</f>
        <v>278.62</v>
      </c>
      <c r="BP107" s="21" t="n">
        <f aca="false">BP91</f>
        <v>263.735</v>
      </c>
      <c r="BQ107" s="21" t="n">
        <f aca="false">BQ91</f>
        <v>1090.13</v>
      </c>
      <c r="BR107" s="21" t="n">
        <f aca="false">BR91</f>
        <v>245.848</v>
      </c>
      <c r="BS107" s="21" t="n">
        <f aca="false">BS91</f>
        <v>293.677</v>
      </c>
      <c r="BT107" s="21" t="n">
        <f aca="false">BT91</f>
        <v>539.525</v>
      </c>
      <c r="BU107" s="21" t="n">
        <f aca="false">BU91</f>
        <v>350.431</v>
      </c>
      <c r="BV107" s="21" t="n">
        <f aca="false">BV91</f>
        <v>347.785</v>
      </c>
      <c r="BW107" s="21" t="n">
        <f aca="false">BW91</f>
        <v>1237.741</v>
      </c>
      <c r="BX107" s="21" t="n">
        <f aca="false">BX91</f>
        <v>332.532</v>
      </c>
      <c r="BY107" s="21" t="n">
        <f aca="false">BY91</f>
        <v>325.527</v>
      </c>
      <c r="BZ107" s="21" t="n">
        <f aca="false">BZ91</f>
        <v>658.059</v>
      </c>
      <c r="CA107" s="21" t="n">
        <f aca="false">CA91</f>
        <v>382.11</v>
      </c>
      <c r="CB107" s="21" t="n">
        <f aca="false">CB91</f>
        <v>322.178</v>
      </c>
      <c r="CC107" s="21" t="n">
        <f aca="false">CC91</f>
        <v>1362.347</v>
      </c>
      <c r="CD107" s="21" t="n">
        <f aca="false">CD91</f>
        <v>361.176</v>
      </c>
      <c r="CE107" s="21" t="n">
        <f aca="false">CE91</f>
        <v>386.541</v>
      </c>
      <c r="CF107" s="21" t="n">
        <f aca="false">CF91</f>
        <v>747.717</v>
      </c>
      <c r="CG107" s="21" t="n">
        <f aca="false">CG91</f>
        <v>405.338</v>
      </c>
      <c r="CH107" s="21" t="n">
        <f aca="false">CH91</f>
        <v>395.308</v>
      </c>
      <c r="CI107" s="21" t="n">
        <f aca="false">CI91</f>
        <v>1548.363</v>
      </c>
      <c r="CJ107" s="21" t="n">
        <f aca="false">CJ91</f>
        <v>402.21</v>
      </c>
      <c r="CK107" s="21" t="n">
        <f aca="false">CK91</f>
        <v>349.967</v>
      </c>
      <c r="CL107" s="21" t="n">
        <f aca="false">CL91</f>
        <v>752.177</v>
      </c>
      <c r="CM107" s="21" t="n">
        <f aca="false">CM91</f>
        <v>401.393</v>
      </c>
      <c r="CN107" s="21" t="n">
        <f aca="false">CN91</f>
        <v>326.827</v>
      </c>
      <c r="CO107" s="21" t="n">
        <f aca="false">CO91</f>
        <v>1480.397</v>
      </c>
      <c r="CP107" s="23" t="n">
        <f aca="false">CP91</f>
        <v>1484.66892473288</v>
      </c>
      <c r="CQ107" s="23" t="n">
        <f aca="false">CQ91</f>
        <v>1561.1086672709</v>
      </c>
      <c r="CR107" s="23" t="n">
        <f aca="false">CR91</f>
        <v>1680.54992830152</v>
      </c>
      <c r="CS107" s="23" t="n">
        <f aca="false">CS91</f>
        <v>1808.2120125569</v>
      </c>
      <c r="CT107" s="23" t="n">
        <f aca="false">CT91</f>
        <v>1945.30893238154</v>
      </c>
      <c r="CU107" s="24"/>
      <c r="CW107" s="6"/>
      <c r="CX107" s="6"/>
      <c r="CY107" s="6"/>
      <c r="CZ107" s="6"/>
    </row>
    <row r="108" customFormat="false" ht="15" hidden="false" customHeight="false" outlineLevel="0" collapsed="false">
      <c r="B108" s="28" t="s">
        <v>227</v>
      </c>
      <c r="C108" s="39" t="n">
        <f aca="false">C102</f>
        <v>31.456</v>
      </c>
      <c r="D108" s="39" t="n">
        <f aca="false">D102</f>
        <v>37.089</v>
      </c>
      <c r="E108" s="39" t="n">
        <f aca="false">E102</f>
        <v>42.804</v>
      </c>
      <c r="F108" s="39" t="n">
        <f aca="false">F102</f>
        <v>41.354</v>
      </c>
      <c r="G108" s="39" t="n">
        <f aca="false">G102</f>
        <v>43.242</v>
      </c>
      <c r="H108" s="39" t="n">
        <f aca="false">H102</f>
        <v>45.694</v>
      </c>
      <c r="I108" s="39" t="n">
        <f aca="false">I102</f>
        <v>48.167</v>
      </c>
      <c r="J108" s="39" t="n">
        <f aca="false">J102</f>
        <v>12.839</v>
      </c>
      <c r="K108" s="39" t="n">
        <f aca="false">K102</f>
        <v>14.612</v>
      </c>
      <c r="L108" s="39" t="n">
        <f aca="false">L102</f>
        <v>27.451</v>
      </c>
      <c r="M108" s="39" t="n">
        <f aca="false">M102</f>
        <v>14.797</v>
      </c>
      <c r="N108" s="39" t="n">
        <f aca="false">N102</f>
        <v>14.48</v>
      </c>
      <c r="O108" s="39" t="n">
        <f aca="false">O102</f>
        <v>56.728</v>
      </c>
      <c r="P108" s="39" t="n">
        <f aca="false">P102</f>
        <v>14.504</v>
      </c>
      <c r="Q108" s="39" t="n">
        <f aca="false">Q102</f>
        <v>13.076</v>
      </c>
      <c r="R108" s="39" t="n">
        <f aca="false">R102</f>
        <v>27.58</v>
      </c>
      <c r="S108" s="39" t="n">
        <f aca="false">S102</f>
        <v>12.769</v>
      </c>
      <c r="T108" s="39" t="n">
        <f aca="false">T102</f>
        <v>13.377</v>
      </c>
      <c r="U108" s="39" t="n">
        <f aca="false">U102</f>
        <v>53.726</v>
      </c>
      <c r="V108" s="39" t="n">
        <f aca="false">V102</f>
        <v>13.967</v>
      </c>
      <c r="W108" s="39" t="n">
        <f aca="false">W102</f>
        <v>11.4</v>
      </c>
      <c r="X108" s="39" t="n">
        <f aca="false">X102</f>
        <v>25.367</v>
      </c>
      <c r="Y108" s="39" t="n">
        <f aca="false">Y102</f>
        <v>12.212</v>
      </c>
      <c r="Z108" s="39" t="n">
        <f aca="false">Z102</f>
        <v>8.994</v>
      </c>
      <c r="AA108" s="39" t="n">
        <f aca="false">AA102</f>
        <v>46.573</v>
      </c>
      <c r="AB108" s="39" t="n">
        <f aca="false">AB102</f>
        <v>11.521</v>
      </c>
      <c r="AC108" s="39" t="n">
        <f aca="false">AC102</f>
        <v>11.691</v>
      </c>
      <c r="AD108" s="39" t="n">
        <f aca="false">AD102</f>
        <v>23.212</v>
      </c>
      <c r="AE108" s="39" t="n">
        <f aca="false">AE102</f>
        <v>12.358</v>
      </c>
      <c r="AF108" s="39" t="n">
        <f aca="false">AF102</f>
        <v>13.005</v>
      </c>
      <c r="AG108" s="39" t="n">
        <f aca="false">AG102</f>
        <v>48.575</v>
      </c>
      <c r="AH108" s="39" t="n">
        <f aca="false">AH102</f>
        <v>14.709</v>
      </c>
      <c r="AI108" s="39" t="n">
        <f aca="false">AI102</f>
        <v>15.215</v>
      </c>
      <c r="AJ108" s="39" t="n">
        <f aca="false">AJ102</f>
        <v>29.924</v>
      </c>
      <c r="AK108" s="39" t="n">
        <f aca="false">AK102</f>
        <v>13.208</v>
      </c>
      <c r="AL108" s="39" t="n">
        <f aca="false">AL102</f>
        <v>13.868</v>
      </c>
      <c r="AM108" s="39" t="n">
        <f aca="false">AM102</f>
        <v>57</v>
      </c>
      <c r="AN108" s="39" t="n">
        <f aca="false">AN102</f>
        <v>15.902</v>
      </c>
      <c r="AO108" s="39" t="n">
        <f aca="false">AO102</f>
        <v>17.871</v>
      </c>
      <c r="AP108" s="39" t="n">
        <f aca="false">AP102</f>
        <v>33.773</v>
      </c>
      <c r="AQ108" s="39" t="n">
        <f aca="false">AQ102</f>
        <v>16.573</v>
      </c>
      <c r="AR108" s="39" t="n">
        <f aca="false">AR102</f>
        <v>28.252</v>
      </c>
      <c r="AS108" s="39" t="n">
        <f aca="false">AS102</f>
        <v>78.598</v>
      </c>
      <c r="AT108" s="39" t="n">
        <f aca="false">AT102</f>
        <v>21.869</v>
      </c>
      <c r="AU108" s="39" t="n">
        <f aca="false">AU102</f>
        <v>20.399</v>
      </c>
      <c r="AV108" s="39" t="n">
        <f aca="false">AV102</f>
        <v>42.268</v>
      </c>
      <c r="AW108" s="39" t="n">
        <f aca="false">AW102</f>
        <v>21.112</v>
      </c>
      <c r="AX108" s="39" t="n">
        <f aca="false">AX102</f>
        <v>21.515</v>
      </c>
      <c r="AY108" s="39" t="n">
        <f aca="false">AY102</f>
        <v>84.895</v>
      </c>
      <c r="AZ108" s="39" t="n">
        <f aca="false">AZ102</f>
        <v>23.014</v>
      </c>
      <c r="BA108" s="39" t="n">
        <f aca="false">BA102</f>
        <v>24.282</v>
      </c>
      <c r="BB108" s="39" t="n">
        <f aca="false">BB102</f>
        <v>47.296</v>
      </c>
      <c r="BC108" s="39" t="n">
        <f aca="false">BC102</f>
        <v>26.715</v>
      </c>
      <c r="BD108" s="39" t="n">
        <f aca="false">BD102</f>
        <v>27.379</v>
      </c>
      <c r="BE108" s="39" t="n">
        <f aca="false">BE102</f>
        <v>101.39</v>
      </c>
      <c r="BF108" s="39" t="n">
        <f aca="false">BF102</f>
        <v>28.949</v>
      </c>
      <c r="BG108" s="39" t="n">
        <f aca="false">BG102</f>
        <v>31.392</v>
      </c>
      <c r="BH108" s="39" t="n">
        <f aca="false">BH102</f>
        <v>60.341</v>
      </c>
      <c r="BI108" s="39" t="n">
        <f aca="false">BI102</f>
        <v>31.966</v>
      </c>
      <c r="BJ108" s="39" t="n">
        <f aca="false">BJ102</f>
        <v>29.664</v>
      </c>
      <c r="BK108" s="39" t="n">
        <f aca="false">BK102</f>
        <v>121.971</v>
      </c>
      <c r="BL108" s="39" t="n">
        <f aca="false">BL102</f>
        <v>31.76</v>
      </c>
      <c r="BM108" s="39" t="n">
        <f aca="false">BM102</f>
        <v>33.303</v>
      </c>
      <c r="BN108" s="39" t="n">
        <f aca="false">BN102</f>
        <v>65.063</v>
      </c>
      <c r="BO108" s="39" t="n">
        <f aca="false">BO102</f>
        <v>36.579</v>
      </c>
      <c r="BP108" s="39" t="n">
        <f aca="false">BP102</f>
        <v>36.333</v>
      </c>
      <c r="BQ108" s="39" t="n">
        <f aca="false">BQ102</f>
        <v>137.985</v>
      </c>
      <c r="BR108" s="39" t="n">
        <f aca="false">BR102</f>
        <v>39.058</v>
      </c>
      <c r="BS108" s="39" t="n">
        <f aca="false">BS102</f>
        <v>38.414</v>
      </c>
      <c r="BT108" s="39" t="n">
        <f aca="false">BT102</f>
        <v>77.472</v>
      </c>
      <c r="BU108" s="39" t="n">
        <f aca="false">BU102</f>
        <v>37.371</v>
      </c>
      <c r="BV108" s="39" t="n">
        <f aca="false">BV102</f>
        <v>44.635</v>
      </c>
      <c r="BW108" s="39" t="n">
        <f aca="false">BW102</f>
        <v>159.478</v>
      </c>
      <c r="BX108" s="39" t="n">
        <f aca="false">BX102</f>
        <v>43.164</v>
      </c>
      <c r="BY108" s="39" t="n">
        <f aca="false">BY102</f>
        <v>45.262</v>
      </c>
      <c r="BZ108" s="39" t="n">
        <f aca="false">BZ102</f>
        <v>88.426</v>
      </c>
      <c r="CA108" s="39" t="n">
        <f aca="false">CA102</f>
        <v>50.733</v>
      </c>
      <c r="CB108" s="39" t="n">
        <f aca="false">CB102</f>
        <v>50.603</v>
      </c>
      <c r="CC108" s="39" t="n">
        <f aca="false">CC102</f>
        <v>189.761</v>
      </c>
      <c r="CD108" s="39" t="n">
        <f aca="false">CD102</f>
        <v>53.627</v>
      </c>
      <c r="CE108" s="39" t="n">
        <f aca="false">CE102</f>
        <v>54.199</v>
      </c>
      <c r="CF108" s="39" t="n">
        <f aca="false">CF102</f>
        <v>107.826</v>
      </c>
      <c r="CG108" s="39" t="n">
        <f aca="false">CG102</f>
        <v>54.416</v>
      </c>
      <c r="CH108" s="39" t="n">
        <f aca="false">CH102</f>
        <v>53.607</v>
      </c>
      <c r="CI108" s="39" t="n">
        <f aca="false">CI102</f>
        <v>215.849</v>
      </c>
      <c r="CJ108" s="39" t="n">
        <f aca="false">CJ102</f>
        <v>54.042</v>
      </c>
      <c r="CK108" s="39" t="n">
        <f aca="false">CK102</f>
        <v>55.387</v>
      </c>
      <c r="CL108" s="39" t="n">
        <f aca="false">CL102</f>
        <v>109.429</v>
      </c>
      <c r="CM108" s="39" t="n">
        <f aca="false">CM102</f>
        <v>58.983</v>
      </c>
      <c r="CN108" s="39" t="n">
        <f aca="false">CN102</f>
        <v>60.961</v>
      </c>
      <c r="CO108" s="39" t="n">
        <f aca="false">CO102</f>
        <v>229.373</v>
      </c>
      <c r="CP108" s="40" t="n">
        <f aca="false">CP102</f>
        <v>244.337858775</v>
      </c>
      <c r="CQ108" s="40" t="n">
        <f aca="false">CQ102</f>
        <v>258.67648090235</v>
      </c>
      <c r="CR108" s="40" t="n">
        <f aca="false">CR102</f>
        <v>274.681404678795</v>
      </c>
      <c r="CS108" s="40" t="n">
        <f aca="false">CS102</f>
        <v>291.517168526808</v>
      </c>
      <c r="CT108" s="40" t="n">
        <f aca="false">CT102</f>
        <v>309.412967874803</v>
      </c>
      <c r="CU108" s="24"/>
      <c r="CW108" s="6"/>
      <c r="CX108" s="6"/>
      <c r="CY108" s="6"/>
      <c r="CZ108" s="6"/>
    </row>
    <row r="109" customFormat="false" ht="15" hidden="false" customHeight="false" outlineLevel="0" collapsed="false">
      <c r="B109" s="28" t="s">
        <v>228</v>
      </c>
      <c r="C109" s="39" t="n">
        <f aca="false">C83</f>
        <v>0.072</v>
      </c>
      <c r="D109" s="39" t="n">
        <f aca="false">D83</f>
        <v>0.083</v>
      </c>
      <c r="E109" s="39" t="n">
        <f aca="false">E83</f>
        <v>0.209</v>
      </c>
      <c r="F109" s="39" t="n">
        <f aca="false">F83</f>
        <v>0.274</v>
      </c>
      <c r="G109" s="39" t="n">
        <f aca="false">G83</f>
        <v>0.216</v>
      </c>
      <c r="H109" s="39" t="n">
        <f aca="false">H83</f>
        <v>4.078</v>
      </c>
      <c r="I109" s="39" t="n">
        <f aca="false">I83</f>
        <v>11.341</v>
      </c>
      <c r="J109" s="39" t="n">
        <f aca="false">J83</f>
        <v>2.632</v>
      </c>
      <c r="K109" s="39" t="n">
        <f aca="false">K83</f>
        <v>2.588</v>
      </c>
      <c r="L109" s="39" t="n">
        <f aca="false">L83</f>
        <v>5.22</v>
      </c>
      <c r="M109" s="39" t="n">
        <f aca="false">M83</f>
        <v>2.538</v>
      </c>
      <c r="N109" s="39" t="n">
        <f aca="false">N83</f>
        <v>2.509</v>
      </c>
      <c r="O109" s="39" t="n">
        <f aca="false">O83</f>
        <v>10.267</v>
      </c>
      <c r="P109" s="39" t="n">
        <f aca="false">P83</f>
        <v>2.286</v>
      </c>
      <c r="Q109" s="39" t="n">
        <f aca="false">Q83</f>
        <v>2.209</v>
      </c>
      <c r="R109" s="39" t="n">
        <f aca="false">R83</f>
        <v>4.495</v>
      </c>
      <c r="S109" s="39" t="n">
        <f aca="false">S83</f>
        <v>2.104</v>
      </c>
      <c r="T109" s="39" t="n">
        <f aca="false">T83</f>
        <v>2.169</v>
      </c>
      <c r="U109" s="39" t="n">
        <f aca="false">U83</f>
        <v>8.768</v>
      </c>
      <c r="V109" s="39" t="n">
        <f aca="false">V83</f>
        <v>1.91</v>
      </c>
      <c r="W109" s="39" t="n">
        <f aca="false">W83</f>
        <v>4.688</v>
      </c>
      <c r="X109" s="39" t="n">
        <f aca="false">X83</f>
        <v>6.598</v>
      </c>
      <c r="Y109" s="39" t="n">
        <f aca="false">Y83</f>
        <v>5.917</v>
      </c>
      <c r="Z109" s="39" t="n">
        <f aca="false">Z83</f>
        <v>5.606</v>
      </c>
      <c r="AA109" s="39" t="n">
        <f aca="false">AA83</f>
        <v>18.121</v>
      </c>
      <c r="AB109" s="39" t="n">
        <f aca="false">AB83</f>
        <v>5.724</v>
      </c>
      <c r="AC109" s="39" t="n">
        <f aca="false">AC83</f>
        <v>5.57</v>
      </c>
      <c r="AD109" s="39" t="n">
        <f aca="false">AD83</f>
        <v>11.294</v>
      </c>
      <c r="AE109" s="39" t="n">
        <f aca="false">AE83</f>
        <v>5.702</v>
      </c>
      <c r="AF109" s="39" t="n">
        <f aca="false">AF83</f>
        <v>6.61</v>
      </c>
      <c r="AG109" s="39" t="n">
        <f aca="false">AG83</f>
        <v>23.606</v>
      </c>
      <c r="AH109" s="39" t="n">
        <f aca="false">AH83</f>
        <v>5.959</v>
      </c>
      <c r="AI109" s="39" t="n">
        <f aca="false">AI83</f>
        <v>6.144</v>
      </c>
      <c r="AJ109" s="39" t="n">
        <f aca="false">AJ83</f>
        <v>12.103</v>
      </c>
      <c r="AK109" s="39" t="n">
        <f aca="false">AK83</f>
        <v>5.869</v>
      </c>
      <c r="AL109" s="39" t="n">
        <f aca="false">AL83</f>
        <v>5.807</v>
      </c>
      <c r="AM109" s="39" t="n">
        <f aca="false">AM83</f>
        <v>23.779</v>
      </c>
      <c r="AN109" s="39" t="n">
        <f aca="false">AN83</f>
        <v>5.595</v>
      </c>
      <c r="AO109" s="39" t="n">
        <f aca="false">AO83</f>
        <v>5.758</v>
      </c>
      <c r="AP109" s="39" t="n">
        <f aca="false">AP83</f>
        <v>11.353</v>
      </c>
      <c r="AQ109" s="39" t="n">
        <f aca="false">AQ83</f>
        <v>4.416</v>
      </c>
      <c r="AR109" s="39" t="n">
        <f aca="false">AR83</f>
        <v>4.599</v>
      </c>
      <c r="AS109" s="39" t="n">
        <f aca="false">AS83</f>
        <v>20.368</v>
      </c>
      <c r="AT109" s="39" t="n">
        <f aca="false">AT83</f>
        <v>4.651</v>
      </c>
      <c r="AU109" s="39" t="n">
        <f aca="false">AU83</f>
        <v>5.233</v>
      </c>
      <c r="AV109" s="39" t="n">
        <f aca="false">AV83</f>
        <v>9.884</v>
      </c>
      <c r="AW109" s="39" t="n">
        <f aca="false">AW83</f>
        <v>5.324</v>
      </c>
      <c r="AX109" s="39" t="n">
        <f aca="false">AX83</f>
        <v>4.602</v>
      </c>
      <c r="AY109" s="39" t="n">
        <f aca="false">AY83</f>
        <v>19.81</v>
      </c>
      <c r="AZ109" s="39" t="n">
        <f aca="false">AZ83</f>
        <v>4.611</v>
      </c>
      <c r="BA109" s="39" t="n">
        <f aca="false">BA83</f>
        <v>4.914</v>
      </c>
      <c r="BB109" s="39" t="n">
        <f aca="false">BB83</f>
        <v>9.525</v>
      </c>
      <c r="BC109" s="39" t="n">
        <f aca="false">BC83</f>
        <v>5.803</v>
      </c>
      <c r="BD109" s="39" t="n">
        <f aca="false">BD83</f>
        <v>4.902</v>
      </c>
      <c r="BE109" s="39" t="n">
        <f aca="false">BE83</f>
        <v>20.23</v>
      </c>
      <c r="BF109" s="39" t="n">
        <f aca="false">BF83</f>
        <v>0</v>
      </c>
      <c r="BG109" s="39" t="n">
        <f aca="false">BG83</f>
        <v>0</v>
      </c>
      <c r="BH109" s="39" t="n">
        <f aca="false">BH83</f>
        <v>0</v>
      </c>
      <c r="BI109" s="39" t="n">
        <f aca="false">BI83</f>
        <v>0</v>
      </c>
      <c r="BJ109" s="39" t="n">
        <f aca="false">BJ83</f>
        <v>0</v>
      </c>
      <c r="BK109" s="39" t="n">
        <f aca="false">BK83</f>
        <v>0</v>
      </c>
      <c r="BL109" s="39" t="n">
        <f aca="false">BL83</f>
        <v>0</v>
      </c>
      <c r="BM109" s="39" t="n">
        <f aca="false">BM83</f>
        <v>0</v>
      </c>
      <c r="BN109" s="39" t="n">
        <f aca="false">BN83</f>
        <v>0</v>
      </c>
      <c r="BO109" s="39" t="n">
        <f aca="false">BO83</f>
        <v>0</v>
      </c>
      <c r="BP109" s="39" t="n">
        <f aca="false">BP83</f>
        <v>0</v>
      </c>
      <c r="BQ109" s="39" t="n">
        <f aca="false">BQ83</f>
        <v>0</v>
      </c>
      <c r="BR109" s="39" t="n">
        <f aca="false">BR83</f>
        <v>0</v>
      </c>
      <c r="BS109" s="39" t="n">
        <f aca="false">BS83</f>
        <v>0</v>
      </c>
      <c r="BT109" s="39" t="n">
        <f aca="false">BT83</f>
        <v>0</v>
      </c>
      <c r="BU109" s="39" t="n">
        <f aca="false">BU83</f>
        <v>0</v>
      </c>
      <c r="BV109" s="39" t="n">
        <f aca="false">BV83</f>
        <v>0</v>
      </c>
      <c r="BW109" s="39" t="n">
        <f aca="false">BW83</f>
        <v>0</v>
      </c>
      <c r="BX109" s="39" t="n">
        <f aca="false">BX83</f>
        <v>0</v>
      </c>
      <c r="BY109" s="39" t="n">
        <f aca="false">BY83</f>
        <v>0</v>
      </c>
      <c r="BZ109" s="39" t="n">
        <f aca="false">BZ83</f>
        <v>0</v>
      </c>
      <c r="CA109" s="39" t="n">
        <f aca="false">CA83</f>
        <v>0</v>
      </c>
      <c r="CB109" s="39" t="n">
        <f aca="false">CB83</f>
        <v>0</v>
      </c>
      <c r="CC109" s="39" t="n">
        <f aca="false">CC83</f>
        <v>0</v>
      </c>
      <c r="CD109" s="39" t="n">
        <f aca="false">CD83</f>
        <v>0</v>
      </c>
      <c r="CE109" s="39" t="n">
        <f aca="false">CE83</f>
        <v>0</v>
      </c>
      <c r="CF109" s="39" t="n">
        <f aca="false">CF83</f>
        <v>0</v>
      </c>
      <c r="CG109" s="39" t="n">
        <f aca="false">CG83</f>
        <v>0</v>
      </c>
      <c r="CH109" s="39" t="n">
        <f aca="false">CH83</f>
        <v>0</v>
      </c>
      <c r="CI109" s="39" t="n">
        <f aca="false">CI83</f>
        <v>0</v>
      </c>
      <c r="CJ109" s="39" t="n">
        <f aca="false">CJ83</f>
        <v>0</v>
      </c>
      <c r="CK109" s="39" t="n">
        <f aca="false">CK83</f>
        <v>0</v>
      </c>
      <c r="CL109" s="39" t="n">
        <f aca="false">CL83</f>
        <v>0</v>
      </c>
      <c r="CM109" s="39" t="n">
        <f aca="false">CM83</f>
        <v>0</v>
      </c>
      <c r="CN109" s="39" t="n">
        <f aca="false">CN83</f>
        <v>0</v>
      </c>
      <c r="CO109" s="39" t="n">
        <f aca="false">CO83</f>
        <v>0</v>
      </c>
      <c r="CP109" s="40" t="n">
        <f aca="false">CP83</f>
        <v>0</v>
      </c>
      <c r="CQ109" s="40" t="n">
        <f aca="false">CQ83</f>
        <v>0</v>
      </c>
      <c r="CR109" s="40" t="n">
        <f aca="false">CR83</f>
        <v>0</v>
      </c>
      <c r="CS109" s="40" t="n">
        <f aca="false">CS83</f>
        <v>0</v>
      </c>
      <c r="CT109" s="40" t="n">
        <f aca="false">CT83</f>
        <v>0</v>
      </c>
      <c r="CU109" s="24"/>
      <c r="CW109" s="6"/>
      <c r="CX109" s="6"/>
      <c r="CY109" s="6"/>
      <c r="CZ109" s="6"/>
    </row>
    <row r="110" customFormat="false" ht="15" hidden="false" customHeight="false" outlineLevel="0" collapsed="false">
      <c r="B110" s="28" t="s">
        <v>229</v>
      </c>
      <c r="C110" s="39" t="n">
        <f aca="false">-C84</f>
        <v>-8.182</v>
      </c>
      <c r="D110" s="39" t="n">
        <f aca="false">-D84</f>
        <v>-13.727</v>
      </c>
      <c r="E110" s="39" t="n">
        <f aca="false">-E84</f>
        <v>-7.761</v>
      </c>
      <c r="F110" s="39" t="n">
        <f aca="false">-F84</f>
        <v>-1.692</v>
      </c>
      <c r="G110" s="39" t="n">
        <f aca="false">-G84</f>
        <v>-0.205</v>
      </c>
      <c r="H110" s="39" t="n">
        <f aca="false">-H84</f>
        <v>-0.493</v>
      </c>
      <c r="I110" s="39" t="n">
        <f aca="false">-I84</f>
        <v>-0.357</v>
      </c>
      <c r="J110" s="39" t="n">
        <f aca="false">-J84</f>
        <v>-0.156</v>
      </c>
      <c r="K110" s="39" t="n">
        <f aca="false">-K84</f>
        <v>-0.191</v>
      </c>
      <c r="L110" s="39" t="n">
        <f aca="false">-L84</f>
        <v>-0.347</v>
      </c>
      <c r="M110" s="39" t="n">
        <f aca="false">-M84</f>
        <v>-0.138</v>
      </c>
      <c r="N110" s="39" t="n">
        <f aca="false">-N84</f>
        <v>-0.153</v>
      </c>
      <c r="O110" s="39" t="n">
        <f aca="false">-O84</f>
        <v>-0.638</v>
      </c>
      <c r="P110" s="39" t="n">
        <f aca="false">-P84</f>
        <v>-0.149</v>
      </c>
      <c r="Q110" s="39" t="n">
        <f aca="false">-Q84</f>
        <v>-0.143</v>
      </c>
      <c r="R110" s="39" t="n">
        <f aca="false">-R84</f>
        <v>-0.292</v>
      </c>
      <c r="S110" s="39" t="n">
        <f aca="false">-S84</f>
        <v>-0.081</v>
      </c>
      <c r="T110" s="39" t="n">
        <f aca="false">-T84</f>
        <v>-0.118</v>
      </c>
      <c r="U110" s="39" t="n">
        <f aca="false">-U84</f>
        <v>-0.491</v>
      </c>
      <c r="V110" s="39" t="n">
        <f aca="false">-V84</f>
        <v>-0.139</v>
      </c>
      <c r="W110" s="39" t="n">
        <f aca="false">-W84</f>
        <v>-0.183</v>
      </c>
      <c r="X110" s="39" t="n">
        <f aca="false">-X84</f>
        <v>-0.322</v>
      </c>
      <c r="Y110" s="39" t="n">
        <f aca="false">-Y84</f>
        <v>-0.261</v>
      </c>
      <c r="Z110" s="39" t="n">
        <f aca="false">-Z84</f>
        <v>-0.234</v>
      </c>
      <c r="AA110" s="39" t="n">
        <f aca="false">-AA84</f>
        <v>-0.817</v>
      </c>
      <c r="AB110" s="39" t="n">
        <f aca="false">-AB84</f>
        <v>-0.211</v>
      </c>
      <c r="AC110" s="39" t="n">
        <f aca="false">-AC84</f>
        <v>-0.602</v>
      </c>
      <c r="AD110" s="39" t="n">
        <f aca="false">-AD84</f>
        <v>-0.813</v>
      </c>
      <c r="AE110" s="39" t="n">
        <f aca="false">-AE84</f>
        <v>-0.283</v>
      </c>
      <c r="AF110" s="39" t="n">
        <f aca="false">-AF84</f>
        <v>-0.353</v>
      </c>
      <c r="AG110" s="39" t="n">
        <f aca="false">-AG84</f>
        <v>-1.449</v>
      </c>
      <c r="AH110" s="39" t="n">
        <f aca="false">-AH84</f>
        <v>-0.337</v>
      </c>
      <c r="AI110" s="39" t="n">
        <f aca="false">-AI84</f>
        <v>-0.384</v>
      </c>
      <c r="AJ110" s="39" t="n">
        <f aca="false">-AJ84</f>
        <v>-0.721</v>
      </c>
      <c r="AK110" s="39" t="n">
        <f aca="false">-AK84</f>
        <v>-0.363</v>
      </c>
      <c r="AL110" s="39" t="n">
        <f aca="false">-AL84</f>
        <v>-0.322</v>
      </c>
      <c r="AM110" s="39" t="n">
        <f aca="false">-AM84</f>
        <v>-1.406</v>
      </c>
      <c r="AN110" s="39" t="n">
        <f aca="false">-AN84</f>
        <v>-0.197</v>
      </c>
      <c r="AO110" s="39" t="n">
        <f aca="false">-AO84</f>
        <v>-0.197</v>
      </c>
      <c r="AP110" s="39" t="n">
        <f aca="false">-AP84</f>
        <v>-0.394</v>
      </c>
      <c r="AQ110" s="39" t="n">
        <f aca="false">-AQ84</f>
        <v>-0.282</v>
      </c>
      <c r="AR110" s="39" t="n">
        <f aca="false">-AR84</f>
        <v>-0.617</v>
      </c>
      <c r="AS110" s="39" t="n">
        <f aca="false">-AS84</f>
        <v>-1.293</v>
      </c>
      <c r="AT110" s="39" t="n">
        <f aca="false">-AT84</f>
        <v>-0.96</v>
      </c>
      <c r="AU110" s="39" t="n">
        <f aca="false">-AU84</f>
        <v>-0.678</v>
      </c>
      <c r="AV110" s="39" t="n">
        <f aca="false">-AV84</f>
        <v>-1.638</v>
      </c>
      <c r="AW110" s="39" t="n">
        <f aca="false">-AW84</f>
        <v>-0.24</v>
      </c>
      <c r="AX110" s="39" t="n">
        <f aca="false">-AX84</f>
        <v>-0.347</v>
      </c>
      <c r="AY110" s="39" t="n">
        <f aca="false">-AY84</f>
        <v>-2.225</v>
      </c>
      <c r="AZ110" s="39" t="n">
        <f aca="false">-AZ84</f>
        <v>-0.585</v>
      </c>
      <c r="BA110" s="39" t="n">
        <f aca="false">-BA84</f>
        <v>-0.45</v>
      </c>
      <c r="BB110" s="39" t="n">
        <f aca="false">-BB84</f>
        <v>-1.035</v>
      </c>
      <c r="BC110" s="39" t="n">
        <f aca="false">-BC84</f>
        <v>-0.225</v>
      </c>
      <c r="BD110" s="39" t="n">
        <f aca="false">-BD84</f>
        <v>-0.099</v>
      </c>
      <c r="BE110" s="39" t="n">
        <f aca="false">-BE84</f>
        <v>-1.359</v>
      </c>
      <c r="BF110" s="39" t="n">
        <f aca="false">-BF84</f>
        <v>5.032</v>
      </c>
      <c r="BG110" s="39" t="n">
        <f aca="false">-BG84</f>
        <v>4.849</v>
      </c>
      <c r="BH110" s="39" t="n">
        <f aca="false">-BH84</f>
        <v>9.881</v>
      </c>
      <c r="BI110" s="39" t="n">
        <f aca="false">-BI84</f>
        <v>5.346</v>
      </c>
      <c r="BJ110" s="39" t="n">
        <f aca="false">-BJ84</f>
        <v>5.02</v>
      </c>
      <c r="BK110" s="39" t="n">
        <f aca="false">-BK84</f>
        <v>20.247</v>
      </c>
      <c r="BL110" s="39" t="n">
        <f aca="false">-BL84</f>
        <v>5.107</v>
      </c>
      <c r="BM110" s="39" t="n">
        <f aca="false">-BM84</f>
        <v>4.433</v>
      </c>
      <c r="BN110" s="39" t="n">
        <f aca="false">-BN84</f>
        <v>9.54</v>
      </c>
      <c r="BO110" s="39" t="n">
        <f aca="false">-BO84</f>
        <v>4.492</v>
      </c>
      <c r="BP110" s="39" t="n">
        <f aca="false">-BP84</f>
        <v>2.656</v>
      </c>
      <c r="BQ110" s="39" t="n">
        <f aca="false">-BQ84</f>
        <v>16.688</v>
      </c>
      <c r="BR110" s="39" t="n">
        <f aca="false">-BR84</f>
        <v>-4.422</v>
      </c>
      <c r="BS110" s="39" t="n">
        <f aca="false">-BS84</f>
        <v>-14.48</v>
      </c>
      <c r="BT110" s="39" t="n">
        <f aca="false">-BT84</f>
        <v>-18.902</v>
      </c>
      <c r="BU110" s="39" t="n">
        <f aca="false">-BU84</f>
        <v>-17.878</v>
      </c>
      <c r="BV110" s="39" t="n">
        <f aca="false">-BV84</f>
        <v>-29.148</v>
      </c>
      <c r="BW110" s="39" t="n">
        <f aca="false">-BW84</f>
        <v>-65.928</v>
      </c>
      <c r="BX110" s="39" t="n">
        <f aca="false">-BX84</f>
        <v>-32.005</v>
      </c>
      <c r="BY110" s="39" t="n">
        <f aca="false">-BY84</f>
        <v>-33.956</v>
      </c>
      <c r="BZ110" s="39" t="n">
        <f aca="false">-BZ84</f>
        <v>-65.961</v>
      </c>
      <c r="CA110" s="39" t="n">
        <f aca="false">-CA84</f>
        <v>-36.218</v>
      </c>
      <c r="CB110" s="39" t="n">
        <f aca="false">-CB84</f>
        <v>-43.494</v>
      </c>
      <c r="CC110" s="39" t="n">
        <f aca="false">-CC84</f>
        <v>-145.673</v>
      </c>
      <c r="CD110" s="39" t="n">
        <f aca="false">-CD84</f>
        <v>-45.547</v>
      </c>
      <c r="CE110" s="39" t="n">
        <f aca="false">-CE84</f>
        <v>-40.747</v>
      </c>
      <c r="CF110" s="39" t="n">
        <f aca="false">-CF84</f>
        <v>-86.294</v>
      </c>
      <c r="CG110" s="39" t="n">
        <f aca="false">-CG84</f>
        <v>-42.776</v>
      </c>
      <c r="CH110" s="39" t="n">
        <f aca="false">-CH84</f>
        <v>-49.839</v>
      </c>
      <c r="CI110" s="39" t="n">
        <f aca="false">-CI84</f>
        <v>-178.909</v>
      </c>
      <c r="CJ110" s="39" t="n">
        <f aca="false">-CJ84</f>
        <v>-53.505</v>
      </c>
      <c r="CK110" s="39" t="n">
        <f aca="false">-CK84</f>
        <v>-49.987</v>
      </c>
      <c r="CL110" s="39" t="n">
        <f aca="false">-CL84</f>
        <v>-103.492</v>
      </c>
      <c r="CM110" s="39" t="n">
        <f aca="false">-CM84</f>
        <v>-38.813</v>
      </c>
      <c r="CN110" s="39" t="n">
        <f aca="false">-CN84</f>
        <v>-39.618</v>
      </c>
      <c r="CO110" s="39" t="n">
        <f aca="false">-CO84</f>
        <v>-181.923</v>
      </c>
      <c r="CP110" s="40" t="n">
        <f aca="false">-CP84</f>
        <v>-157.14307</v>
      </c>
      <c r="CQ110" s="40" t="n">
        <f aca="false">-CQ84</f>
        <v>-127.055686563</v>
      </c>
      <c r="CR110" s="40" t="n">
        <f aca="false">-CR84</f>
        <v>-136.193167195087</v>
      </c>
      <c r="CS110" s="40" t="n">
        <f aca="false">-CS84</f>
        <v>-146.405188693798</v>
      </c>
      <c r="CT110" s="40" t="n">
        <f aca="false">-CT84</f>
        <v>-157.273512420213</v>
      </c>
      <c r="CU110" s="24"/>
      <c r="CW110" s="6"/>
      <c r="CX110" s="6"/>
      <c r="CY110" s="6"/>
      <c r="CZ110" s="6"/>
    </row>
    <row r="111" customFormat="false" ht="15" hidden="false" customHeight="false" outlineLevel="0" collapsed="false">
      <c r="B111" s="28" t="s">
        <v>230</v>
      </c>
      <c r="C111" s="39" t="n">
        <f aca="false">C88</f>
        <v>61.862</v>
      </c>
      <c r="D111" s="39" t="n">
        <f aca="false">D88</f>
        <v>81.083</v>
      </c>
      <c r="E111" s="39" t="n">
        <f aca="false">E88</f>
        <v>92.718</v>
      </c>
      <c r="F111" s="39" t="n">
        <f aca="false">F88</f>
        <v>88.186</v>
      </c>
      <c r="G111" s="39" t="n">
        <f aca="false">G88</f>
        <v>87.868</v>
      </c>
      <c r="H111" s="39" t="n">
        <f aca="false">H88</f>
        <v>97.502</v>
      </c>
      <c r="I111" s="39" t="n">
        <f aca="false">I88</f>
        <v>95.937</v>
      </c>
      <c r="J111" s="39" t="n">
        <f aca="false">J88</f>
        <v>25.743</v>
      </c>
      <c r="K111" s="39" t="n">
        <f aca="false">K88</f>
        <v>21.477</v>
      </c>
      <c r="L111" s="39" t="n">
        <f aca="false">L88</f>
        <v>47.22</v>
      </c>
      <c r="M111" s="39" t="n">
        <f aca="false">M88</f>
        <v>28.769</v>
      </c>
      <c r="N111" s="39" t="n">
        <f aca="false">N88</f>
        <v>20.858</v>
      </c>
      <c r="O111" s="39" t="n">
        <f aca="false">O88</f>
        <v>96.847</v>
      </c>
      <c r="P111" s="39" t="n">
        <f aca="false">P88</f>
        <v>22.823</v>
      </c>
      <c r="Q111" s="39" t="n">
        <f aca="false">Q88</f>
        <v>25.243</v>
      </c>
      <c r="R111" s="39" t="n">
        <f aca="false">R88</f>
        <v>48.066</v>
      </c>
      <c r="S111" s="39" t="n">
        <f aca="false">S88</f>
        <v>20.441</v>
      </c>
      <c r="T111" s="39" t="n">
        <f aca="false">T88</f>
        <v>22.841</v>
      </c>
      <c r="U111" s="39" t="n">
        <f aca="false">U88</f>
        <v>91.348</v>
      </c>
      <c r="V111" s="39" t="n">
        <f aca="false">V88</f>
        <v>29.608</v>
      </c>
      <c r="W111" s="39" t="n">
        <f aca="false">W88</f>
        <v>27.911</v>
      </c>
      <c r="X111" s="39" t="n">
        <f aca="false">X88</f>
        <v>57.519</v>
      </c>
      <c r="Y111" s="39" t="n">
        <f aca="false">Y88</f>
        <v>30.733</v>
      </c>
      <c r="Z111" s="39" t="n">
        <f aca="false">Z88</f>
        <v>24.034</v>
      </c>
      <c r="AA111" s="39" t="n">
        <f aca="false">AA88</f>
        <v>112.286</v>
      </c>
      <c r="AB111" s="39" t="n">
        <f aca="false">AB88</f>
        <v>29.15</v>
      </c>
      <c r="AC111" s="39" t="n">
        <f aca="false">AC88</f>
        <v>32.548</v>
      </c>
      <c r="AD111" s="39" t="n">
        <f aca="false">AD88</f>
        <v>61.698</v>
      </c>
      <c r="AE111" s="39" t="n">
        <f aca="false">AE88</f>
        <v>41.944</v>
      </c>
      <c r="AF111" s="39" t="n">
        <f aca="false">AF88</f>
        <v>21.863</v>
      </c>
      <c r="AG111" s="39" t="n">
        <f aca="false">AG88</f>
        <v>125.505</v>
      </c>
      <c r="AH111" s="39" t="n">
        <f aca="false">AH88</f>
        <v>-64.746</v>
      </c>
      <c r="AI111" s="39" t="n">
        <f aca="false">AI88</f>
        <v>34.033</v>
      </c>
      <c r="AJ111" s="39" t="n">
        <f aca="false">AJ88</f>
        <v>-30.713</v>
      </c>
      <c r="AK111" s="39" t="n">
        <f aca="false">AK88</f>
        <v>40.542</v>
      </c>
      <c r="AL111" s="39" t="n">
        <f aca="false">AL88</f>
        <v>36.01</v>
      </c>
      <c r="AM111" s="39" t="n">
        <f aca="false">AM88</f>
        <v>45.839</v>
      </c>
      <c r="AN111" s="39" t="n">
        <f aca="false">AN88</f>
        <v>36.568</v>
      </c>
      <c r="AO111" s="39" t="n">
        <f aca="false">AO88</f>
        <v>41.137</v>
      </c>
      <c r="AP111" s="39" t="n">
        <f aca="false">AP88</f>
        <v>77.705</v>
      </c>
      <c r="AQ111" s="39" t="n">
        <f aca="false">AQ88</f>
        <v>43.811</v>
      </c>
      <c r="AR111" s="39" t="n">
        <f aca="false">AR88</f>
        <v>22.988</v>
      </c>
      <c r="AS111" s="39" t="n">
        <f aca="false">AS88</f>
        <v>144.504</v>
      </c>
      <c r="AT111" s="39" t="n">
        <f aca="false">AT88</f>
        <v>34.703</v>
      </c>
      <c r="AU111" s="39" t="n">
        <f aca="false">AU88</f>
        <v>33.593</v>
      </c>
      <c r="AV111" s="39" t="n">
        <f aca="false">AV88</f>
        <v>68.296</v>
      </c>
      <c r="AW111" s="39" t="n">
        <f aca="false">AW88</f>
        <v>11.388</v>
      </c>
      <c r="AX111" s="39" t="n">
        <f aca="false">AX88</f>
        <v>33.574</v>
      </c>
      <c r="AY111" s="39" t="n">
        <f aca="false">AY88</f>
        <v>113.258</v>
      </c>
      <c r="AZ111" s="39" t="n">
        <f aca="false">AZ88</f>
        <v>-16.098</v>
      </c>
      <c r="BA111" s="39" t="n">
        <f aca="false">BA88</f>
        <v>36.367</v>
      </c>
      <c r="BB111" s="39" t="n">
        <f aca="false">BB88</f>
        <v>20.269</v>
      </c>
      <c r="BC111" s="39" t="n">
        <f aca="false">BC88</f>
        <v>44.313</v>
      </c>
      <c r="BD111" s="39" t="n">
        <f aca="false">BD88</f>
        <v>36.35</v>
      </c>
      <c r="BE111" s="39" t="n">
        <f aca="false">BE88</f>
        <v>100.932</v>
      </c>
      <c r="BF111" s="39" t="n">
        <f aca="false">BF88</f>
        <v>46.53</v>
      </c>
      <c r="BG111" s="39" t="n">
        <f aca="false">BG88</f>
        <v>59.012</v>
      </c>
      <c r="BH111" s="39" t="n">
        <f aca="false">BH88</f>
        <v>105.542</v>
      </c>
      <c r="BI111" s="39" t="n">
        <f aca="false">BI88</f>
        <v>36.739</v>
      </c>
      <c r="BJ111" s="39" t="n">
        <f aca="false">BJ88</f>
        <v>43.07</v>
      </c>
      <c r="BK111" s="39" t="n">
        <f aca="false">BK88</f>
        <v>185.351</v>
      </c>
      <c r="BL111" s="39" t="n">
        <f aca="false">BL88</f>
        <v>65.463</v>
      </c>
      <c r="BM111" s="39" t="n">
        <f aca="false">BM88</f>
        <v>54.643</v>
      </c>
      <c r="BN111" s="39" t="n">
        <f aca="false">BN88</f>
        <v>120.106</v>
      </c>
      <c r="BO111" s="39" t="n">
        <f aca="false">BO88</f>
        <v>90.985</v>
      </c>
      <c r="BP111" s="39" t="n">
        <f aca="false">BP88</f>
        <v>39.733</v>
      </c>
      <c r="BQ111" s="39" t="n">
        <f aca="false">BQ88</f>
        <v>250.824</v>
      </c>
      <c r="BR111" s="39" t="n">
        <f aca="false">BR88</f>
        <v>67.255</v>
      </c>
      <c r="BS111" s="39" t="n">
        <f aca="false">BS88</f>
        <v>83.426</v>
      </c>
      <c r="BT111" s="39" t="n">
        <f aca="false">BT88</f>
        <v>150.681</v>
      </c>
      <c r="BU111" s="39" t="n">
        <f aca="false">BU88</f>
        <v>89.999</v>
      </c>
      <c r="BV111" s="39" t="n">
        <f aca="false">BV88</f>
        <v>75.907</v>
      </c>
      <c r="BW111" s="39" t="n">
        <f aca="false">BW88</f>
        <v>316.587</v>
      </c>
      <c r="BX111" s="39" t="n">
        <f aca="false">BX88</f>
        <v>90.777</v>
      </c>
      <c r="BY111" s="39" t="n">
        <f aca="false">BY88</f>
        <v>85.226</v>
      </c>
      <c r="BZ111" s="39" t="n">
        <f aca="false">BZ88</f>
        <v>176.003</v>
      </c>
      <c r="CA111" s="39" t="n">
        <f aca="false">CA88</f>
        <v>90.002</v>
      </c>
      <c r="CB111" s="39" t="n">
        <f aca="false">CB88</f>
        <v>86.249</v>
      </c>
      <c r="CC111" s="39" t="n">
        <f aca="false">CC88</f>
        <v>352.254</v>
      </c>
      <c r="CD111" s="39" t="n">
        <f aca="false">CD88</f>
        <v>90.142</v>
      </c>
      <c r="CE111" s="39" t="n">
        <f aca="false">CE88</f>
        <v>76.51</v>
      </c>
      <c r="CF111" s="39" t="n">
        <f aca="false">CF88</f>
        <v>166.652</v>
      </c>
      <c r="CG111" s="39" t="n">
        <f aca="false">CG88</f>
        <v>97.466</v>
      </c>
      <c r="CH111" s="39" t="n">
        <f aca="false">CH88</f>
        <v>83.1</v>
      </c>
      <c r="CI111" s="39" t="n">
        <f aca="false">CI88</f>
        <v>347.218</v>
      </c>
      <c r="CJ111" s="39" t="n">
        <f aca="false">CJ88</f>
        <v>84.913</v>
      </c>
      <c r="CK111" s="39" t="n">
        <f aca="false">CK88</f>
        <v>91.082</v>
      </c>
      <c r="CL111" s="39" t="n">
        <f aca="false">CL88</f>
        <v>175.995</v>
      </c>
      <c r="CM111" s="39" t="n">
        <f aca="false">CM88</f>
        <v>100.701</v>
      </c>
      <c r="CN111" s="39" t="n">
        <f aca="false">CN88</f>
        <v>77.884</v>
      </c>
      <c r="CO111" s="39" t="n">
        <f aca="false">CO88</f>
        <v>354.58</v>
      </c>
      <c r="CP111" s="40" t="n">
        <f aca="false">CP88</f>
        <v>382.839156692125</v>
      </c>
      <c r="CQ111" s="40" t="n">
        <f aca="false">CQ88</f>
        <v>402.550033698785</v>
      </c>
      <c r="CR111" s="40" t="n">
        <f aca="false">CR88</f>
        <v>433.349352580894</v>
      </c>
      <c r="CS111" s="40" t="n">
        <f aca="false">CS88</f>
        <v>466.268506382596</v>
      </c>
      <c r="CT111" s="40" t="n">
        <f aca="false">CT88</f>
        <v>501.62054231222</v>
      </c>
      <c r="CU111" s="24"/>
      <c r="CW111" s="6"/>
      <c r="CX111" s="6"/>
      <c r="CY111" s="6"/>
      <c r="CZ111" s="6"/>
    </row>
    <row r="112" customFormat="false" ht="15" hidden="false" customHeight="false" outlineLevel="0" collapsed="false">
      <c r="B112" s="28" t="s">
        <v>231</v>
      </c>
      <c r="C112" s="39" t="n">
        <f aca="false">-C90</f>
        <v>15.713</v>
      </c>
      <c r="D112" s="39" t="n">
        <f aca="false">-D90</f>
        <v>-0</v>
      </c>
      <c r="E112" s="39" t="n">
        <f aca="false">-E90</f>
        <v>-0</v>
      </c>
      <c r="F112" s="39" t="n">
        <f aca="false">-F90</f>
        <v>-1.557</v>
      </c>
      <c r="G112" s="39" t="n">
        <f aca="false">-G90</f>
        <v>-0</v>
      </c>
      <c r="H112" s="39" t="n">
        <f aca="false">-H90</f>
        <v>-0</v>
      </c>
      <c r="I112" s="39" t="n">
        <f aca="false">-I90</f>
        <v>-0</v>
      </c>
      <c r="J112" s="39" t="n">
        <f aca="false">-J90</f>
        <v>-0</v>
      </c>
      <c r="K112" s="39" t="n">
        <f aca="false">-K90</f>
        <v>-0</v>
      </c>
      <c r="L112" s="39" t="n">
        <f aca="false">-L90</f>
        <v>-0</v>
      </c>
      <c r="M112" s="39" t="n">
        <f aca="false">-M90</f>
        <v>-0</v>
      </c>
      <c r="N112" s="39" t="n">
        <f aca="false">-N90</f>
        <v>-0</v>
      </c>
      <c r="O112" s="39" t="n">
        <f aca="false">-O90</f>
        <v>-0</v>
      </c>
      <c r="P112" s="39" t="n">
        <f aca="false">-P90</f>
        <v>-0</v>
      </c>
      <c r="Q112" s="39" t="n">
        <f aca="false">-Q90</f>
        <v>-0</v>
      </c>
      <c r="R112" s="39" t="n">
        <f aca="false">-R90</f>
        <v>-0</v>
      </c>
      <c r="S112" s="39" t="n">
        <f aca="false">-S90</f>
        <v>-0</v>
      </c>
      <c r="T112" s="39" t="n">
        <f aca="false">-T90</f>
        <v>-0</v>
      </c>
      <c r="U112" s="39" t="n">
        <f aca="false">-U90</f>
        <v>-0</v>
      </c>
      <c r="V112" s="39" t="n">
        <f aca="false">-V90</f>
        <v>-0</v>
      </c>
      <c r="W112" s="39" t="n">
        <f aca="false">-W90</f>
        <v>-0</v>
      </c>
      <c r="X112" s="39" t="n">
        <f aca="false">-X90</f>
        <v>-0</v>
      </c>
      <c r="Y112" s="39" t="n">
        <f aca="false">-Y90</f>
        <v>-0</v>
      </c>
      <c r="Z112" s="39" t="n">
        <f aca="false">-Z90</f>
        <v>-0</v>
      </c>
      <c r="AA112" s="39" t="n">
        <f aca="false">-AA90</f>
        <v>-0</v>
      </c>
      <c r="AB112" s="39" t="n">
        <f aca="false">-AB90</f>
        <v>-0</v>
      </c>
      <c r="AC112" s="39" t="n">
        <f aca="false">-AC90</f>
        <v>-0.003</v>
      </c>
      <c r="AD112" s="39" t="n">
        <f aca="false">-AD90</f>
        <v>-0.003</v>
      </c>
      <c r="AE112" s="39" t="n">
        <f aca="false">-AE90</f>
        <v>0.001</v>
      </c>
      <c r="AF112" s="39" t="n">
        <f aca="false">-AF90</f>
        <v>0.002</v>
      </c>
      <c r="AG112" s="39" t="n">
        <f aca="false">-AG90</f>
        <v>-0</v>
      </c>
      <c r="AH112" s="39" t="n">
        <f aca="false">-AH90</f>
        <v>-0</v>
      </c>
      <c r="AI112" s="39" t="n">
        <f aca="false">-AI90</f>
        <v>-0</v>
      </c>
      <c r="AJ112" s="39" t="n">
        <f aca="false">-AJ90</f>
        <v>-0</v>
      </c>
      <c r="AK112" s="39" t="n">
        <f aca="false">-AK90</f>
        <v>-0</v>
      </c>
      <c r="AL112" s="39" t="n">
        <f aca="false">-AL90</f>
        <v>-0</v>
      </c>
      <c r="AM112" s="39" t="n">
        <f aca="false">-AM90</f>
        <v>-0</v>
      </c>
      <c r="AN112" s="39" t="n">
        <f aca="false">-AN90</f>
        <v>-0</v>
      </c>
      <c r="AO112" s="39" t="n">
        <f aca="false">-AO90</f>
        <v>-0</v>
      </c>
      <c r="AP112" s="39" t="n">
        <f aca="false">-AP90</f>
        <v>-0</v>
      </c>
      <c r="AQ112" s="39" t="n">
        <f aca="false">-AQ90</f>
        <v>-0</v>
      </c>
      <c r="AR112" s="39" t="n">
        <f aca="false">-AR90</f>
        <v>-0</v>
      </c>
      <c r="AS112" s="39" t="n">
        <f aca="false">-AS90</f>
        <v>-0</v>
      </c>
      <c r="AT112" s="39" t="n">
        <f aca="false">-AT90</f>
        <v>-0</v>
      </c>
      <c r="AU112" s="39" t="n">
        <f aca="false">-AU90</f>
        <v>-0</v>
      </c>
      <c r="AV112" s="39" t="n">
        <f aca="false">-AV90</f>
        <v>-0</v>
      </c>
      <c r="AW112" s="39" t="n">
        <f aca="false">-AW90</f>
        <v>-0</v>
      </c>
      <c r="AX112" s="39" t="n">
        <f aca="false">-AX90</f>
        <v>-0</v>
      </c>
      <c r="AY112" s="39" t="n">
        <f aca="false">-AY90</f>
        <v>-0</v>
      </c>
      <c r="AZ112" s="39" t="n">
        <f aca="false">-AZ90</f>
        <v>-0</v>
      </c>
      <c r="BA112" s="39" t="n">
        <f aca="false">-BA90</f>
        <v>-0</v>
      </c>
      <c r="BB112" s="39" t="n">
        <f aca="false">-BB90</f>
        <v>-0</v>
      </c>
      <c r="BC112" s="39" t="n">
        <f aca="false">-BC90</f>
        <v>-0</v>
      </c>
      <c r="BD112" s="39" t="n">
        <f aca="false">-BD90</f>
        <v>-0</v>
      </c>
      <c r="BE112" s="39" t="n">
        <f aca="false">-BE90</f>
        <v>-0</v>
      </c>
      <c r="BF112" s="39" t="n">
        <f aca="false">-BF90</f>
        <v>-0</v>
      </c>
      <c r="BG112" s="39" t="n">
        <f aca="false">-BG90</f>
        <v>-0</v>
      </c>
      <c r="BH112" s="39" t="n">
        <f aca="false">-BH90</f>
        <v>-0</v>
      </c>
      <c r="BI112" s="39" t="n">
        <f aca="false">-BI90</f>
        <v>-0</v>
      </c>
      <c r="BJ112" s="39" t="n">
        <f aca="false">-BJ90</f>
        <v>-0</v>
      </c>
      <c r="BK112" s="39" t="n">
        <f aca="false">-BK90</f>
        <v>-0</v>
      </c>
      <c r="BL112" s="39" t="n">
        <f aca="false">-BL90</f>
        <v>-0</v>
      </c>
      <c r="BM112" s="39" t="n">
        <f aca="false">-BM90</f>
        <v>-0</v>
      </c>
      <c r="BN112" s="39" t="n">
        <f aca="false">-BN90</f>
        <v>-0</v>
      </c>
      <c r="BO112" s="39" t="n">
        <f aca="false">-BO90</f>
        <v>-0</v>
      </c>
      <c r="BP112" s="39" t="n">
        <f aca="false">-BP90</f>
        <v>-0</v>
      </c>
      <c r="BQ112" s="39" t="n">
        <f aca="false">-BQ90</f>
        <v>-0</v>
      </c>
      <c r="BR112" s="39" t="n">
        <f aca="false">-BR90</f>
        <v>-0</v>
      </c>
      <c r="BS112" s="39" t="n">
        <f aca="false">-BS90</f>
        <v>-0</v>
      </c>
      <c r="BT112" s="39" t="n">
        <f aca="false">-BT90</f>
        <v>-0</v>
      </c>
      <c r="BU112" s="39" t="n">
        <f aca="false">-BU90</f>
        <v>-0</v>
      </c>
      <c r="BV112" s="39" t="n">
        <f aca="false">-BV90</f>
        <v>-0</v>
      </c>
      <c r="BW112" s="39" t="n">
        <f aca="false">-BW90</f>
        <v>-0</v>
      </c>
      <c r="BX112" s="39" t="n">
        <f aca="false">-BX90</f>
        <v>-0</v>
      </c>
      <c r="BY112" s="39" t="n">
        <f aca="false">-BY90</f>
        <v>-0</v>
      </c>
      <c r="BZ112" s="39" t="n">
        <f aca="false">-BZ90</f>
        <v>-0</v>
      </c>
      <c r="CA112" s="39" t="n">
        <f aca="false">-CA90</f>
        <v>-0</v>
      </c>
      <c r="CB112" s="39" t="n">
        <f aca="false">-CB90</f>
        <v>-0</v>
      </c>
      <c r="CC112" s="39" t="n">
        <f aca="false">-CC90</f>
        <v>-0</v>
      </c>
      <c r="CD112" s="39" t="n">
        <f aca="false">-CD90</f>
        <v>-0</v>
      </c>
      <c r="CE112" s="39" t="n">
        <f aca="false">-CE90</f>
        <v>-0</v>
      </c>
      <c r="CF112" s="39" t="n">
        <f aca="false">-CF90</f>
        <v>-0</v>
      </c>
      <c r="CG112" s="39" t="n">
        <f aca="false">-CG90</f>
        <v>-0</v>
      </c>
      <c r="CH112" s="39" t="n">
        <f aca="false">-CH90</f>
        <v>-0</v>
      </c>
      <c r="CI112" s="39" t="n">
        <f aca="false">-CI90</f>
        <v>-0</v>
      </c>
      <c r="CJ112" s="39" t="n">
        <f aca="false">-CJ90</f>
        <v>-0</v>
      </c>
      <c r="CK112" s="39" t="n">
        <f aca="false">-CK90</f>
        <v>-0</v>
      </c>
      <c r="CL112" s="39" t="n">
        <f aca="false">-CL90</f>
        <v>-0</v>
      </c>
      <c r="CM112" s="39" t="n">
        <f aca="false">-CM90</f>
        <v>-0</v>
      </c>
      <c r="CN112" s="39" t="n">
        <f aca="false">-CN90</f>
        <v>-0</v>
      </c>
      <c r="CO112" s="39" t="n">
        <f aca="false">-CO90</f>
        <v>-0</v>
      </c>
      <c r="CP112" s="40" t="n">
        <f aca="false">-CP90</f>
        <v>-0</v>
      </c>
      <c r="CQ112" s="40" t="n">
        <f aca="false">-CQ90</f>
        <v>-0</v>
      </c>
      <c r="CR112" s="40" t="n">
        <f aca="false">-CR90</f>
        <v>-0</v>
      </c>
      <c r="CS112" s="40" t="n">
        <f aca="false">-CS90</f>
        <v>-0</v>
      </c>
      <c r="CT112" s="40" t="n">
        <f aca="false">-CT90</f>
        <v>-0</v>
      </c>
      <c r="CU112" s="24"/>
      <c r="CW112" s="6"/>
      <c r="CX112" s="6"/>
      <c r="CY112" s="6"/>
      <c r="CZ112" s="6"/>
    </row>
    <row r="113" customFormat="false" ht="15" hidden="false" customHeight="false" outlineLevel="0" collapsed="false">
      <c r="B113" s="41" t="s">
        <v>232</v>
      </c>
      <c r="C113" s="42" t="n">
        <f aca="false">SUM(C107:C112)</f>
        <v>197.868</v>
      </c>
      <c r="D113" s="42" t="n">
        <f aca="false">SUM(D107:D112)</f>
        <v>240.866</v>
      </c>
      <c r="E113" s="42" t="n">
        <f aca="false">SUM(E107:E112)</f>
        <v>284.902</v>
      </c>
      <c r="F113" s="42" t="n">
        <f aca="false">SUM(F107:F112)</f>
        <v>267.668</v>
      </c>
      <c r="G113" s="42" t="n">
        <f aca="false">SUM(G107:G112)</f>
        <v>282.748</v>
      </c>
      <c r="H113" s="42" t="n">
        <f aca="false">SUM(H107:H112)</f>
        <v>313.156</v>
      </c>
      <c r="I113" s="42" t="n">
        <f aca="false">SUM(I107:I112)</f>
        <v>337.207</v>
      </c>
      <c r="J113" s="21" t="n">
        <f aca="false">SUM(J107:J112)</f>
        <v>86.903</v>
      </c>
      <c r="K113" s="21" t="n">
        <f aca="false">SUM(K107:K112)</f>
        <v>78.126</v>
      </c>
      <c r="L113" s="21" t="n">
        <f aca="false">SUM(L107:L112)</f>
        <v>165.029</v>
      </c>
      <c r="M113" s="21" t="n">
        <f aca="false">SUM(M107:M112)</f>
        <v>99.2020000000001</v>
      </c>
      <c r="N113" s="21" t="n">
        <f aca="false">SUM(N107:N112)</f>
        <v>78.998</v>
      </c>
      <c r="O113" s="42" t="n">
        <f aca="false">SUM(O107:O112)</f>
        <v>343.229</v>
      </c>
      <c r="P113" s="21" t="n">
        <f aca="false">SUM(P107:P112)</f>
        <v>80.886</v>
      </c>
      <c r="Q113" s="21" t="n">
        <f aca="false">SUM(Q107:Q112)</f>
        <v>85.73</v>
      </c>
      <c r="R113" s="21" t="n">
        <f aca="false">SUM(R107:R112)</f>
        <v>166.616</v>
      </c>
      <c r="S113" s="21" t="n">
        <f aca="false">SUM(S107:S112)</f>
        <v>76.11</v>
      </c>
      <c r="T113" s="21" t="n">
        <f aca="false">SUM(T107:T112)</f>
        <v>89.312</v>
      </c>
      <c r="U113" s="42" t="n">
        <f aca="false">SUM(U107:U112)</f>
        <v>332.038</v>
      </c>
      <c r="V113" s="21" t="n">
        <f aca="false">SUM(V107:V112)</f>
        <v>97.961</v>
      </c>
      <c r="W113" s="21" t="n">
        <f aca="false">SUM(W107:W112)</f>
        <v>96.0090000000001</v>
      </c>
      <c r="X113" s="21" t="n">
        <f aca="false">SUM(X107:X112)</f>
        <v>193.97</v>
      </c>
      <c r="Y113" s="21" t="n">
        <f aca="false">SUM(Y107:Y112)</f>
        <v>106.164</v>
      </c>
      <c r="Z113" s="21" t="n">
        <f aca="false">SUM(Z107:Z112)</f>
        <v>95.812</v>
      </c>
      <c r="AA113" s="42" t="n">
        <f aca="false">SUM(AA107:AA112)</f>
        <v>395.946</v>
      </c>
      <c r="AB113" s="21" t="n">
        <f aca="false">SUM(AB107:AB112)</f>
        <v>98.794</v>
      </c>
      <c r="AC113" s="21" t="n">
        <f aca="false">SUM(AC107:AC112)</f>
        <v>108.211</v>
      </c>
      <c r="AD113" s="21" t="n">
        <f aca="false">SUM(AD107:AD112)</f>
        <v>207.005</v>
      </c>
      <c r="AE113" s="21" t="n">
        <f aca="false">SUM(AE107:AE112)</f>
        <v>134.345</v>
      </c>
      <c r="AF113" s="21" t="n">
        <f aca="false">SUM(AF107:AF112)</f>
        <v>125.247</v>
      </c>
      <c r="AG113" s="42" t="n">
        <f aca="false">SUM(AG107:AG112)</f>
        <v>466.597</v>
      </c>
      <c r="AH113" s="21" t="n">
        <f aca="false">SUM(AH107:AH112)</f>
        <v>122.865</v>
      </c>
      <c r="AI113" s="21" t="n">
        <f aca="false">SUM(AI107:AI112)</f>
        <v>121.074</v>
      </c>
      <c r="AJ113" s="21" t="n">
        <f aca="false">SUM(AJ107:AJ112)</f>
        <v>243.939</v>
      </c>
      <c r="AK113" s="21" t="n">
        <f aca="false">SUM(AK107:AK112)</f>
        <v>149.802</v>
      </c>
      <c r="AL113" s="21" t="n">
        <f aca="false">SUM(AL107:AL112)</f>
        <v>125.732</v>
      </c>
      <c r="AM113" s="42" t="n">
        <f aca="false">SUM(AM107:AM112)</f>
        <v>519.473</v>
      </c>
      <c r="AN113" s="21" t="n">
        <f aca="false">SUM(AN107:AN112)</f>
        <v>135.428</v>
      </c>
      <c r="AO113" s="21" t="n">
        <f aca="false">SUM(AO107:AO112)</f>
        <v>167.87</v>
      </c>
      <c r="AP113" s="21" t="n">
        <f aca="false">SUM(AP107:AP112)</f>
        <v>303.298</v>
      </c>
      <c r="AQ113" s="21" t="n">
        <f aca="false">SUM(AQ107:AQ112)</f>
        <v>191.923</v>
      </c>
      <c r="AR113" s="21" t="n">
        <f aca="false">SUM(AR107:AR112)</f>
        <v>164.963</v>
      </c>
      <c r="AS113" s="42" t="n">
        <f aca="false">SUM(AS107:AS112)</f>
        <v>660.184</v>
      </c>
      <c r="AT113" s="21" t="n">
        <f aca="false">SUM(AT107:AT112)</f>
        <v>174.346</v>
      </c>
      <c r="AU113" s="21" t="n">
        <f aca="false">SUM(AU107:AU112)</f>
        <v>189.92</v>
      </c>
      <c r="AV113" s="21" t="n">
        <f aca="false">SUM(AV107:AV112)</f>
        <v>364.266</v>
      </c>
      <c r="AW113" s="21" t="n">
        <f aca="false">SUM(AW107:AW112)</f>
        <v>230.325</v>
      </c>
      <c r="AX113" s="21" t="n">
        <f aca="false">SUM(AX107:AX112)</f>
        <v>212.84</v>
      </c>
      <c r="AY113" s="42" t="n">
        <f aca="false">SUM(AY107:AY112)</f>
        <v>807.431</v>
      </c>
      <c r="AZ113" s="21" t="n">
        <f aca="false">SUM(AZ107:AZ112)</f>
        <v>229.122</v>
      </c>
      <c r="BA113" s="21" t="n">
        <f aca="false">SUM(BA107:BA112)</f>
        <v>233.82</v>
      </c>
      <c r="BB113" s="21" t="n">
        <f aca="false">SUM(BB107:BB112)</f>
        <v>462.942</v>
      </c>
      <c r="BC113" s="21" t="n">
        <f aca="false">SUM(BC107:BC112)</f>
        <v>224.093</v>
      </c>
      <c r="BD113" s="21" t="n">
        <f aca="false">SUM(BD107:BD112)</f>
        <v>234.065</v>
      </c>
      <c r="BE113" s="42" t="n">
        <f aca="false">SUM(BE107:BE112)</f>
        <v>921.1</v>
      </c>
      <c r="BF113" s="21" t="n">
        <f aca="false">SUM(BF107:BF112)</f>
        <v>280.796</v>
      </c>
      <c r="BG113" s="21" t="n">
        <f aca="false">SUM(BG107:BG112)</f>
        <v>288.693</v>
      </c>
      <c r="BH113" s="21" t="n">
        <f aca="false">SUM(BH107:BH112)</f>
        <v>569.489</v>
      </c>
      <c r="BI113" s="21" t="n">
        <f aca="false">SUM(BI107:BI112)</f>
        <v>360.847</v>
      </c>
      <c r="BJ113" s="21" t="n">
        <f aca="false">SUM(BJ107:BJ112)</f>
        <v>333.728</v>
      </c>
      <c r="BK113" s="42" t="n">
        <f aca="false">SUM(BK107:BK112)</f>
        <v>1264.064</v>
      </c>
      <c r="BL113" s="21" t="n">
        <f aca="false">SUM(BL107:BL112)</f>
        <v>362.693</v>
      </c>
      <c r="BM113" s="21" t="n">
        <f aca="false">SUM(BM107:BM112)</f>
        <v>379.791</v>
      </c>
      <c r="BN113" s="21" t="n">
        <f aca="false">SUM(BN107:BN112)</f>
        <v>742.484</v>
      </c>
      <c r="BO113" s="21" t="n">
        <f aca="false">SUM(BO107:BO112)</f>
        <v>410.676</v>
      </c>
      <c r="BP113" s="21" t="n">
        <f aca="false">SUM(BP107:BP112)</f>
        <v>342.457</v>
      </c>
      <c r="BQ113" s="42" t="n">
        <f aca="false">SUM(BQ107:BQ112)</f>
        <v>1495.627</v>
      </c>
      <c r="BR113" s="21" t="n">
        <f aca="false">SUM(BR107:BR112)</f>
        <v>347.739</v>
      </c>
      <c r="BS113" s="21" t="n">
        <f aca="false">SUM(BS107:BS112)</f>
        <v>401.037</v>
      </c>
      <c r="BT113" s="21" t="n">
        <f aca="false">SUM(BT107:BT112)</f>
        <v>748.776</v>
      </c>
      <c r="BU113" s="21" t="n">
        <f aca="false">SUM(BU107:BU112)</f>
        <v>459.923</v>
      </c>
      <c r="BV113" s="21" t="n">
        <f aca="false">SUM(BV107:BV112)</f>
        <v>439.179</v>
      </c>
      <c r="BW113" s="42" t="n">
        <f aca="false">SUM(BW107:BW112)</f>
        <v>1647.878</v>
      </c>
      <c r="BX113" s="21" t="n">
        <f aca="false">SUM(BX107:BX112)</f>
        <v>434.468</v>
      </c>
      <c r="BY113" s="21" t="n">
        <f aca="false">SUM(BY107:BY112)</f>
        <v>422.059</v>
      </c>
      <c r="BZ113" s="21" t="n">
        <f aca="false">SUM(BZ107:BZ112)</f>
        <v>856.527</v>
      </c>
      <c r="CA113" s="21" t="n">
        <f aca="false">SUM(CA107:CA112)</f>
        <v>486.627</v>
      </c>
      <c r="CB113" s="21" t="n">
        <f aca="false">SUM(CB107:CB112)</f>
        <v>415.536</v>
      </c>
      <c r="CC113" s="42" t="n">
        <f aca="false">SUM(CC107:CC112)</f>
        <v>1758.689</v>
      </c>
      <c r="CD113" s="21" t="n">
        <f aca="false">SUM(CD107:CD112)</f>
        <v>459.398</v>
      </c>
      <c r="CE113" s="21" t="n">
        <f aca="false">SUM(CE107:CE112)</f>
        <v>476.503</v>
      </c>
      <c r="CF113" s="21" t="n">
        <f aca="false">SUM(CF107:CF112)</f>
        <v>935.901</v>
      </c>
      <c r="CG113" s="21" t="n">
        <f aca="false">SUM(CG107:CG112)</f>
        <v>514.444</v>
      </c>
      <c r="CH113" s="21" t="n">
        <f aca="false">SUM(CH107:CH112)</f>
        <v>482.176</v>
      </c>
      <c r="CI113" s="42" t="n">
        <f aca="false">SUM(CI107:CI112)</f>
        <v>1932.521</v>
      </c>
      <c r="CJ113" s="21" t="n">
        <f aca="false">SUM(CJ107:CJ112)</f>
        <v>487.66</v>
      </c>
      <c r="CK113" s="21" t="n">
        <f aca="false">SUM(CK107:CK112)</f>
        <v>446.449</v>
      </c>
      <c r="CL113" s="21" t="n">
        <f aca="false">SUM(CL107:CL112)</f>
        <v>934.109</v>
      </c>
      <c r="CM113" s="21" t="n">
        <f aca="false">SUM(CM107:CM112)</f>
        <v>522.264</v>
      </c>
      <c r="CN113" s="21" t="n">
        <f aca="false">SUM(CN107:CN112)</f>
        <v>426.054</v>
      </c>
      <c r="CO113" s="42" t="n">
        <f aca="false">SUM(CO107:CO112)</f>
        <v>1882.427</v>
      </c>
      <c r="CP113" s="42" t="n">
        <f aca="false">SUM(CP107:CP112)</f>
        <v>1954.7028702</v>
      </c>
      <c r="CQ113" s="42" t="n">
        <f aca="false">SUM(CQ107:CQ112)</f>
        <v>2095.27949530903</v>
      </c>
      <c r="CR113" s="42" t="n">
        <f aca="false">SUM(CR107:CR112)</f>
        <v>2252.38751836612</v>
      </c>
      <c r="CS113" s="42" t="n">
        <f aca="false">SUM(CS107:CS112)</f>
        <v>2419.5924987725</v>
      </c>
      <c r="CT113" s="42" t="n">
        <f aca="false">SUM(CT107:CT112)</f>
        <v>2599.06893014835</v>
      </c>
      <c r="CU113" s="24"/>
      <c r="CW113" s="25" t="n">
        <f aca="false">IFERROR((CT113/CO113)^(1/5)-1,"n/m")</f>
        <v>0.0666450710871882</v>
      </c>
      <c r="CX113" s="25" t="n">
        <f aca="false">IFERROR((CO113/BK113)^(1/5)-1,"n/m")</f>
        <v>0.082903646369614</v>
      </c>
      <c r="CY113" s="25" t="n">
        <f aca="false">IFERROR((CO113/AG113)^(1/10)-1,"n/m")</f>
        <v>0.149681704147373</v>
      </c>
      <c r="CZ113" s="25" t="n">
        <f aca="false">IFERROR((CO113/C113)^(1/20)-1,"n/m")</f>
        <v>0.119224295387914</v>
      </c>
    </row>
    <row r="114" customFormat="false" ht="15" hidden="false" customHeight="false" outlineLevel="0" collapsed="false">
      <c r="B114" s="52" t="s">
        <v>233</v>
      </c>
      <c r="C114" s="50"/>
      <c r="D114" s="50"/>
      <c r="E114" s="50"/>
      <c r="F114" s="50"/>
      <c r="G114" s="50"/>
      <c r="H114" s="50"/>
      <c r="I114" s="50"/>
      <c r="J114" s="50"/>
      <c r="K114" s="50"/>
      <c r="L114" s="39"/>
      <c r="M114" s="50"/>
      <c r="N114" s="50"/>
      <c r="O114" s="50"/>
      <c r="P114" s="50"/>
      <c r="Q114" s="50"/>
      <c r="R114" s="39"/>
      <c r="S114" s="50"/>
      <c r="T114" s="50"/>
      <c r="U114" s="50"/>
      <c r="V114" s="50"/>
      <c r="W114" s="50"/>
      <c r="X114" s="39"/>
      <c r="Y114" s="50"/>
      <c r="Z114" s="50"/>
      <c r="AA114" s="50"/>
      <c r="AB114" s="50"/>
      <c r="AC114" s="50"/>
      <c r="AD114" s="39"/>
      <c r="AE114" s="50"/>
      <c r="AF114" s="50"/>
      <c r="AG114" s="50"/>
      <c r="AH114" s="50"/>
      <c r="AI114" s="50"/>
      <c r="AJ114" s="39"/>
      <c r="AK114" s="50"/>
      <c r="AL114" s="50"/>
      <c r="AM114" s="50"/>
      <c r="AN114" s="50"/>
      <c r="AO114" s="50"/>
      <c r="AP114" s="39"/>
      <c r="AQ114" s="50"/>
      <c r="AR114" s="50"/>
      <c r="AS114" s="50"/>
      <c r="AT114" s="50"/>
      <c r="AU114" s="50"/>
      <c r="AV114" s="39"/>
      <c r="AW114" s="50"/>
      <c r="AX114" s="50"/>
      <c r="AY114" s="50"/>
      <c r="AZ114" s="50"/>
      <c r="BA114" s="50"/>
      <c r="BB114" s="39"/>
      <c r="BC114" s="50"/>
      <c r="BD114" s="50"/>
      <c r="BE114" s="50"/>
      <c r="BF114" s="50"/>
      <c r="BG114" s="50"/>
      <c r="BH114" s="39"/>
      <c r="BI114" s="50"/>
      <c r="BJ114" s="50"/>
      <c r="BK114" s="50"/>
      <c r="BL114" s="50"/>
      <c r="BM114" s="50"/>
      <c r="BN114" s="39"/>
      <c r="BO114" s="50"/>
      <c r="BP114" s="50"/>
      <c r="BQ114" s="50"/>
      <c r="BR114" s="50"/>
      <c r="BS114" s="50"/>
      <c r="BT114" s="39"/>
      <c r="BU114" s="50"/>
      <c r="BV114" s="50"/>
      <c r="BW114" s="50"/>
      <c r="BX114" s="50"/>
      <c r="BY114" s="50"/>
      <c r="BZ114" s="39"/>
      <c r="CA114" s="50"/>
      <c r="CB114" s="50"/>
      <c r="CC114" s="50"/>
      <c r="CD114" s="50"/>
      <c r="CE114" s="50"/>
      <c r="CF114" s="39"/>
      <c r="CG114" s="50"/>
      <c r="CH114" s="50"/>
      <c r="CI114" s="50"/>
      <c r="CJ114" s="50"/>
      <c r="CK114" s="50"/>
      <c r="CL114" s="39"/>
      <c r="CM114" s="50"/>
      <c r="CN114" s="50"/>
      <c r="CO114" s="50"/>
      <c r="CP114" s="40"/>
      <c r="CQ114" s="40"/>
      <c r="CR114" s="40"/>
      <c r="CS114" s="40"/>
      <c r="CT114" s="40"/>
      <c r="CU114" s="24"/>
      <c r="CW114" s="6"/>
      <c r="CX114" s="6"/>
      <c r="CY114" s="6"/>
      <c r="CZ114" s="6"/>
    </row>
    <row r="115" customFormat="false" ht="15" hidden="false" customHeight="false" outlineLevel="0" collapsed="false">
      <c r="B115" s="28" t="s">
        <v>234</v>
      </c>
      <c r="C115" s="58" t="n">
        <v>0.38</v>
      </c>
      <c r="D115" s="58" t="n">
        <v>0.38</v>
      </c>
      <c r="E115" s="58" t="n">
        <v>0.38</v>
      </c>
      <c r="F115" s="58" t="n">
        <v>0.38</v>
      </c>
      <c r="G115" s="58" t="n">
        <v>0.38</v>
      </c>
      <c r="H115" s="58" t="n">
        <v>0.38</v>
      </c>
      <c r="I115" s="58" t="n">
        <v>0.38</v>
      </c>
      <c r="J115" s="58" t="n">
        <v>0.38</v>
      </c>
      <c r="K115" s="58" t="n">
        <v>0.38</v>
      </c>
      <c r="L115" s="58" t="n">
        <v>0.38</v>
      </c>
      <c r="M115" s="58" t="n">
        <v>0.38</v>
      </c>
      <c r="N115" s="58" t="n">
        <v>0.38</v>
      </c>
      <c r="O115" s="58" t="n">
        <v>0.38</v>
      </c>
      <c r="P115" s="58" t="n">
        <v>0.38</v>
      </c>
      <c r="Q115" s="58" t="n">
        <v>0.38</v>
      </c>
      <c r="R115" s="58" t="n">
        <v>0.38</v>
      </c>
      <c r="S115" s="58" t="n">
        <v>0.38</v>
      </c>
      <c r="T115" s="58" t="n">
        <v>0.38</v>
      </c>
      <c r="U115" s="58" t="n">
        <v>0.38</v>
      </c>
      <c r="V115" s="58" t="n">
        <v>0.38</v>
      </c>
      <c r="W115" s="58" t="n">
        <v>0.38</v>
      </c>
      <c r="X115" s="58" t="n">
        <v>0.38</v>
      </c>
      <c r="Y115" s="58" t="n">
        <v>0.38</v>
      </c>
      <c r="Z115" s="58" t="n">
        <v>0.38</v>
      </c>
      <c r="AA115" s="58" t="n">
        <v>0.38</v>
      </c>
      <c r="AB115" s="58" t="n">
        <v>0.38</v>
      </c>
      <c r="AC115" s="58" t="n">
        <v>0.38</v>
      </c>
      <c r="AD115" s="58" t="n">
        <v>0.38</v>
      </c>
      <c r="AE115" s="58" t="n">
        <v>0.38</v>
      </c>
      <c r="AF115" s="58" t="n">
        <v>0.38</v>
      </c>
      <c r="AG115" s="58" t="n">
        <v>0.38</v>
      </c>
      <c r="AH115" s="58" t="n">
        <v>0.38</v>
      </c>
      <c r="AI115" s="58" t="n">
        <v>0.38</v>
      </c>
      <c r="AJ115" s="58" t="n">
        <v>0.38</v>
      </c>
      <c r="AK115" s="58" t="n">
        <v>0.38</v>
      </c>
      <c r="AL115" s="58" t="n">
        <v>0.38</v>
      </c>
      <c r="AM115" s="58" t="n">
        <v>0.38</v>
      </c>
      <c r="AN115" s="58" t="n">
        <v>0.27</v>
      </c>
      <c r="AO115" s="58" t="n">
        <v>0.27</v>
      </c>
      <c r="AP115" s="58" t="n">
        <v>0.27</v>
      </c>
      <c r="AQ115" s="58" t="n">
        <v>0.27</v>
      </c>
      <c r="AR115" s="58" t="n">
        <v>0.27</v>
      </c>
      <c r="AS115" s="58" t="n">
        <v>0.27</v>
      </c>
      <c r="AT115" s="58" t="n">
        <v>0.25</v>
      </c>
      <c r="AU115" s="58" t="n">
        <v>0.25</v>
      </c>
      <c r="AV115" s="58" t="n">
        <v>0.25</v>
      </c>
      <c r="AW115" s="58" t="n">
        <v>0.25</v>
      </c>
      <c r="AX115" s="58" t="n">
        <v>0.25</v>
      </c>
      <c r="AY115" s="58" t="n">
        <v>0.25</v>
      </c>
      <c r="AZ115" s="58" t="n">
        <v>0.25</v>
      </c>
      <c r="BA115" s="58" t="n">
        <v>0.25</v>
      </c>
      <c r="BB115" s="58" t="n">
        <v>0.25</v>
      </c>
      <c r="BC115" s="58" t="n">
        <v>0.25</v>
      </c>
      <c r="BD115" s="58" t="n">
        <v>0.25</v>
      </c>
      <c r="BE115" s="58" t="n">
        <v>0.25</v>
      </c>
      <c r="BF115" s="58" t="n">
        <v>0.25</v>
      </c>
      <c r="BG115" s="58" t="n">
        <v>0.25</v>
      </c>
      <c r="BH115" s="58" t="n">
        <v>0.25</v>
      </c>
      <c r="BI115" s="58" t="n">
        <v>0.25</v>
      </c>
      <c r="BJ115" s="58" t="n">
        <v>0.25</v>
      </c>
      <c r="BK115" s="58" t="n">
        <v>0.25</v>
      </c>
      <c r="BL115" s="58" t="n">
        <v>0.25</v>
      </c>
      <c r="BM115" s="58" t="n">
        <v>0.25</v>
      </c>
      <c r="BN115" s="58" t="n">
        <v>0.25</v>
      </c>
      <c r="BO115" s="58" t="n">
        <v>0.25</v>
      </c>
      <c r="BP115" s="58" t="n">
        <v>0.25</v>
      </c>
      <c r="BQ115" s="58" t="n">
        <v>0.25</v>
      </c>
      <c r="BR115" s="58" t="n">
        <v>0.25</v>
      </c>
      <c r="BS115" s="58" t="n">
        <v>0.25</v>
      </c>
      <c r="BT115" s="58" t="n">
        <v>0.25</v>
      </c>
      <c r="BU115" s="58" t="n">
        <v>0.25</v>
      </c>
      <c r="BV115" s="58" t="n">
        <v>0.25</v>
      </c>
      <c r="BW115" s="58" t="n">
        <v>0.25</v>
      </c>
      <c r="BX115" s="58" t="n">
        <v>0.25</v>
      </c>
      <c r="BY115" s="58" t="n">
        <v>0.25</v>
      </c>
      <c r="BZ115" s="58" t="n">
        <v>0.25</v>
      </c>
      <c r="CA115" s="58" t="n">
        <v>0.25</v>
      </c>
      <c r="CB115" s="58" t="n">
        <v>0.25</v>
      </c>
      <c r="CC115" s="58" t="n">
        <v>0.25</v>
      </c>
      <c r="CD115" s="58" t="n">
        <v>0.25</v>
      </c>
      <c r="CE115" s="58" t="n">
        <v>0.25</v>
      </c>
      <c r="CF115" s="58" t="n">
        <v>0.25</v>
      </c>
      <c r="CG115" s="58" t="n">
        <v>0.25</v>
      </c>
      <c r="CH115" s="58" t="n">
        <v>0.25</v>
      </c>
      <c r="CI115" s="58" t="n">
        <v>0.25</v>
      </c>
      <c r="CJ115" s="58" t="n">
        <v>0.25</v>
      </c>
      <c r="CK115" s="58" t="n">
        <v>0.25</v>
      </c>
      <c r="CL115" s="58" t="n">
        <v>0.25</v>
      </c>
      <c r="CM115" s="58" t="n">
        <v>0.25</v>
      </c>
      <c r="CN115" s="58" t="n">
        <v>0.25</v>
      </c>
      <c r="CO115" s="58" t="n">
        <v>0.25</v>
      </c>
      <c r="CP115" s="34" t="n">
        <v>0.25</v>
      </c>
      <c r="CQ115" s="34" t="n">
        <v>0.25</v>
      </c>
      <c r="CR115" s="34" t="n">
        <v>0.25</v>
      </c>
      <c r="CS115" s="34" t="n">
        <v>0.25</v>
      </c>
      <c r="CT115" s="34" t="n">
        <v>0.25</v>
      </c>
      <c r="CU115" s="24"/>
      <c r="CW115" s="6"/>
      <c r="CX115" s="6"/>
      <c r="CY115" s="6"/>
      <c r="CZ115" s="6"/>
    </row>
    <row r="116" customFormat="false" ht="15" hidden="false" customHeight="false" outlineLevel="0" collapsed="false">
      <c r="B116" s="28" t="s">
        <v>235</v>
      </c>
      <c r="C116" s="39" t="n">
        <f aca="false">IF(N(C136)=0,0,IF(N(C79)&lt;&gt;0,C79,C136/(1-C115)))</f>
        <v>0</v>
      </c>
      <c r="D116" s="39" t="n">
        <f aca="false">IF(N(D136)=0,0,IF(N(D79)&lt;&gt;0,D79,D136/(1-D115)))</f>
        <v>0</v>
      </c>
      <c r="E116" s="39" t="n">
        <f aca="false">IF(N(E136)=0,0,IF(N(E79)&lt;&gt;0,E79,E136/(1-E115)))</f>
        <v>0</v>
      </c>
      <c r="F116" s="39" t="n">
        <f aca="false">IF(N(F136)=0,0,IF(N(F79)&lt;&gt;0,F79,F136/(1-F115)))</f>
        <v>0</v>
      </c>
      <c r="G116" s="39" t="n">
        <f aca="false">IF(N(G136)=0,0,IF(N(G79)&lt;&gt;0,G79,G136/(1-G115)))</f>
        <v>0</v>
      </c>
      <c r="H116" s="39" t="n">
        <f aca="false">IF(N(H136)=0,0,IF(N(H79)&lt;&gt;0,H79,H136/(1-H115)))</f>
        <v>0</v>
      </c>
      <c r="I116" s="39" t="n">
        <f aca="false">IF(N(I136)=0,0,IF(N(I79)&lt;&gt;0,I79,I136/(1-I115)))</f>
        <v>0</v>
      </c>
      <c r="J116" s="39" t="n">
        <f aca="false">IF(N(J136)=0,0,IF(N(J79)&lt;&gt;0,J79,J136/(1-J115)))</f>
        <v>0</v>
      </c>
      <c r="K116" s="39" t="n">
        <f aca="false">IF(N(K136)=0,0,IF(N(K79)&lt;&gt;0,K79,K136/(1-K115)))</f>
        <v>0</v>
      </c>
      <c r="L116" s="39" t="n">
        <f aca="false">IF(N(L136)=0,0,IF(N(L79)&lt;&gt;0,L79,L136/(1-L115)))</f>
        <v>0</v>
      </c>
      <c r="M116" s="39" t="n">
        <f aca="false">IF(N(M136)=0,0,IF(N(M79)&lt;&gt;0,M79,M136/(1-M115)))</f>
        <v>0</v>
      </c>
      <c r="N116" s="39" t="n">
        <f aca="false">IF(N(N136)=0,0,IF(N(N79)&lt;&gt;0,N79,N136/(1-N115)))</f>
        <v>0</v>
      </c>
      <c r="O116" s="39" t="n">
        <f aca="false">IF(N(O136)=0,0,IF(N(O79)&lt;&gt;0,O79,O136/(1-O115)))</f>
        <v>0</v>
      </c>
      <c r="P116" s="39" t="n">
        <f aca="false">IF(N(P136)=0,0,IF(N(P79)&lt;&gt;0,P79,P136/(1-P115)))</f>
        <v>0</v>
      </c>
      <c r="Q116" s="39" t="n">
        <f aca="false">IF(N(Q136)=0,0,IF(N(Q79)&lt;&gt;0,Q79,Q136/(1-Q115)))</f>
        <v>0</v>
      </c>
      <c r="R116" s="39" t="n">
        <f aca="false">IF(N(R136)=0,0,IF(N(R79)&lt;&gt;0,R79,R136/(1-R115)))</f>
        <v>0</v>
      </c>
      <c r="S116" s="39" t="n">
        <f aca="false">IF(N(S136)=0,0,IF(N(S79)&lt;&gt;0,S79,S136/(1-S115)))</f>
        <v>29.104</v>
      </c>
      <c r="T116" s="39" t="n">
        <f aca="false">IF(N(T136)=0,0,IF(N(T79)&lt;&gt;0,T79,T136/(1-T115)))</f>
        <v>0</v>
      </c>
      <c r="U116" s="39" t="n">
        <f aca="false">IF(N(U136)=0,0,IF(N(U79)&lt;&gt;0,U79,U136/(1-U115)))</f>
        <v>29.104</v>
      </c>
      <c r="V116" s="39" t="n">
        <f aca="false">IF(N(V136)=0,0,IF(N(V79)&lt;&gt;0,V79,V136/(1-V115)))</f>
        <v>0</v>
      </c>
      <c r="W116" s="39" t="n">
        <f aca="false">IF(N(W136)=0,0,IF(N(W79)&lt;&gt;0,W79,W136/(1-W115)))</f>
        <v>0</v>
      </c>
      <c r="X116" s="39" t="n">
        <f aca="false">IF(N(X136)=0,0,IF(N(X79)&lt;&gt;0,X79,X136/(1-X115)))</f>
        <v>0</v>
      </c>
      <c r="Y116" s="39" t="n">
        <f aca="false">IF(N(Y136)=0,0,IF(N(Y79)&lt;&gt;0,Y79,Y136/(1-Y115)))</f>
        <v>0</v>
      </c>
      <c r="Z116" s="39" t="n">
        <f aca="false">IF(N(Z136)=0,0,IF(N(Z79)&lt;&gt;0,Z79,Z136/(1-Z115)))</f>
        <v>0</v>
      </c>
      <c r="AA116" s="39" t="n">
        <f aca="false">IF(N(AA136)=0,0,IF(N(AA79)&lt;&gt;0,AA79,AA136/(1-AA115)))</f>
        <v>0</v>
      </c>
      <c r="AB116" s="39" t="n">
        <f aca="false">IF(N(AB136)=0,0,IF(N(AB79)&lt;&gt;0,AB79,AB136/(1-AB115)))</f>
        <v>0</v>
      </c>
      <c r="AC116" s="39" t="n">
        <f aca="false">IF(N(AC136)=0,0,IF(N(AC79)&lt;&gt;0,AC79,AC136/(1-AC115)))</f>
        <v>0</v>
      </c>
      <c r="AD116" s="39" t="n">
        <f aca="false">IF(N(AD136)=0,0,IF(N(AD79)&lt;&gt;0,AD79,AD136/(1-AD115)))</f>
        <v>0</v>
      </c>
      <c r="AE116" s="39" t="n">
        <f aca="false">IF(N(AE136)=0,0,IF(N(AE79)&lt;&gt;0,AE79,AE136/(1-AE115)))</f>
        <v>0</v>
      </c>
      <c r="AF116" s="39" t="n">
        <f aca="false">IF(N(AF136)=0,0,IF(N(AF79)&lt;&gt;0,AF79,AF136/(1-AF115)))</f>
        <v>0</v>
      </c>
      <c r="AG116" s="39" t="n">
        <f aca="false">IF(N(AG136)=0,0,IF(N(AG79)&lt;&gt;0,AG79,AG136/(1-AG115)))</f>
        <v>0</v>
      </c>
      <c r="AH116" s="39" t="n">
        <f aca="false">IF(N(AH136)=0,0,IF(N(AH79)&lt;&gt;0,AH79,AH136/(1-AH115)))</f>
        <v>0</v>
      </c>
      <c r="AI116" s="39" t="n">
        <f aca="false">IF(N(AI136)=0,0,IF(N(AI79)&lt;&gt;0,AI79,AI136/(1-AI115)))</f>
        <v>0</v>
      </c>
      <c r="AJ116" s="39" t="n">
        <f aca="false">IF(N(AJ136)=0,0,IF(N(AJ79)&lt;&gt;0,AJ79,AJ136/(1-AJ115)))</f>
        <v>0</v>
      </c>
      <c r="AK116" s="39" t="n">
        <f aca="false">IF(N(AK136)=0,0,IF(N(AK79)&lt;&gt;0,AK79,AK136/(1-AK115)))</f>
        <v>0</v>
      </c>
      <c r="AL116" s="39" t="n">
        <f aca="false">IF(N(AL136)=0,0,IF(N(AL79)&lt;&gt;0,AL79,AL136/(1-AL115)))</f>
        <v>19.365</v>
      </c>
      <c r="AM116" s="39" t="n">
        <f aca="false">IF(N(AM136)=0,0,IF(N(AM79)&lt;&gt;0,AM79,AM136/(1-AM115)))</f>
        <v>19.365</v>
      </c>
      <c r="AN116" s="39" t="n">
        <f aca="false">IF(N(AN136)=0,0,IF(N(AN79)&lt;&gt;0,AN79,AN136/(1-AN115)))</f>
        <v>0</v>
      </c>
      <c r="AO116" s="39" t="n">
        <f aca="false">IF(N(AO136)=0,0,IF(N(AO79)&lt;&gt;0,AO79,AO136/(1-AO115)))</f>
        <v>0</v>
      </c>
      <c r="AP116" s="39" t="n">
        <f aca="false">IF(N(AP136)=0,0,IF(N(AP79)&lt;&gt;0,AP79,AP136/(1-AP115)))</f>
        <v>0</v>
      </c>
      <c r="AQ116" s="39" t="n">
        <f aca="false">IF(N(AQ136)=0,0,IF(N(AQ79)&lt;&gt;0,AQ79,AQ136/(1-AQ115)))</f>
        <v>0</v>
      </c>
      <c r="AR116" s="39" t="n">
        <f aca="false">IF(N(AR136)=0,0,IF(N(AR79)&lt;&gt;0,AR79,AR136/(1-AR115)))</f>
        <v>1.131</v>
      </c>
      <c r="AS116" s="39" t="n">
        <f aca="false">IF(N(AS136)=0,0,IF(N(AS79)&lt;&gt;0,AS79,AS136/(1-AS115)))</f>
        <v>1.131</v>
      </c>
      <c r="AT116" s="39" t="n">
        <f aca="false">IF(N(AT136)=0,0,IF(N(AT79)&lt;&gt;0,AT79,AT136/(1-AT115)))</f>
        <v>0</v>
      </c>
      <c r="AU116" s="39" t="n">
        <f aca="false">IF(N(AU136)=0,0,IF(N(AU79)&lt;&gt;0,AU79,AU136/(1-AU115)))</f>
        <v>0</v>
      </c>
      <c r="AV116" s="39" t="n">
        <f aca="false">IF(N(AV136)=0,0,IF(N(AV79)&lt;&gt;0,AV79,AV136/(1-AV115)))</f>
        <v>0</v>
      </c>
      <c r="AW116" s="39" t="n">
        <f aca="false">IF(N(AW136)=0,0,IF(N(AW79)&lt;&gt;0,AW79,AW136/(1-AW115)))</f>
        <v>0</v>
      </c>
      <c r="AX116" s="39" t="n">
        <f aca="false">IF(N(AX136)=0,0,IF(N(AX79)&lt;&gt;0,AX79,AX136/(1-AX115)))</f>
        <v>0</v>
      </c>
      <c r="AY116" s="39" t="n">
        <f aca="false">IF(N(AY136)=0,0,IF(N(AY79)&lt;&gt;0,AY79,AY136/(1-AY115)))</f>
        <v>0</v>
      </c>
      <c r="AZ116" s="39" t="n">
        <f aca="false">IF(N(AZ136)=0,0,IF(N(AZ79)&lt;&gt;0,AZ79,AZ136/(1-AZ115)))</f>
        <v>0</v>
      </c>
      <c r="BA116" s="39" t="n">
        <f aca="false">IF(N(BA136)=0,0,IF(N(BA79)&lt;&gt;0,BA79,BA136/(1-BA115)))</f>
        <v>0</v>
      </c>
      <c r="BB116" s="39" t="n">
        <f aca="false">IF(N(BB136)=0,0,IF(N(BB79)&lt;&gt;0,BB79,BB136/(1-BB115)))</f>
        <v>0</v>
      </c>
      <c r="BC116" s="39" t="n">
        <f aca="false">IF(N(BC136)=0,0,IF(N(BC79)&lt;&gt;0,BC79,BC136/(1-BC115)))</f>
        <v>0</v>
      </c>
      <c r="BD116" s="39" t="n">
        <f aca="false">IF(N(BD136)=0,0,IF(N(BD79)&lt;&gt;0,BD79,BD136/(1-BD115)))</f>
        <v>0</v>
      </c>
      <c r="BE116" s="39" t="n">
        <f aca="false">IF(N(BE136)=0,0,IF(N(BE79)&lt;&gt;0,BE79,BE136/(1-BE115)))</f>
        <v>0</v>
      </c>
      <c r="BF116" s="39" t="n">
        <f aca="false">IF(N(BF136)=0,0,IF(N(BF79)&lt;&gt;0,BF79,BF136/(1-BF115)))</f>
        <v>0</v>
      </c>
      <c r="BG116" s="39" t="n">
        <f aca="false">IF(N(BG136)=0,0,IF(N(BG79)&lt;&gt;0,BG79,BG136/(1-BG115)))</f>
        <v>0</v>
      </c>
      <c r="BH116" s="39" t="n">
        <f aca="false">IF(N(BH136)=0,0,IF(N(BH79)&lt;&gt;0,BH79,BH136/(1-BH115)))</f>
        <v>0</v>
      </c>
      <c r="BI116" s="39" t="n">
        <f aca="false">IF(N(BI136)=0,0,IF(N(BI79)&lt;&gt;0,BI79,BI136/(1-BI115)))</f>
        <v>0</v>
      </c>
      <c r="BJ116" s="39" t="n">
        <f aca="false">IF(N(BJ136)=0,0,IF(N(BJ79)&lt;&gt;0,BJ79,BJ136/(1-BJ115)))</f>
        <v>0</v>
      </c>
      <c r="BK116" s="39" t="n">
        <f aca="false">IF(N(BK136)=0,0,IF(N(BK79)&lt;&gt;0,BK79,BK136/(1-BK115)))</f>
        <v>0</v>
      </c>
      <c r="BL116" s="39" t="n">
        <f aca="false">IF(N(BL136)=0,0,IF(N(BL79)&lt;&gt;0,BL79,BL136/(1-BL115)))</f>
        <v>0</v>
      </c>
      <c r="BM116" s="39" t="n">
        <f aca="false">IF(N(BM136)=0,0,IF(N(BM79)&lt;&gt;0,BM79,BM136/(1-BM115)))</f>
        <v>0</v>
      </c>
      <c r="BN116" s="39" t="n">
        <f aca="false">IF(N(BN136)=0,0,IF(N(BN79)&lt;&gt;0,BN79,BN136/(1-BN115)))</f>
        <v>0</v>
      </c>
      <c r="BO116" s="39" t="n">
        <f aca="false">IF(N(BO136)=0,0,IF(N(BO79)&lt;&gt;0,BO79,BO136/(1-BO115)))</f>
        <v>0</v>
      </c>
      <c r="BP116" s="39" t="n">
        <f aca="false">IF(N(BP136)=0,0,IF(N(BP79)&lt;&gt;0,BP79,BP136/(1-BP115)))</f>
        <v>0</v>
      </c>
      <c r="BQ116" s="39" t="n">
        <f aca="false">IF(N(BQ136)=0,0,IF(N(BQ79)&lt;&gt;0,BQ79,BQ136/(1-BQ115)))</f>
        <v>0</v>
      </c>
      <c r="BR116" s="39" t="n">
        <f aca="false">IF(N(BR136)=0,0,IF(N(BR79)&lt;&gt;0,BR79,BR136/(1-BR115)))</f>
        <v>0</v>
      </c>
      <c r="BS116" s="39" t="n">
        <f aca="false">IF(N(BS136)=0,0,IF(N(BS79)&lt;&gt;0,BS79,BS136/(1-BS115)))</f>
        <v>0</v>
      </c>
      <c r="BT116" s="39" t="n">
        <f aca="false">IF(N(BT136)=0,0,IF(N(BT79)&lt;&gt;0,BT79,BT136/(1-BT115)))</f>
        <v>0</v>
      </c>
      <c r="BU116" s="39" t="n">
        <f aca="false">IF(N(BU136)=0,0,IF(N(BU79)&lt;&gt;0,BU79,BU136/(1-BU115)))</f>
        <v>0</v>
      </c>
      <c r="BV116" s="39" t="n">
        <f aca="false">IF(N(BV136)=0,0,IF(N(BV79)&lt;&gt;0,BV79,BV136/(1-BV115)))</f>
        <v>0</v>
      </c>
      <c r="BW116" s="39" t="n">
        <f aca="false">IF(N(BW136)=0,0,IF(N(BW79)&lt;&gt;0,BW79,BW136/(1-BW115)))</f>
        <v>0</v>
      </c>
      <c r="BX116" s="39" t="n">
        <f aca="false">IF(N(BX136)=0,0,IF(N(BX79)&lt;&gt;0,BX79,BX136/(1-BX115)))</f>
        <v>0</v>
      </c>
      <c r="BY116" s="39" t="n">
        <f aca="false">IF(N(BY136)=0,0,IF(N(BY79)&lt;&gt;0,BY79,BY136/(1-BY115)))</f>
        <v>0</v>
      </c>
      <c r="BZ116" s="39" t="n">
        <f aca="false">IF(N(BZ136)=0,0,IF(N(BZ79)&lt;&gt;0,BZ79,BZ136/(1-BZ115)))</f>
        <v>0</v>
      </c>
      <c r="CA116" s="39" t="n">
        <f aca="false">IF(N(CA136)=0,0,IF(N(CA79)&lt;&gt;0,CA79,CA136/(1-CA115)))</f>
        <v>0</v>
      </c>
      <c r="CB116" s="39" t="n">
        <f aca="false">IF(N(CB136)=0,0,IF(N(CB79)&lt;&gt;0,CB79,CB136/(1-CB115)))</f>
        <v>0</v>
      </c>
      <c r="CC116" s="39" t="n">
        <f aca="false">IF(N(CC136)=0,0,IF(N(CC79)&lt;&gt;0,CC79,CC136/(1-CC115)))</f>
        <v>0</v>
      </c>
      <c r="CD116" s="39" t="n">
        <f aca="false">IF(N(CD136)=0,0,IF(N(CD79)&lt;&gt;0,CD79,CD136/(1-CD115)))</f>
        <v>0</v>
      </c>
      <c r="CE116" s="39" t="n">
        <f aca="false">IF(N(CE136)=0,0,IF(N(CE79)&lt;&gt;0,CE79,CE136/(1-CE115)))</f>
        <v>0</v>
      </c>
      <c r="CF116" s="39" t="n">
        <f aca="false">IF(N(CF136)=0,0,IF(N(CF79)&lt;&gt;0,CF79,CF136/(1-CF115)))</f>
        <v>0</v>
      </c>
      <c r="CG116" s="39" t="n">
        <f aca="false">IF(N(CG136)=0,0,IF(N(CG79)&lt;&gt;0,CG79,CG136/(1-CG115)))</f>
        <v>0</v>
      </c>
      <c r="CH116" s="39" t="n">
        <f aca="false">IF(N(CH136)=0,0,IF(N(CH79)&lt;&gt;0,CH79,CH136/(1-CH115)))</f>
        <v>0</v>
      </c>
      <c r="CI116" s="39" t="n">
        <f aca="false">IF(N(CI136)=0,0,IF(N(CI79)&lt;&gt;0,CI79,CI136/(1-CI115)))</f>
        <v>0</v>
      </c>
      <c r="CJ116" s="39" t="n">
        <f aca="false">IF(N(CJ136)=0,0,IF(N(CJ79)&lt;&gt;0,CJ79,CJ136/(1-CJ115)))</f>
        <v>0</v>
      </c>
      <c r="CK116" s="39" t="n">
        <f aca="false">IF(N(CK136)=0,0,IF(N(CK79)&lt;&gt;0,CK79,CK136/(1-CK115)))</f>
        <v>0</v>
      </c>
      <c r="CL116" s="39" t="n">
        <f aca="false">IF(N(CL136)=0,0,IF(N(CL79)&lt;&gt;0,CL79,CL136/(1-CL115)))</f>
        <v>0</v>
      </c>
      <c r="CM116" s="39" t="n">
        <f aca="false">IF(N(CM136)=0,0,IF(N(CM79)&lt;&gt;0,CM79,CM136/(1-CM115)))</f>
        <v>0</v>
      </c>
      <c r="CN116" s="39" t="n">
        <f aca="false">IF(N(CN136)=0,0,IF(N(CN79)&lt;&gt;0,CN79,CN136/(1-CN115)))</f>
        <v>0</v>
      </c>
      <c r="CO116" s="39" t="n">
        <f aca="false">IF(N(CO136)=0,0,IF(N(CO79)&lt;&gt;0,CO79,CO136/(1-CO115)))</f>
        <v>0</v>
      </c>
      <c r="CP116" s="40" t="n">
        <f aca="false">IF(N(CP136)=0,0,CP79)</f>
        <v>0</v>
      </c>
      <c r="CQ116" s="40" t="n">
        <f aca="false">IF(N(CQ136)=0,0,CQ79)</f>
        <v>0</v>
      </c>
      <c r="CR116" s="40" t="n">
        <f aca="false">IF(N(CR136)=0,0,CR79)</f>
        <v>0</v>
      </c>
      <c r="CS116" s="40" t="n">
        <f aca="false">IF(N(CS136)=0,0,CS79)</f>
        <v>0</v>
      </c>
      <c r="CT116" s="40" t="n">
        <f aca="false">IF(N(CT136)=0,0,CT79)</f>
        <v>0</v>
      </c>
      <c r="CU116" s="24"/>
      <c r="CW116" s="6"/>
      <c r="CX116" s="6"/>
      <c r="CY116" s="6"/>
      <c r="CZ116" s="6"/>
    </row>
    <row r="117" customFormat="false" ht="15" hidden="false" customHeight="false" outlineLevel="0" collapsed="false">
      <c r="B117" s="28" t="s">
        <v>236</v>
      </c>
      <c r="C117" s="39" t="n">
        <f aca="false">N(C137)/(1-C115)</f>
        <v>0</v>
      </c>
      <c r="D117" s="39" t="n">
        <f aca="false">N(D137)/(1-D115)</f>
        <v>0</v>
      </c>
      <c r="E117" s="39" t="n">
        <f aca="false">N(E137)/(1-E115)</f>
        <v>0</v>
      </c>
      <c r="F117" s="39" t="n">
        <f aca="false">N(F137)/(1-F115)</f>
        <v>0</v>
      </c>
      <c r="G117" s="39" t="n">
        <f aca="false">N(G137)/(1-G115)</f>
        <v>0</v>
      </c>
      <c r="H117" s="39" t="n">
        <f aca="false">N(H137)/(1-H115)</f>
        <v>0</v>
      </c>
      <c r="I117" s="39" t="n">
        <f aca="false">N(I137)/(1-I115)</f>
        <v>0</v>
      </c>
      <c r="J117" s="39" t="n">
        <f aca="false">N(J137)/(1-J115)</f>
        <v>0</v>
      </c>
      <c r="K117" s="39" t="n">
        <f aca="false">N(K137)/(1-K115)</f>
        <v>0</v>
      </c>
      <c r="L117" s="39" t="n">
        <f aca="false">N(L137)/(1-L115)</f>
        <v>0</v>
      </c>
      <c r="M117" s="39" t="n">
        <f aca="false">N(M137)/(1-M115)</f>
        <v>0</v>
      </c>
      <c r="N117" s="39" t="n">
        <f aca="false">N(N137)/(1-N115)</f>
        <v>0</v>
      </c>
      <c r="O117" s="39" t="n">
        <f aca="false">N(O137)/(1-O115)</f>
        <v>0</v>
      </c>
      <c r="P117" s="39" t="n">
        <f aca="false">N(P137)/(1-P115)</f>
        <v>0</v>
      </c>
      <c r="Q117" s="39" t="n">
        <f aca="false">N(Q137)/(1-Q115)</f>
        <v>0</v>
      </c>
      <c r="R117" s="39" t="n">
        <f aca="false">N(R137)/(1-R115)</f>
        <v>0</v>
      </c>
      <c r="S117" s="39" t="n">
        <f aca="false">N(S137)/(1-S115)</f>
        <v>0</v>
      </c>
      <c r="T117" s="39" t="n">
        <f aca="false">N(T137)/(1-T115)</f>
        <v>0</v>
      </c>
      <c r="U117" s="39" t="n">
        <f aca="false">N(U137)/(1-U115)</f>
        <v>0</v>
      </c>
      <c r="V117" s="39" t="n">
        <f aca="false">N(V137)/(1-V115)</f>
        <v>0</v>
      </c>
      <c r="W117" s="39" t="n">
        <f aca="false">N(W137)/(1-W115)</f>
        <v>0</v>
      </c>
      <c r="X117" s="39" t="n">
        <f aca="false">N(X137)/(1-X115)</f>
        <v>0</v>
      </c>
      <c r="Y117" s="39" t="n">
        <f aca="false">N(Y137)/(1-Y115)</f>
        <v>0</v>
      </c>
      <c r="Z117" s="39" t="n">
        <f aca="false">N(Z137)/(1-Z115)</f>
        <v>2.59677419354839</v>
      </c>
      <c r="AA117" s="39" t="n">
        <f aca="false">N(AA137)/(1-AA115)</f>
        <v>0.861290322580645</v>
      </c>
      <c r="AB117" s="39" t="n">
        <f aca="false">N(AB137)/(1-AB115)</f>
        <v>-0.903225806451613</v>
      </c>
      <c r="AC117" s="39" t="n">
        <f aca="false">N(AC137)/(1-AC115)</f>
        <v>-5.63064516129032</v>
      </c>
      <c r="AD117" s="39" t="n">
        <f aca="false">N(AD137)/(1-AD115)</f>
        <v>-6.53387096774194</v>
      </c>
      <c r="AE117" s="39" t="n">
        <f aca="false">N(AE137)/(1-AE115)</f>
        <v>0.753225806451613</v>
      </c>
      <c r="AF117" s="39" t="n">
        <f aca="false">N(AF137)/(1-AF115)</f>
        <v>-5.67903225806452</v>
      </c>
      <c r="AG117" s="39" t="n">
        <f aca="false">N(AG137)/(1-AG115)</f>
        <v>-7.83870967741936</v>
      </c>
      <c r="AH117" s="39" t="n">
        <f aca="false">N(AH137)/(1-AH115)</f>
        <v>-4.59193548387097</v>
      </c>
      <c r="AI117" s="39" t="n">
        <f aca="false">N(AI137)/(1-AI115)</f>
        <v>4.38709677419355</v>
      </c>
      <c r="AJ117" s="39" t="n">
        <f aca="false">N(AJ137)/(1-AJ115)</f>
        <v>-0.204838709677419</v>
      </c>
      <c r="AK117" s="39" t="n">
        <f aca="false">N(AK137)/(1-AK115)</f>
        <v>-0.269354838709677</v>
      </c>
      <c r="AL117" s="39" t="n">
        <f aca="false">N(AL137)/(1-AL115)</f>
        <v>-0.943548387096774</v>
      </c>
      <c r="AM117" s="39" t="n">
        <f aca="false">N(AM137)/(1-AM115)</f>
        <v>-1.41935483870968</v>
      </c>
      <c r="AN117" s="39" t="n">
        <f aca="false">N(AN137)/(1-AN115)</f>
        <v>0.421917808219178</v>
      </c>
      <c r="AO117" s="39" t="n">
        <f aca="false">N(AO137)/(1-AO115)</f>
        <v>1.05205479452055</v>
      </c>
      <c r="AP117" s="39" t="n">
        <f aca="false">N(AP137)/(1-AP115)</f>
        <v>1.47397260273973</v>
      </c>
      <c r="AQ117" s="39" t="n">
        <f aca="false">N(AQ137)/(1-AQ115)</f>
        <v>-0.357534246575343</v>
      </c>
      <c r="AR117" s="39" t="n">
        <f aca="false">N(AR137)/(1-AR115)</f>
        <v>-0.568493150684931</v>
      </c>
      <c r="AS117" s="39" t="n">
        <f aca="false">N(AS137)/(1-AS115)</f>
        <v>0.619178082191781</v>
      </c>
      <c r="AT117" s="39" t="n">
        <f aca="false">N(AT137)/(1-AT115)</f>
        <v>-0.46</v>
      </c>
      <c r="AU117" s="39" t="n">
        <f aca="false">N(AU137)/(1-AU115)</f>
        <v>-0.0746666666666667</v>
      </c>
      <c r="AV117" s="39" t="n">
        <f aca="false">N(AV137)/(1-AV115)</f>
        <v>-0.534666666666667</v>
      </c>
      <c r="AW117" s="39" t="n">
        <f aca="false">N(AW137)/(1-AW115)</f>
        <v>0.125333333333333</v>
      </c>
      <c r="AX117" s="39" t="n">
        <f aca="false">N(AX137)/(1-AX115)</f>
        <v>0.064</v>
      </c>
      <c r="AY117" s="39" t="n">
        <f aca="false">N(AY137)/(1-AY115)</f>
        <v>-0.341333333333333</v>
      </c>
      <c r="AZ117" s="39" t="n">
        <f aca="false">N(AZ137)/(1-AZ115)</f>
        <v>-0.350666666666667</v>
      </c>
      <c r="BA117" s="39" t="n">
        <f aca="false">N(BA137)/(1-BA115)</f>
        <v>-0.554666666666667</v>
      </c>
      <c r="BB117" s="39" t="n">
        <f aca="false">N(BB137)/(1-BB115)</f>
        <v>-0.905333333333333</v>
      </c>
      <c r="BC117" s="39" t="n">
        <f aca="false">N(BC137)/(1-BC115)</f>
        <v>-0.653333333333333</v>
      </c>
      <c r="BD117" s="39" t="n">
        <f aca="false">N(BD137)/(1-BD115)</f>
        <v>-0.357333333333333</v>
      </c>
      <c r="BE117" s="39" t="n">
        <f aca="false">N(BE137)/(1-BE115)</f>
        <v>-1.91466666666667</v>
      </c>
      <c r="BF117" s="39" t="n">
        <f aca="false">N(BF137)/(1-BF115)</f>
        <v>0</v>
      </c>
      <c r="BG117" s="39" t="n">
        <f aca="false">N(BG137)/(1-BG115)</f>
        <v>0</v>
      </c>
      <c r="BH117" s="39" t="n">
        <f aca="false">N(BH137)/(1-BH115)</f>
        <v>0</v>
      </c>
      <c r="BI117" s="39" t="n">
        <f aca="false">N(BI137)/(1-BI115)</f>
        <v>0</v>
      </c>
      <c r="BJ117" s="39" t="n">
        <f aca="false">N(BJ137)/(1-BJ115)</f>
        <v>0</v>
      </c>
      <c r="BK117" s="39" t="n">
        <f aca="false">N(BK137)/(1-BK115)</f>
        <v>0</v>
      </c>
      <c r="BL117" s="39" t="n">
        <f aca="false">N(BL137)/(1-BL115)</f>
        <v>0</v>
      </c>
      <c r="BM117" s="39" t="n">
        <f aca="false">N(BM137)/(1-BM115)</f>
        <v>0</v>
      </c>
      <c r="BN117" s="39" t="n">
        <f aca="false">N(BN137)/(1-BN115)</f>
        <v>0</v>
      </c>
      <c r="BO117" s="39" t="n">
        <f aca="false">N(BO137)/(1-BO115)</f>
        <v>0</v>
      </c>
      <c r="BP117" s="39" t="n">
        <f aca="false">N(BP137)/(1-BP115)</f>
        <v>0</v>
      </c>
      <c r="BQ117" s="39" t="n">
        <f aca="false">N(BQ137)/(1-BQ115)</f>
        <v>0</v>
      </c>
      <c r="BR117" s="39" t="n">
        <f aca="false">N(BR137)/(1-BR115)</f>
        <v>0</v>
      </c>
      <c r="BS117" s="39" t="n">
        <f aca="false">N(BS137)/(1-BS115)</f>
        <v>0</v>
      </c>
      <c r="BT117" s="39" t="n">
        <f aca="false">N(BT137)/(1-BT115)</f>
        <v>0</v>
      </c>
      <c r="BU117" s="39" t="n">
        <f aca="false">N(BU137)/(1-BU115)</f>
        <v>0</v>
      </c>
      <c r="BV117" s="39" t="n">
        <f aca="false">N(BV137)/(1-BV115)</f>
        <v>0</v>
      </c>
      <c r="BW117" s="39" t="n">
        <f aca="false">N(BW137)/(1-BW115)</f>
        <v>0</v>
      </c>
      <c r="BX117" s="39" t="n">
        <f aca="false">N(BX137)/(1-BX115)</f>
        <v>0</v>
      </c>
      <c r="BY117" s="39" t="n">
        <f aca="false">N(BY137)/(1-BY115)</f>
        <v>0</v>
      </c>
      <c r="BZ117" s="39" t="n">
        <f aca="false">N(BZ137)/(1-BZ115)</f>
        <v>0</v>
      </c>
      <c r="CA117" s="39" t="n">
        <f aca="false">N(CA137)/(1-CA115)</f>
        <v>0</v>
      </c>
      <c r="CB117" s="39" t="n">
        <f aca="false">N(CB137)/(1-CB115)</f>
        <v>0</v>
      </c>
      <c r="CC117" s="39" t="n">
        <f aca="false">N(CC137)/(1-CC115)</f>
        <v>0</v>
      </c>
      <c r="CD117" s="39" t="n">
        <f aca="false">N(CD137)/(1-CD115)</f>
        <v>0</v>
      </c>
      <c r="CE117" s="39" t="n">
        <f aca="false">N(CE137)/(1-CE115)</f>
        <v>0</v>
      </c>
      <c r="CF117" s="39" t="n">
        <f aca="false">N(CF137)/(1-CF115)</f>
        <v>0</v>
      </c>
      <c r="CG117" s="39" t="n">
        <f aca="false">N(CG137)/(1-CG115)</f>
        <v>0</v>
      </c>
      <c r="CH117" s="39" t="n">
        <f aca="false">N(CH137)/(1-CH115)</f>
        <v>0</v>
      </c>
      <c r="CI117" s="39" t="n">
        <f aca="false">N(CI137)/(1-CI115)</f>
        <v>0</v>
      </c>
      <c r="CJ117" s="39" t="n">
        <f aca="false">N(CJ137)/(1-CJ115)</f>
        <v>0</v>
      </c>
      <c r="CK117" s="39" t="n">
        <f aca="false">N(CK137)/(1-CK115)</f>
        <v>0</v>
      </c>
      <c r="CL117" s="39" t="n">
        <f aca="false">N(CL137)/(1-CL115)</f>
        <v>0</v>
      </c>
      <c r="CM117" s="39" t="n">
        <f aca="false">N(CM137)/(1-CM115)</f>
        <v>0</v>
      </c>
      <c r="CN117" s="39" t="n">
        <f aca="false">N(CN137)/(1-CN115)</f>
        <v>0</v>
      </c>
      <c r="CO117" s="39" t="n">
        <f aca="false">N(CO137)/(1-CO115)</f>
        <v>0</v>
      </c>
      <c r="CP117" s="40" t="n">
        <f aca="false">N(CP137)/(1-CP115)</f>
        <v>0</v>
      </c>
      <c r="CQ117" s="40" t="n">
        <f aca="false">N(CQ137)/(1-CQ115)</f>
        <v>0</v>
      </c>
      <c r="CR117" s="40" t="n">
        <f aca="false">N(CR137)/(1-CR115)</f>
        <v>0</v>
      </c>
      <c r="CS117" s="40" t="n">
        <f aca="false">N(CS137)/(1-CS115)</f>
        <v>0</v>
      </c>
      <c r="CT117" s="40" t="n">
        <f aca="false">N(CT137)/(1-CT115)</f>
        <v>0</v>
      </c>
      <c r="CU117" s="24"/>
      <c r="CW117" s="6"/>
      <c r="CX117" s="6"/>
      <c r="CY117" s="6"/>
      <c r="CZ117" s="6"/>
    </row>
    <row r="118" customFormat="false" ht="15" hidden="false" customHeight="false" outlineLevel="0" collapsed="false">
      <c r="B118" s="28" t="s">
        <v>237</v>
      </c>
      <c r="C118" s="39" t="n">
        <f aca="false">N(C138)/(1-C115)</f>
        <v>0</v>
      </c>
      <c r="D118" s="39" t="n">
        <f aca="false">N(D138)/(1-D115)</f>
        <v>0</v>
      </c>
      <c r="E118" s="39" t="n">
        <f aca="false">N(E138)/(1-E115)</f>
        <v>0</v>
      </c>
      <c r="F118" s="39" t="n">
        <f aca="false">N(F138)/(1-F115)</f>
        <v>0</v>
      </c>
      <c r="G118" s="39" t="n">
        <f aca="false">N(G138)/(1-G115)</f>
        <v>0</v>
      </c>
      <c r="H118" s="39" t="n">
        <f aca="false">N(H138)/(1-H115)</f>
        <v>0</v>
      </c>
      <c r="I118" s="39" t="n">
        <f aca="false">N(I138)/(1-I115)</f>
        <v>0</v>
      </c>
      <c r="J118" s="39" t="n">
        <f aca="false">N(J138)/(1-J115)</f>
        <v>0</v>
      </c>
      <c r="K118" s="39" t="n">
        <f aca="false">N(K138)/(1-K115)</f>
        <v>0</v>
      </c>
      <c r="L118" s="39" t="n">
        <f aca="false">N(L138)/(1-L115)</f>
        <v>0</v>
      </c>
      <c r="M118" s="39" t="n">
        <f aca="false">N(M138)/(1-M115)</f>
        <v>0</v>
      </c>
      <c r="N118" s="39" t="n">
        <f aca="false">N(N138)/(1-N115)</f>
        <v>0</v>
      </c>
      <c r="O118" s="39" t="n">
        <f aca="false">N(O138)/(1-O115)</f>
        <v>0</v>
      </c>
      <c r="P118" s="39" t="n">
        <f aca="false">N(P138)/(1-P115)</f>
        <v>0</v>
      </c>
      <c r="Q118" s="39" t="n">
        <f aca="false">N(Q138)/(1-Q115)</f>
        <v>0</v>
      </c>
      <c r="R118" s="39" t="n">
        <f aca="false">N(R138)/(1-R115)</f>
        <v>0</v>
      </c>
      <c r="S118" s="39" t="n">
        <f aca="false">N(S138)/(1-S115)</f>
        <v>0</v>
      </c>
      <c r="T118" s="39" t="n">
        <f aca="false">N(T138)/(1-T115)</f>
        <v>0</v>
      </c>
      <c r="U118" s="39" t="n">
        <f aca="false">N(U138)/(1-U115)</f>
        <v>0</v>
      </c>
      <c r="V118" s="39" t="n">
        <f aca="false">N(V138)/(1-V115)</f>
        <v>0</v>
      </c>
      <c r="W118" s="39" t="n">
        <f aca="false">N(W138)/(1-W115)</f>
        <v>0</v>
      </c>
      <c r="X118" s="39" t="n">
        <f aca="false">N(X138)/(1-X115)</f>
        <v>0</v>
      </c>
      <c r="Y118" s="39" t="n">
        <f aca="false">N(Y138)/(1-Y115)</f>
        <v>0</v>
      </c>
      <c r="Z118" s="39" t="n">
        <f aca="false">N(Z138)/(1-Z115)</f>
        <v>0</v>
      </c>
      <c r="AA118" s="39" t="n">
        <f aca="false">N(AA138)/(1-AA115)</f>
        <v>0</v>
      </c>
      <c r="AB118" s="39" t="n">
        <f aca="false">N(AB138)/(1-AB115)</f>
        <v>0.0774193548387097</v>
      </c>
      <c r="AC118" s="39" t="n">
        <f aca="false">N(AC138)/(1-AC115)</f>
        <v>0</v>
      </c>
      <c r="AD118" s="39" t="n">
        <f aca="false">N(AD138)/(1-AD115)</f>
        <v>0.0774193548387097</v>
      </c>
      <c r="AE118" s="39" t="n">
        <f aca="false">N(AE138)/(1-AE115)</f>
        <v>0</v>
      </c>
      <c r="AF118" s="39" t="n">
        <f aca="false">N(AF138)/(1-AF115)</f>
        <v>0</v>
      </c>
      <c r="AG118" s="39" t="n">
        <f aca="false">N(AG138)/(1-AG115)</f>
        <v>0.0774193548387097</v>
      </c>
      <c r="AH118" s="39" t="n">
        <f aca="false">N(AH138)/(1-AH115)</f>
        <v>5.33387096774194</v>
      </c>
      <c r="AI118" s="39" t="n">
        <f aca="false">N(AI138)/(1-AI115)</f>
        <v>0</v>
      </c>
      <c r="AJ118" s="39" t="n">
        <f aca="false">N(AJ138)/(1-AJ115)</f>
        <v>5.33387096774194</v>
      </c>
      <c r="AK118" s="39" t="n">
        <f aca="false">N(AK138)/(1-AK115)</f>
        <v>0</v>
      </c>
      <c r="AL118" s="39" t="n">
        <f aca="false">N(AL138)/(1-AL115)</f>
        <v>0</v>
      </c>
      <c r="AM118" s="39" t="n">
        <f aca="false">N(AM138)/(1-AM115)</f>
        <v>5.33387096774194</v>
      </c>
      <c r="AN118" s="39" t="n">
        <f aca="false">N(AN138)/(1-AN115)</f>
        <v>0</v>
      </c>
      <c r="AO118" s="39" t="n">
        <f aca="false">N(AO138)/(1-AO115)</f>
        <v>0</v>
      </c>
      <c r="AP118" s="39" t="n">
        <f aca="false">N(AP138)/(1-AP115)</f>
        <v>0</v>
      </c>
      <c r="AQ118" s="39" t="n">
        <f aca="false">N(AQ138)/(1-AQ115)</f>
        <v>0</v>
      </c>
      <c r="AR118" s="39" t="n">
        <f aca="false">N(AR138)/(1-AR115)</f>
        <v>6.18356164383562</v>
      </c>
      <c r="AS118" s="39" t="n">
        <f aca="false">N(AS138)/(1-AS115)</f>
        <v>6.18356164383562</v>
      </c>
      <c r="AT118" s="39" t="n">
        <f aca="false">N(AT138)/(1-AT115)</f>
        <v>0</v>
      </c>
      <c r="AU118" s="39" t="n">
        <f aca="false">N(AU138)/(1-AU115)</f>
        <v>0</v>
      </c>
      <c r="AV118" s="39" t="n">
        <f aca="false">N(AV138)/(1-AV115)</f>
        <v>0</v>
      </c>
      <c r="AW118" s="39" t="n">
        <f aca="false">N(AW138)/(1-AW115)</f>
        <v>1.72666666666667</v>
      </c>
      <c r="AX118" s="39" t="n">
        <f aca="false">N(AX138)/(1-AX115)</f>
        <v>0</v>
      </c>
      <c r="AY118" s="39" t="n">
        <f aca="false">N(AY138)/(1-AY115)</f>
        <v>1.72666666666667</v>
      </c>
      <c r="AZ118" s="39" t="n">
        <f aca="false">N(AZ138)/(1-AZ115)</f>
        <v>3.82266666666667</v>
      </c>
      <c r="BA118" s="39" t="n">
        <f aca="false">N(BA138)/(1-BA115)</f>
        <v>0</v>
      </c>
      <c r="BB118" s="39" t="n">
        <f aca="false">N(BB138)/(1-BB115)</f>
        <v>3.82266666666667</v>
      </c>
      <c r="BC118" s="39" t="n">
        <f aca="false">N(BC138)/(1-BC115)</f>
        <v>0</v>
      </c>
      <c r="BD118" s="39" t="n">
        <f aca="false">N(BD138)/(1-BD115)</f>
        <v>0</v>
      </c>
      <c r="BE118" s="39" t="n">
        <f aca="false">N(BE138)/(1-BE115)</f>
        <v>3.82266666666667</v>
      </c>
      <c r="BF118" s="39" t="n">
        <f aca="false">N(BF138)/(1-BF115)</f>
        <v>0</v>
      </c>
      <c r="BG118" s="39" t="n">
        <f aca="false">N(BG138)/(1-BG115)</f>
        <v>0</v>
      </c>
      <c r="BH118" s="39" t="n">
        <f aca="false">N(BH138)/(1-BH115)</f>
        <v>0</v>
      </c>
      <c r="BI118" s="39" t="n">
        <f aca="false">N(BI138)/(1-BI115)</f>
        <v>0</v>
      </c>
      <c r="BJ118" s="39" t="n">
        <f aca="false">N(BJ138)/(1-BJ115)</f>
        <v>0</v>
      </c>
      <c r="BK118" s="39" t="n">
        <f aca="false">N(BK138)/(1-BK115)</f>
        <v>0</v>
      </c>
      <c r="BL118" s="39" t="n">
        <f aca="false">N(BL138)/(1-BL115)</f>
        <v>0</v>
      </c>
      <c r="BM118" s="39" t="n">
        <f aca="false">N(BM138)/(1-BM115)</f>
        <v>0</v>
      </c>
      <c r="BN118" s="39" t="n">
        <f aca="false">N(BN138)/(1-BN115)</f>
        <v>0</v>
      </c>
      <c r="BO118" s="39" t="n">
        <f aca="false">N(BO138)/(1-BO115)</f>
        <v>0</v>
      </c>
      <c r="BP118" s="39" t="n">
        <f aca="false">N(BP138)/(1-BP115)</f>
        <v>0</v>
      </c>
      <c r="BQ118" s="39" t="n">
        <f aca="false">N(BQ138)/(1-BQ115)</f>
        <v>0</v>
      </c>
      <c r="BR118" s="39" t="n">
        <f aca="false">N(BR138)/(1-BR115)</f>
        <v>0</v>
      </c>
      <c r="BS118" s="39" t="n">
        <f aca="false">N(BS138)/(1-BS115)</f>
        <v>0</v>
      </c>
      <c r="BT118" s="39" t="n">
        <f aca="false">N(BT138)/(1-BT115)</f>
        <v>0</v>
      </c>
      <c r="BU118" s="39" t="n">
        <f aca="false">N(BU138)/(1-BU115)</f>
        <v>0</v>
      </c>
      <c r="BV118" s="39" t="n">
        <f aca="false">N(BV138)/(1-BV115)</f>
        <v>0</v>
      </c>
      <c r="BW118" s="39" t="n">
        <f aca="false">N(BW138)/(1-BW115)</f>
        <v>0</v>
      </c>
      <c r="BX118" s="39" t="n">
        <f aca="false">N(BX138)/(1-BX115)</f>
        <v>0</v>
      </c>
      <c r="BY118" s="39" t="n">
        <f aca="false">N(BY138)/(1-BY115)</f>
        <v>0</v>
      </c>
      <c r="BZ118" s="39" t="n">
        <f aca="false">N(BZ138)/(1-BZ115)</f>
        <v>0</v>
      </c>
      <c r="CA118" s="39" t="n">
        <f aca="false">N(CA138)/(1-CA115)</f>
        <v>0</v>
      </c>
      <c r="CB118" s="39" t="n">
        <f aca="false">N(CB138)/(1-CB115)</f>
        <v>0</v>
      </c>
      <c r="CC118" s="39" t="n">
        <f aca="false">N(CC138)/(1-CC115)</f>
        <v>0</v>
      </c>
      <c r="CD118" s="39" t="n">
        <f aca="false">N(CD138)/(1-CD115)</f>
        <v>0</v>
      </c>
      <c r="CE118" s="39" t="n">
        <f aca="false">N(CE138)/(1-CE115)</f>
        <v>0</v>
      </c>
      <c r="CF118" s="39" t="n">
        <f aca="false">N(CF138)/(1-CF115)</f>
        <v>0</v>
      </c>
      <c r="CG118" s="39" t="n">
        <f aca="false">N(CG138)/(1-CG115)</f>
        <v>0</v>
      </c>
      <c r="CH118" s="39" t="n">
        <f aca="false">N(CH138)/(1-CH115)</f>
        <v>0</v>
      </c>
      <c r="CI118" s="39" t="n">
        <f aca="false">N(CI138)/(1-CI115)</f>
        <v>0</v>
      </c>
      <c r="CJ118" s="39" t="n">
        <f aca="false">N(CJ138)/(1-CJ115)</f>
        <v>0</v>
      </c>
      <c r="CK118" s="39" t="n">
        <f aca="false">N(CK138)/(1-CK115)</f>
        <v>0</v>
      </c>
      <c r="CL118" s="39" t="n">
        <f aca="false">N(CL138)/(1-CL115)</f>
        <v>0</v>
      </c>
      <c r="CM118" s="39" t="n">
        <f aca="false">N(CM138)/(1-CM115)</f>
        <v>0</v>
      </c>
      <c r="CN118" s="39" t="n">
        <f aca="false">N(CN138)/(1-CN115)</f>
        <v>0</v>
      </c>
      <c r="CO118" s="39" t="n">
        <f aca="false">N(CO138)/(1-CO115)</f>
        <v>0</v>
      </c>
      <c r="CP118" s="40" t="n">
        <f aca="false">N(CP138)/(1-CP115)</f>
        <v>0</v>
      </c>
      <c r="CQ118" s="40" t="n">
        <f aca="false">N(CQ138)/(1-CQ115)</f>
        <v>0</v>
      </c>
      <c r="CR118" s="40" t="n">
        <f aca="false">N(CR138)/(1-CR115)</f>
        <v>0</v>
      </c>
      <c r="CS118" s="40" t="n">
        <f aca="false">N(CS138)/(1-CS115)</f>
        <v>0</v>
      </c>
      <c r="CT118" s="40" t="n">
        <f aca="false">N(CT138)/(1-CT115)</f>
        <v>0</v>
      </c>
      <c r="CU118" s="24"/>
      <c r="CW118" s="6"/>
      <c r="CX118" s="6"/>
      <c r="CY118" s="6"/>
      <c r="CZ118" s="6"/>
    </row>
    <row r="119" customFormat="false" ht="15" hidden="false" customHeight="false" outlineLevel="0" collapsed="false">
      <c r="B119" s="28" t="s">
        <v>238</v>
      </c>
      <c r="C119" s="39" t="n">
        <f aca="false">N(C139)/(1-C115)</f>
        <v>0</v>
      </c>
      <c r="D119" s="39" t="n">
        <f aca="false">N(D139)/(1-D115)</f>
        <v>0</v>
      </c>
      <c r="E119" s="39" t="n">
        <f aca="false">N(E139)/(1-E115)</f>
        <v>0</v>
      </c>
      <c r="F119" s="39" t="n">
        <f aca="false">N(F139)/(1-F115)</f>
        <v>0</v>
      </c>
      <c r="G119" s="39" t="n">
        <f aca="false">N(G139)/(1-G115)</f>
        <v>0</v>
      </c>
      <c r="H119" s="39" t="n">
        <f aca="false">N(H139)/(1-H115)</f>
        <v>0</v>
      </c>
      <c r="I119" s="39" t="n">
        <f aca="false">N(I139)/(1-I115)</f>
        <v>0</v>
      </c>
      <c r="J119" s="39" t="n">
        <f aca="false">N(J139)/(1-J115)</f>
        <v>0</v>
      </c>
      <c r="K119" s="39" t="n">
        <f aca="false">N(K139)/(1-K115)</f>
        <v>0</v>
      </c>
      <c r="L119" s="39" t="n">
        <f aca="false">N(L139)/(1-L115)</f>
        <v>0</v>
      </c>
      <c r="M119" s="39" t="n">
        <f aca="false">N(M139)/(1-M115)</f>
        <v>0</v>
      </c>
      <c r="N119" s="39" t="n">
        <f aca="false">N(N139)/(1-N115)</f>
        <v>0</v>
      </c>
      <c r="O119" s="39" t="n">
        <f aca="false">N(O139)/(1-O115)</f>
        <v>0</v>
      </c>
      <c r="P119" s="39" t="n">
        <f aca="false">N(P139)/(1-P115)</f>
        <v>0</v>
      </c>
      <c r="Q119" s="39" t="n">
        <f aca="false">N(Q139)/(1-Q115)</f>
        <v>0</v>
      </c>
      <c r="R119" s="39" t="n">
        <f aca="false">N(R139)/(1-R115)</f>
        <v>0</v>
      </c>
      <c r="S119" s="39" t="n">
        <f aca="false">N(S139)/(1-S115)</f>
        <v>0</v>
      </c>
      <c r="T119" s="39" t="n">
        <f aca="false">N(T139)/(1-T115)</f>
        <v>0</v>
      </c>
      <c r="U119" s="39" t="n">
        <f aca="false">N(U139)/(1-U115)</f>
        <v>0</v>
      </c>
      <c r="V119" s="39" t="n">
        <f aca="false">N(V139)/(1-V115)</f>
        <v>0</v>
      </c>
      <c r="W119" s="39" t="n">
        <f aca="false">N(W139)/(1-W115)</f>
        <v>0</v>
      </c>
      <c r="X119" s="39" t="n">
        <f aca="false">N(X139)/(1-X115)</f>
        <v>0</v>
      </c>
      <c r="Y119" s="39" t="n">
        <f aca="false">N(Y139)/(1-Y115)</f>
        <v>0</v>
      </c>
      <c r="Z119" s="39" t="n">
        <f aca="false">N(Z139)/(1-Z115)</f>
        <v>0</v>
      </c>
      <c r="AA119" s="39" t="n">
        <f aca="false">N(AA139)/(1-AA115)</f>
        <v>0</v>
      </c>
      <c r="AB119" s="39" t="n">
        <f aca="false">N(AB139)/(1-AB115)</f>
        <v>0</v>
      </c>
      <c r="AC119" s="39" t="n">
        <f aca="false">N(AC139)/(1-AC115)</f>
        <v>0</v>
      </c>
      <c r="AD119" s="39" t="n">
        <f aca="false">N(AD139)/(1-AD115)</f>
        <v>0</v>
      </c>
      <c r="AE119" s="39" t="n">
        <f aca="false">N(AE139)/(1-AE115)</f>
        <v>0</v>
      </c>
      <c r="AF119" s="39" t="n">
        <f aca="false">N(AF139)/(1-AF115)</f>
        <v>0</v>
      </c>
      <c r="AG119" s="39" t="n">
        <f aca="false">N(AG139)/(1-AG115)</f>
        <v>0</v>
      </c>
      <c r="AH119" s="39" t="n">
        <f aca="false">N(AH139)/(1-AH115)</f>
        <v>0</v>
      </c>
      <c r="AI119" s="39" t="n">
        <f aca="false">N(AI139)/(1-AI115)</f>
        <v>0</v>
      </c>
      <c r="AJ119" s="39" t="n">
        <f aca="false">N(AJ139)/(1-AJ115)</f>
        <v>0</v>
      </c>
      <c r="AK119" s="39" t="n">
        <f aca="false">N(AK139)/(1-AK115)</f>
        <v>0</v>
      </c>
      <c r="AL119" s="39" t="n">
        <f aca="false">N(AL139)/(1-AL115)</f>
        <v>2.00161290322581</v>
      </c>
      <c r="AM119" s="39" t="n">
        <f aca="false">N(AM139)/(1-AM115)</f>
        <v>2.00161290322581</v>
      </c>
      <c r="AN119" s="39" t="n">
        <f aca="false">N(AN139)/(1-AN115)</f>
        <v>0</v>
      </c>
      <c r="AO119" s="39" t="n">
        <f aca="false">N(AO139)/(1-AO115)</f>
        <v>0</v>
      </c>
      <c r="AP119" s="39" t="n">
        <f aca="false">N(AP139)/(1-AP115)</f>
        <v>0</v>
      </c>
      <c r="AQ119" s="39" t="n">
        <f aca="false">N(AQ139)/(1-AQ115)</f>
        <v>0</v>
      </c>
      <c r="AR119" s="39" t="n">
        <f aca="false">N(AR139)/(1-AR115)</f>
        <v>2.08356164383562</v>
      </c>
      <c r="AS119" s="39" t="n">
        <f aca="false">N(AS139)/(1-AS115)</f>
        <v>2.08356164383562</v>
      </c>
      <c r="AT119" s="39" t="n">
        <f aca="false">N(AT139)/(1-AT115)</f>
        <v>0</v>
      </c>
      <c r="AU119" s="39" t="n">
        <f aca="false">N(AU139)/(1-AU115)</f>
        <v>0</v>
      </c>
      <c r="AV119" s="39" t="n">
        <f aca="false">N(AV139)/(1-AV115)</f>
        <v>0</v>
      </c>
      <c r="AW119" s="39" t="n">
        <f aca="false">N(AW139)/(1-AW115)</f>
        <v>0</v>
      </c>
      <c r="AX119" s="39" t="n">
        <f aca="false">N(AX139)/(1-AX115)</f>
        <v>0</v>
      </c>
      <c r="AY119" s="39" t="n">
        <f aca="false">N(AY139)/(1-AY115)</f>
        <v>0</v>
      </c>
      <c r="AZ119" s="39" t="n">
        <f aca="false">N(AZ139)/(1-AZ115)</f>
        <v>0</v>
      </c>
      <c r="BA119" s="39" t="n">
        <f aca="false">N(BA139)/(1-BA115)</f>
        <v>0</v>
      </c>
      <c r="BB119" s="39" t="n">
        <f aca="false">N(BB139)/(1-BB115)</f>
        <v>0</v>
      </c>
      <c r="BC119" s="39" t="n">
        <f aca="false">N(BC139)/(1-BC115)</f>
        <v>0</v>
      </c>
      <c r="BD119" s="39" t="n">
        <f aca="false">N(BD139)/(1-BD115)</f>
        <v>0</v>
      </c>
      <c r="BE119" s="39" t="n">
        <f aca="false">N(BE139)/(1-BE115)</f>
        <v>0</v>
      </c>
      <c r="BF119" s="39" t="n">
        <f aca="false">N(BF139)/(1-BF115)</f>
        <v>0</v>
      </c>
      <c r="BG119" s="39" t="n">
        <f aca="false">N(BG139)/(1-BG115)</f>
        <v>0</v>
      </c>
      <c r="BH119" s="39" t="n">
        <f aca="false">N(BH139)/(1-BH115)</f>
        <v>0</v>
      </c>
      <c r="BI119" s="39" t="n">
        <f aca="false">N(BI139)/(1-BI115)</f>
        <v>0</v>
      </c>
      <c r="BJ119" s="39" t="n">
        <f aca="false">N(BJ139)/(1-BJ115)</f>
        <v>3.61733333333333</v>
      </c>
      <c r="BK119" s="39" t="n">
        <f aca="false">N(BK139)/(1-BK115)</f>
        <v>3.61733333333333</v>
      </c>
      <c r="BL119" s="39" t="n">
        <f aca="false">N(BL139)/(1-BL115)</f>
        <v>0</v>
      </c>
      <c r="BM119" s="39" t="n">
        <f aca="false">N(BM139)/(1-BM115)</f>
        <v>0</v>
      </c>
      <c r="BN119" s="39" t="n">
        <f aca="false">N(BN139)/(1-BN115)</f>
        <v>0</v>
      </c>
      <c r="BO119" s="39" t="n">
        <f aca="false">N(BO139)/(1-BO115)</f>
        <v>0</v>
      </c>
      <c r="BP119" s="39" t="n">
        <f aca="false">N(BP139)/(1-BP115)</f>
        <v>0</v>
      </c>
      <c r="BQ119" s="39" t="n">
        <f aca="false">N(BQ139)/(1-BQ115)</f>
        <v>0</v>
      </c>
      <c r="BR119" s="39" t="n">
        <f aca="false">N(BR139)/(1-BR115)</f>
        <v>0</v>
      </c>
      <c r="BS119" s="39" t="n">
        <f aca="false">N(BS139)/(1-BS115)</f>
        <v>0</v>
      </c>
      <c r="BT119" s="39" t="n">
        <f aca="false">N(BT139)/(1-BT115)</f>
        <v>0</v>
      </c>
      <c r="BU119" s="39" t="n">
        <f aca="false">N(BU139)/(1-BU115)</f>
        <v>0</v>
      </c>
      <c r="BV119" s="39" t="n">
        <f aca="false">N(BV139)/(1-BV115)</f>
        <v>0</v>
      </c>
      <c r="BW119" s="39" t="n">
        <f aca="false">N(BW139)/(1-BW115)</f>
        <v>0</v>
      </c>
      <c r="BX119" s="39" t="n">
        <f aca="false">N(BX139)/(1-BX115)</f>
        <v>0</v>
      </c>
      <c r="BY119" s="39" t="n">
        <f aca="false">N(BY139)/(1-BY115)</f>
        <v>0</v>
      </c>
      <c r="BZ119" s="39" t="n">
        <f aca="false">N(BZ139)/(1-BZ115)</f>
        <v>0</v>
      </c>
      <c r="CA119" s="39" t="n">
        <f aca="false">N(CA139)/(1-CA115)</f>
        <v>0</v>
      </c>
      <c r="CB119" s="39" t="n">
        <f aca="false">N(CB139)/(1-CB115)</f>
        <v>0</v>
      </c>
      <c r="CC119" s="39" t="n">
        <f aca="false">N(CC139)/(1-CC115)</f>
        <v>0</v>
      </c>
      <c r="CD119" s="39" t="n">
        <f aca="false">N(CD139)/(1-CD115)</f>
        <v>0</v>
      </c>
      <c r="CE119" s="39" t="n">
        <f aca="false">N(CE139)/(1-CE115)</f>
        <v>0</v>
      </c>
      <c r="CF119" s="39" t="n">
        <f aca="false">N(CF139)/(1-CF115)</f>
        <v>0</v>
      </c>
      <c r="CG119" s="39" t="n">
        <f aca="false">N(CG139)/(1-CG115)</f>
        <v>0</v>
      </c>
      <c r="CH119" s="39" t="n">
        <f aca="false">N(CH139)/(1-CH115)</f>
        <v>0</v>
      </c>
      <c r="CI119" s="39" t="n">
        <f aca="false">N(CI139)/(1-CI115)</f>
        <v>0</v>
      </c>
      <c r="CJ119" s="39" t="n">
        <f aca="false">N(CJ139)/(1-CJ115)</f>
        <v>0</v>
      </c>
      <c r="CK119" s="39" t="n">
        <f aca="false">N(CK139)/(1-CK115)</f>
        <v>0</v>
      </c>
      <c r="CL119" s="39" t="n">
        <f aca="false">N(CL139)/(1-CL115)</f>
        <v>0</v>
      </c>
      <c r="CM119" s="39" t="n">
        <f aca="false">N(CM139)/(1-CM115)</f>
        <v>0</v>
      </c>
      <c r="CN119" s="39" t="n">
        <f aca="false">N(CN139)/(1-CN115)</f>
        <v>0</v>
      </c>
      <c r="CO119" s="39" t="n">
        <f aca="false">N(CO139)/(1-CO115)</f>
        <v>0</v>
      </c>
      <c r="CP119" s="40" t="n">
        <f aca="false">N(CP139)/(1-CP115)</f>
        <v>0</v>
      </c>
      <c r="CQ119" s="40" t="n">
        <f aca="false">N(CQ139)/(1-CQ115)</f>
        <v>0</v>
      </c>
      <c r="CR119" s="40" t="n">
        <f aca="false">N(CR139)/(1-CR115)</f>
        <v>0</v>
      </c>
      <c r="CS119" s="40" t="n">
        <f aca="false">N(CS139)/(1-CS115)</f>
        <v>0</v>
      </c>
      <c r="CT119" s="40" t="n">
        <f aca="false">N(CT139)/(1-CT115)</f>
        <v>0</v>
      </c>
      <c r="CU119" s="24"/>
      <c r="CW119" s="6"/>
      <c r="CX119" s="6"/>
      <c r="CY119" s="6"/>
      <c r="CZ119" s="6"/>
    </row>
    <row r="120" customFormat="false" ht="15" hidden="false" customHeight="false" outlineLevel="0" collapsed="false">
      <c r="B120" s="28" t="s">
        <v>239</v>
      </c>
      <c r="C120" s="39" t="n">
        <f aca="false">N(C140)/(1-C115)</f>
        <v>0</v>
      </c>
      <c r="D120" s="39" t="n">
        <f aca="false">N(D140)/(1-D115)</f>
        <v>0</v>
      </c>
      <c r="E120" s="39" t="n">
        <f aca="false">N(E140)/(1-E115)</f>
        <v>0</v>
      </c>
      <c r="F120" s="39" t="n">
        <f aca="false">N(F140)/(1-F115)</f>
        <v>0</v>
      </c>
      <c r="G120" s="39" t="n">
        <f aca="false">N(G140)/(1-G115)</f>
        <v>0</v>
      </c>
      <c r="H120" s="39" t="n">
        <f aca="false">N(H140)/(1-H115)</f>
        <v>0</v>
      </c>
      <c r="I120" s="39" t="n">
        <f aca="false">N(I140)/(1-I115)</f>
        <v>0</v>
      </c>
      <c r="J120" s="39" t="n">
        <f aca="false">N(J140)/(1-J115)</f>
        <v>0</v>
      </c>
      <c r="K120" s="39" t="n">
        <f aca="false">N(K140)/(1-K115)</f>
        <v>0</v>
      </c>
      <c r="L120" s="39" t="n">
        <f aca="false">N(L140)/(1-L115)</f>
        <v>0</v>
      </c>
      <c r="M120" s="39" t="n">
        <f aca="false">N(M140)/(1-M115)</f>
        <v>0</v>
      </c>
      <c r="N120" s="39" t="n">
        <f aca="false">N(N140)/(1-N115)</f>
        <v>0</v>
      </c>
      <c r="O120" s="39" t="n">
        <f aca="false">N(O140)/(1-O115)</f>
        <v>0</v>
      </c>
      <c r="P120" s="39" t="n">
        <f aca="false">N(P140)/(1-P115)</f>
        <v>0</v>
      </c>
      <c r="Q120" s="39" t="n">
        <f aca="false">N(Q140)/(1-Q115)</f>
        <v>0</v>
      </c>
      <c r="R120" s="39" t="n">
        <f aca="false">N(R140)/(1-R115)</f>
        <v>0</v>
      </c>
      <c r="S120" s="39" t="n">
        <f aca="false">N(S140)/(1-S115)</f>
        <v>0</v>
      </c>
      <c r="T120" s="39" t="n">
        <f aca="false">N(T140)/(1-T115)</f>
        <v>0</v>
      </c>
      <c r="U120" s="39" t="n">
        <f aca="false">N(U140)/(1-U115)</f>
        <v>0</v>
      </c>
      <c r="V120" s="39" t="n">
        <f aca="false">N(V140)/(1-V115)</f>
        <v>0</v>
      </c>
      <c r="W120" s="39" t="n">
        <f aca="false">N(W140)/(1-W115)</f>
        <v>0</v>
      </c>
      <c r="X120" s="39" t="n">
        <f aca="false">N(X140)/(1-X115)</f>
        <v>0</v>
      </c>
      <c r="Y120" s="39" t="n">
        <f aca="false">N(Y140)/(1-Y115)</f>
        <v>0</v>
      </c>
      <c r="Z120" s="39" t="n">
        <f aca="false">N(Z140)/(1-Z115)</f>
        <v>0</v>
      </c>
      <c r="AA120" s="39" t="n">
        <f aca="false">N(AA140)/(1-AA115)</f>
        <v>0</v>
      </c>
      <c r="AB120" s="39" t="n">
        <f aca="false">N(AB140)/(1-AB115)</f>
        <v>0</v>
      </c>
      <c r="AC120" s="39" t="n">
        <f aca="false">N(AC140)/(1-AC115)</f>
        <v>0</v>
      </c>
      <c r="AD120" s="39" t="n">
        <f aca="false">N(AD140)/(1-AD115)</f>
        <v>0</v>
      </c>
      <c r="AE120" s="39" t="n">
        <f aca="false">N(AE140)/(1-AE115)</f>
        <v>0</v>
      </c>
      <c r="AF120" s="39" t="n">
        <f aca="false">N(AF140)/(1-AF115)</f>
        <v>0</v>
      </c>
      <c r="AG120" s="39" t="n">
        <f aca="false">N(AG140)/(1-AG115)</f>
        <v>0</v>
      </c>
      <c r="AH120" s="39" t="n">
        <f aca="false">N(AH140)/(1-AH115)</f>
        <v>0</v>
      </c>
      <c r="AI120" s="39" t="n">
        <f aca="false">N(AI140)/(1-AI115)</f>
        <v>0</v>
      </c>
      <c r="AJ120" s="39" t="n">
        <f aca="false">N(AJ140)/(1-AJ115)</f>
        <v>0</v>
      </c>
      <c r="AK120" s="39" t="n">
        <f aca="false">N(AK140)/(1-AK115)</f>
        <v>0</v>
      </c>
      <c r="AL120" s="39" t="n">
        <f aca="false">N(AL140)/(1-AL115)</f>
        <v>0</v>
      </c>
      <c r="AM120" s="39" t="n">
        <f aca="false">N(AM140)/(1-AM115)</f>
        <v>0</v>
      </c>
      <c r="AN120" s="39" t="n">
        <f aca="false">N(AN140)/(1-AN115)</f>
        <v>4.1013698630137</v>
      </c>
      <c r="AO120" s="39" t="n">
        <f aca="false">N(AO140)/(1-AO115)</f>
        <v>0</v>
      </c>
      <c r="AP120" s="39" t="n">
        <f aca="false">N(AP140)/(1-AP115)</f>
        <v>4.1013698630137</v>
      </c>
      <c r="AQ120" s="39" t="n">
        <f aca="false">N(AQ140)/(1-AQ115)</f>
        <v>0</v>
      </c>
      <c r="AR120" s="39" t="n">
        <f aca="false">N(AR140)/(1-AR115)</f>
        <v>0</v>
      </c>
      <c r="AS120" s="39" t="n">
        <f aca="false">N(AS140)/(1-AS115)</f>
        <v>4.1013698630137</v>
      </c>
      <c r="AT120" s="39" t="n">
        <f aca="false">N(AT140)/(1-AT115)</f>
        <v>0</v>
      </c>
      <c r="AU120" s="39" t="n">
        <f aca="false">N(AU140)/(1-AU115)</f>
        <v>-2.13066666666667</v>
      </c>
      <c r="AV120" s="39" t="n">
        <f aca="false">N(AV140)/(1-AV115)</f>
        <v>-2.13066666666667</v>
      </c>
      <c r="AW120" s="39" t="n">
        <f aca="false">N(AW140)/(1-AW115)</f>
        <v>0</v>
      </c>
      <c r="AX120" s="39" t="n">
        <f aca="false">N(AX140)/(1-AX115)</f>
        <v>0</v>
      </c>
      <c r="AY120" s="39" t="n">
        <f aca="false">N(AY140)/(1-AY115)</f>
        <v>-2.13066666666667</v>
      </c>
      <c r="AZ120" s="39" t="n">
        <f aca="false">N(AZ140)/(1-AZ115)</f>
        <v>0</v>
      </c>
      <c r="BA120" s="39" t="n">
        <f aca="false">N(BA140)/(1-BA115)</f>
        <v>0</v>
      </c>
      <c r="BB120" s="39" t="n">
        <f aca="false">N(BB140)/(1-BB115)</f>
        <v>0</v>
      </c>
      <c r="BC120" s="39" t="n">
        <f aca="false">N(BC140)/(1-BC115)</f>
        <v>0</v>
      </c>
      <c r="BD120" s="39" t="n">
        <f aca="false">N(BD140)/(1-BD115)</f>
        <v>0</v>
      </c>
      <c r="BE120" s="39" t="n">
        <f aca="false">N(BE140)/(1-BE115)</f>
        <v>0</v>
      </c>
      <c r="BF120" s="39" t="n">
        <f aca="false">N(BF140)/(1-BF115)</f>
        <v>0</v>
      </c>
      <c r="BG120" s="39" t="n">
        <f aca="false">N(BG140)/(1-BG115)</f>
        <v>0</v>
      </c>
      <c r="BH120" s="39" t="n">
        <f aca="false">N(BH140)/(1-BH115)</f>
        <v>0</v>
      </c>
      <c r="BI120" s="39" t="n">
        <f aca="false">N(BI140)/(1-BI115)</f>
        <v>0</v>
      </c>
      <c r="BJ120" s="39" t="n">
        <f aca="false">N(BJ140)/(1-BJ115)</f>
        <v>0</v>
      </c>
      <c r="BK120" s="39" t="n">
        <f aca="false">N(BK140)/(1-BK115)</f>
        <v>0</v>
      </c>
      <c r="BL120" s="39" t="n">
        <f aca="false">N(BL140)/(1-BL115)</f>
        <v>0</v>
      </c>
      <c r="BM120" s="39" t="n">
        <f aca="false">N(BM140)/(1-BM115)</f>
        <v>0</v>
      </c>
      <c r="BN120" s="39" t="n">
        <f aca="false">N(BN140)/(1-BN115)</f>
        <v>0</v>
      </c>
      <c r="BO120" s="39" t="n">
        <f aca="false">N(BO140)/(1-BO115)</f>
        <v>0</v>
      </c>
      <c r="BP120" s="39" t="n">
        <f aca="false">N(BP140)/(1-BP115)</f>
        <v>0</v>
      </c>
      <c r="BQ120" s="39" t="n">
        <f aca="false">N(BQ140)/(1-BQ115)</f>
        <v>0</v>
      </c>
      <c r="BR120" s="39" t="n">
        <f aca="false">N(BR140)/(1-BR115)</f>
        <v>0</v>
      </c>
      <c r="BS120" s="39" t="n">
        <f aca="false">N(BS140)/(1-BS115)</f>
        <v>0</v>
      </c>
      <c r="BT120" s="39" t="n">
        <f aca="false">N(BT140)/(1-BT115)</f>
        <v>0</v>
      </c>
      <c r="BU120" s="39" t="n">
        <f aca="false">N(BU140)/(1-BU115)</f>
        <v>0</v>
      </c>
      <c r="BV120" s="39" t="n">
        <f aca="false">N(BV140)/(1-BV115)</f>
        <v>0</v>
      </c>
      <c r="BW120" s="39" t="n">
        <f aca="false">N(BW140)/(1-BW115)</f>
        <v>0</v>
      </c>
      <c r="BX120" s="39" t="n">
        <f aca="false">N(BX140)/(1-BX115)</f>
        <v>0</v>
      </c>
      <c r="BY120" s="39" t="n">
        <f aca="false">N(BY140)/(1-BY115)</f>
        <v>0</v>
      </c>
      <c r="BZ120" s="39" t="n">
        <f aca="false">N(BZ140)/(1-BZ115)</f>
        <v>0</v>
      </c>
      <c r="CA120" s="39" t="n">
        <f aca="false">N(CA140)/(1-CA115)</f>
        <v>0</v>
      </c>
      <c r="CB120" s="39" t="n">
        <f aca="false">N(CB140)/(1-CB115)</f>
        <v>0</v>
      </c>
      <c r="CC120" s="39" t="n">
        <f aca="false">N(CC140)/(1-CC115)</f>
        <v>0</v>
      </c>
      <c r="CD120" s="39" t="n">
        <f aca="false">N(CD140)/(1-CD115)</f>
        <v>0</v>
      </c>
      <c r="CE120" s="39" t="n">
        <f aca="false">N(CE140)/(1-CE115)</f>
        <v>0</v>
      </c>
      <c r="CF120" s="39" t="n">
        <f aca="false">N(CF140)/(1-CF115)</f>
        <v>0</v>
      </c>
      <c r="CG120" s="39" t="n">
        <f aca="false">N(CG140)/(1-CG115)</f>
        <v>0</v>
      </c>
      <c r="CH120" s="39" t="n">
        <f aca="false">N(CH140)/(1-CH115)</f>
        <v>0</v>
      </c>
      <c r="CI120" s="39" t="n">
        <f aca="false">N(CI140)/(1-CI115)</f>
        <v>0</v>
      </c>
      <c r="CJ120" s="39" t="n">
        <f aca="false">N(CJ140)/(1-CJ115)</f>
        <v>0</v>
      </c>
      <c r="CK120" s="39" t="n">
        <f aca="false">N(CK140)/(1-CK115)</f>
        <v>0</v>
      </c>
      <c r="CL120" s="39" t="n">
        <f aca="false">N(CL140)/(1-CL115)</f>
        <v>0</v>
      </c>
      <c r="CM120" s="39" t="n">
        <f aca="false">N(CM140)/(1-CM115)</f>
        <v>0</v>
      </c>
      <c r="CN120" s="39" t="n">
        <f aca="false">N(CN140)/(1-CN115)</f>
        <v>0</v>
      </c>
      <c r="CO120" s="39" t="n">
        <f aca="false">N(CO140)/(1-CO115)</f>
        <v>0</v>
      </c>
      <c r="CP120" s="40" t="n">
        <f aca="false">N(CP140)/(1-CP115)</f>
        <v>0</v>
      </c>
      <c r="CQ120" s="40" t="n">
        <f aca="false">N(CQ140)/(1-CQ115)</f>
        <v>0</v>
      </c>
      <c r="CR120" s="40" t="n">
        <f aca="false">N(CR140)/(1-CR115)</f>
        <v>0</v>
      </c>
      <c r="CS120" s="40" t="n">
        <f aca="false">N(CS140)/(1-CS115)</f>
        <v>0</v>
      </c>
      <c r="CT120" s="40" t="n">
        <f aca="false">N(CT140)/(1-CT115)</f>
        <v>0</v>
      </c>
      <c r="CU120" s="24"/>
      <c r="CW120" s="6"/>
      <c r="CX120" s="6"/>
      <c r="CY120" s="6"/>
      <c r="CZ120" s="6"/>
    </row>
    <row r="121" customFormat="false" ht="15" hidden="false" customHeight="false" outlineLevel="0" collapsed="false">
      <c r="B121" s="28" t="s">
        <v>240</v>
      </c>
      <c r="C121" s="39" t="n">
        <f aca="false">N(C141)/(1-C115)</f>
        <v>0</v>
      </c>
      <c r="D121" s="39" t="n">
        <f aca="false">N(D141)/(1-D115)</f>
        <v>0</v>
      </c>
      <c r="E121" s="39" t="n">
        <f aca="false">N(E141)/(1-E115)</f>
        <v>0</v>
      </c>
      <c r="F121" s="39" t="n">
        <f aca="false">N(F141)/(1-F115)</f>
        <v>0</v>
      </c>
      <c r="G121" s="39" t="n">
        <f aca="false">N(G141)/(1-G115)</f>
        <v>0</v>
      </c>
      <c r="H121" s="39" t="n">
        <f aca="false">N(H141)/(1-H115)</f>
        <v>0</v>
      </c>
      <c r="I121" s="39" t="n">
        <f aca="false">N(I141)/(1-I115)</f>
        <v>0</v>
      </c>
      <c r="J121" s="39" t="n">
        <f aca="false">N(J141)/(1-J115)</f>
        <v>0</v>
      </c>
      <c r="K121" s="39" t="n">
        <f aca="false">N(K141)/(1-K115)</f>
        <v>0</v>
      </c>
      <c r="L121" s="39" t="n">
        <f aca="false">N(L141)/(1-L115)</f>
        <v>0</v>
      </c>
      <c r="M121" s="39" t="n">
        <f aca="false">N(M141)/(1-M115)</f>
        <v>0</v>
      </c>
      <c r="N121" s="39" t="n">
        <f aca="false">N(N141)/(1-N115)</f>
        <v>0</v>
      </c>
      <c r="O121" s="39" t="n">
        <f aca="false">N(O141)/(1-O115)</f>
        <v>0</v>
      </c>
      <c r="P121" s="39" t="n">
        <f aca="false">N(P141)/(1-P115)</f>
        <v>0</v>
      </c>
      <c r="Q121" s="39" t="n">
        <f aca="false">N(Q141)/(1-Q115)</f>
        <v>0</v>
      </c>
      <c r="R121" s="39" t="n">
        <f aca="false">N(R141)/(1-R115)</f>
        <v>0</v>
      </c>
      <c r="S121" s="39" t="n">
        <f aca="false">N(S141)/(1-S115)</f>
        <v>0</v>
      </c>
      <c r="T121" s="39" t="n">
        <f aca="false">N(T141)/(1-T115)</f>
        <v>0</v>
      </c>
      <c r="U121" s="39" t="n">
        <f aca="false">N(U141)/(1-U115)</f>
        <v>0</v>
      </c>
      <c r="V121" s="39" t="n">
        <f aca="false">N(V141)/(1-V115)</f>
        <v>0</v>
      </c>
      <c r="W121" s="39" t="n">
        <f aca="false">N(W141)/(1-W115)</f>
        <v>0</v>
      </c>
      <c r="X121" s="39" t="n">
        <f aca="false">N(X141)/(1-X115)</f>
        <v>0</v>
      </c>
      <c r="Y121" s="39" t="n">
        <f aca="false">N(Y141)/(1-Y115)</f>
        <v>0</v>
      </c>
      <c r="Z121" s="39" t="n">
        <f aca="false">N(Z141)/(1-Z115)</f>
        <v>0</v>
      </c>
      <c r="AA121" s="39" t="n">
        <f aca="false">N(AA141)/(1-AA115)</f>
        <v>0</v>
      </c>
      <c r="AB121" s="39" t="n">
        <f aca="false">N(AB141)/(1-AB115)</f>
        <v>0</v>
      </c>
      <c r="AC121" s="39" t="n">
        <f aca="false">N(AC141)/(1-AC115)</f>
        <v>0</v>
      </c>
      <c r="AD121" s="39" t="n">
        <f aca="false">N(AD141)/(1-AD115)</f>
        <v>0</v>
      </c>
      <c r="AE121" s="39" t="n">
        <f aca="false">N(AE141)/(1-AE115)</f>
        <v>0</v>
      </c>
      <c r="AF121" s="39" t="n">
        <f aca="false">N(AF141)/(1-AF115)</f>
        <v>0</v>
      </c>
      <c r="AG121" s="39" t="n">
        <f aca="false">N(AG141)/(1-AG115)</f>
        <v>0</v>
      </c>
      <c r="AH121" s="39" t="n">
        <f aca="false">N(AH141)/(1-AH115)</f>
        <v>0</v>
      </c>
      <c r="AI121" s="39" t="n">
        <f aca="false">N(AI141)/(1-AI115)</f>
        <v>0</v>
      </c>
      <c r="AJ121" s="39" t="n">
        <f aca="false">N(AJ141)/(1-AJ115)</f>
        <v>0</v>
      </c>
      <c r="AK121" s="39" t="n">
        <f aca="false">N(AK141)/(1-AK115)</f>
        <v>0</v>
      </c>
      <c r="AL121" s="39" t="n">
        <f aca="false">N(AL141)/(1-AL115)</f>
        <v>0</v>
      </c>
      <c r="AM121" s="39" t="n">
        <f aca="false">N(AM141)/(1-AM115)</f>
        <v>0</v>
      </c>
      <c r="AN121" s="39" t="n">
        <f aca="false">N(AN141)/(1-AN115)</f>
        <v>0</v>
      </c>
      <c r="AO121" s="39" t="n">
        <f aca="false">N(AO141)/(1-AO115)</f>
        <v>0</v>
      </c>
      <c r="AP121" s="39" t="n">
        <f aca="false">N(AP141)/(1-AP115)</f>
        <v>0</v>
      </c>
      <c r="AQ121" s="39" t="n">
        <f aca="false">N(AQ141)/(1-AQ115)</f>
        <v>0</v>
      </c>
      <c r="AR121" s="39" t="n">
        <f aca="false">N(AR141)/(1-AR115)</f>
        <v>1.39315068493151</v>
      </c>
      <c r="AS121" s="39" t="n">
        <f aca="false">N(AS141)/(1-AS115)</f>
        <v>1.39315068493151</v>
      </c>
      <c r="AT121" s="39" t="n">
        <f aca="false">N(AT141)/(1-AT115)</f>
        <v>0</v>
      </c>
      <c r="AU121" s="39" t="n">
        <f aca="false">N(AU141)/(1-AU115)</f>
        <v>0</v>
      </c>
      <c r="AV121" s="39" t="n">
        <f aca="false">N(AV141)/(1-AV115)</f>
        <v>0</v>
      </c>
      <c r="AW121" s="39" t="n">
        <f aca="false">N(AW141)/(1-AW115)</f>
        <v>0</v>
      </c>
      <c r="AX121" s="39" t="n">
        <f aca="false">N(AX141)/(1-AX115)</f>
        <v>1.304</v>
      </c>
      <c r="AY121" s="39" t="n">
        <f aca="false">N(AY141)/(1-AY115)</f>
        <v>1.304</v>
      </c>
      <c r="AZ121" s="39" t="n">
        <f aca="false">N(AZ141)/(1-AZ115)</f>
        <v>0</v>
      </c>
      <c r="BA121" s="39" t="n">
        <f aca="false">N(BA141)/(1-BA115)</f>
        <v>0</v>
      </c>
      <c r="BB121" s="39" t="n">
        <f aca="false">N(BB141)/(1-BB115)</f>
        <v>0</v>
      </c>
      <c r="BC121" s="39" t="n">
        <f aca="false">N(BC141)/(1-BC115)</f>
        <v>0</v>
      </c>
      <c r="BD121" s="39" t="n">
        <f aca="false">N(BD141)/(1-BD115)</f>
        <v>0</v>
      </c>
      <c r="BE121" s="39" t="n">
        <f aca="false">N(BE141)/(1-BE115)</f>
        <v>0</v>
      </c>
      <c r="BF121" s="39" t="n">
        <f aca="false">N(BF141)/(1-BF115)</f>
        <v>0</v>
      </c>
      <c r="BG121" s="39" t="n">
        <f aca="false">N(BG141)/(1-BG115)</f>
        <v>0</v>
      </c>
      <c r="BH121" s="39" t="n">
        <f aca="false">N(BH141)/(1-BH115)</f>
        <v>0</v>
      </c>
      <c r="BI121" s="39" t="n">
        <f aca="false">N(BI141)/(1-BI115)</f>
        <v>0</v>
      </c>
      <c r="BJ121" s="39" t="n">
        <f aca="false">N(BJ141)/(1-BJ115)</f>
        <v>0</v>
      </c>
      <c r="BK121" s="39" t="n">
        <f aca="false">N(BK141)/(1-BK115)</f>
        <v>0</v>
      </c>
      <c r="BL121" s="39" t="n">
        <f aca="false">N(BL141)/(1-BL115)</f>
        <v>0</v>
      </c>
      <c r="BM121" s="39" t="n">
        <f aca="false">N(BM141)/(1-BM115)</f>
        <v>0</v>
      </c>
      <c r="BN121" s="39" t="n">
        <f aca="false">N(BN141)/(1-BN115)</f>
        <v>0</v>
      </c>
      <c r="BO121" s="39" t="n">
        <f aca="false">N(BO141)/(1-BO115)</f>
        <v>0</v>
      </c>
      <c r="BP121" s="39" t="n">
        <f aca="false">N(BP141)/(1-BP115)</f>
        <v>0</v>
      </c>
      <c r="BQ121" s="39" t="n">
        <f aca="false">N(BQ141)/(1-BQ115)</f>
        <v>0</v>
      </c>
      <c r="BR121" s="39" t="n">
        <f aca="false">N(BR141)/(1-BR115)</f>
        <v>0</v>
      </c>
      <c r="BS121" s="39" t="n">
        <f aca="false">N(BS141)/(1-BS115)</f>
        <v>0</v>
      </c>
      <c r="BT121" s="39" t="n">
        <f aca="false">N(BT141)/(1-BT115)</f>
        <v>0</v>
      </c>
      <c r="BU121" s="39" t="n">
        <f aca="false">N(BU141)/(1-BU115)</f>
        <v>0</v>
      </c>
      <c r="BV121" s="39" t="n">
        <f aca="false">N(BV141)/(1-BV115)</f>
        <v>0</v>
      </c>
      <c r="BW121" s="39" t="n">
        <f aca="false">N(BW141)/(1-BW115)</f>
        <v>0</v>
      </c>
      <c r="BX121" s="39" t="n">
        <f aca="false">N(BX141)/(1-BX115)</f>
        <v>0</v>
      </c>
      <c r="BY121" s="39" t="n">
        <f aca="false">N(BY141)/(1-BY115)</f>
        <v>0</v>
      </c>
      <c r="BZ121" s="39" t="n">
        <f aca="false">N(BZ141)/(1-BZ115)</f>
        <v>0</v>
      </c>
      <c r="CA121" s="39" t="n">
        <f aca="false">N(CA141)/(1-CA115)</f>
        <v>0</v>
      </c>
      <c r="CB121" s="39" t="n">
        <f aca="false">N(CB141)/(1-CB115)</f>
        <v>0</v>
      </c>
      <c r="CC121" s="39" t="n">
        <f aca="false">N(CC141)/(1-CC115)</f>
        <v>0</v>
      </c>
      <c r="CD121" s="39" t="n">
        <f aca="false">N(CD141)/(1-CD115)</f>
        <v>0</v>
      </c>
      <c r="CE121" s="39" t="n">
        <f aca="false">N(CE141)/(1-CE115)</f>
        <v>0</v>
      </c>
      <c r="CF121" s="39" t="n">
        <f aca="false">N(CF141)/(1-CF115)</f>
        <v>0</v>
      </c>
      <c r="CG121" s="39" t="n">
        <f aca="false">N(CG141)/(1-CG115)</f>
        <v>0</v>
      </c>
      <c r="CH121" s="39" t="n">
        <f aca="false">N(CH141)/(1-CH115)</f>
        <v>0</v>
      </c>
      <c r="CI121" s="39" t="n">
        <f aca="false">N(CI141)/(1-CI115)</f>
        <v>0</v>
      </c>
      <c r="CJ121" s="39" t="n">
        <f aca="false">N(CJ141)/(1-CJ115)</f>
        <v>0</v>
      </c>
      <c r="CK121" s="39" t="n">
        <f aca="false">N(CK141)/(1-CK115)</f>
        <v>0</v>
      </c>
      <c r="CL121" s="39" t="n">
        <f aca="false">N(CL141)/(1-CL115)</f>
        <v>0</v>
      </c>
      <c r="CM121" s="39" t="n">
        <f aca="false">N(CM141)/(1-CM115)</f>
        <v>0</v>
      </c>
      <c r="CN121" s="39" t="n">
        <f aca="false">N(CN141)/(1-CN115)</f>
        <v>0</v>
      </c>
      <c r="CO121" s="39" t="n">
        <f aca="false">N(CO141)/(1-CO115)</f>
        <v>0</v>
      </c>
      <c r="CP121" s="40" t="n">
        <f aca="false">N(CP141)/(1-CP115)</f>
        <v>0</v>
      </c>
      <c r="CQ121" s="40" t="n">
        <f aca="false">N(CQ141)/(1-CQ115)</f>
        <v>0</v>
      </c>
      <c r="CR121" s="40" t="n">
        <f aca="false">N(CR141)/(1-CR115)</f>
        <v>0</v>
      </c>
      <c r="CS121" s="40" t="n">
        <f aca="false">N(CS141)/(1-CS115)</f>
        <v>0</v>
      </c>
      <c r="CT121" s="40" t="n">
        <f aca="false">N(CT141)/(1-CT115)</f>
        <v>0</v>
      </c>
      <c r="CU121" s="24"/>
      <c r="CW121" s="6"/>
      <c r="CX121" s="6"/>
      <c r="CY121" s="6"/>
      <c r="CZ121" s="6"/>
    </row>
    <row r="122" customFormat="false" ht="15" hidden="false" customHeight="false" outlineLevel="0" collapsed="false">
      <c r="B122" s="28" t="s">
        <v>241</v>
      </c>
      <c r="C122" s="39" t="n">
        <f aca="false">N(C142)/(1-C115)</f>
        <v>0</v>
      </c>
      <c r="D122" s="39" t="n">
        <f aca="false">N(D142)/(1-D115)</f>
        <v>0</v>
      </c>
      <c r="E122" s="39" t="n">
        <f aca="false">N(E142)/(1-E115)</f>
        <v>0</v>
      </c>
      <c r="F122" s="39" t="n">
        <f aca="false">N(F142)/(1-F115)</f>
        <v>0</v>
      </c>
      <c r="G122" s="39" t="n">
        <f aca="false">N(G142)/(1-G115)</f>
        <v>0</v>
      </c>
      <c r="H122" s="39" t="n">
        <f aca="false">N(H142)/(1-H115)</f>
        <v>0</v>
      </c>
      <c r="I122" s="39" t="n">
        <f aca="false">N(I142)/(1-I115)</f>
        <v>0</v>
      </c>
      <c r="J122" s="39" t="n">
        <f aca="false">N(J142)/(1-J115)</f>
        <v>0</v>
      </c>
      <c r="K122" s="39" t="n">
        <f aca="false">N(K142)/(1-K115)</f>
        <v>0</v>
      </c>
      <c r="L122" s="39" t="n">
        <f aca="false">N(L142)/(1-L115)</f>
        <v>0</v>
      </c>
      <c r="M122" s="39" t="n">
        <f aca="false">N(M142)/(1-M115)</f>
        <v>0</v>
      </c>
      <c r="N122" s="39" t="n">
        <f aca="false">N(N142)/(1-N115)</f>
        <v>0</v>
      </c>
      <c r="O122" s="39" t="n">
        <f aca="false">N(O142)/(1-O115)</f>
        <v>0</v>
      </c>
      <c r="P122" s="39" t="n">
        <f aca="false">N(P142)/(1-P115)</f>
        <v>0</v>
      </c>
      <c r="Q122" s="39" t="n">
        <f aca="false">N(Q142)/(1-Q115)</f>
        <v>0</v>
      </c>
      <c r="R122" s="39" t="n">
        <f aca="false">N(R142)/(1-R115)</f>
        <v>0</v>
      </c>
      <c r="S122" s="39" t="n">
        <f aca="false">N(S142)/(1-S115)</f>
        <v>0</v>
      </c>
      <c r="T122" s="39" t="n">
        <f aca="false">N(T142)/(1-T115)</f>
        <v>0</v>
      </c>
      <c r="U122" s="39" t="n">
        <f aca="false">N(U142)/(1-U115)</f>
        <v>0</v>
      </c>
      <c r="V122" s="39" t="n">
        <f aca="false">N(V142)/(1-V115)</f>
        <v>0</v>
      </c>
      <c r="W122" s="39" t="n">
        <f aca="false">N(W142)/(1-W115)</f>
        <v>0</v>
      </c>
      <c r="X122" s="39" t="n">
        <f aca="false">N(X142)/(1-X115)</f>
        <v>0</v>
      </c>
      <c r="Y122" s="39" t="n">
        <f aca="false">N(Y142)/(1-Y115)</f>
        <v>0</v>
      </c>
      <c r="Z122" s="39" t="n">
        <f aca="false">N(Z142)/(1-Z115)</f>
        <v>0</v>
      </c>
      <c r="AA122" s="39" t="n">
        <f aca="false">N(AA142)/(1-AA115)</f>
        <v>0</v>
      </c>
      <c r="AB122" s="39" t="n">
        <f aca="false">N(AB142)/(1-AB115)</f>
        <v>0</v>
      </c>
      <c r="AC122" s="39" t="n">
        <f aca="false">N(AC142)/(1-AC115)</f>
        <v>0</v>
      </c>
      <c r="AD122" s="39" t="n">
        <f aca="false">N(AD142)/(1-AD115)</f>
        <v>0</v>
      </c>
      <c r="AE122" s="39" t="n">
        <f aca="false">N(AE142)/(1-AE115)</f>
        <v>0</v>
      </c>
      <c r="AF122" s="39" t="n">
        <f aca="false">N(AF142)/(1-AF115)</f>
        <v>0</v>
      </c>
      <c r="AG122" s="39" t="n">
        <f aca="false">N(AG142)/(1-AG115)</f>
        <v>0</v>
      </c>
      <c r="AH122" s="39" t="n">
        <f aca="false">N(AH142)/(1-AH115)</f>
        <v>0</v>
      </c>
      <c r="AI122" s="39" t="n">
        <f aca="false">N(AI142)/(1-AI115)</f>
        <v>0</v>
      </c>
      <c r="AJ122" s="39" t="n">
        <f aca="false">N(AJ142)/(1-AJ115)</f>
        <v>0</v>
      </c>
      <c r="AK122" s="39" t="n">
        <f aca="false">N(AK142)/(1-AK115)</f>
        <v>0</v>
      </c>
      <c r="AL122" s="39" t="n">
        <f aca="false">N(AL142)/(1-AL115)</f>
        <v>0</v>
      </c>
      <c r="AM122" s="39" t="n">
        <f aca="false">N(AM142)/(1-AM115)</f>
        <v>0</v>
      </c>
      <c r="AN122" s="39" t="n">
        <f aca="false">N(AN142)/(1-AN115)</f>
        <v>0</v>
      </c>
      <c r="AO122" s="39" t="n">
        <f aca="false">N(AO142)/(1-AO115)</f>
        <v>0</v>
      </c>
      <c r="AP122" s="39" t="n">
        <f aca="false">N(AP142)/(1-AP115)</f>
        <v>0</v>
      </c>
      <c r="AQ122" s="39" t="n">
        <f aca="false">N(AQ142)/(1-AQ115)</f>
        <v>0</v>
      </c>
      <c r="AR122" s="39" t="n">
        <f aca="false">N(AR142)/(1-AR115)</f>
        <v>0</v>
      </c>
      <c r="AS122" s="39" t="n">
        <f aca="false">N(AS142)/(1-AS115)</f>
        <v>0</v>
      </c>
      <c r="AT122" s="39" t="n">
        <f aca="false">N(AT142)/(1-AT115)</f>
        <v>0</v>
      </c>
      <c r="AU122" s="39" t="n">
        <f aca="false">N(AU142)/(1-AU115)</f>
        <v>0</v>
      </c>
      <c r="AV122" s="39" t="n">
        <f aca="false">N(AV142)/(1-AV115)</f>
        <v>0</v>
      </c>
      <c r="AW122" s="39" t="n">
        <f aca="false">N(AW142)/(1-AW115)</f>
        <v>0</v>
      </c>
      <c r="AX122" s="39" t="n">
        <f aca="false">N(AX142)/(1-AX115)</f>
        <v>0</v>
      </c>
      <c r="AY122" s="39" t="n">
        <f aca="false">N(AY142)/(1-AY115)</f>
        <v>0</v>
      </c>
      <c r="AZ122" s="39" t="n">
        <f aca="false">N(AZ142)/(1-AZ115)</f>
        <v>0</v>
      </c>
      <c r="BA122" s="39" t="n">
        <f aca="false">N(BA142)/(1-BA115)</f>
        <v>0</v>
      </c>
      <c r="BB122" s="39" t="n">
        <f aca="false">N(BB142)/(1-BB115)</f>
        <v>0</v>
      </c>
      <c r="BC122" s="39" t="n">
        <f aca="false">N(BC142)/(1-BC115)</f>
        <v>0</v>
      </c>
      <c r="BD122" s="39" t="n">
        <f aca="false">N(BD142)/(1-BD115)</f>
        <v>0</v>
      </c>
      <c r="BE122" s="39" t="n">
        <f aca="false">N(BE142)/(1-BE115)</f>
        <v>0</v>
      </c>
      <c r="BF122" s="39" t="n">
        <f aca="false">N(BF142)/(1-BF115)</f>
        <v>0</v>
      </c>
      <c r="BG122" s="39" t="n">
        <f aca="false">N(BG142)/(1-BG115)</f>
        <v>0</v>
      </c>
      <c r="BH122" s="39" t="n">
        <f aca="false">N(BH142)/(1-BH115)</f>
        <v>0</v>
      </c>
      <c r="BI122" s="39" t="n">
        <f aca="false">N(BI142)/(1-BI115)</f>
        <v>0</v>
      </c>
      <c r="BJ122" s="39" t="n">
        <f aca="false">N(BJ142)/(1-BJ115)</f>
        <v>0</v>
      </c>
      <c r="BK122" s="39" t="n">
        <f aca="false">N(BK142)/(1-BK115)</f>
        <v>0</v>
      </c>
      <c r="BL122" s="39" t="n">
        <f aca="false">N(BL142)/(1-BL115)</f>
        <v>0</v>
      </c>
      <c r="BM122" s="39" t="n">
        <f aca="false">N(BM142)/(1-BM115)</f>
        <v>0</v>
      </c>
      <c r="BN122" s="39" t="n">
        <f aca="false">N(BN142)/(1-BN115)</f>
        <v>0</v>
      </c>
      <c r="BO122" s="39" t="n">
        <f aca="false">N(BO142)/(1-BO115)</f>
        <v>6.78933333333333</v>
      </c>
      <c r="BP122" s="39" t="n">
        <f aca="false">N(BP142)/(1-BP115)</f>
        <v>0</v>
      </c>
      <c r="BQ122" s="39" t="n">
        <f aca="false">N(BQ142)/(1-BQ115)</f>
        <v>6.78933333333333</v>
      </c>
      <c r="BR122" s="39" t="n">
        <f aca="false">N(BR142)/(1-BR115)</f>
        <v>0</v>
      </c>
      <c r="BS122" s="39" t="n">
        <f aca="false">N(BS142)/(1-BS115)</f>
        <v>0</v>
      </c>
      <c r="BT122" s="39" t="n">
        <f aca="false">N(BT142)/(1-BT115)</f>
        <v>0</v>
      </c>
      <c r="BU122" s="39" t="n">
        <f aca="false">N(BU142)/(1-BU115)</f>
        <v>0</v>
      </c>
      <c r="BV122" s="39" t="n">
        <f aca="false">N(BV142)/(1-BV115)</f>
        <v>0</v>
      </c>
      <c r="BW122" s="39" t="n">
        <f aca="false">N(BW142)/(1-BW115)</f>
        <v>0</v>
      </c>
      <c r="BX122" s="39" t="n">
        <f aca="false">N(BX142)/(1-BX115)</f>
        <v>0</v>
      </c>
      <c r="BY122" s="39" t="n">
        <f aca="false">N(BY142)/(1-BY115)</f>
        <v>0</v>
      </c>
      <c r="BZ122" s="39" t="n">
        <f aca="false">N(BZ142)/(1-BZ115)</f>
        <v>0</v>
      </c>
      <c r="CA122" s="39" t="n">
        <f aca="false">N(CA142)/(1-CA115)</f>
        <v>0</v>
      </c>
      <c r="CB122" s="39" t="n">
        <f aca="false">N(CB142)/(1-CB115)</f>
        <v>0</v>
      </c>
      <c r="CC122" s="39" t="n">
        <f aca="false">N(CC142)/(1-CC115)</f>
        <v>0</v>
      </c>
      <c r="CD122" s="39" t="n">
        <f aca="false">N(CD142)/(1-CD115)</f>
        <v>0</v>
      </c>
      <c r="CE122" s="39" t="n">
        <f aca="false">N(CE142)/(1-CE115)</f>
        <v>0</v>
      </c>
      <c r="CF122" s="39" t="n">
        <f aca="false">N(CF142)/(1-CF115)</f>
        <v>0</v>
      </c>
      <c r="CG122" s="39" t="n">
        <f aca="false">N(CG142)/(1-CG115)</f>
        <v>0</v>
      </c>
      <c r="CH122" s="39" t="n">
        <f aca="false">N(CH142)/(1-CH115)</f>
        <v>0</v>
      </c>
      <c r="CI122" s="39" t="n">
        <f aca="false">N(CI142)/(1-CI115)</f>
        <v>0</v>
      </c>
      <c r="CJ122" s="39" t="n">
        <f aca="false">N(CJ142)/(1-CJ115)</f>
        <v>0</v>
      </c>
      <c r="CK122" s="39" t="n">
        <f aca="false">N(CK142)/(1-CK115)</f>
        <v>0</v>
      </c>
      <c r="CL122" s="39" t="n">
        <f aca="false">N(CL142)/(1-CL115)</f>
        <v>0</v>
      </c>
      <c r="CM122" s="39" t="n">
        <f aca="false">N(CM142)/(1-CM115)</f>
        <v>0</v>
      </c>
      <c r="CN122" s="39" t="n">
        <f aca="false">N(CN142)/(1-CN115)</f>
        <v>0</v>
      </c>
      <c r="CO122" s="39" t="n">
        <f aca="false">N(CO142)/(1-CO115)</f>
        <v>0</v>
      </c>
      <c r="CP122" s="40" t="n">
        <f aca="false">N(CP142)/(1-CP115)</f>
        <v>0</v>
      </c>
      <c r="CQ122" s="40" t="n">
        <f aca="false">N(CQ142)/(1-CQ115)</f>
        <v>0</v>
      </c>
      <c r="CR122" s="40" t="n">
        <f aca="false">N(CR142)/(1-CR115)</f>
        <v>0</v>
      </c>
      <c r="CS122" s="40" t="n">
        <f aca="false">N(CS142)/(1-CS115)</f>
        <v>0</v>
      </c>
      <c r="CT122" s="40" t="n">
        <f aca="false">N(CT142)/(1-CT115)</f>
        <v>0</v>
      </c>
      <c r="CU122" s="24"/>
      <c r="CW122" s="6"/>
      <c r="CX122" s="6"/>
      <c r="CY122" s="6"/>
      <c r="CZ122" s="6"/>
    </row>
    <row r="123" customFormat="false" ht="15" hidden="false" customHeight="false" outlineLevel="0" collapsed="false">
      <c r="B123" s="28" t="s">
        <v>242</v>
      </c>
      <c r="C123" s="39" t="n">
        <f aca="false">IF(N(C143)&lt;&gt;0,-C85,0)</f>
        <v>0</v>
      </c>
      <c r="D123" s="39" t="n">
        <f aca="false">IF(N(D143)&lt;&gt;0,-D85,0)</f>
        <v>0</v>
      </c>
      <c r="E123" s="39" t="n">
        <f aca="false">IF(N(E143)&lt;&gt;0,-E85,0)</f>
        <v>0</v>
      </c>
      <c r="F123" s="39" t="n">
        <f aca="false">IF(N(F143)&lt;&gt;0,-F85,0)</f>
        <v>0</v>
      </c>
      <c r="G123" s="39" t="n">
        <f aca="false">IF(N(G143)&lt;&gt;0,-G85,0)</f>
        <v>0</v>
      </c>
      <c r="H123" s="39" t="n">
        <f aca="false">IF(N(H143)&lt;&gt;0,-H85,0)</f>
        <v>0</v>
      </c>
      <c r="I123" s="39" t="n">
        <f aca="false">IF(N(I143)&lt;&gt;0,-I85,0)</f>
        <v>0</v>
      </c>
      <c r="J123" s="39" t="n">
        <f aca="false">IF(N(J143)&lt;&gt;0,-J85,0)</f>
        <v>0</v>
      </c>
      <c r="K123" s="39" t="n">
        <f aca="false">IF(N(K143)&lt;&gt;0,-K85,0)</f>
        <v>0</v>
      </c>
      <c r="L123" s="39" t="n">
        <f aca="false">IF(N(L143)&lt;&gt;0,-L85,0)</f>
        <v>0</v>
      </c>
      <c r="M123" s="39" t="n">
        <f aca="false">IF(N(M143)&lt;&gt;0,-M85,0)</f>
        <v>0</v>
      </c>
      <c r="N123" s="39" t="n">
        <f aca="false">IF(N(N143)&lt;&gt;0,-N85,0)</f>
        <v>0</v>
      </c>
      <c r="O123" s="39" t="n">
        <f aca="false">IF(N(O143)&lt;&gt;0,-O85,0)</f>
        <v>0</v>
      </c>
      <c r="P123" s="39" t="n">
        <f aca="false">IF(N(P143)&lt;&gt;0,-P85,0)</f>
        <v>0</v>
      </c>
      <c r="Q123" s="39" t="n">
        <f aca="false">IF(N(Q143)&lt;&gt;0,-Q85,0)</f>
        <v>0</v>
      </c>
      <c r="R123" s="39" t="n">
        <f aca="false">IF(N(R143)&lt;&gt;0,-R85,0)</f>
        <v>0</v>
      </c>
      <c r="S123" s="39" t="n">
        <f aca="false">IF(N(S143)&lt;&gt;0,-S85,0)</f>
        <v>0</v>
      </c>
      <c r="T123" s="39" t="n">
        <f aca="false">IF(N(T143)&lt;&gt;0,-T85,0)</f>
        <v>0</v>
      </c>
      <c r="U123" s="39" t="n">
        <f aca="false">IF(N(U143)&lt;&gt;0,-U85,0)</f>
        <v>0</v>
      </c>
      <c r="V123" s="39" t="n">
        <f aca="false">IF(N(V143)&lt;&gt;0,-V85,0)</f>
        <v>0</v>
      </c>
      <c r="W123" s="39" t="n">
        <f aca="false">IF(N(W143)&lt;&gt;0,-W85,0)</f>
        <v>0</v>
      </c>
      <c r="X123" s="39" t="n">
        <f aca="false">IF(N(X143)&lt;&gt;0,-X85,0)</f>
        <v>0</v>
      </c>
      <c r="Y123" s="39" t="n">
        <f aca="false">IF(N(Y143)&lt;&gt;0,-Y85,0)</f>
        <v>0</v>
      </c>
      <c r="Z123" s="39" t="n">
        <f aca="false">IF(N(Z143)&lt;&gt;0,-Z85,0)</f>
        <v>0</v>
      </c>
      <c r="AA123" s="39" t="n">
        <f aca="false">IF(N(AA143)&lt;&gt;0,-AA85,0)</f>
        <v>0</v>
      </c>
      <c r="AB123" s="39" t="n">
        <f aca="false">IF(N(AB143)&lt;&gt;0,-AB85,0)</f>
        <v>0</v>
      </c>
      <c r="AC123" s="39" t="n">
        <f aca="false">IF(N(AC143)&lt;&gt;0,-AC85,0)</f>
        <v>0</v>
      </c>
      <c r="AD123" s="39" t="n">
        <f aca="false">IF(N(AD143)&lt;&gt;0,-AD85,0)</f>
        <v>0</v>
      </c>
      <c r="AE123" s="39" t="n">
        <f aca="false">IF(N(AE143)&lt;&gt;0,-AE85,0)</f>
        <v>0</v>
      </c>
      <c r="AF123" s="39" t="n">
        <f aca="false">IF(N(AF143)&lt;&gt;0,-AF85,0)</f>
        <v>0</v>
      </c>
      <c r="AG123" s="39" t="n">
        <f aca="false">IF(N(AG143)&lt;&gt;0,-AG85,0)</f>
        <v>0</v>
      </c>
      <c r="AH123" s="39" t="n">
        <f aca="false">IF(N(AH143)&lt;&gt;0,-AH85,0)</f>
        <v>0</v>
      </c>
      <c r="AI123" s="39" t="n">
        <f aca="false">IF(N(AI143)&lt;&gt;0,-AI85,0)</f>
        <v>0</v>
      </c>
      <c r="AJ123" s="39" t="n">
        <f aca="false">IF(N(AJ143)&lt;&gt;0,-AJ85,0)</f>
        <v>0</v>
      </c>
      <c r="AK123" s="39" t="n">
        <f aca="false">IF(N(AK143)&lt;&gt;0,-AK85,0)</f>
        <v>0</v>
      </c>
      <c r="AL123" s="39" t="n">
        <f aca="false">IF(N(AL143)&lt;&gt;0,-AL85,0)</f>
        <v>0</v>
      </c>
      <c r="AM123" s="39" t="n">
        <f aca="false">IF(N(AM143)&lt;&gt;0,-AM85,0)</f>
        <v>0</v>
      </c>
      <c r="AN123" s="39" t="n">
        <f aca="false">IF(N(AN143)&lt;&gt;0,-AN85,0)</f>
        <v>0</v>
      </c>
      <c r="AO123" s="39" t="n">
        <f aca="false">IF(N(AO143)&lt;&gt;0,-AO85,0)</f>
        <v>0</v>
      </c>
      <c r="AP123" s="39" t="n">
        <f aca="false">IF(N(AP143)&lt;&gt;0,-AP85,0)</f>
        <v>0</v>
      </c>
      <c r="AQ123" s="39" t="n">
        <f aca="false">IF(N(AQ143)&lt;&gt;0,-AQ85,0)</f>
        <v>0</v>
      </c>
      <c r="AR123" s="39" t="n">
        <f aca="false">IF(N(AR143)&lt;&gt;0,-AR85,0)</f>
        <v>0</v>
      </c>
      <c r="AS123" s="39" t="n">
        <f aca="false">IF(N(AS143)&lt;&gt;0,-AS85,0)</f>
        <v>0</v>
      </c>
      <c r="AT123" s="39" t="n">
        <f aca="false">IF(N(AT143)&lt;&gt;0,-AT85,0)</f>
        <v>0</v>
      </c>
      <c r="AU123" s="39" t="n">
        <f aca="false">IF(N(AU143)&lt;&gt;0,-AU85,0)</f>
        <v>0</v>
      </c>
      <c r="AV123" s="39" t="n">
        <f aca="false">IF(N(AV143)&lt;&gt;0,-AV85,0)</f>
        <v>0</v>
      </c>
      <c r="AW123" s="39" t="n">
        <f aca="false">IF(N(AW143)&lt;&gt;0,-AW85,0)</f>
        <v>0</v>
      </c>
      <c r="AX123" s="39" t="n">
        <f aca="false">IF(N(AX143)&lt;&gt;0,-AX85,0)</f>
        <v>0</v>
      </c>
      <c r="AY123" s="39" t="n">
        <f aca="false">IF(N(AY143)&lt;&gt;0,-AY85,0)</f>
        <v>0</v>
      </c>
      <c r="AZ123" s="39" t="n">
        <f aca="false">IF(N(AZ143)&lt;&gt;0,-AZ85,0)</f>
        <v>0</v>
      </c>
      <c r="BA123" s="39" t="n">
        <f aca="false">IF(N(BA143)&lt;&gt;0,-BA85,0)</f>
        <v>0</v>
      </c>
      <c r="BB123" s="39" t="n">
        <f aca="false">IF(N(BB143)&lt;&gt;0,-BB85,0)</f>
        <v>0</v>
      </c>
      <c r="BC123" s="39" t="n">
        <f aca="false">IF(N(BC143)&lt;&gt;0,-BC85,0)</f>
        <v>0</v>
      </c>
      <c r="BD123" s="39" t="n">
        <f aca="false">IF(N(BD143)&lt;&gt;0,-BD85,0)</f>
        <v>0</v>
      </c>
      <c r="BE123" s="39" t="n">
        <f aca="false">IF(N(BE143)&lt;&gt;0,-BE85,0)</f>
        <v>0</v>
      </c>
      <c r="BF123" s="39" t="n">
        <f aca="false">IF(N(BF143)&lt;&gt;0,-BF85,0)</f>
        <v>0</v>
      </c>
      <c r="BG123" s="39" t="n">
        <f aca="false">IF(N(BG143)&lt;&gt;0,-BG85,0)</f>
        <v>0</v>
      </c>
      <c r="BH123" s="39" t="n">
        <f aca="false">IF(N(BH143)&lt;&gt;0,-BH85,0)</f>
        <v>0</v>
      </c>
      <c r="BI123" s="39" t="n">
        <f aca="false">IF(N(BI143)&lt;&gt;0,-BI85,0)</f>
        <v>0</v>
      </c>
      <c r="BJ123" s="39" t="n">
        <f aca="false">IF(N(BJ143)&lt;&gt;0,-BJ85,0)</f>
        <v>0</v>
      </c>
      <c r="BK123" s="39" t="n">
        <f aca="false">IF(N(BK143)&lt;&gt;0,-BK85,0)</f>
        <v>0</v>
      </c>
      <c r="BL123" s="39" t="n">
        <f aca="false">IF(N(BL143)&lt;&gt;0,-BL85,0)</f>
        <v>0</v>
      </c>
      <c r="BM123" s="39" t="n">
        <f aca="false">IF(N(BM143)&lt;&gt;0,-BM85,0)</f>
        <v>0</v>
      </c>
      <c r="BN123" s="39" t="n">
        <f aca="false">IF(N(BN143)&lt;&gt;0,-BN85,0)</f>
        <v>0</v>
      </c>
      <c r="BO123" s="39" t="n">
        <f aca="false">IF(N(BO143)&lt;&gt;0,-BO85,0)</f>
        <v>0</v>
      </c>
      <c r="BP123" s="39" t="n">
        <f aca="false">IF(N(BP143)&lt;&gt;0,-BP85,0)</f>
        <v>16.759</v>
      </c>
      <c r="BQ123" s="39" t="n">
        <f aca="false">IF(N(BQ143)&lt;&gt;0,-BQ85,0)</f>
        <v>16.759</v>
      </c>
      <c r="BR123" s="39" t="n">
        <f aca="false">IF(N(BR143)&lt;&gt;0,-BR85,0)</f>
        <v>0</v>
      </c>
      <c r="BS123" s="39" t="n">
        <f aca="false">IF(N(BS143)&lt;&gt;0,-BS85,0)</f>
        <v>0</v>
      </c>
      <c r="BT123" s="39" t="n">
        <f aca="false">IF(N(BT143)&lt;&gt;0,-BT85,0)</f>
        <v>0</v>
      </c>
      <c r="BU123" s="39" t="n">
        <f aca="false">IF(N(BU143)&lt;&gt;0,-BU85,0)</f>
        <v>0</v>
      </c>
      <c r="BV123" s="39" t="n">
        <f aca="false">IF(N(BV143)&lt;&gt;0,-BV85,0)</f>
        <v>0</v>
      </c>
      <c r="BW123" s="39" t="n">
        <f aca="false">IF(N(BW143)&lt;&gt;0,-BW85,0)</f>
        <v>0</v>
      </c>
      <c r="BX123" s="39" t="n">
        <f aca="false">IF(N(BX143)&lt;&gt;0,-BX85,0)</f>
        <v>0</v>
      </c>
      <c r="BY123" s="39" t="n">
        <f aca="false">IF(N(BY143)&lt;&gt;0,-BY85,0)</f>
        <v>0</v>
      </c>
      <c r="BZ123" s="39" t="n">
        <f aca="false">IF(N(BZ143)&lt;&gt;0,-BZ85,0)</f>
        <v>0</v>
      </c>
      <c r="CA123" s="39" t="n">
        <f aca="false">IF(N(CA143)&lt;&gt;0,-CA85,0)</f>
        <v>0</v>
      </c>
      <c r="CB123" s="39" t="n">
        <f aca="false">IF(N(CB143)&lt;&gt;0,-CB85,0)</f>
        <v>0</v>
      </c>
      <c r="CC123" s="39" t="n">
        <f aca="false">IF(N(CC143)&lt;&gt;0,-CC85,0)</f>
        <v>0</v>
      </c>
      <c r="CD123" s="39" t="n">
        <f aca="false">IF(N(CD143)&lt;&gt;0,-CD85,0)</f>
        <v>0</v>
      </c>
      <c r="CE123" s="39" t="n">
        <f aca="false">IF(N(CE143)&lt;&gt;0,-CE85,0)</f>
        <v>0</v>
      </c>
      <c r="CF123" s="39" t="n">
        <f aca="false">IF(N(CF143)&lt;&gt;0,-CF85,0)</f>
        <v>0</v>
      </c>
      <c r="CG123" s="39" t="n">
        <f aca="false">IF(N(CG143)&lt;&gt;0,-CG85,0)</f>
        <v>0</v>
      </c>
      <c r="CH123" s="39" t="n">
        <f aca="false">IF(N(CH143)&lt;&gt;0,-CH85,0)</f>
        <v>0</v>
      </c>
      <c r="CI123" s="39" t="n">
        <f aca="false">IF(N(CI143)&lt;&gt;0,-CI85,0)</f>
        <v>0</v>
      </c>
      <c r="CJ123" s="39" t="n">
        <f aca="false">IF(N(CJ143)&lt;&gt;0,-CJ85,0)</f>
        <v>0</v>
      </c>
      <c r="CK123" s="39" t="n">
        <f aca="false">IF(N(CK143)&lt;&gt;0,-CK85,0)</f>
        <v>0</v>
      </c>
      <c r="CL123" s="39" t="n">
        <f aca="false">IF(N(CL143)&lt;&gt;0,-CL85,0)</f>
        <v>0</v>
      </c>
      <c r="CM123" s="39" t="n">
        <f aca="false">IF(N(CM143)&lt;&gt;0,-CM85,0)</f>
        <v>0</v>
      </c>
      <c r="CN123" s="39" t="n">
        <f aca="false">IF(N(CN143)&lt;&gt;0,-CN85,0)</f>
        <v>0</v>
      </c>
      <c r="CO123" s="39" t="n">
        <f aca="false">IF(N(CO143)&lt;&gt;0,-CO85,0)</f>
        <v>0</v>
      </c>
      <c r="CP123" s="40" t="n">
        <f aca="false">IF(N(CP143)&lt;&gt;0,-CP85,0)</f>
        <v>0</v>
      </c>
      <c r="CQ123" s="40" t="n">
        <f aca="false">IF(N(CQ143)&lt;&gt;0,-CQ85,0)</f>
        <v>0</v>
      </c>
      <c r="CR123" s="40" t="n">
        <f aca="false">IF(N(CR143)&lt;&gt;0,-CR85,0)</f>
        <v>0</v>
      </c>
      <c r="CS123" s="40" t="n">
        <f aca="false">IF(N(CS143)&lt;&gt;0,-CS85,0)</f>
        <v>0</v>
      </c>
      <c r="CT123" s="40" t="n">
        <f aca="false">IF(N(CT143)&lt;&gt;0,-CT85,0)</f>
        <v>0</v>
      </c>
      <c r="CU123" s="24"/>
      <c r="CW123" s="6"/>
      <c r="CX123" s="6"/>
      <c r="CY123" s="6"/>
      <c r="CZ123" s="6"/>
    </row>
    <row r="124" customFormat="false" ht="15" hidden="false" customHeight="false" outlineLevel="0" collapsed="false">
      <c r="B124" s="28" t="s">
        <v>243</v>
      </c>
      <c r="C124" s="39" t="n">
        <f aca="false">N(C144)/(1-C115)</f>
        <v>0</v>
      </c>
      <c r="D124" s="39" t="n">
        <f aca="false">N(D144)/(1-D115)</f>
        <v>0</v>
      </c>
      <c r="E124" s="39" t="n">
        <f aca="false">N(E144)/(1-E115)</f>
        <v>0</v>
      </c>
      <c r="F124" s="39" t="n">
        <f aca="false">N(F144)/(1-F115)</f>
        <v>0</v>
      </c>
      <c r="G124" s="39" t="n">
        <f aca="false">N(G144)/(1-G115)</f>
        <v>0</v>
      </c>
      <c r="H124" s="39" t="n">
        <f aca="false">N(H144)/(1-H115)</f>
        <v>0</v>
      </c>
      <c r="I124" s="39" t="n">
        <f aca="false">N(I144)/(1-I115)</f>
        <v>0</v>
      </c>
      <c r="J124" s="39" t="n">
        <f aca="false">N(J144)/(1-J115)</f>
        <v>0</v>
      </c>
      <c r="K124" s="39" t="n">
        <f aca="false">N(K144)/(1-K115)</f>
        <v>0</v>
      </c>
      <c r="L124" s="39" t="n">
        <f aca="false">N(L144)/(1-L115)</f>
        <v>0</v>
      </c>
      <c r="M124" s="39" t="n">
        <f aca="false">N(M144)/(1-M115)</f>
        <v>-5.75322580645161</v>
      </c>
      <c r="N124" s="39" t="n">
        <f aca="false">N(N144)/(1-N115)</f>
        <v>0</v>
      </c>
      <c r="O124" s="39" t="n">
        <f aca="false">N(O144)/(1-O115)</f>
        <v>-5.75322580645161</v>
      </c>
      <c r="P124" s="39" t="n">
        <f aca="false">N(P144)/(1-P115)</f>
        <v>0</v>
      </c>
      <c r="Q124" s="39" t="n">
        <f aca="false">N(Q144)/(1-Q115)</f>
        <v>0</v>
      </c>
      <c r="R124" s="39" t="n">
        <f aca="false">N(R144)/(1-R115)</f>
        <v>0</v>
      </c>
      <c r="S124" s="39" t="n">
        <f aca="false">N(S144)/(1-S115)</f>
        <v>0</v>
      </c>
      <c r="T124" s="39" t="n">
        <f aca="false">N(T144)/(1-T115)</f>
        <v>0</v>
      </c>
      <c r="U124" s="39" t="n">
        <f aca="false">N(U144)/(1-U115)</f>
        <v>0</v>
      </c>
      <c r="V124" s="39" t="n">
        <f aca="false">N(V144)/(1-V115)</f>
        <v>0</v>
      </c>
      <c r="W124" s="39" t="n">
        <f aca="false">N(W144)/(1-W115)</f>
        <v>0</v>
      </c>
      <c r="X124" s="39" t="n">
        <f aca="false">N(X144)/(1-X115)</f>
        <v>0</v>
      </c>
      <c r="Y124" s="39" t="n">
        <f aca="false">N(Y144)/(1-Y115)</f>
        <v>0</v>
      </c>
      <c r="Z124" s="39" t="n">
        <f aca="false">N(Z144)/(1-Z115)</f>
        <v>0</v>
      </c>
      <c r="AA124" s="39" t="n">
        <f aca="false">N(AA144)/(1-AA115)</f>
        <v>0</v>
      </c>
      <c r="AB124" s="39" t="n">
        <f aca="false">N(AB144)/(1-AB115)</f>
        <v>0</v>
      </c>
      <c r="AC124" s="39" t="n">
        <f aca="false">N(AC144)/(1-AC115)</f>
        <v>0</v>
      </c>
      <c r="AD124" s="39" t="n">
        <f aca="false">N(AD144)/(1-AD115)</f>
        <v>0</v>
      </c>
      <c r="AE124" s="39" t="n">
        <f aca="false">N(AE144)/(1-AE115)</f>
        <v>0</v>
      </c>
      <c r="AF124" s="39" t="n">
        <f aca="false">N(AF144)/(1-AF115)</f>
        <v>0</v>
      </c>
      <c r="AG124" s="39" t="n">
        <f aca="false">N(AG144)/(1-AG115)</f>
        <v>0</v>
      </c>
      <c r="AH124" s="39" t="n">
        <f aca="false">N(AH144)/(1-AH115)</f>
        <v>0</v>
      </c>
      <c r="AI124" s="39" t="n">
        <f aca="false">N(AI144)/(1-AI115)</f>
        <v>0</v>
      </c>
      <c r="AJ124" s="39" t="n">
        <f aca="false">N(AJ144)/(1-AJ115)</f>
        <v>0</v>
      </c>
      <c r="AK124" s="39" t="n">
        <f aca="false">N(AK144)/(1-AK115)</f>
        <v>0</v>
      </c>
      <c r="AL124" s="39" t="n">
        <f aca="false">N(AL144)/(1-AL115)</f>
        <v>0</v>
      </c>
      <c r="AM124" s="39" t="n">
        <f aca="false">N(AM144)/(1-AM115)</f>
        <v>0</v>
      </c>
      <c r="AN124" s="39" t="n">
        <f aca="false">N(AN144)/(1-AN115)</f>
        <v>0</v>
      </c>
      <c r="AO124" s="39" t="n">
        <f aca="false">N(AO144)/(1-AO115)</f>
        <v>0</v>
      </c>
      <c r="AP124" s="39" t="n">
        <f aca="false">N(AP144)/(1-AP115)</f>
        <v>0</v>
      </c>
      <c r="AQ124" s="39" t="n">
        <f aca="false">N(AQ144)/(1-AQ115)</f>
        <v>0</v>
      </c>
      <c r="AR124" s="39" t="n">
        <f aca="false">N(AR144)/(1-AR115)</f>
        <v>0</v>
      </c>
      <c r="AS124" s="39" t="n">
        <f aca="false">N(AS144)/(1-AS115)</f>
        <v>0</v>
      </c>
      <c r="AT124" s="39" t="n">
        <f aca="false">N(AT144)/(1-AT115)</f>
        <v>0</v>
      </c>
      <c r="AU124" s="39" t="n">
        <f aca="false">N(AU144)/(1-AU115)</f>
        <v>0</v>
      </c>
      <c r="AV124" s="39" t="n">
        <f aca="false">N(AV144)/(1-AV115)</f>
        <v>0</v>
      </c>
      <c r="AW124" s="39" t="n">
        <f aca="false">N(AW144)/(1-AW115)</f>
        <v>0</v>
      </c>
      <c r="AX124" s="39" t="n">
        <f aca="false">N(AX144)/(1-AX115)</f>
        <v>0</v>
      </c>
      <c r="AY124" s="39" t="n">
        <f aca="false">N(AY144)/(1-AY115)</f>
        <v>0</v>
      </c>
      <c r="AZ124" s="39" t="n">
        <f aca="false">N(AZ144)/(1-AZ115)</f>
        <v>0</v>
      </c>
      <c r="BA124" s="39" t="n">
        <f aca="false">N(BA144)/(1-BA115)</f>
        <v>0</v>
      </c>
      <c r="BB124" s="39" t="n">
        <f aca="false">N(BB144)/(1-BB115)</f>
        <v>0</v>
      </c>
      <c r="BC124" s="39" t="n">
        <f aca="false">N(BC144)/(1-BC115)</f>
        <v>0</v>
      </c>
      <c r="BD124" s="39" t="n">
        <f aca="false">N(BD144)/(1-BD115)</f>
        <v>0</v>
      </c>
      <c r="BE124" s="39" t="n">
        <f aca="false">N(BE144)/(1-BE115)</f>
        <v>0</v>
      </c>
      <c r="BF124" s="39" t="n">
        <f aca="false">N(BF144)/(1-BF115)</f>
        <v>0</v>
      </c>
      <c r="BG124" s="39" t="n">
        <f aca="false">N(BG144)/(1-BG115)</f>
        <v>0</v>
      </c>
      <c r="BH124" s="39" t="n">
        <f aca="false">N(BH144)/(1-BH115)</f>
        <v>0</v>
      </c>
      <c r="BI124" s="39" t="n">
        <f aca="false">N(BI144)/(1-BI115)</f>
        <v>0</v>
      </c>
      <c r="BJ124" s="39" t="n">
        <f aca="false">N(BJ144)/(1-BJ115)</f>
        <v>0</v>
      </c>
      <c r="BK124" s="39" t="n">
        <f aca="false">N(BK144)/(1-BK115)</f>
        <v>0</v>
      </c>
      <c r="BL124" s="39" t="n">
        <f aca="false">N(BL144)/(1-BL115)</f>
        <v>0</v>
      </c>
      <c r="BM124" s="39" t="n">
        <f aca="false">N(BM144)/(1-BM115)</f>
        <v>0</v>
      </c>
      <c r="BN124" s="39" t="n">
        <f aca="false">N(BN144)/(1-BN115)</f>
        <v>0</v>
      </c>
      <c r="BO124" s="39" t="n">
        <f aca="false">N(BO144)/(1-BO115)</f>
        <v>0</v>
      </c>
      <c r="BP124" s="39" t="n">
        <f aca="false">N(BP144)/(1-BP115)</f>
        <v>0</v>
      </c>
      <c r="BQ124" s="39" t="n">
        <f aca="false">N(BQ144)/(1-BQ115)</f>
        <v>0</v>
      </c>
      <c r="BR124" s="39" t="n">
        <f aca="false">N(BR144)/(1-BR115)</f>
        <v>0</v>
      </c>
      <c r="BS124" s="39" t="n">
        <f aca="false">N(BS144)/(1-BS115)</f>
        <v>0</v>
      </c>
      <c r="BT124" s="39" t="n">
        <f aca="false">N(BT144)/(1-BT115)</f>
        <v>0</v>
      </c>
      <c r="BU124" s="39" t="n">
        <f aca="false">N(BU144)/(1-BU115)</f>
        <v>0</v>
      </c>
      <c r="BV124" s="39" t="n">
        <f aca="false">N(BV144)/(1-BV115)</f>
        <v>0</v>
      </c>
      <c r="BW124" s="39" t="n">
        <f aca="false">N(BW144)/(1-BW115)</f>
        <v>0</v>
      </c>
      <c r="BX124" s="39" t="n">
        <f aca="false">N(BX144)/(1-BX115)</f>
        <v>0</v>
      </c>
      <c r="BY124" s="39" t="n">
        <f aca="false">N(BY144)/(1-BY115)</f>
        <v>0</v>
      </c>
      <c r="BZ124" s="39" t="n">
        <f aca="false">N(BZ144)/(1-BZ115)</f>
        <v>0</v>
      </c>
      <c r="CA124" s="39" t="n">
        <f aca="false">N(CA144)/(1-CA115)</f>
        <v>0</v>
      </c>
      <c r="CB124" s="39" t="n">
        <f aca="false">N(CB144)/(1-CB115)</f>
        <v>0</v>
      </c>
      <c r="CC124" s="39" t="n">
        <f aca="false">N(CC144)/(1-CC115)</f>
        <v>0</v>
      </c>
      <c r="CD124" s="39" t="n">
        <f aca="false">N(CD144)/(1-CD115)</f>
        <v>0</v>
      </c>
      <c r="CE124" s="39" t="n">
        <f aca="false">N(CE144)/(1-CE115)</f>
        <v>0</v>
      </c>
      <c r="CF124" s="39" t="n">
        <f aca="false">N(CF144)/(1-CF115)</f>
        <v>0</v>
      </c>
      <c r="CG124" s="39" t="n">
        <f aca="false">N(CG144)/(1-CG115)</f>
        <v>0</v>
      </c>
      <c r="CH124" s="39" t="n">
        <f aca="false">N(CH144)/(1-CH115)</f>
        <v>0</v>
      </c>
      <c r="CI124" s="39" t="n">
        <f aca="false">N(CI144)/(1-CI115)</f>
        <v>0</v>
      </c>
      <c r="CJ124" s="39" t="n">
        <f aca="false">N(CJ144)/(1-CJ115)</f>
        <v>0</v>
      </c>
      <c r="CK124" s="39" t="n">
        <f aca="false">N(CK144)/(1-CK115)</f>
        <v>0</v>
      </c>
      <c r="CL124" s="39" t="n">
        <f aca="false">N(CL144)/(1-CL115)</f>
        <v>0</v>
      </c>
      <c r="CM124" s="39" t="n">
        <f aca="false">N(CM144)/(1-CM115)</f>
        <v>0</v>
      </c>
      <c r="CN124" s="39" t="n">
        <f aca="false">N(CN144)/(1-CN115)</f>
        <v>0</v>
      </c>
      <c r="CO124" s="39" t="n">
        <f aca="false">N(CO144)/(1-CO115)</f>
        <v>0</v>
      </c>
      <c r="CP124" s="40" t="n">
        <f aca="false">N(CP144)/(1-CP115)</f>
        <v>0</v>
      </c>
      <c r="CQ124" s="40" t="n">
        <f aca="false">N(CQ144)/(1-CQ115)</f>
        <v>0</v>
      </c>
      <c r="CR124" s="40" t="n">
        <f aca="false">N(CR144)/(1-CR115)</f>
        <v>0</v>
      </c>
      <c r="CS124" s="40" t="n">
        <f aca="false">N(CS144)/(1-CS115)</f>
        <v>0</v>
      </c>
      <c r="CT124" s="40" t="n">
        <f aca="false">N(CT144)/(1-CT115)</f>
        <v>0</v>
      </c>
      <c r="CU124" s="24"/>
      <c r="CW124" s="6"/>
      <c r="CX124" s="6"/>
      <c r="CY124" s="6"/>
      <c r="CZ124" s="6"/>
    </row>
    <row r="125" customFormat="false" ht="15" hidden="false" customHeight="false" outlineLevel="0" collapsed="false">
      <c r="B125" s="20" t="s">
        <v>244</v>
      </c>
      <c r="C125" s="21" t="n">
        <f aca="false">SUM(C116:C124)</f>
        <v>0</v>
      </c>
      <c r="D125" s="21" t="n">
        <f aca="false">SUM(D116:D124)</f>
        <v>0</v>
      </c>
      <c r="E125" s="21" t="n">
        <f aca="false">SUM(E116:E124)</f>
        <v>0</v>
      </c>
      <c r="F125" s="21" t="n">
        <f aca="false">SUM(F116:F124)</f>
        <v>0</v>
      </c>
      <c r="G125" s="21" t="n">
        <f aca="false">SUM(G116:G124)</f>
        <v>0</v>
      </c>
      <c r="H125" s="21" t="n">
        <f aca="false">SUM(H116:H124)</f>
        <v>0</v>
      </c>
      <c r="I125" s="21" t="n">
        <f aca="false">SUM(I116:I124)</f>
        <v>0</v>
      </c>
      <c r="J125" s="21" t="n">
        <f aca="false">SUM(J116:J124)</f>
        <v>0</v>
      </c>
      <c r="K125" s="21" t="n">
        <f aca="false">SUM(K116:K124)</f>
        <v>0</v>
      </c>
      <c r="L125" s="21" t="n">
        <f aca="false">SUM(L116:L124)</f>
        <v>0</v>
      </c>
      <c r="M125" s="21" t="n">
        <f aca="false">SUM(M116:M124)</f>
        <v>-5.75322580645161</v>
      </c>
      <c r="N125" s="21" t="n">
        <f aca="false">SUM(N116:N124)</f>
        <v>0</v>
      </c>
      <c r="O125" s="21" t="n">
        <f aca="false">SUM(O116:O124)</f>
        <v>-5.75322580645161</v>
      </c>
      <c r="P125" s="21" t="n">
        <f aca="false">SUM(P116:P124)</f>
        <v>0</v>
      </c>
      <c r="Q125" s="21" t="n">
        <f aca="false">SUM(Q116:Q124)</f>
        <v>0</v>
      </c>
      <c r="R125" s="21" t="n">
        <f aca="false">SUM(R116:R124)</f>
        <v>0</v>
      </c>
      <c r="S125" s="21" t="n">
        <f aca="false">SUM(S116:S124)</f>
        <v>29.104</v>
      </c>
      <c r="T125" s="21" t="n">
        <f aca="false">SUM(T116:T124)</f>
        <v>0</v>
      </c>
      <c r="U125" s="21" t="n">
        <f aca="false">SUM(U116:U124)</f>
        <v>29.104</v>
      </c>
      <c r="V125" s="21" t="n">
        <f aca="false">SUM(V116:V124)</f>
        <v>0</v>
      </c>
      <c r="W125" s="21" t="n">
        <f aca="false">SUM(W116:W124)</f>
        <v>0</v>
      </c>
      <c r="X125" s="21" t="n">
        <f aca="false">SUM(X116:X124)</f>
        <v>0</v>
      </c>
      <c r="Y125" s="21" t="n">
        <f aca="false">SUM(Y116:Y124)</f>
        <v>0</v>
      </c>
      <c r="Z125" s="21" t="n">
        <f aca="false">SUM(Z116:Z124)</f>
        <v>2.59677419354839</v>
      </c>
      <c r="AA125" s="21" t="n">
        <f aca="false">SUM(AA116:AA124)</f>
        <v>0.861290322580645</v>
      </c>
      <c r="AB125" s="21" t="n">
        <f aca="false">SUM(AB116:AB124)</f>
        <v>-0.825806451612903</v>
      </c>
      <c r="AC125" s="21" t="n">
        <f aca="false">SUM(AC116:AC124)</f>
        <v>-5.63064516129032</v>
      </c>
      <c r="AD125" s="21" t="n">
        <f aca="false">SUM(AD116:AD124)</f>
        <v>-6.45645161290323</v>
      </c>
      <c r="AE125" s="21" t="n">
        <f aca="false">SUM(AE116:AE124)</f>
        <v>0.753225806451613</v>
      </c>
      <c r="AF125" s="21" t="n">
        <f aca="false">SUM(AF116:AF124)</f>
        <v>-5.67903225806452</v>
      </c>
      <c r="AG125" s="21" t="n">
        <f aca="false">SUM(AG116:AG124)</f>
        <v>-7.76129032258065</v>
      </c>
      <c r="AH125" s="21" t="n">
        <f aca="false">SUM(AH116:AH124)</f>
        <v>0.741935483870968</v>
      </c>
      <c r="AI125" s="21" t="n">
        <f aca="false">SUM(AI116:AI124)</f>
        <v>4.38709677419355</v>
      </c>
      <c r="AJ125" s="21" t="n">
        <f aca="false">SUM(AJ116:AJ124)</f>
        <v>5.12903225806452</v>
      </c>
      <c r="AK125" s="21" t="n">
        <f aca="false">SUM(AK116:AK124)</f>
        <v>-0.269354838709677</v>
      </c>
      <c r="AL125" s="21" t="n">
        <f aca="false">SUM(AL116:AL124)</f>
        <v>20.423064516129</v>
      </c>
      <c r="AM125" s="21" t="n">
        <f aca="false">SUM(AM116:AM124)</f>
        <v>25.2811290322581</v>
      </c>
      <c r="AN125" s="21" t="n">
        <f aca="false">SUM(AN116:AN124)</f>
        <v>4.52328767123288</v>
      </c>
      <c r="AO125" s="21" t="n">
        <f aca="false">SUM(AO116:AO124)</f>
        <v>1.05205479452055</v>
      </c>
      <c r="AP125" s="21" t="n">
        <f aca="false">SUM(AP116:AP124)</f>
        <v>5.57534246575343</v>
      </c>
      <c r="AQ125" s="21" t="n">
        <f aca="false">SUM(AQ116:AQ124)</f>
        <v>-0.357534246575343</v>
      </c>
      <c r="AR125" s="21" t="n">
        <f aca="false">SUM(AR116:AR124)</f>
        <v>10.2227808219178</v>
      </c>
      <c r="AS125" s="21" t="n">
        <f aca="false">SUM(AS116:AS124)</f>
        <v>15.5118219178082</v>
      </c>
      <c r="AT125" s="21" t="n">
        <f aca="false">SUM(AT116:AT124)</f>
        <v>-0.46</v>
      </c>
      <c r="AU125" s="21" t="n">
        <f aca="false">SUM(AU116:AU124)</f>
        <v>-2.20533333333333</v>
      </c>
      <c r="AV125" s="21" t="n">
        <f aca="false">SUM(AV116:AV124)</f>
        <v>-2.66533333333333</v>
      </c>
      <c r="AW125" s="21" t="n">
        <f aca="false">SUM(AW116:AW124)</f>
        <v>1.852</v>
      </c>
      <c r="AX125" s="21" t="n">
        <f aca="false">SUM(AX116:AX124)</f>
        <v>1.368</v>
      </c>
      <c r="AY125" s="21" t="n">
        <f aca="false">SUM(AY116:AY124)</f>
        <v>0.558666666666666</v>
      </c>
      <c r="AZ125" s="21" t="n">
        <f aca="false">SUM(AZ116:AZ124)</f>
        <v>3.472</v>
      </c>
      <c r="BA125" s="21" t="n">
        <f aca="false">SUM(BA116:BA124)</f>
        <v>-0.554666666666667</v>
      </c>
      <c r="BB125" s="21" t="n">
        <f aca="false">SUM(BB116:BB124)</f>
        <v>2.91733333333333</v>
      </c>
      <c r="BC125" s="21" t="n">
        <f aca="false">SUM(BC116:BC124)</f>
        <v>-0.653333333333333</v>
      </c>
      <c r="BD125" s="21" t="n">
        <f aca="false">SUM(BD116:BD124)</f>
        <v>-0.357333333333333</v>
      </c>
      <c r="BE125" s="21" t="n">
        <f aca="false">SUM(BE116:BE124)</f>
        <v>1.908</v>
      </c>
      <c r="BF125" s="21" t="n">
        <f aca="false">SUM(BF116:BF124)</f>
        <v>0</v>
      </c>
      <c r="BG125" s="21" t="n">
        <f aca="false">SUM(BG116:BG124)</f>
        <v>0</v>
      </c>
      <c r="BH125" s="21" t="n">
        <f aca="false">SUM(BH116:BH124)</f>
        <v>0</v>
      </c>
      <c r="BI125" s="21" t="n">
        <f aca="false">SUM(BI116:BI124)</f>
        <v>0</v>
      </c>
      <c r="BJ125" s="21" t="n">
        <f aca="false">SUM(BJ116:BJ124)</f>
        <v>3.61733333333333</v>
      </c>
      <c r="BK125" s="21" t="n">
        <f aca="false">SUM(BK116:BK124)</f>
        <v>3.61733333333333</v>
      </c>
      <c r="BL125" s="21" t="n">
        <f aca="false">SUM(BL116:BL124)</f>
        <v>0</v>
      </c>
      <c r="BM125" s="21" t="n">
        <f aca="false">SUM(BM116:BM124)</f>
        <v>0</v>
      </c>
      <c r="BN125" s="21" t="n">
        <f aca="false">SUM(BN116:BN124)</f>
        <v>0</v>
      </c>
      <c r="BO125" s="21" t="n">
        <f aca="false">SUM(BO116:BO124)</f>
        <v>6.78933333333333</v>
      </c>
      <c r="BP125" s="21" t="n">
        <f aca="false">SUM(BP116:BP124)</f>
        <v>16.759</v>
      </c>
      <c r="BQ125" s="21" t="n">
        <f aca="false">SUM(BQ116:BQ124)</f>
        <v>23.5483333333333</v>
      </c>
      <c r="BR125" s="21" t="n">
        <f aca="false">SUM(BR116:BR124)</f>
        <v>0</v>
      </c>
      <c r="BS125" s="21" t="n">
        <f aca="false">SUM(BS116:BS124)</f>
        <v>0</v>
      </c>
      <c r="BT125" s="21" t="n">
        <f aca="false">SUM(BT116:BT124)</f>
        <v>0</v>
      </c>
      <c r="BU125" s="21" t="n">
        <f aca="false">SUM(BU116:BU124)</f>
        <v>0</v>
      </c>
      <c r="BV125" s="21" t="n">
        <f aca="false">SUM(BV116:BV124)</f>
        <v>0</v>
      </c>
      <c r="BW125" s="21" t="n">
        <f aca="false">SUM(BW116:BW124)</f>
        <v>0</v>
      </c>
      <c r="BX125" s="21" t="n">
        <f aca="false">SUM(BX116:BX124)</f>
        <v>0</v>
      </c>
      <c r="BY125" s="21" t="n">
        <f aca="false">SUM(BY116:BY124)</f>
        <v>0</v>
      </c>
      <c r="BZ125" s="21" t="n">
        <f aca="false">SUM(BZ116:BZ124)</f>
        <v>0</v>
      </c>
      <c r="CA125" s="21" t="n">
        <f aca="false">SUM(CA116:CA124)</f>
        <v>0</v>
      </c>
      <c r="CB125" s="21" t="n">
        <f aca="false">SUM(CB116:CB124)</f>
        <v>0</v>
      </c>
      <c r="CC125" s="21" t="n">
        <f aca="false">SUM(CC116:CC124)</f>
        <v>0</v>
      </c>
      <c r="CD125" s="21" t="n">
        <f aca="false">SUM(CD116:CD124)</f>
        <v>0</v>
      </c>
      <c r="CE125" s="21" t="n">
        <f aca="false">SUM(CE116:CE124)</f>
        <v>0</v>
      </c>
      <c r="CF125" s="21" t="n">
        <f aca="false">SUM(CF116:CF124)</f>
        <v>0</v>
      </c>
      <c r="CG125" s="21" t="n">
        <f aca="false">SUM(CG116:CG124)</f>
        <v>0</v>
      </c>
      <c r="CH125" s="21" t="n">
        <f aca="false">SUM(CH116:CH124)</f>
        <v>0</v>
      </c>
      <c r="CI125" s="21" t="n">
        <f aca="false">SUM(CI116:CI124)</f>
        <v>0</v>
      </c>
      <c r="CJ125" s="21" t="n">
        <f aca="false">SUM(CJ116:CJ124)</f>
        <v>0</v>
      </c>
      <c r="CK125" s="21" t="n">
        <f aca="false">SUM(CK116:CK124)</f>
        <v>0</v>
      </c>
      <c r="CL125" s="21" t="n">
        <f aca="false">SUM(CL116:CL124)</f>
        <v>0</v>
      </c>
      <c r="CM125" s="21" t="n">
        <f aca="false">SUM(CM116:CM124)</f>
        <v>0</v>
      </c>
      <c r="CN125" s="21" t="n">
        <f aca="false">SUM(CN116:CN124)</f>
        <v>0</v>
      </c>
      <c r="CO125" s="21" t="n">
        <f aca="false">SUM(CO116:CO124)</f>
        <v>0</v>
      </c>
      <c r="CP125" s="23" t="n">
        <f aca="false">SUM(CP116:CP124)</f>
        <v>0</v>
      </c>
      <c r="CQ125" s="23" t="n">
        <f aca="false">SUM(CQ116:CQ124)</f>
        <v>0</v>
      </c>
      <c r="CR125" s="23" t="n">
        <f aca="false">SUM(CR116:CR124)</f>
        <v>0</v>
      </c>
      <c r="CS125" s="23" t="n">
        <f aca="false">SUM(CS116:CS124)</f>
        <v>0</v>
      </c>
      <c r="CT125" s="23" t="n">
        <f aca="false">SUM(CT116:CT124)</f>
        <v>0</v>
      </c>
      <c r="CU125" s="24"/>
      <c r="CW125" s="6"/>
      <c r="CX125" s="6"/>
      <c r="CY125" s="6"/>
      <c r="CZ125" s="6"/>
    </row>
    <row r="126" customFormat="false" ht="15" hidden="false" customHeight="false" outlineLevel="0" collapsed="false">
      <c r="B126" s="41" t="s">
        <v>245</v>
      </c>
      <c r="C126" s="42" t="n">
        <f aca="false">C113+C125</f>
        <v>197.868</v>
      </c>
      <c r="D126" s="42" t="n">
        <f aca="false">D113+D125</f>
        <v>240.866</v>
      </c>
      <c r="E126" s="42" t="n">
        <f aca="false">E113+E125</f>
        <v>284.902</v>
      </c>
      <c r="F126" s="42" t="n">
        <f aca="false">F113+F125</f>
        <v>267.668</v>
      </c>
      <c r="G126" s="42" t="n">
        <f aca="false">G113+G125</f>
        <v>282.748</v>
      </c>
      <c r="H126" s="42" t="n">
        <f aca="false">H113+H125</f>
        <v>313.156</v>
      </c>
      <c r="I126" s="42" t="n">
        <f aca="false">I113+I125</f>
        <v>337.207</v>
      </c>
      <c r="J126" s="21" t="n">
        <f aca="false">J113+J125</f>
        <v>86.903</v>
      </c>
      <c r="K126" s="21" t="n">
        <f aca="false">K113+K125</f>
        <v>78.126</v>
      </c>
      <c r="L126" s="21" t="n">
        <f aca="false">L113+L125</f>
        <v>165.029</v>
      </c>
      <c r="M126" s="21" t="n">
        <f aca="false">M113+M125</f>
        <v>93.4487741935485</v>
      </c>
      <c r="N126" s="21" t="n">
        <f aca="false">N113+N125</f>
        <v>78.998</v>
      </c>
      <c r="O126" s="42" t="n">
        <f aca="false">O113+O125</f>
        <v>337.475774193548</v>
      </c>
      <c r="P126" s="21" t="n">
        <f aca="false">P113+P125</f>
        <v>80.886</v>
      </c>
      <c r="Q126" s="21" t="n">
        <f aca="false">Q113+Q125</f>
        <v>85.73</v>
      </c>
      <c r="R126" s="21" t="n">
        <f aca="false">R113+R125</f>
        <v>166.616</v>
      </c>
      <c r="S126" s="21" t="n">
        <f aca="false">S113+S125</f>
        <v>105.214</v>
      </c>
      <c r="T126" s="21" t="n">
        <f aca="false">T113+T125</f>
        <v>89.312</v>
      </c>
      <c r="U126" s="42" t="n">
        <f aca="false">U113+U125</f>
        <v>361.142</v>
      </c>
      <c r="V126" s="21" t="n">
        <f aca="false">V113+V125</f>
        <v>97.961</v>
      </c>
      <c r="W126" s="21" t="n">
        <f aca="false">W113+W125</f>
        <v>96.0090000000001</v>
      </c>
      <c r="X126" s="21" t="n">
        <f aca="false">X113+X125</f>
        <v>193.97</v>
      </c>
      <c r="Y126" s="21" t="n">
        <f aca="false">Y113+Y125</f>
        <v>106.164</v>
      </c>
      <c r="Z126" s="21" t="n">
        <f aca="false">Z113+Z125</f>
        <v>98.4087741935484</v>
      </c>
      <c r="AA126" s="42" t="n">
        <f aca="false">AA113+AA125</f>
        <v>396.807290322581</v>
      </c>
      <c r="AB126" s="21" t="n">
        <f aca="false">AB113+AB125</f>
        <v>97.9681935483871</v>
      </c>
      <c r="AC126" s="21" t="n">
        <f aca="false">AC113+AC125</f>
        <v>102.58035483871</v>
      </c>
      <c r="AD126" s="21" t="n">
        <f aca="false">AD113+AD125</f>
        <v>200.548548387097</v>
      </c>
      <c r="AE126" s="21" t="n">
        <f aca="false">AE113+AE125</f>
        <v>135.098225806452</v>
      </c>
      <c r="AF126" s="21" t="n">
        <f aca="false">AF113+AF125</f>
        <v>119.567967741935</v>
      </c>
      <c r="AG126" s="42" t="n">
        <f aca="false">AG113+AG125</f>
        <v>458.835709677419</v>
      </c>
      <c r="AH126" s="21" t="n">
        <f aca="false">AH113+AH125</f>
        <v>123.606935483871</v>
      </c>
      <c r="AI126" s="21" t="n">
        <f aca="false">AI113+AI125</f>
        <v>125.461096774194</v>
      </c>
      <c r="AJ126" s="21" t="n">
        <f aca="false">AJ113+AJ125</f>
        <v>249.068032258065</v>
      </c>
      <c r="AK126" s="21" t="n">
        <f aca="false">AK113+AK125</f>
        <v>149.53264516129</v>
      </c>
      <c r="AL126" s="21" t="n">
        <f aca="false">AL113+AL125</f>
        <v>146.155064516129</v>
      </c>
      <c r="AM126" s="42" t="n">
        <f aca="false">AM113+AM125</f>
        <v>544.754129032258</v>
      </c>
      <c r="AN126" s="21" t="n">
        <f aca="false">AN113+AN125</f>
        <v>139.951287671233</v>
      </c>
      <c r="AO126" s="21" t="n">
        <f aca="false">AO113+AO125</f>
        <v>168.922054794521</v>
      </c>
      <c r="AP126" s="21" t="n">
        <f aca="false">AP113+AP125</f>
        <v>308.873342465753</v>
      </c>
      <c r="AQ126" s="21" t="n">
        <f aca="false">AQ113+AQ125</f>
        <v>191.565465753425</v>
      </c>
      <c r="AR126" s="21" t="n">
        <f aca="false">AR113+AR125</f>
        <v>175.185780821918</v>
      </c>
      <c r="AS126" s="42" t="n">
        <f aca="false">AS113+AS125</f>
        <v>675.695821917808</v>
      </c>
      <c r="AT126" s="21" t="n">
        <f aca="false">AT113+AT125</f>
        <v>173.886</v>
      </c>
      <c r="AU126" s="21" t="n">
        <f aca="false">AU113+AU125</f>
        <v>187.714666666667</v>
      </c>
      <c r="AV126" s="21" t="n">
        <f aca="false">AV113+AV125</f>
        <v>361.600666666667</v>
      </c>
      <c r="AW126" s="21" t="n">
        <f aca="false">AW113+AW125</f>
        <v>232.177</v>
      </c>
      <c r="AX126" s="21" t="n">
        <f aca="false">AX113+AX125</f>
        <v>214.208</v>
      </c>
      <c r="AY126" s="42" t="n">
        <f aca="false">AY113+AY125</f>
        <v>807.989666666667</v>
      </c>
      <c r="AZ126" s="21" t="n">
        <f aca="false">AZ113+AZ125</f>
        <v>232.594</v>
      </c>
      <c r="BA126" s="21" t="n">
        <f aca="false">BA113+BA125</f>
        <v>233.265333333333</v>
      </c>
      <c r="BB126" s="21" t="n">
        <f aca="false">BB113+BB125</f>
        <v>465.859333333333</v>
      </c>
      <c r="BC126" s="21" t="n">
        <f aca="false">BC113+BC125</f>
        <v>223.439666666667</v>
      </c>
      <c r="BD126" s="21" t="n">
        <f aca="false">BD113+BD125</f>
        <v>233.707666666667</v>
      </c>
      <c r="BE126" s="42" t="n">
        <f aca="false">BE113+BE125</f>
        <v>923.008</v>
      </c>
      <c r="BF126" s="21" t="n">
        <f aca="false">BF113+BF125</f>
        <v>280.796</v>
      </c>
      <c r="BG126" s="21" t="n">
        <f aca="false">BG113+BG125</f>
        <v>288.693</v>
      </c>
      <c r="BH126" s="21" t="n">
        <f aca="false">BH113+BH125</f>
        <v>569.489</v>
      </c>
      <c r="BI126" s="21" t="n">
        <f aca="false">BI113+BI125</f>
        <v>360.847</v>
      </c>
      <c r="BJ126" s="21" t="n">
        <f aca="false">BJ113+BJ125</f>
        <v>337.345333333333</v>
      </c>
      <c r="BK126" s="42" t="n">
        <f aca="false">BK113+BK125</f>
        <v>1267.68133333333</v>
      </c>
      <c r="BL126" s="21" t="n">
        <f aca="false">BL113+BL125</f>
        <v>362.693</v>
      </c>
      <c r="BM126" s="21" t="n">
        <f aca="false">BM113+BM125</f>
        <v>379.791</v>
      </c>
      <c r="BN126" s="21" t="n">
        <f aca="false">BN113+BN125</f>
        <v>742.484</v>
      </c>
      <c r="BO126" s="21" t="n">
        <f aca="false">BO113+BO125</f>
        <v>417.465333333333</v>
      </c>
      <c r="BP126" s="21" t="n">
        <f aca="false">BP113+BP125</f>
        <v>359.216</v>
      </c>
      <c r="BQ126" s="42" t="n">
        <f aca="false">BQ113+BQ125</f>
        <v>1519.17533333333</v>
      </c>
      <c r="BR126" s="21" t="n">
        <f aca="false">BR113+BR125</f>
        <v>347.739</v>
      </c>
      <c r="BS126" s="21" t="n">
        <f aca="false">BS113+BS125</f>
        <v>401.037</v>
      </c>
      <c r="BT126" s="21" t="n">
        <f aca="false">BT113+BT125</f>
        <v>748.776</v>
      </c>
      <c r="BU126" s="21" t="n">
        <f aca="false">BU113+BU125</f>
        <v>459.923</v>
      </c>
      <c r="BV126" s="21" t="n">
        <f aca="false">BV113+BV125</f>
        <v>439.179</v>
      </c>
      <c r="BW126" s="42" t="n">
        <f aca="false">BW113+BW125</f>
        <v>1647.878</v>
      </c>
      <c r="BX126" s="21" t="n">
        <f aca="false">BX113+BX125</f>
        <v>434.468</v>
      </c>
      <c r="BY126" s="21" t="n">
        <f aca="false">BY113+BY125</f>
        <v>422.059</v>
      </c>
      <c r="BZ126" s="21" t="n">
        <f aca="false">BZ113+BZ125</f>
        <v>856.527</v>
      </c>
      <c r="CA126" s="21" t="n">
        <f aca="false">CA113+CA125</f>
        <v>486.627</v>
      </c>
      <c r="CB126" s="21" t="n">
        <f aca="false">CB113+CB125</f>
        <v>415.536</v>
      </c>
      <c r="CC126" s="42" t="n">
        <f aca="false">CC113+CC125</f>
        <v>1758.689</v>
      </c>
      <c r="CD126" s="21" t="n">
        <f aca="false">CD113+CD125</f>
        <v>459.398</v>
      </c>
      <c r="CE126" s="21" t="n">
        <f aca="false">CE113+CE125</f>
        <v>476.503</v>
      </c>
      <c r="CF126" s="21" t="n">
        <f aca="false">CF113+CF125</f>
        <v>935.901</v>
      </c>
      <c r="CG126" s="21" t="n">
        <f aca="false">CG113+CG125</f>
        <v>514.444</v>
      </c>
      <c r="CH126" s="21" t="n">
        <f aca="false">CH113+CH125</f>
        <v>482.176</v>
      </c>
      <c r="CI126" s="42" t="n">
        <f aca="false">CI113+CI125</f>
        <v>1932.521</v>
      </c>
      <c r="CJ126" s="21" t="n">
        <f aca="false">CJ113+CJ125</f>
        <v>487.66</v>
      </c>
      <c r="CK126" s="21" t="n">
        <f aca="false">CK113+CK125</f>
        <v>446.449</v>
      </c>
      <c r="CL126" s="21" t="n">
        <f aca="false">CL113+CL125</f>
        <v>934.109</v>
      </c>
      <c r="CM126" s="21" t="n">
        <f aca="false">CM113+CM125</f>
        <v>522.264</v>
      </c>
      <c r="CN126" s="21" t="n">
        <f aca="false">CN113+CN125</f>
        <v>426.054</v>
      </c>
      <c r="CO126" s="42" t="n">
        <f aca="false">CO113+CO125</f>
        <v>1882.427</v>
      </c>
      <c r="CP126" s="42" t="n">
        <f aca="false">CP113+CP125</f>
        <v>1954.7028702</v>
      </c>
      <c r="CQ126" s="42" t="n">
        <f aca="false">CQ113+CQ125</f>
        <v>2095.27949530903</v>
      </c>
      <c r="CR126" s="42" t="n">
        <f aca="false">CR113+CR125</f>
        <v>2252.38751836612</v>
      </c>
      <c r="CS126" s="42" t="n">
        <f aca="false">CS113+CS125</f>
        <v>2419.5924987725</v>
      </c>
      <c r="CT126" s="42" t="n">
        <f aca="false">CT113+CT125</f>
        <v>2599.06893014835</v>
      </c>
      <c r="CU126" s="24"/>
      <c r="CW126" s="25" t="n">
        <f aca="false">IFERROR((CT126/CO126)^(1/5)-1,"n/m")</f>
        <v>0.0666450710871882</v>
      </c>
      <c r="CX126" s="25" t="n">
        <f aca="false">IFERROR((CO126/BK126)^(1/5)-1,"n/m")</f>
        <v>0.0822849258523</v>
      </c>
      <c r="CY126" s="25" t="n">
        <f aca="false">IFERROR((CO126/AG126)^(1/10)-1,"n/m")</f>
        <v>0.151611765743212</v>
      </c>
      <c r="CZ126" s="25" t="n">
        <f aca="false">IFERROR((CO126/C126)^(1/20)-1,"n/m")</f>
        <v>0.119224295387914</v>
      </c>
    </row>
    <row r="127" customFormat="false" ht="15" hidden="false" customHeight="false" outlineLevel="0" collapsed="false">
      <c r="B127" s="28" t="s">
        <v>246</v>
      </c>
      <c r="C127" s="35" t="n">
        <f aca="false">IFERROR(C126/C73,"")</f>
        <v>0.374345168387974</v>
      </c>
      <c r="D127" s="35" t="n">
        <f aca="false">IFERROR(D126/D73,"")</f>
        <v>0.429596204608689</v>
      </c>
      <c r="E127" s="35" t="n">
        <f aca="false">IFERROR(E126/E73,"")</f>
        <v>0.363002772511365</v>
      </c>
      <c r="F127" s="35" t="n">
        <f aca="false">IFERROR(F126/F73,"")</f>
        <v>0.360213273905168</v>
      </c>
      <c r="G127" s="35" t="n">
        <f aca="false">IFERROR(G126/G73,"")</f>
        <v>0.365837343232252</v>
      </c>
      <c r="H127" s="35" t="n">
        <f aca="false">IFERROR(H126/H73,"")</f>
        <v>0.35902256932104</v>
      </c>
      <c r="I127" s="35" t="n">
        <f aca="false">IFERROR(I126/I73,"")</f>
        <v>0.364867219005595</v>
      </c>
      <c r="J127" s="35" t="n">
        <f aca="false">IFERROR(J126/J73,"")</f>
        <v>0.363814858539934</v>
      </c>
      <c r="K127" s="35" t="n">
        <f aca="false">IFERROR(K126/K73,"")</f>
        <v>0.29350263914195</v>
      </c>
      <c r="L127" s="35" t="n">
        <f aca="false">IFERROR(L126/L73,"")</f>
        <v>0.326757099778042</v>
      </c>
      <c r="M127" s="35" t="n">
        <f aca="false">IFERROR(M126/M73,"")</f>
        <v>0.336584956646959</v>
      </c>
      <c r="N127" s="35" t="n">
        <f aca="false">IFERROR(N126/N73,"")</f>
        <v>0.299578683109781</v>
      </c>
      <c r="O127" s="35" t="n">
        <f aca="false">IFERROR(O126/O73,"")</f>
        <v>0.322515567098134</v>
      </c>
      <c r="P127" s="35" t="n">
        <f aca="false">IFERROR(P126/P73,"")</f>
        <v>0.288999331863672</v>
      </c>
      <c r="Q127" s="35" t="n">
        <f aca="false">IFERROR(Q126/Q73,"")</f>
        <v>0.299301060628277</v>
      </c>
      <c r="R127" s="35" t="n">
        <f aca="false">IFERROR(R126/R73,"")</f>
        <v>0.294209780034857</v>
      </c>
      <c r="S127" s="35" t="n">
        <f aca="false">IFERROR(S126/S73,"")</f>
        <v>0.339704638353104</v>
      </c>
      <c r="T127" s="35" t="n">
        <f aca="false">IFERROR(T126/T73,"")</f>
        <v>0.310704470342668</v>
      </c>
      <c r="U127" s="35" t="n">
        <f aca="false">IFERROR(U126/U73,"")</f>
        <v>0.31039571495734</v>
      </c>
      <c r="V127" s="35" t="n">
        <f aca="false">IFERROR(V126/V73,"")</f>
        <v>0.337347530528331</v>
      </c>
      <c r="W127" s="35" t="n">
        <f aca="false">IFERROR(W126/W73,"")</f>
        <v>0.347533827074691</v>
      </c>
      <c r="X127" s="35" t="n">
        <f aca="false">IFERROR(X126/X73,"")</f>
        <v>0.342313692547702</v>
      </c>
      <c r="Y127" s="35" t="n">
        <f aca="false">IFERROR(Y126/Y73,"")</f>
        <v>0.357283722933816</v>
      </c>
      <c r="Z127" s="35" t="n">
        <f aca="false">IFERROR(Z126/Z73,"")</f>
        <v>0.348605081222518</v>
      </c>
      <c r="AA127" s="35" t="n">
        <f aca="false">IFERROR(AA126/AA73,"")</f>
        <v>0.346230312502524</v>
      </c>
      <c r="AB127" s="35" t="n">
        <f aca="false">IFERROR(AB126/AB73,"")</f>
        <v>0.339180417910341</v>
      </c>
      <c r="AC127" s="35" t="n">
        <f aca="false">IFERROR(AC126/AC73,"")</f>
        <v>0.34226994067089</v>
      </c>
      <c r="AD127" s="35" t="n">
        <f aca="false">IFERROR(AD126/AD73,"")</f>
        <v>0.340753704713831</v>
      </c>
      <c r="AE127" s="35" t="n">
        <f aca="false">IFERROR(AE126/AE73,"")</f>
        <v>0.389056247750735</v>
      </c>
      <c r="AF127" s="35" t="n">
        <f aca="false">IFERROR(AF126/AF73,"")</f>
        <v>0.359431032203955</v>
      </c>
      <c r="AG127" s="35" t="n">
        <f aca="false">IFERROR(AG126/AG73,"")</f>
        <v>0.361729726364575</v>
      </c>
      <c r="AH127" s="35" t="n">
        <f aca="false">IFERROR(AH126/AH73,"")</f>
        <v>0.357254771031244</v>
      </c>
      <c r="AI127" s="35" t="n">
        <f aca="false">IFERROR(AI126/AI73,"")</f>
        <v>0.358940230863536</v>
      </c>
      <c r="AJ127" s="35" t="n">
        <f aca="false">IFERROR(AJ126/AJ73,"")</f>
        <v>0.358101791397358</v>
      </c>
      <c r="AK127" s="35" t="n">
        <f aca="false">IFERROR(AK126/AK73,"")</f>
        <v>0.399967488435012</v>
      </c>
      <c r="AL127" s="35" t="n">
        <f aca="false">IFERROR(AL126/AL73,"")</f>
        <v>0.38604492523991</v>
      </c>
      <c r="AM127" s="35" t="n">
        <f aca="false">IFERROR(AM126/AM73,"")</f>
        <v>0.376216351618052</v>
      </c>
      <c r="AN127" s="35" t="n">
        <f aca="false">IFERROR(AN126/AN73,"")</f>
        <v>0.333878749501949</v>
      </c>
      <c r="AO127" s="35" t="n">
        <f aca="false">IFERROR(AO126/AO73,"")</f>
        <v>0.367936935684832</v>
      </c>
      <c r="AP127" s="35" t="n">
        <f aca="false">IFERROR(AP126/AP73,"")</f>
        <v>0.351682211321015</v>
      </c>
      <c r="AQ127" s="35" t="n">
        <f aca="false">IFERROR(AQ126/AQ73,"")</f>
        <v>0.400598634359459</v>
      </c>
      <c r="AR127" s="35" t="n">
        <f aca="false">IFERROR(AR126/AR73,"")</f>
        <v>0.389975092152267</v>
      </c>
      <c r="AS127" s="35" t="n">
        <f aca="false">IFERROR(AS126/AS73,"")</f>
        <v>0.374202632181962</v>
      </c>
      <c r="AT127" s="35" t="n">
        <f aca="false">IFERROR(AT126/AT73,"")</f>
        <v>0.376892198852109</v>
      </c>
      <c r="AU127" s="35" t="n">
        <f aca="false">IFERROR(AU126/AU73,"")</f>
        <v>0.387121965169307</v>
      </c>
      <c r="AV127" s="35" t="n">
        <f aca="false">IFERROR(AV126/AV73,"")</f>
        <v>0.382134269504206</v>
      </c>
      <c r="AW127" s="35" t="n">
        <f aca="false">IFERROR(AW126/AW73,"")</f>
        <v>0.419761858272044</v>
      </c>
      <c r="AX127" s="35" t="n">
        <f aca="false">IFERROR(AX126/AX73,"")</f>
        <v>0.394798875731466</v>
      </c>
      <c r="AY127" s="35" t="n">
        <f aca="false">IFERROR(AY126/AY73,"")</f>
        <v>0.395693771546936</v>
      </c>
      <c r="AZ127" s="35" t="n">
        <f aca="false">IFERROR(AZ126/AZ73,"")</f>
        <v>0.419523685843326</v>
      </c>
      <c r="BA127" s="35" t="n">
        <f aca="false">IFERROR(BA126/BA73,"")</f>
        <v>0.405580090644597</v>
      </c>
      <c r="BB127" s="35" t="n">
        <f aca="false">IFERROR(BB126/BB73,"")</f>
        <v>0.412424026733619</v>
      </c>
      <c r="BC127" s="35" t="n">
        <f aca="false">IFERROR(BC126/BC73,"")</f>
        <v>0.405988201661942</v>
      </c>
      <c r="BD127" s="35" t="n">
        <f aca="false">IFERROR(BD126/BD73,"")</f>
        <v>0.444599382235759</v>
      </c>
      <c r="BE127" s="35" t="n">
        <f aca="false">IFERROR(BE126/BE73,"")</f>
        <v>0.418487084820657</v>
      </c>
      <c r="BF127" s="35" t="n">
        <f aca="false">IFERROR(BF126/BF73,"")</f>
        <v>0.473565622154012</v>
      </c>
      <c r="BG127" s="35" t="n">
        <f aca="false">IFERROR(BG126/BG73,"")</f>
        <v>0.467874385565717</v>
      </c>
      <c r="BH127" s="35" t="n">
        <f aca="false">IFERROR(BH126/BH73,"")</f>
        <v>0.470663346476899</v>
      </c>
      <c r="BI127" s="35" t="n">
        <f aca="false">IFERROR(BI126/BI73,"")</f>
        <v>0.491677453638729</v>
      </c>
      <c r="BJ127" s="35" t="n">
        <f aca="false">IFERROR(BJ126/BJ73,"")</f>
        <v>0.450616904656951</v>
      </c>
      <c r="BK127" s="35" t="n">
        <f aca="false">IFERROR(BK126/BK73,"")</f>
        <v>0.470817513218454</v>
      </c>
      <c r="BL127" s="35" t="n">
        <f aca="false">IFERROR(BL126/BL73,"")</f>
        <v>0.44769617790681</v>
      </c>
      <c r="BM127" s="35" t="n">
        <f aca="false">IFERROR(BM126/BM73,"")</f>
        <v>0.437819611278906</v>
      </c>
      <c r="BN127" s="35" t="n">
        <f aca="false">IFERROR(BN126/BN73,"")</f>
        <v>0.442589139671625</v>
      </c>
      <c r="BO127" s="35" t="n">
        <f aca="false">IFERROR(BO126/BO73,"")</f>
        <v>0.444139933605762</v>
      </c>
      <c r="BP127" s="35" t="n">
        <f aca="false">IFERROR(BP126/BP73,"")</f>
        <v>0.406634457339244</v>
      </c>
      <c r="BQ127" s="35" t="n">
        <f aca="false">IFERROR(BQ126/BQ73,"")</f>
        <v>0.43393590810342</v>
      </c>
      <c r="BR127" s="35" t="n">
        <f aca="false">IFERROR(BR126/BR73,"")</f>
        <v>0.389243226785706</v>
      </c>
      <c r="BS127" s="35" t="n">
        <f aca="false">IFERROR(BS126/BS73,"")</f>
        <v>0.419177317596297</v>
      </c>
      <c r="BT127" s="35" t="n">
        <f aca="false">IFERROR(BT126/BT73,"")</f>
        <v>0.404722781952937</v>
      </c>
      <c r="BU127" s="35" t="n">
        <f aca="false">IFERROR(BU126/BU73,"")</f>
        <v>0.450096933837396</v>
      </c>
      <c r="BV127" s="35" t="n">
        <f aca="false">IFERROR(BV126/BV73,"")</f>
        <v>0.440239537044741</v>
      </c>
      <c r="BW127" s="35" t="n">
        <f aca="false">IFERROR(BW126/BW73,"")</f>
        <v>0.42586130882451</v>
      </c>
      <c r="BX127" s="35" t="n">
        <f aca="false">IFERROR(BX126/BX73,"")</f>
        <v>0.425775370045158</v>
      </c>
      <c r="BY127" s="35" t="n">
        <f aca="false">IFERROR(BY126/BY73,"")</f>
        <v>0.413722897341467</v>
      </c>
      <c r="BZ127" s="35" t="n">
        <f aca="false">IFERROR(BZ126/BZ73,"")</f>
        <v>0.419749922202919</v>
      </c>
      <c r="CA127" s="35" t="n">
        <f aca="false">IFERROR(CA126/CA73,"")</f>
        <v>0.431690498811719</v>
      </c>
      <c r="CB127" s="35" t="n">
        <f aca="false">IFERROR(CB126/CB73,"")</f>
        <v>0.388715050247942</v>
      </c>
      <c r="CC127" s="35" t="n">
        <f aca="false">IFERROR(CC126/CC73,"")</f>
        <v>0.415096169936766</v>
      </c>
      <c r="CD127" s="35" t="n">
        <f aca="false">IFERROR(CD126/CD73,"")</f>
        <v>0.400581080527263</v>
      </c>
      <c r="CE127" s="35" t="n">
        <f aca="false">IFERROR(CE126/CE73,"")</f>
        <v>0.409607535699672</v>
      </c>
      <c r="CF127" s="35" t="n">
        <f aca="false">IFERROR(CF126/CF73,"")</f>
        <v>0.405126518032418</v>
      </c>
      <c r="CG127" s="35" t="n">
        <f aca="false">IFERROR(CG126/CG73,"")</f>
        <v>0.424558229816228</v>
      </c>
      <c r="CH127" s="35" t="n">
        <f aca="false">IFERROR(CH126/CH73,"")</f>
        <v>0.428563937153863</v>
      </c>
      <c r="CI127" s="35" t="n">
        <f aca="false">IFERROR(CI126/CI73,"")</f>
        <v>0.415867972122838</v>
      </c>
      <c r="CJ127" s="35" t="n">
        <f aca="false">IFERROR(CJ126/CJ73,"")</f>
        <v>0.422205483840247</v>
      </c>
      <c r="CK127" s="35" t="n">
        <f aca="false">IFERROR(CK126/CK73,"")</f>
        <v>0.398020280402327</v>
      </c>
      <c r="CL127" s="35" t="n">
        <f aca="false">IFERROR(CL126/CL73,"")</f>
        <v>0.410290050880571</v>
      </c>
      <c r="CM127" s="35" t="n">
        <f aca="false">IFERROR(CM126/CM73,"")</f>
        <v>0.422179576514107</v>
      </c>
      <c r="CN127" s="35" t="n">
        <f aca="false">IFERROR(CN126/CN73,"")</f>
        <v>0.36969765861794</v>
      </c>
      <c r="CO127" s="35" t="n">
        <f aca="false">IFERROR(CO126/CO73,"")</f>
        <v>0.403416777945437</v>
      </c>
      <c r="CP127" s="45" t="n">
        <f aca="false">IFERROR(CP126/CP73,"")</f>
        <v>0.4</v>
      </c>
      <c r="CQ127" s="45" t="n">
        <f aca="false">IFERROR(CQ126/CQ73,"")</f>
        <v>0.405</v>
      </c>
      <c r="CR127" s="45" t="n">
        <f aca="false">IFERROR(CR126/CR73,"")</f>
        <v>0.41</v>
      </c>
      <c r="CS127" s="45" t="n">
        <f aca="false">IFERROR(CS126/CS73,"")</f>
        <v>0.415</v>
      </c>
      <c r="CT127" s="45" t="n">
        <f aca="false">IFERROR(CT126/CT73,"")</f>
        <v>0.42</v>
      </c>
      <c r="CU127" s="24"/>
      <c r="CW127" s="49" t="n">
        <f aca="false">IFERROR(AVERAGE(CP127:CT127),"n/m")</f>
        <v>0.41</v>
      </c>
      <c r="CX127" s="6"/>
      <c r="CY127" s="6"/>
      <c r="CZ127" s="6"/>
    </row>
    <row r="128" customFormat="false" ht="15" hidden="false" customHeight="false" outlineLevel="0" collapsed="false">
      <c r="B128" s="59" t="s">
        <v>247</v>
      </c>
      <c r="C128" s="60"/>
      <c r="D128" s="60"/>
      <c r="E128" s="60"/>
      <c r="F128" s="60"/>
      <c r="G128" s="60"/>
      <c r="H128" s="60"/>
      <c r="I128" s="60"/>
      <c r="K128" s="60"/>
      <c r="M128" s="60"/>
      <c r="Q128" s="60"/>
      <c r="S128" s="60" t="s">
        <v>248</v>
      </c>
      <c r="W128" s="60"/>
      <c r="Y128" s="60"/>
      <c r="AC128" s="60"/>
      <c r="AE128" s="60"/>
      <c r="AF128" s="0" t="s">
        <v>249</v>
      </c>
      <c r="AH128" s="0" t="s">
        <v>250</v>
      </c>
      <c r="AI128" s="60"/>
      <c r="AK128" s="60"/>
      <c r="AL128" s="0" t="s">
        <v>251</v>
      </c>
      <c r="AN128" s="0" t="s">
        <v>252</v>
      </c>
      <c r="AO128" s="60" t="s">
        <v>253</v>
      </c>
      <c r="AQ128" s="60"/>
      <c r="AR128" s="0" t="s">
        <v>254</v>
      </c>
      <c r="AU128" s="60"/>
      <c r="AW128" s="60" t="s">
        <v>255</v>
      </c>
      <c r="BA128" s="60"/>
      <c r="BC128" s="60"/>
      <c r="BG128" s="60" t="s">
        <v>256</v>
      </c>
      <c r="BI128" s="60"/>
      <c r="BL128" s="0" t="s">
        <v>257</v>
      </c>
      <c r="BM128" s="60"/>
      <c r="BO128" s="60"/>
      <c r="BS128" s="60"/>
      <c r="BU128" s="60"/>
      <c r="BX128" s="0" t="s">
        <v>258</v>
      </c>
      <c r="BY128" s="60"/>
      <c r="CA128" s="60"/>
      <c r="CE128" s="60"/>
      <c r="CG128" s="60"/>
      <c r="CK128" s="60"/>
      <c r="CM128" s="60"/>
      <c r="CP128" s="6"/>
      <c r="CQ128" s="6"/>
      <c r="CR128" s="6"/>
      <c r="CS128" s="6"/>
      <c r="CT128" s="6"/>
      <c r="CU128" s="24" t="s">
        <v>259</v>
      </c>
      <c r="CW128" s="6"/>
      <c r="CX128" s="6"/>
      <c r="CY128" s="6"/>
      <c r="CZ128" s="6"/>
    </row>
    <row r="129" customFormat="false" ht="15" hidden="false" customHeight="false" outlineLevel="0" collapsed="false">
      <c r="B129" s="15" t="s">
        <v>260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40"/>
      <c r="CQ129" s="40"/>
      <c r="CR129" s="40"/>
      <c r="CS129" s="40"/>
      <c r="CT129" s="40"/>
      <c r="CU129" s="24"/>
      <c r="CW129" s="6"/>
      <c r="CX129" s="6"/>
      <c r="CY129" s="6"/>
      <c r="CZ129" s="6"/>
    </row>
    <row r="130" customFormat="false" ht="15" hidden="false" customHeight="false" outlineLevel="0" collapsed="false">
      <c r="B130" s="28" t="s">
        <v>261</v>
      </c>
      <c r="C130" s="39" t="n">
        <f aca="false">-C102</f>
        <v>-31.456</v>
      </c>
      <c r="D130" s="39" t="n">
        <f aca="false">-D102</f>
        <v>-37.089</v>
      </c>
      <c r="E130" s="39" t="n">
        <f aca="false">-E102</f>
        <v>-42.804</v>
      </c>
      <c r="F130" s="39" t="n">
        <f aca="false">-F102</f>
        <v>-41.354</v>
      </c>
      <c r="G130" s="39" t="n">
        <f aca="false">-G102</f>
        <v>-43.242</v>
      </c>
      <c r="H130" s="39" t="n">
        <f aca="false">-H102</f>
        <v>-45.694</v>
      </c>
      <c r="I130" s="39" t="n">
        <f aca="false">-I102</f>
        <v>-48.167</v>
      </c>
      <c r="J130" s="39" t="n">
        <f aca="false">-J102</f>
        <v>-12.839</v>
      </c>
      <c r="K130" s="39" t="n">
        <f aca="false">-K102</f>
        <v>-14.612</v>
      </c>
      <c r="L130" s="39" t="n">
        <f aca="false">-L102</f>
        <v>-27.451</v>
      </c>
      <c r="M130" s="39" t="n">
        <f aca="false">-M102</f>
        <v>-14.797</v>
      </c>
      <c r="N130" s="39" t="n">
        <f aca="false">-N102</f>
        <v>-14.48</v>
      </c>
      <c r="O130" s="39" t="n">
        <f aca="false">-O102</f>
        <v>-56.728</v>
      </c>
      <c r="P130" s="39" t="n">
        <f aca="false">-P102</f>
        <v>-14.504</v>
      </c>
      <c r="Q130" s="39" t="n">
        <f aca="false">-Q102</f>
        <v>-13.076</v>
      </c>
      <c r="R130" s="39" t="n">
        <f aca="false">-R102</f>
        <v>-27.58</v>
      </c>
      <c r="S130" s="39" t="n">
        <f aca="false">-S102</f>
        <v>-12.769</v>
      </c>
      <c r="T130" s="39" t="n">
        <f aca="false">-T102</f>
        <v>-13.377</v>
      </c>
      <c r="U130" s="39" t="n">
        <f aca="false">-U102</f>
        <v>-53.726</v>
      </c>
      <c r="V130" s="39" t="n">
        <f aca="false">-V102</f>
        <v>-13.967</v>
      </c>
      <c r="W130" s="39" t="n">
        <f aca="false">-W102</f>
        <v>-11.4</v>
      </c>
      <c r="X130" s="39" t="n">
        <f aca="false">-X102</f>
        <v>-25.367</v>
      </c>
      <c r="Y130" s="39" t="n">
        <f aca="false">-Y102</f>
        <v>-12.212</v>
      </c>
      <c r="Z130" s="39" t="n">
        <f aca="false">-Z102</f>
        <v>-8.994</v>
      </c>
      <c r="AA130" s="39" t="n">
        <f aca="false">-AA102</f>
        <v>-46.573</v>
      </c>
      <c r="AB130" s="39" t="n">
        <f aca="false">-AB102</f>
        <v>-11.521</v>
      </c>
      <c r="AC130" s="39" t="n">
        <f aca="false">-AC102</f>
        <v>-11.691</v>
      </c>
      <c r="AD130" s="39" t="n">
        <f aca="false">-AD102</f>
        <v>-23.212</v>
      </c>
      <c r="AE130" s="39" t="n">
        <f aca="false">-AE102</f>
        <v>-12.358</v>
      </c>
      <c r="AF130" s="39" t="n">
        <f aca="false">-AF102</f>
        <v>-13.005</v>
      </c>
      <c r="AG130" s="39" t="n">
        <f aca="false">-AG102</f>
        <v>-48.575</v>
      </c>
      <c r="AH130" s="39" t="n">
        <f aca="false">-AH102</f>
        <v>-14.709</v>
      </c>
      <c r="AI130" s="39" t="n">
        <f aca="false">-AI102</f>
        <v>-15.215</v>
      </c>
      <c r="AJ130" s="39" t="n">
        <f aca="false">-AJ102</f>
        <v>-29.924</v>
      </c>
      <c r="AK130" s="39" t="n">
        <f aca="false">-AK102</f>
        <v>-13.208</v>
      </c>
      <c r="AL130" s="39" t="n">
        <f aca="false">-AL102</f>
        <v>-13.868</v>
      </c>
      <c r="AM130" s="39" t="n">
        <f aca="false">-AM102</f>
        <v>-57</v>
      </c>
      <c r="AN130" s="39" t="n">
        <f aca="false">-AN102</f>
        <v>-15.902</v>
      </c>
      <c r="AO130" s="39" t="n">
        <f aca="false">-AO102</f>
        <v>-17.871</v>
      </c>
      <c r="AP130" s="39" t="n">
        <f aca="false">-AP102</f>
        <v>-33.773</v>
      </c>
      <c r="AQ130" s="39" t="n">
        <f aca="false">-AQ102</f>
        <v>-16.573</v>
      </c>
      <c r="AR130" s="39" t="n">
        <f aca="false">-AR102</f>
        <v>-28.252</v>
      </c>
      <c r="AS130" s="39" t="n">
        <f aca="false">-AS102</f>
        <v>-78.598</v>
      </c>
      <c r="AT130" s="39" t="n">
        <f aca="false">-AT102</f>
        <v>-21.869</v>
      </c>
      <c r="AU130" s="39" t="n">
        <f aca="false">-AU102</f>
        <v>-20.399</v>
      </c>
      <c r="AV130" s="39" t="n">
        <f aca="false">-AV102</f>
        <v>-42.268</v>
      </c>
      <c r="AW130" s="39" t="n">
        <f aca="false">-AW102</f>
        <v>-21.112</v>
      </c>
      <c r="AX130" s="39" t="n">
        <f aca="false">-AX102</f>
        <v>-21.515</v>
      </c>
      <c r="AY130" s="39" t="n">
        <f aca="false">-AY102</f>
        <v>-84.895</v>
      </c>
      <c r="AZ130" s="39" t="n">
        <f aca="false">-AZ102</f>
        <v>-23.014</v>
      </c>
      <c r="BA130" s="39" t="n">
        <f aca="false">-BA102</f>
        <v>-24.282</v>
      </c>
      <c r="BB130" s="39" t="n">
        <f aca="false">-BB102</f>
        <v>-47.296</v>
      </c>
      <c r="BC130" s="39" t="n">
        <f aca="false">-BC102</f>
        <v>-26.715</v>
      </c>
      <c r="BD130" s="39" t="n">
        <f aca="false">-BD102</f>
        <v>-27.379</v>
      </c>
      <c r="BE130" s="39" t="n">
        <f aca="false">-BE102</f>
        <v>-101.39</v>
      </c>
      <c r="BF130" s="39" t="n">
        <f aca="false">-BF102</f>
        <v>-28.949</v>
      </c>
      <c r="BG130" s="39" t="n">
        <f aca="false">-BG102</f>
        <v>-31.392</v>
      </c>
      <c r="BH130" s="39" t="n">
        <f aca="false">-BH102</f>
        <v>-60.341</v>
      </c>
      <c r="BI130" s="39" t="n">
        <f aca="false">-BI102</f>
        <v>-31.966</v>
      </c>
      <c r="BJ130" s="39" t="n">
        <f aca="false">-BJ102</f>
        <v>-29.664</v>
      </c>
      <c r="BK130" s="39" t="n">
        <f aca="false">-BK102</f>
        <v>-121.971</v>
      </c>
      <c r="BL130" s="39" t="n">
        <f aca="false">-BL102</f>
        <v>-31.76</v>
      </c>
      <c r="BM130" s="39" t="n">
        <f aca="false">-BM102</f>
        <v>-33.303</v>
      </c>
      <c r="BN130" s="39" t="n">
        <f aca="false">-BN102</f>
        <v>-65.063</v>
      </c>
      <c r="BO130" s="39" t="n">
        <f aca="false">-BO102</f>
        <v>-36.579</v>
      </c>
      <c r="BP130" s="39" t="n">
        <f aca="false">-BP102</f>
        <v>-36.333</v>
      </c>
      <c r="BQ130" s="39" t="n">
        <f aca="false">-BQ102</f>
        <v>-137.985</v>
      </c>
      <c r="BR130" s="39" t="n">
        <f aca="false">-BR102</f>
        <v>-39.058</v>
      </c>
      <c r="BS130" s="39" t="n">
        <f aca="false">-BS102</f>
        <v>-38.414</v>
      </c>
      <c r="BT130" s="39" t="n">
        <f aca="false">-BT102</f>
        <v>-77.472</v>
      </c>
      <c r="BU130" s="39" t="n">
        <f aca="false">-BU102</f>
        <v>-37.371</v>
      </c>
      <c r="BV130" s="39" t="n">
        <f aca="false">-BV102</f>
        <v>-44.635</v>
      </c>
      <c r="BW130" s="39" t="n">
        <f aca="false">-BW102</f>
        <v>-159.478</v>
      </c>
      <c r="BX130" s="39" t="n">
        <f aca="false">-BX102</f>
        <v>-43.164</v>
      </c>
      <c r="BY130" s="39" t="n">
        <f aca="false">-BY102</f>
        <v>-45.262</v>
      </c>
      <c r="BZ130" s="39" t="n">
        <f aca="false">-BZ102</f>
        <v>-88.426</v>
      </c>
      <c r="CA130" s="39" t="n">
        <f aca="false">-CA102</f>
        <v>-50.733</v>
      </c>
      <c r="CB130" s="39" t="n">
        <f aca="false">-CB102</f>
        <v>-50.603</v>
      </c>
      <c r="CC130" s="39" t="n">
        <f aca="false">-CC102</f>
        <v>-189.761</v>
      </c>
      <c r="CD130" s="39" t="n">
        <f aca="false">-CD102</f>
        <v>-53.627</v>
      </c>
      <c r="CE130" s="39" t="n">
        <f aca="false">-CE102</f>
        <v>-54.199</v>
      </c>
      <c r="CF130" s="39" t="n">
        <f aca="false">-CF102</f>
        <v>-107.826</v>
      </c>
      <c r="CG130" s="39" t="n">
        <f aca="false">-CG102</f>
        <v>-54.416</v>
      </c>
      <c r="CH130" s="39" t="n">
        <f aca="false">-CH102</f>
        <v>-53.607</v>
      </c>
      <c r="CI130" s="39" t="n">
        <f aca="false">-CI102</f>
        <v>-215.849</v>
      </c>
      <c r="CJ130" s="39" t="n">
        <f aca="false">-CJ102</f>
        <v>-54.042</v>
      </c>
      <c r="CK130" s="39" t="n">
        <f aca="false">-CK102</f>
        <v>-55.387</v>
      </c>
      <c r="CL130" s="39" t="n">
        <f aca="false">-CL102</f>
        <v>-109.429</v>
      </c>
      <c r="CM130" s="39" t="n">
        <f aca="false">-CM102</f>
        <v>-58.983</v>
      </c>
      <c r="CN130" s="39" t="n">
        <f aca="false">-CN102</f>
        <v>-60.961</v>
      </c>
      <c r="CO130" s="39" t="n">
        <f aca="false">-CO102</f>
        <v>-229.373</v>
      </c>
      <c r="CP130" s="40" t="n">
        <f aca="false">-CP102</f>
        <v>-244.337858775</v>
      </c>
      <c r="CQ130" s="40" t="n">
        <f aca="false">-CQ102</f>
        <v>-258.67648090235</v>
      </c>
      <c r="CR130" s="40" t="n">
        <f aca="false">-CR102</f>
        <v>-274.681404678795</v>
      </c>
      <c r="CS130" s="40" t="n">
        <f aca="false">-CS102</f>
        <v>-291.517168526808</v>
      </c>
      <c r="CT130" s="40" t="n">
        <f aca="false">-CT102</f>
        <v>-309.412967874803</v>
      </c>
      <c r="CU130" s="24"/>
      <c r="CW130" s="6"/>
      <c r="CX130" s="6"/>
      <c r="CY130" s="6"/>
      <c r="CZ130" s="6"/>
    </row>
    <row r="131" customFormat="false" ht="15" hidden="false" customHeight="false" outlineLevel="0" collapsed="false">
      <c r="B131" s="41" t="s">
        <v>262</v>
      </c>
      <c r="C131" s="42" t="n">
        <f aca="false">C126+C130</f>
        <v>166.412</v>
      </c>
      <c r="D131" s="42" t="n">
        <f aca="false">D126+D130</f>
        <v>203.777</v>
      </c>
      <c r="E131" s="42" t="n">
        <f aca="false">E126+E130</f>
        <v>242.098</v>
      </c>
      <c r="F131" s="42" t="n">
        <f aca="false">F126+F130</f>
        <v>226.314</v>
      </c>
      <c r="G131" s="42" t="n">
        <f aca="false">G126+G130</f>
        <v>239.506</v>
      </c>
      <c r="H131" s="42" t="n">
        <f aca="false">H126+H130</f>
        <v>267.462</v>
      </c>
      <c r="I131" s="42" t="n">
        <f aca="false">I126+I130</f>
        <v>289.04</v>
      </c>
      <c r="J131" s="21" t="n">
        <f aca="false">J126+J130</f>
        <v>74.064</v>
      </c>
      <c r="K131" s="21" t="n">
        <f aca="false">K126+K130</f>
        <v>63.514</v>
      </c>
      <c r="L131" s="21" t="n">
        <f aca="false">L126+L130</f>
        <v>137.578</v>
      </c>
      <c r="M131" s="21" t="n">
        <f aca="false">M126+M130</f>
        <v>78.6517741935485</v>
      </c>
      <c r="N131" s="21" t="n">
        <f aca="false">N126+N130</f>
        <v>64.518</v>
      </c>
      <c r="O131" s="42" t="n">
        <f aca="false">O126+O130</f>
        <v>280.747774193548</v>
      </c>
      <c r="P131" s="21" t="n">
        <f aca="false">P126+P130</f>
        <v>66.382</v>
      </c>
      <c r="Q131" s="21" t="n">
        <f aca="false">Q126+Q130</f>
        <v>72.654</v>
      </c>
      <c r="R131" s="21" t="n">
        <f aca="false">R126+R130</f>
        <v>139.036</v>
      </c>
      <c r="S131" s="21" t="n">
        <f aca="false">S126+S130</f>
        <v>92.445</v>
      </c>
      <c r="T131" s="21" t="n">
        <f aca="false">T126+T130</f>
        <v>75.935</v>
      </c>
      <c r="U131" s="42" t="n">
        <f aca="false">U126+U130</f>
        <v>307.416</v>
      </c>
      <c r="V131" s="21" t="n">
        <f aca="false">V126+V130</f>
        <v>83.994</v>
      </c>
      <c r="W131" s="21" t="n">
        <f aca="false">W126+W130</f>
        <v>84.6090000000001</v>
      </c>
      <c r="X131" s="21" t="n">
        <f aca="false">X126+X130</f>
        <v>168.603</v>
      </c>
      <c r="Y131" s="21" t="n">
        <f aca="false">Y126+Y130</f>
        <v>93.952</v>
      </c>
      <c r="Z131" s="21" t="n">
        <f aca="false">Z126+Z130</f>
        <v>89.4147741935484</v>
      </c>
      <c r="AA131" s="42" t="n">
        <f aca="false">AA126+AA130</f>
        <v>350.234290322581</v>
      </c>
      <c r="AB131" s="21" t="n">
        <f aca="false">AB126+AB130</f>
        <v>86.4471935483871</v>
      </c>
      <c r="AC131" s="21" t="n">
        <f aca="false">AC126+AC130</f>
        <v>90.8893548387097</v>
      </c>
      <c r="AD131" s="21" t="n">
        <f aca="false">AD126+AD130</f>
        <v>177.336548387097</v>
      </c>
      <c r="AE131" s="21" t="n">
        <f aca="false">AE126+AE130</f>
        <v>122.740225806452</v>
      </c>
      <c r="AF131" s="21" t="n">
        <f aca="false">AF126+AF130</f>
        <v>106.562967741935</v>
      </c>
      <c r="AG131" s="42" t="n">
        <f aca="false">AG126+AG130</f>
        <v>410.260709677419</v>
      </c>
      <c r="AH131" s="21" t="n">
        <f aca="false">AH126+AH130</f>
        <v>108.897935483871</v>
      </c>
      <c r="AI131" s="21" t="n">
        <f aca="false">AI126+AI130</f>
        <v>110.246096774194</v>
      </c>
      <c r="AJ131" s="21" t="n">
        <f aca="false">AJ126+AJ130</f>
        <v>219.144032258065</v>
      </c>
      <c r="AK131" s="21" t="n">
        <f aca="false">AK126+AK130</f>
        <v>136.32464516129</v>
      </c>
      <c r="AL131" s="21" t="n">
        <f aca="false">AL126+AL130</f>
        <v>132.287064516129</v>
      </c>
      <c r="AM131" s="42" t="n">
        <f aca="false">AM126+AM130</f>
        <v>487.754129032258</v>
      </c>
      <c r="AN131" s="21" t="n">
        <f aca="false">AN126+AN130</f>
        <v>124.049287671233</v>
      </c>
      <c r="AO131" s="21" t="n">
        <f aca="false">AO126+AO130</f>
        <v>151.051054794521</v>
      </c>
      <c r="AP131" s="21" t="n">
        <f aca="false">AP126+AP130</f>
        <v>275.100342465753</v>
      </c>
      <c r="AQ131" s="21" t="n">
        <f aca="false">AQ126+AQ130</f>
        <v>174.992465753425</v>
      </c>
      <c r="AR131" s="21" t="n">
        <f aca="false">AR126+AR130</f>
        <v>146.933780821918</v>
      </c>
      <c r="AS131" s="42" t="n">
        <f aca="false">AS126+AS130</f>
        <v>597.097821917808</v>
      </c>
      <c r="AT131" s="21" t="n">
        <f aca="false">AT126+AT130</f>
        <v>152.017</v>
      </c>
      <c r="AU131" s="21" t="n">
        <f aca="false">AU126+AU130</f>
        <v>167.315666666667</v>
      </c>
      <c r="AV131" s="21" t="n">
        <f aca="false">AV126+AV130</f>
        <v>319.332666666667</v>
      </c>
      <c r="AW131" s="21" t="n">
        <f aca="false">AW126+AW130</f>
        <v>211.065</v>
      </c>
      <c r="AX131" s="21" t="n">
        <f aca="false">AX126+AX130</f>
        <v>192.693</v>
      </c>
      <c r="AY131" s="42" t="n">
        <f aca="false">AY126+AY130</f>
        <v>723.094666666667</v>
      </c>
      <c r="AZ131" s="21" t="n">
        <f aca="false">AZ126+AZ130</f>
        <v>209.58</v>
      </c>
      <c r="BA131" s="21" t="n">
        <f aca="false">BA126+BA130</f>
        <v>208.983333333333</v>
      </c>
      <c r="BB131" s="21" t="n">
        <f aca="false">BB126+BB130</f>
        <v>418.563333333333</v>
      </c>
      <c r="BC131" s="21" t="n">
        <f aca="false">BC126+BC130</f>
        <v>196.724666666667</v>
      </c>
      <c r="BD131" s="21" t="n">
        <f aca="false">BD126+BD130</f>
        <v>206.328666666667</v>
      </c>
      <c r="BE131" s="42" t="n">
        <f aca="false">BE126+BE130</f>
        <v>821.618</v>
      </c>
      <c r="BF131" s="21" t="n">
        <f aca="false">BF126+BF130</f>
        <v>251.847</v>
      </c>
      <c r="BG131" s="21" t="n">
        <f aca="false">BG126+BG130</f>
        <v>257.301</v>
      </c>
      <c r="BH131" s="21" t="n">
        <f aca="false">BH126+BH130</f>
        <v>509.148</v>
      </c>
      <c r="BI131" s="21" t="n">
        <f aca="false">BI126+BI130</f>
        <v>328.881</v>
      </c>
      <c r="BJ131" s="21" t="n">
        <f aca="false">BJ126+BJ130</f>
        <v>307.681333333333</v>
      </c>
      <c r="BK131" s="42" t="n">
        <f aca="false">BK126+BK130</f>
        <v>1145.71033333333</v>
      </c>
      <c r="BL131" s="21" t="n">
        <f aca="false">BL126+BL130</f>
        <v>330.933</v>
      </c>
      <c r="BM131" s="21" t="n">
        <f aca="false">BM126+BM130</f>
        <v>346.488</v>
      </c>
      <c r="BN131" s="21" t="n">
        <f aca="false">BN126+BN130</f>
        <v>677.421</v>
      </c>
      <c r="BO131" s="21" t="n">
        <f aca="false">BO126+BO130</f>
        <v>380.886333333333</v>
      </c>
      <c r="BP131" s="21" t="n">
        <f aca="false">BP126+BP130</f>
        <v>322.883</v>
      </c>
      <c r="BQ131" s="42" t="n">
        <f aca="false">BQ126+BQ130</f>
        <v>1381.19033333333</v>
      </c>
      <c r="BR131" s="21" t="n">
        <f aca="false">BR126+BR130</f>
        <v>308.681</v>
      </c>
      <c r="BS131" s="21" t="n">
        <f aca="false">BS126+BS130</f>
        <v>362.623</v>
      </c>
      <c r="BT131" s="21" t="n">
        <f aca="false">BT126+BT130</f>
        <v>671.304</v>
      </c>
      <c r="BU131" s="21" t="n">
        <f aca="false">BU126+BU130</f>
        <v>422.552</v>
      </c>
      <c r="BV131" s="21" t="n">
        <f aca="false">BV126+BV130</f>
        <v>394.544</v>
      </c>
      <c r="BW131" s="42" t="n">
        <f aca="false">BW126+BW130</f>
        <v>1488.4</v>
      </c>
      <c r="BX131" s="21" t="n">
        <f aca="false">BX126+BX130</f>
        <v>391.304</v>
      </c>
      <c r="BY131" s="21" t="n">
        <f aca="false">BY126+BY130</f>
        <v>376.797</v>
      </c>
      <c r="BZ131" s="21" t="n">
        <f aca="false">BZ126+BZ130</f>
        <v>768.101</v>
      </c>
      <c r="CA131" s="21" t="n">
        <f aca="false">CA126+CA130</f>
        <v>435.894</v>
      </c>
      <c r="CB131" s="21" t="n">
        <f aca="false">CB126+CB130</f>
        <v>364.933</v>
      </c>
      <c r="CC131" s="42" t="n">
        <f aca="false">CC126+CC130</f>
        <v>1568.928</v>
      </c>
      <c r="CD131" s="21" t="n">
        <f aca="false">CD126+CD130</f>
        <v>405.771</v>
      </c>
      <c r="CE131" s="21" t="n">
        <f aca="false">CE126+CE130</f>
        <v>422.304</v>
      </c>
      <c r="CF131" s="21" t="n">
        <f aca="false">CF126+CF130</f>
        <v>828.075</v>
      </c>
      <c r="CG131" s="21" t="n">
        <f aca="false">CG126+CG130</f>
        <v>460.028</v>
      </c>
      <c r="CH131" s="21" t="n">
        <f aca="false">CH126+CH130</f>
        <v>428.569</v>
      </c>
      <c r="CI131" s="42" t="n">
        <f aca="false">CI126+CI130</f>
        <v>1716.672</v>
      </c>
      <c r="CJ131" s="21" t="n">
        <f aca="false">CJ126+CJ130</f>
        <v>433.618</v>
      </c>
      <c r="CK131" s="21" t="n">
        <f aca="false">CK126+CK130</f>
        <v>391.062</v>
      </c>
      <c r="CL131" s="21" t="n">
        <f aca="false">CL126+CL130</f>
        <v>824.68</v>
      </c>
      <c r="CM131" s="21" t="n">
        <f aca="false">CM126+CM130</f>
        <v>463.281</v>
      </c>
      <c r="CN131" s="21" t="n">
        <f aca="false">CN126+CN130</f>
        <v>365.093</v>
      </c>
      <c r="CO131" s="42" t="n">
        <f aca="false">CO126+CO130</f>
        <v>1653.054</v>
      </c>
      <c r="CP131" s="42" t="n">
        <f aca="false">CP126+CP130</f>
        <v>1710.365011425</v>
      </c>
      <c r="CQ131" s="42" t="n">
        <f aca="false">CQ126+CQ130</f>
        <v>1836.60301440668</v>
      </c>
      <c r="CR131" s="42" t="n">
        <f aca="false">CR126+CR130</f>
        <v>1977.70611368732</v>
      </c>
      <c r="CS131" s="42" t="n">
        <f aca="false">CS126+CS130</f>
        <v>2128.0753302457</v>
      </c>
      <c r="CT131" s="42" t="n">
        <f aca="false">CT126+CT130</f>
        <v>2289.65596227355</v>
      </c>
      <c r="CU131" s="24"/>
      <c r="CW131" s="25" t="n">
        <f aca="false">IFERROR((CT131/CO131)^(1/5)-1,"n/m")</f>
        <v>0.0673248919876439</v>
      </c>
      <c r="CX131" s="25" t="n">
        <f aca="false">IFERROR((CO131/BK131)^(1/5)-1,"n/m")</f>
        <v>0.0760747532582355</v>
      </c>
      <c r="CY131" s="25" t="n">
        <f aca="false">IFERROR((CO131/AG131)^(1/10)-1,"n/m")</f>
        <v>0.149536356739887</v>
      </c>
      <c r="CZ131" s="25" t="n">
        <f aca="false">IFERROR((CO131/C131)^(1/20)-1,"n/m")</f>
        <v>0.121644213111261</v>
      </c>
    </row>
    <row r="132" customFormat="false" ht="15" hidden="false" customHeight="false" outlineLevel="0" collapsed="false">
      <c r="B132" s="43" t="s">
        <v>263</v>
      </c>
      <c r="C132" s="39" t="n">
        <f aca="false">ROUND(C81+C102+C86+C85-C113,1)</f>
        <v>0</v>
      </c>
      <c r="D132" s="39" t="n">
        <f aca="false">ROUND(D81+D102+D86+D85-D113,1)</f>
        <v>0</v>
      </c>
      <c r="E132" s="39" t="n">
        <f aca="false">ROUND(E81+E102+E86+E85-E113,1)</f>
        <v>0</v>
      </c>
      <c r="F132" s="39" t="n">
        <f aca="false">ROUND(F81+F102+F86+F85-F113,1)</f>
        <v>0</v>
      </c>
      <c r="G132" s="39" t="n">
        <f aca="false">ROUND(G81+G102+G86+G85-G113,1)</f>
        <v>0</v>
      </c>
      <c r="H132" s="39" t="n">
        <f aca="false">ROUND(H81+H102+H86+H85-H113,1)</f>
        <v>0</v>
      </c>
      <c r="I132" s="39" t="n">
        <f aca="false">ROUND(I81+I102+I86+I85-I113,1)</f>
        <v>0</v>
      </c>
      <c r="J132" s="39" t="n">
        <f aca="false">ROUND(J81+J102+J86+J85-J113,1)</f>
        <v>0</v>
      </c>
      <c r="K132" s="39" t="n">
        <f aca="false">ROUND(K81+K102+K86+K85-K113,1)</f>
        <v>0</v>
      </c>
      <c r="L132" s="39" t="n">
        <f aca="false">ROUND(L81+L102+L86+L85-L113,1)</f>
        <v>0</v>
      </c>
      <c r="M132" s="39" t="n">
        <f aca="false">ROUND(M81+M102+M86+M85-M113,1)</f>
        <v>0</v>
      </c>
      <c r="N132" s="39" t="n">
        <f aca="false">ROUND(N81+N102+N86+N85-N113,1)</f>
        <v>0</v>
      </c>
      <c r="O132" s="39" t="n">
        <f aca="false">ROUND(O81+O102+O86+O85-O113,1)</f>
        <v>0</v>
      </c>
      <c r="P132" s="39" t="n">
        <f aca="false">ROUND(P81+P102+P86+P85-P113,1)</f>
        <v>0</v>
      </c>
      <c r="Q132" s="39" t="n">
        <f aca="false">ROUND(Q81+Q102+Q86+Q85-Q113,1)</f>
        <v>0</v>
      </c>
      <c r="R132" s="39" t="n">
        <f aca="false">ROUND(R81+R102+R86+R85-R113,1)</f>
        <v>0</v>
      </c>
      <c r="S132" s="39" t="n">
        <f aca="false">ROUND(S81+S102+S86+S85-S113,1)</f>
        <v>0</v>
      </c>
      <c r="T132" s="39" t="n">
        <f aca="false">ROUND(T81+T102+T86+T85-T113,1)</f>
        <v>0</v>
      </c>
      <c r="U132" s="39" t="n">
        <f aca="false">ROUND(U81+U102+U86+U85-U113,1)</f>
        <v>0</v>
      </c>
      <c r="V132" s="39" t="n">
        <f aca="false">ROUND(V81+V102+V86+V85-V113,1)</f>
        <v>0</v>
      </c>
      <c r="W132" s="39" t="n">
        <f aca="false">ROUND(W81+W102+W86+W85-W113,1)</f>
        <v>0</v>
      </c>
      <c r="X132" s="39" t="n">
        <f aca="false">ROUND(X81+X102+X86+X85-X113,1)</f>
        <v>0</v>
      </c>
      <c r="Y132" s="39" t="n">
        <f aca="false">ROUND(Y81+Y102+Y86+Y85-Y113,1)</f>
        <v>0</v>
      </c>
      <c r="Z132" s="39" t="n">
        <f aca="false">ROUND(Z81+Z102+Z86+Z85-Z113,1)</f>
        <v>0</v>
      </c>
      <c r="AA132" s="39" t="n">
        <f aca="false">ROUND(AA81+AA102+AA86+AA85-AA113,1)</f>
        <v>0</v>
      </c>
      <c r="AB132" s="39" t="n">
        <f aca="false">ROUND(AB81+AB102+AB86+AB85-AB113,1)</f>
        <v>0</v>
      </c>
      <c r="AC132" s="39" t="n">
        <f aca="false">ROUND(AC81+AC102+AC86+AC85-AC113,1)</f>
        <v>0</v>
      </c>
      <c r="AD132" s="39" t="n">
        <f aca="false">ROUND(AD81+AD102+AD86+AD85-AD113,1)</f>
        <v>0</v>
      </c>
      <c r="AE132" s="39" t="n">
        <f aca="false">ROUND(AE81+AE102+AE86+AE85-AE113,1)</f>
        <v>0</v>
      </c>
      <c r="AF132" s="39" t="n">
        <f aca="false">ROUND(AF81+AF102+AF86+AF85-AF113,1)</f>
        <v>0</v>
      </c>
      <c r="AG132" s="39" t="n">
        <f aca="false">ROUND(AG81+AG102+AG86+AG85-AG113,1)</f>
        <v>0</v>
      </c>
      <c r="AH132" s="39" t="n">
        <f aca="false">ROUND(AH81+AH102+AH86+AH85-AH113,1)</f>
        <v>0</v>
      </c>
      <c r="AI132" s="39" t="n">
        <f aca="false">ROUND(AI81+AI102+AI86+AI85-AI113,1)</f>
        <v>0</v>
      </c>
      <c r="AJ132" s="39" t="n">
        <f aca="false">ROUND(AJ81+AJ102+AJ86+AJ85-AJ113,1)</f>
        <v>0</v>
      </c>
      <c r="AK132" s="39" t="n">
        <f aca="false">ROUND(AK81+AK102+AK86+AK85-AK113,1)</f>
        <v>0</v>
      </c>
      <c r="AL132" s="39" t="n">
        <f aca="false">ROUND(AL81+AL102+AL86+AL85-AL113,1)</f>
        <v>0</v>
      </c>
      <c r="AM132" s="39" t="n">
        <f aca="false">ROUND(AM81+AM102+AM86+AM85-AM113,1)</f>
        <v>0</v>
      </c>
      <c r="AN132" s="39" t="n">
        <f aca="false">ROUND(AN81+AN102+AN86+AN85-AN113,1)</f>
        <v>0</v>
      </c>
      <c r="AO132" s="39" t="n">
        <f aca="false">ROUND(AO81+AO102+AO86+AO85-AO113,1)</f>
        <v>0</v>
      </c>
      <c r="AP132" s="39" t="n">
        <f aca="false">ROUND(AP81+AP102+AP86+AP85-AP113,1)</f>
        <v>0</v>
      </c>
      <c r="AQ132" s="39" t="n">
        <f aca="false">ROUND(AQ81+AQ102+AQ86+AQ85-AQ113,1)</f>
        <v>0</v>
      </c>
      <c r="AR132" s="39" t="n">
        <f aca="false">ROUND(AR81+AR102+AR86+AR85-AR113,1)</f>
        <v>0</v>
      </c>
      <c r="AS132" s="39" t="n">
        <f aca="false">ROUND(AS81+AS102+AS86+AS85-AS113,1)</f>
        <v>0</v>
      </c>
      <c r="AT132" s="39" t="n">
        <f aca="false">ROUND(AT81+AT102+AT86+AT85-AT113,1)</f>
        <v>0</v>
      </c>
      <c r="AU132" s="39" t="n">
        <f aca="false">ROUND(AU81+AU102+AU86+AU85-AU113,1)</f>
        <v>0</v>
      </c>
      <c r="AV132" s="39" t="n">
        <f aca="false">ROUND(AV81+AV102+AV86+AV85-AV113,1)</f>
        <v>0</v>
      </c>
      <c r="AW132" s="39" t="n">
        <f aca="false">ROUND(AW81+AW102+AW86+AW85-AW113,1)</f>
        <v>0</v>
      </c>
      <c r="AX132" s="39" t="n">
        <f aca="false">ROUND(AX81+AX102+AX86+AX85-AX113,1)</f>
        <v>0</v>
      </c>
      <c r="AY132" s="39" t="n">
        <f aca="false">ROUND(AY81+AY102+AY86+AY85-AY113,1)</f>
        <v>0</v>
      </c>
      <c r="AZ132" s="39" t="n">
        <f aca="false">ROUND(AZ81+AZ102+AZ86+AZ85-AZ113,1)</f>
        <v>0</v>
      </c>
      <c r="BA132" s="39" t="n">
        <f aca="false">ROUND(BA81+BA102+BA86+BA85-BA113,1)</f>
        <v>0</v>
      </c>
      <c r="BB132" s="39" t="n">
        <f aca="false">ROUND(BB81+BB102+BB86+BB85-BB113,1)</f>
        <v>0</v>
      </c>
      <c r="BC132" s="39" t="n">
        <f aca="false">ROUND(BC81+BC102+BC86+BC85-BC113,1)</f>
        <v>0</v>
      </c>
      <c r="BD132" s="39" t="n">
        <f aca="false">ROUND(BD81+BD102+BD86+BD85-BD113,1)</f>
        <v>0</v>
      </c>
      <c r="BE132" s="39" t="n">
        <f aca="false">ROUND(BE81+BE102+BE86+BE85-BE113,1)</f>
        <v>0</v>
      </c>
      <c r="BF132" s="39" t="n">
        <f aca="false">ROUND(BF81+BF102+BF86+BF85-BF113,1)</f>
        <v>0</v>
      </c>
      <c r="BG132" s="39" t="n">
        <f aca="false">ROUND(BG81+BG102+BG86+BG85-BG113,1)</f>
        <v>0</v>
      </c>
      <c r="BH132" s="39" t="n">
        <f aca="false">ROUND(BH81+BH102+BH86+BH85-BH113,1)</f>
        <v>0</v>
      </c>
      <c r="BI132" s="39" t="n">
        <f aca="false">ROUND(BI81+BI102+BI86+BI85-BI113,1)</f>
        <v>0</v>
      </c>
      <c r="BJ132" s="39" t="n">
        <f aca="false">ROUND(BJ81+BJ102+BJ86+BJ85-BJ113,1)</f>
        <v>0</v>
      </c>
      <c r="BK132" s="39" t="n">
        <f aca="false">ROUND(BK81+BK102+BK86+BK85-BK113,1)</f>
        <v>0</v>
      </c>
      <c r="BL132" s="39" t="n">
        <f aca="false">ROUND(BL81+BL102+BL86+BL85-BL113,1)</f>
        <v>0</v>
      </c>
      <c r="BM132" s="39" t="n">
        <f aca="false">ROUND(BM81+BM102+BM86+BM85-BM113,1)</f>
        <v>0</v>
      </c>
      <c r="BN132" s="39" t="n">
        <f aca="false">ROUND(BN81+BN102+BN86+BN85-BN113,1)</f>
        <v>0</v>
      </c>
      <c r="BO132" s="39" t="n">
        <f aca="false">ROUND(BO81+BO102+BO86+BO85-BO113,1)</f>
        <v>0</v>
      </c>
      <c r="BP132" s="39" t="n">
        <f aca="false">ROUND(BP81+BP102+BP86+BP85-BP113,1)</f>
        <v>0</v>
      </c>
      <c r="BQ132" s="39" t="n">
        <f aca="false">ROUND(BQ81+BQ102+BQ86+BQ85-BQ113,1)</f>
        <v>0</v>
      </c>
      <c r="BR132" s="39" t="n">
        <f aca="false">ROUND(BR81+BR102+BR86+BR85-BR113,1)</f>
        <v>0</v>
      </c>
      <c r="BS132" s="39" t="n">
        <f aca="false">ROUND(BS81+BS102+BS86+BS85-BS113,1)</f>
        <v>0</v>
      </c>
      <c r="BT132" s="39" t="n">
        <f aca="false">ROUND(BT81+BT102+BT86+BT85-BT113,1)</f>
        <v>0</v>
      </c>
      <c r="BU132" s="39" t="n">
        <f aca="false">ROUND(BU81+BU102+BU86+BU85-BU113,1)</f>
        <v>0</v>
      </c>
      <c r="BV132" s="39" t="n">
        <f aca="false">ROUND(BV81+BV102+BV86+BV85-BV113,1)</f>
        <v>0</v>
      </c>
      <c r="BW132" s="39" t="n">
        <f aca="false">ROUND(BW81+BW102+BW86+BW85-BW113,1)</f>
        <v>0</v>
      </c>
      <c r="BX132" s="39" t="n">
        <f aca="false">ROUND(BX81+BX102+BX86+BX85-BX113,1)</f>
        <v>0</v>
      </c>
      <c r="BY132" s="39" t="n">
        <f aca="false">ROUND(BY81+BY102+BY86+BY85-BY113,1)</f>
        <v>0</v>
      </c>
      <c r="BZ132" s="39" t="n">
        <f aca="false">ROUND(BZ81+BZ102+BZ86+BZ85-BZ113,1)</f>
        <v>0</v>
      </c>
      <c r="CA132" s="39" t="n">
        <f aca="false">ROUND(CA81+CA102+CA86+CA85-CA113,1)</f>
        <v>0</v>
      </c>
      <c r="CB132" s="39" t="n">
        <f aca="false">ROUND(CB81+CB102+CB86+CB85-CB113,1)</f>
        <v>0</v>
      </c>
      <c r="CC132" s="39" t="n">
        <f aca="false">ROUND(CC81+CC102+CC86+CC85-CC113,1)</f>
        <v>0</v>
      </c>
      <c r="CD132" s="39" t="n">
        <f aca="false">ROUND(CD81+CD102+CD86+CD85-CD113,1)</f>
        <v>0</v>
      </c>
      <c r="CE132" s="39" t="n">
        <f aca="false">ROUND(CE81+CE102+CE86+CE85-CE113,1)</f>
        <v>0</v>
      </c>
      <c r="CF132" s="39" t="n">
        <f aca="false">ROUND(CF81+CF102+CF86+CF85-CF113,1)</f>
        <v>0</v>
      </c>
      <c r="CG132" s="39" t="n">
        <f aca="false">ROUND(CG81+CG102+CG86+CG85-CG113,1)</f>
        <v>0</v>
      </c>
      <c r="CH132" s="39" t="n">
        <f aca="false">ROUND(CH81+CH102+CH86+CH85-CH113,1)</f>
        <v>0</v>
      </c>
      <c r="CI132" s="39" t="n">
        <f aca="false">ROUND(CI81+CI102+CI86+CI85-CI113,1)</f>
        <v>0</v>
      </c>
      <c r="CJ132" s="39" t="n">
        <f aca="false">ROUND(CJ81+CJ102+CJ86+CJ85-CJ113,1)</f>
        <v>0</v>
      </c>
      <c r="CK132" s="39" t="n">
        <f aca="false">ROUND(CK81+CK102+CK86+CK85-CK113,1)</f>
        <v>0</v>
      </c>
      <c r="CL132" s="39" t="n">
        <f aca="false">ROUND(CL81+CL102+CL86+CL85-CL113,1)</f>
        <v>0</v>
      </c>
      <c r="CM132" s="39" t="n">
        <f aca="false">ROUND(CM81+CM102+CM86+CM85-CM113,1)</f>
        <v>0</v>
      </c>
      <c r="CN132" s="39" t="n">
        <f aca="false">ROUND(CN81+CN102+CN86+CN85-CN113,1)</f>
        <v>0</v>
      </c>
      <c r="CO132" s="39" t="n">
        <f aca="false">ROUND(CO81+CO102+CO86+CO85-CO113,1)</f>
        <v>0</v>
      </c>
      <c r="CP132" s="40" t="n">
        <f aca="false">ROUND(CP81+CP102+CP86+CP85-CP113,1)</f>
        <v>0</v>
      </c>
      <c r="CQ132" s="40" t="n">
        <f aca="false">ROUND(CQ81+CQ102+CQ86+CQ85-CQ113,1)</f>
        <v>0</v>
      </c>
      <c r="CR132" s="40" t="n">
        <f aca="false">ROUND(CR81+CR102+CR86+CR85-CR113,1)</f>
        <v>0</v>
      </c>
      <c r="CS132" s="40" t="n">
        <f aca="false">ROUND(CS81+CS102+CS86+CS85-CS113,1)</f>
        <v>0</v>
      </c>
      <c r="CT132" s="40" t="n">
        <f aca="false">ROUND(CT81+CT102+CT86+CT85-CT113,1)</f>
        <v>0</v>
      </c>
      <c r="CU132" s="24"/>
      <c r="CW132" s="6"/>
      <c r="CX132" s="6"/>
      <c r="CY132" s="6"/>
      <c r="CZ132" s="6"/>
    </row>
    <row r="133" customFormat="false" ht="15" hidden="false" customHeight="false" outlineLevel="0" collapsed="false">
      <c r="B133" s="15"/>
      <c r="CP133" s="6"/>
      <c r="CQ133" s="6"/>
      <c r="CR133" s="6"/>
      <c r="CS133" s="6"/>
      <c r="CT133" s="6"/>
      <c r="CU133" s="6"/>
    </row>
    <row r="134" customFormat="false" ht="15" hidden="false" customHeight="false" outlineLevel="0" collapsed="false">
      <c r="B134" s="11" t="s">
        <v>264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 t="s">
        <v>265</v>
      </c>
    </row>
    <row r="135" customFormat="false" ht="15" hidden="false" customHeight="false" outlineLevel="0" collapsed="false">
      <c r="B135" s="20" t="s">
        <v>266</v>
      </c>
      <c r="C135" s="21" t="n">
        <f aca="false">C93</f>
        <v>96.947</v>
      </c>
      <c r="D135" s="21" t="n">
        <f aca="false">D93</f>
        <v>136.338</v>
      </c>
      <c r="E135" s="21" t="n">
        <f aca="false">E93</f>
        <v>156.932</v>
      </c>
      <c r="F135" s="21" t="n">
        <f aca="false">F93</f>
        <v>141.103</v>
      </c>
      <c r="G135" s="21" t="n">
        <f aca="false">G93</f>
        <v>151.627</v>
      </c>
      <c r="H135" s="21" t="n">
        <f aca="false">H93</f>
        <v>166.375</v>
      </c>
      <c r="I135" s="21" t="n">
        <f aca="false">I93</f>
        <v>182.119</v>
      </c>
      <c r="J135" s="21" t="n">
        <f aca="false">J93</f>
        <v>45.845</v>
      </c>
      <c r="K135" s="21" t="n">
        <f aca="false">K93</f>
        <v>39.64</v>
      </c>
      <c r="L135" s="21" t="n">
        <f aca="false">L93</f>
        <v>85.485</v>
      </c>
      <c r="M135" s="21" t="n">
        <f aca="false">M93</f>
        <v>53.2360000000001</v>
      </c>
      <c r="N135" s="21" t="n">
        <f aca="false">N93</f>
        <v>41.304</v>
      </c>
      <c r="O135" s="21" t="n">
        <f aca="false">O93</f>
        <v>180.025</v>
      </c>
      <c r="P135" s="21" t="n">
        <f aca="false">P93</f>
        <v>41.422</v>
      </c>
      <c r="Q135" s="21" t="n">
        <f aca="false">Q93</f>
        <v>45.345</v>
      </c>
      <c r="R135" s="21" t="n">
        <f aca="false">R93</f>
        <v>86.767</v>
      </c>
      <c r="S135" s="21" t="n">
        <f aca="false">S93</f>
        <v>40.877</v>
      </c>
      <c r="T135" s="21" t="n">
        <f aca="false">T93</f>
        <v>51.0429999999999</v>
      </c>
      <c r="U135" s="21" t="n">
        <f aca="false">U93</f>
        <v>178.687</v>
      </c>
      <c r="V135" s="21" t="n">
        <f aca="false">V93</f>
        <v>52.615</v>
      </c>
      <c r="W135" s="21" t="n">
        <f aca="false">W93</f>
        <v>52.1930000000001</v>
      </c>
      <c r="X135" s="21" t="n">
        <f aca="false">X93</f>
        <v>104.808</v>
      </c>
      <c r="Y135" s="21" t="n">
        <f aca="false">Y93</f>
        <v>57.563</v>
      </c>
      <c r="Z135" s="21" t="n">
        <f aca="false">Z93</f>
        <v>57.412</v>
      </c>
      <c r="AA135" s="21" t="n">
        <f aca="false">AA93</f>
        <v>219.783</v>
      </c>
      <c r="AB135" s="21" t="n">
        <f aca="false">AB93</f>
        <v>52.61</v>
      </c>
      <c r="AC135" s="21" t="n">
        <f aca="false">AC93</f>
        <v>59.007</v>
      </c>
      <c r="AD135" s="21" t="n">
        <f aca="false">AD93</f>
        <v>111.617</v>
      </c>
      <c r="AE135" s="21" t="n">
        <f aca="false">AE93</f>
        <v>74.623</v>
      </c>
      <c r="AF135" s="21" t="n">
        <f aca="false">AF93</f>
        <v>84.12</v>
      </c>
      <c r="AG135" s="21" t="n">
        <f aca="false">AG93</f>
        <v>270.36</v>
      </c>
      <c r="AH135" s="21" t="n">
        <f aca="false">AH93</f>
        <v>167.28</v>
      </c>
      <c r="AI135" s="21" t="n">
        <f aca="false">AI93</f>
        <v>66.0660000000001</v>
      </c>
      <c r="AJ135" s="21" t="n">
        <f aca="false">AJ93</f>
        <v>233.346</v>
      </c>
      <c r="AK135" s="21" t="n">
        <f aca="false">AK93</f>
        <v>90.546</v>
      </c>
      <c r="AL135" s="21" t="n">
        <f aca="false">AL93</f>
        <v>70.335</v>
      </c>
      <c r="AM135" s="21" t="n">
        <f aca="false">AM93</f>
        <v>394.227</v>
      </c>
      <c r="AN135" s="21" t="n">
        <f aca="false">AN93</f>
        <v>77.515</v>
      </c>
      <c r="AO135" s="21" t="n">
        <f aca="false">AO93</f>
        <v>103.256</v>
      </c>
      <c r="AP135" s="21" t="n">
        <f aca="false">AP93</f>
        <v>180.771</v>
      </c>
      <c r="AQ135" s="21" t="n">
        <f aca="false">AQ93</f>
        <v>127.348</v>
      </c>
      <c r="AR135" s="21" t="n">
        <f aca="false">AR93</f>
        <v>109.748</v>
      </c>
      <c r="AS135" s="21" t="n">
        <f aca="false">AS93</f>
        <v>417.867</v>
      </c>
      <c r="AT135" s="21" t="n">
        <f aca="false">AT93</f>
        <v>114.083</v>
      </c>
      <c r="AU135" s="21" t="n">
        <f aca="false">AU93</f>
        <v>131.373</v>
      </c>
      <c r="AV135" s="21" t="n">
        <f aca="false">AV93</f>
        <v>245.456</v>
      </c>
      <c r="AW135" s="21" t="n">
        <f aca="false">AW93</f>
        <v>192.741</v>
      </c>
      <c r="AX135" s="21" t="n">
        <f aca="false">AX93</f>
        <v>153.496</v>
      </c>
      <c r="AY135" s="21" t="n">
        <f aca="false">AY93</f>
        <v>591.693</v>
      </c>
      <c r="AZ135" s="21" t="n">
        <f aca="false">AZ93</f>
        <v>218.18</v>
      </c>
      <c r="BA135" s="21" t="n">
        <f aca="false">BA93</f>
        <v>168.707</v>
      </c>
      <c r="BB135" s="21" t="n">
        <f aca="false">BB93</f>
        <v>386.887</v>
      </c>
      <c r="BC135" s="21" t="n">
        <f aca="false">BC93</f>
        <v>147.487</v>
      </c>
      <c r="BD135" s="21" t="n">
        <f aca="false">BD93</f>
        <v>165.533</v>
      </c>
      <c r="BE135" s="21" t="n">
        <f aca="false">BE93</f>
        <v>699.907</v>
      </c>
      <c r="BF135" s="21" t="n">
        <f aca="false">BF93</f>
        <v>200.285</v>
      </c>
      <c r="BG135" s="21" t="n">
        <f aca="false">BG93</f>
        <v>193.44</v>
      </c>
      <c r="BH135" s="21" t="n">
        <f aca="false">BH93</f>
        <v>393.725</v>
      </c>
      <c r="BI135" s="21" t="n">
        <f aca="false">BI93</f>
        <v>286.796</v>
      </c>
      <c r="BJ135" s="21" t="n">
        <f aca="false">BJ93</f>
        <v>255.974</v>
      </c>
      <c r="BK135" s="21" t="n">
        <f aca="false">BK93</f>
        <v>936.495</v>
      </c>
      <c r="BL135" s="21" t="n">
        <f aca="false">BL93</f>
        <v>260.363</v>
      </c>
      <c r="BM135" s="21" t="n">
        <f aca="false">BM93</f>
        <v>287.412</v>
      </c>
      <c r="BN135" s="21" t="n">
        <f aca="false">BN93</f>
        <v>547.775</v>
      </c>
      <c r="BO135" s="21" t="n">
        <f aca="false">BO93</f>
        <v>278.62</v>
      </c>
      <c r="BP135" s="21" t="n">
        <f aca="false">BP93</f>
        <v>263.735</v>
      </c>
      <c r="BQ135" s="21" t="n">
        <f aca="false">BQ93</f>
        <v>1090.13</v>
      </c>
      <c r="BR135" s="21" t="n">
        <f aca="false">BR93</f>
        <v>245.848</v>
      </c>
      <c r="BS135" s="21" t="n">
        <f aca="false">BS93</f>
        <v>293.677</v>
      </c>
      <c r="BT135" s="21" t="n">
        <f aca="false">BT93</f>
        <v>539.525</v>
      </c>
      <c r="BU135" s="21" t="n">
        <f aca="false">BU93</f>
        <v>350.431</v>
      </c>
      <c r="BV135" s="21" t="n">
        <f aca="false">BV93</f>
        <v>347.785</v>
      </c>
      <c r="BW135" s="21" t="n">
        <f aca="false">BW93</f>
        <v>1237.741</v>
      </c>
      <c r="BX135" s="21" t="n">
        <f aca="false">BX93</f>
        <v>332.527</v>
      </c>
      <c r="BY135" s="21" t="n">
        <f aca="false">BY93</f>
        <v>325.635</v>
      </c>
      <c r="BZ135" s="21" t="n">
        <f aca="false">BZ93</f>
        <v>658.162</v>
      </c>
      <c r="CA135" s="21" t="n">
        <f aca="false">CA93</f>
        <v>382.291</v>
      </c>
      <c r="CB135" s="21" t="n">
        <f aca="false">CB93</f>
        <v>322.567</v>
      </c>
      <c r="CC135" s="21" t="n">
        <f aca="false">CC93</f>
        <v>1363.02</v>
      </c>
      <c r="CD135" s="21" t="n">
        <f aca="false">CD93</f>
        <v>362.086</v>
      </c>
      <c r="CE135" s="21" t="n">
        <f aca="false">CE93</f>
        <v>387.4</v>
      </c>
      <c r="CF135" s="21" t="n">
        <f aca="false">CF93</f>
        <v>749.486</v>
      </c>
      <c r="CG135" s="21" t="n">
        <f aca="false">CG93</f>
        <v>406.609</v>
      </c>
      <c r="CH135" s="21" t="n">
        <f aca="false">CH93</f>
        <v>396.354</v>
      </c>
      <c r="CI135" s="21" t="n">
        <f aca="false">CI93</f>
        <v>1552.449</v>
      </c>
      <c r="CJ135" s="21" t="n">
        <f aca="false">CJ93</f>
        <v>403.714</v>
      </c>
      <c r="CK135" s="21" t="n">
        <f aca="false">CK93</f>
        <v>350.732</v>
      </c>
      <c r="CL135" s="21" t="n">
        <f aca="false">CL93</f>
        <v>754.446</v>
      </c>
      <c r="CM135" s="21" t="n">
        <f aca="false">CM93</f>
        <v>402.401</v>
      </c>
      <c r="CN135" s="21" t="n">
        <f aca="false">CN93</f>
        <v>327.423</v>
      </c>
      <c r="CO135" s="21" t="n">
        <f aca="false">CO93</f>
        <v>1484.27</v>
      </c>
      <c r="CP135" s="23" t="n">
        <f aca="false">CP93</f>
        <v>1484.66892473288</v>
      </c>
      <c r="CQ135" s="23" t="n">
        <f aca="false">CQ93</f>
        <v>1561.1086672709</v>
      </c>
      <c r="CR135" s="23" t="n">
        <f aca="false">CR93</f>
        <v>1680.54992830152</v>
      </c>
      <c r="CS135" s="23" t="n">
        <f aca="false">CS93</f>
        <v>1808.2120125569</v>
      </c>
      <c r="CT135" s="23" t="n">
        <f aca="false">CT93</f>
        <v>1945.30893238154</v>
      </c>
      <c r="CU135" s="24"/>
      <c r="CW135" s="6"/>
      <c r="CX135" s="6"/>
      <c r="CY135" s="6"/>
      <c r="CZ135" s="6"/>
    </row>
    <row r="136" customFormat="false" ht="15" hidden="false" customHeight="false" outlineLevel="0" collapsed="false">
      <c r="B136" s="15" t="s">
        <v>267</v>
      </c>
      <c r="C136" s="50"/>
      <c r="D136" s="50"/>
      <c r="E136" s="50"/>
      <c r="F136" s="50"/>
      <c r="G136" s="50"/>
      <c r="H136" s="50"/>
      <c r="I136" s="50"/>
      <c r="J136" s="50"/>
      <c r="K136" s="50"/>
      <c r="L136" s="39"/>
      <c r="M136" s="50" t="n">
        <v>0</v>
      </c>
      <c r="N136" s="50"/>
      <c r="O136" s="39" t="n">
        <f aca="false">N(J136)+N(K136)+N(M136)+N(N136)</f>
        <v>0</v>
      </c>
      <c r="P136" s="50"/>
      <c r="Q136" s="50"/>
      <c r="R136" s="39"/>
      <c r="S136" s="50" t="n">
        <v>19.402</v>
      </c>
      <c r="T136" s="50"/>
      <c r="U136" s="39" t="n">
        <f aca="false">N(P136)+N(Q136)+N(S136)+N(T136)</f>
        <v>19.402</v>
      </c>
      <c r="V136" s="50"/>
      <c r="W136" s="50"/>
      <c r="X136" s="39"/>
      <c r="Y136" s="50"/>
      <c r="Z136" s="50" t="n">
        <v>0</v>
      </c>
      <c r="AA136" s="50" t="n">
        <v>0</v>
      </c>
      <c r="AB136" s="50" t="n">
        <v>0</v>
      </c>
      <c r="AC136" s="50" t="n">
        <v>0</v>
      </c>
      <c r="AD136" s="39" t="n">
        <f aca="false">AB136+AC136</f>
        <v>0</v>
      </c>
      <c r="AE136" s="50" t="n">
        <v>0</v>
      </c>
      <c r="AF136" s="50" t="n">
        <v>0</v>
      </c>
      <c r="AG136" s="50" t="n">
        <v>0</v>
      </c>
      <c r="AH136" s="50" t="n">
        <v>0</v>
      </c>
      <c r="AI136" s="50" t="n">
        <v>0</v>
      </c>
      <c r="AJ136" s="39" t="n">
        <f aca="false">AH136+AI136</f>
        <v>0</v>
      </c>
      <c r="AK136" s="50" t="n">
        <v>0</v>
      </c>
      <c r="AL136" s="50" t="n">
        <v>12.339</v>
      </c>
      <c r="AM136" s="50" t="n">
        <v>12.339</v>
      </c>
      <c r="AN136" s="50" t="n">
        <v>0</v>
      </c>
      <c r="AO136" s="50" t="n">
        <v>0</v>
      </c>
      <c r="AP136" s="39" t="n">
        <f aca="false">AN136+AO136</f>
        <v>0</v>
      </c>
      <c r="AQ136" s="50" t="n">
        <v>0</v>
      </c>
      <c r="AR136" s="50" t="n">
        <v>0.916</v>
      </c>
      <c r="AS136" s="50" t="n">
        <v>0.916</v>
      </c>
      <c r="AT136" s="50" t="n">
        <v>0</v>
      </c>
      <c r="AU136" s="50" t="n">
        <v>0</v>
      </c>
      <c r="AV136" s="39" t="n">
        <f aca="false">AT136+AU136</f>
        <v>0</v>
      </c>
      <c r="AW136" s="50" t="n">
        <v>0</v>
      </c>
      <c r="AX136" s="50" t="n">
        <v>0</v>
      </c>
      <c r="AY136" s="50" t="n">
        <v>0</v>
      </c>
      <c r="AZ136" s="50" t="n">
        <v>0</v>
      </c>
      <c r="BA136" s="50" t="n">
        <v>0</v>
      </c>
      <c r="BB136" s="39" t="n">
        <f aca="false">AZ136+BA136</f>
        <v>0</v>
      </c>
      <c r="BC136" s="50" t="n">
        <v>0</v>
      </c>
      <c r="BD136" s="50" t="n">
        <v>0</v>
      </c>
      <c r="BE136" s="50" t="n">
        <v>0</v>
      </c>
      <c r="BF136" s="50" t="n">
        <v>0</v>
      </c>
      <c r="BG136" s="50" t="n">
        <v>0</v>
      </c>
      <c r="BH136" s="39" t="n">
        <f aca="false">BF136+BG136</f>
        <v>0</v>
      </c>
      <c r="BI136" s="50" t="n">
        <v>0</v>
      </c>
      <c r="BJ136" s="50" t="n">
        <v>0</v>
      </c>
      <c r="BK136" s="50" t="n">
        <v>0</v>
      </c>
      <c r="BL136" s="50" t="n">
        <v>0</v>
      </c>
      <c r="BM136" s="50" t="n">
        <v>0</v>
      </c>
      <c r="BN136" s="39" t="n">
        <f aca="false">BL136+BM136</f>
        <v>0</v>
      </c>
      <c r="BO136" s="50" t="n">
        <v>0</v>
      </c>
      <c r="BP136" s="50" t="n">
        <v>0</v>
      </c>
      <c r="BQ136" s="50" t="n">
        <v>0</v>
      </c>
      <c r="BR136" s="50" t="n">
        <v>0</v>
      </c>
      <c r="BS136" s="50" t="n">
        <v>0</v>
      </c>
      <c r="BT136" s="39" t="n">
        <f aca="false">BR136+BS136</f>
        <v>0</v>
      </c>
      <c r="BU136" s="50" t="n">
        <v>0</v>
      </c>
      <c r="BV136" s="50" t="n">
        <v>0</v>
      </c>
      <c r="BW136" s="50" t="n">
        <v>0</v>
      </c>
      <c r="BX136" s="50"/>
      <c r="BY136" s="50"/>
      <c r="BZ136" s="39"/>
      <c r="CA136" s="50"/>
      <c r="CB136" s="50"/>
      <c r="CC136" s="50"/>
      <c r="CD136" s="50"/>
      <c r="CE136" s="50"/>
      <c r="CF136" s="39"/>
      <c r="CG136" s="50"/>
      <c r="CH136" s="50"/>
      <c r="CI136" s="50"/>
      <c r="CJ136" s="50"/>
      <c r="CK136" s="50"/>
      <c r="CL136" s="39"/>
      <c r="CM136" s="50"/>
      <c r="CN136" s="50"/>
      <c r="CO136" s="50"/>
      <c r="CP136" s="51" t="n">
        <v>0</v>
      </c>
      <c r="CQ136" s="51" t="n">
        <v>0</v>
      </c>
      <c r="CR136" s="51" t="n">
        <v>0</v>
      </c>
      <c r="CS136" s="51" t="n">
        <v>0</v>
      </c>
      <c r="CT136" s="51" t="n">
        <v>0</v>
      </c>
      <c r="CU136" s="24"/>
      <c r="CW136" s="25"/>
      <c r="CX136" s="25"/>
      <c r="CY136" s="25"/>
      <c r="CZ136" s="25"/>
    </row>
    <row r="137" customFormat="false" ht="15" hidden="false" customHeight="false" outlineLevel="0" collapsed="false">
      <c r="B137" s="15" t="s">
        <v>268</v>
      </c>
      <c r="C137" s="50"/>
      <c r="D137" s="50"/>
      <c r="E137" s="50"/>
      <c r="F137" s="50"/>
      <c r="G137" s="50"/>
      <c r="H137" s="50"/>
      <c r="I137" s="50"/>
      <c r="J137" s="50"/>
      <c r="K137" s="50"/>
      <c r="L137" s="39"/>
      <c r="M137" s="50" t="n">
        <v>0</v>
      </c>
      <c r="N137" s="50"/>
      <c r="O137" s="39" t="n">
        <f aca="false">N(J137)+N(K137)+N(M137)+N(N137)</f>
        <v>0</v>
      </c>
      <c r="P137" s="50"/>
      <c r="Q137" s="50"/>
      <c r="R137" s="39"/>
      <c r="S137" s="50" t="n">
        <v>0</v>
      </c>
      <c r="T137" s="50"/>
      <c r="U137" s="39" t="n">
        <f aca="false">N(P137)+N(Q137)+N(S137)+N(T137)</f>
        <v>0</v>
      </c>
      <c r="V137" s="50"/>
      <c r="W137" s="50"/>
      <c r="X137" s="39"/>
      <c r="Y137" s="50"/>
      <c r="Z137" s="50" t="n">
        <v>1.61</v>
      </c>
      <c r="AA137" s="50" t="n">
        <v>0.534</v>
      </c>
      <c r="AB137" s="50" t="n">
        <v>-0.56</v>
      </c>
      <c r="AC137" s="50" t="n">
        <v>-3.491</v>
      </c>
      <c r="AD137" s="39" t="n">
        <f aca="false">AB137+AC137</f>
        <v>-4.051</v>
      </c>
      <c r="AE137" s="50" t="n">
        <v>0.467</v>
      </c>
      <c r="AF137" s="50" t="n">
        <v>-3.521</v>
      </c>
      <c r="AG137" s="50" t="n">
        <v>-4.86</v>
      </c>
      <c r="AH137" s="50" t="n">
        <v>-2.847</v>
      </c>
      <c r="AI137" s="50" t="n">
        <v>2.72</v>
      </c>
      <c r="AJ137" s="39" t="n">
        <f aca="false">AH137+AI137</f>
        <v>-0.127</v>
      </c>
      <c r="AK137" s="50" t="n">
        <v>-0.167</v>
      </c>
      <c r="AL137" s="50" t="n">
        <v>-0.585</v>
      </c>
      <c r="AM137" s="50" t="n">
        <v>-0.88</v>
      </c>
      <c r="AN137" s="50" t="n">
        <v>0.308</v>
      </c>
      <c r="AO137" s="50" t="n">
        <v>0.768</v>
      </c>
      <c r="AP137" s="39" t="n">
        <f aca="false">AN137+AO137</f>
        <v>1.076</v>
      </c>
      <c r="AQ137" s="50" t="n">
        <v>-0.261</v>
      </c>
      <c r="AR137" s="50" t="n">
        <v>-0.415</v>
      </c>
      <c r="AS137" s="50" t="n">
        <v>0.452</v>
      </c>
      <c r="AT137" s="50" t="n">
        <v>-0.345</v>
      </c>
      <c r="AU137" s="50" t="n">
        <v>-0.056</v>
      </c>
      <c r="AV137" s="39" t="n">
        <f aca="false">AT137+AU137</f>
        <v>-0.401</v>
      </c>
      <c r="AW137" s="50" t="n">
        <v>0.094</v>
      </c>
      <c r="AX137" s="50" t="n">
        <v>0.048</v>
      </c>
      <c r="AY137" s="50" t="n">
        <v>-0.256</v>
      </c>
      <c r="AZ137" s="50" t="n">
        <v>-0.263</v>
      </c>
      <c r="BA137" s="50" t="n">
        <v>-0.416</v>
      </c>
      <c r="BB137" s="39" t="n">
        <f aca="false">AZ137+BA137</f>
        <v>-0.679</v>
      </c>
      <c r="BC137" s="50" t="n">
        <v>-0.49</v>
      </c>
      <c r="BD137" s="50" t="n">
        <v>-0.268</v>
      </c>
      <c r="BE137" s="50" t="n">
        <v>-1.436</v>
      </c>
      <c r="BF137" s="50" t="n">
        <v>0</v>
      </c>
      <c r="BG137" s="50" t="n">
        <v>0</v>
      </c>
      <c r="BH137" s="39" t="n">
        <f aca="false">BF137+BG137</f>
        <v>0</v>
      </c>
      <c r="BI137" s="50" t="n">
        <v>0</v>
      </c>
      <c r="BJ137" s="50" t="n">
        <v>0</v>
      </c>
      <c r="BK137" s="50" t="n">
        <v>0</v>
      </c>
      <c r="BL137" s="50" t="n">
        <v>0</v>
      </c>
      <c r="BM137" s="50" t="n">
        <v>0</v>
      </c>
      <c r="BN137" s="39" t="n">
        <f aca="false">BL137+BM137</f>
        <v>0</v>
      </c>
      <c r="BO137" s="50" t="n">
        <v>0</v>
      </c>
      <c r="BP137" s="50" t="n">
        <v>0</v>
      </c>
      <c r="BQ137" s="50" t="n">
        <v>0</v>
      </c>
      <c r="BR137" s="50" t="n">
        <v>0</v>
      </c>
      <c r="BS137" s="50" t="n">
        <v>0</v>
      </c>
      <c r="BT137" s="39" t="n">
        <f aca="false">BR137+BS137</f>
        <v>0</v>
      </c>
      <c r="BU137" s="50" t="n">
        <v>0</v>
      </c>
      <c r="BV137" s="50" t="n">
        <v>0</v>
      </c>
      <c r="BW137" s="50" t="n">
        <v>0</v>
      </c>
      <c r="BX137" s="50"/>
      <c r="BY137" s="50"/>
      <c r="BZ137" s="39"/>
      <c r="CA137" s="50"/>
      <c r="CB137" s="50"/>
      <c r="CC137" s="50"/>
      <c r="CD137" s="50"/>
      <c r="CE137" s="50"/>
      <c r="CF137" s="39"/>
      <c r="CG137" s="50"/>
      <c r="CH137" s="50"/>
      <c r="CI137" s="50"/>
      <c r="CJ137" s="50"/>
      <c r="CK137" s="50"/>
      <c r="CL137" s="39"/>
      <c r="CM137" s="50"/>
      <c r="CN137" s="50"/>
      <c r="CO137" s="50"/>
      <c r="CP137" s="51" t="n">
        <v>0</v>
      </c>
      <c r="CQ137" s="51" t="n">
        <v>0</v>
      </c>
      <c r="CR137" s="51" t="n">
        <v>0</v>
      </c>
      <c r="CS137" s="51" t="n">
        <v>0</v>
      </c>
      <c r="CT137" s="51" t="n">
        <v>0</v>
      </c>
      <c r="CU137" s="24"/>
      <c r="CW137" s="25"/>
      <c r="CX137" s="25"/>
      <c r="CY137" s="25"/>
      <c r="CZ137" s="25"/>
    </row>
    <row r="138" customFormat="false" ht="15" hidden="false" customHeight="false" outlineLevel="0" collapsed="false">
      <c r="B138" s="15" t="s">
        <v>269</v>
      </c>
      <c r="C138" s="50"/>
      <c r="D138" s="50"/>
      <c r="E138" s="50"/>
      <c r="F138" s="50"/>
      <c r="G138" s="50"/>
      <c r="H138" s="50"/>
      <c r="I138" s="50"/>
      <c r="J138" s="50"/>
      <c r="K138" s="50"/>
      <c r="L138" s="39"/>
      <c r="M138" s="50" t="n">
        <v>0</v>
      </c>
      <c r="N138" s="50"/>
      <c r="O138" s="39" t="n">
        <f aca="false">N(J138)+N(K138)+N(M138)+N(N138)</f>
        <v>0</v>
      </c>
      <c r="P138" s="50"/>
      <c r="Q138" s="50"/>
      <c r="R138" s="39"/>
      <c r="S138" s="50" t="n">
        <v>0</v>
      </c>
      <c r="T138" s="50"/>
      <c r="U138" s="39" t="n">
        <f aca="false">N(P138)+N(Q138)+N(S138)+N(T138)</f>
        <v>0</v>
      </c>
      <c r="V138" s="50"/>
      <c r="W138" s="50"/>
      <c r="X138" s="39"/>
      <c r="Y138" s="50"/>
      <c r="Z138" s="50" t="n">
        <v>0</v>
      </c>
      <c r="AA138" s="50" t="n">
        <v>0</v>
      </c>
      <c r="AB138" s="50" t="n">
        <v>0.048</v>
      </c>
      <c r="AC138" s="50" t="n">
        <v>0</v>
      </c>
      <c r="AD138" s="39" t="n">
        <f aca="false">AB138+AC138</f>
        <v>0.048</v>
      </c>
      <c r="AE138" s="50" t="n">
        <v>0</v>
      </c>
      <c r="AF138" s="50" t="n">
        <v>0</v>
      </c>
      <c r="AG138" s="50" t="n">
        <v>0.048</v>
      </c>
      <c r="AH138" s="50" t="n">
        <v>3.307</v>
      </c>
      <c r="AI138" s="50" t="n">
        <v>0</v>
      </c>
      <c r="AJ138" s="39" t="n">
        <f aca="false">AH138+AI138</f>
        <v>3.307</v>
      </c>
      <c r="AK138" s="50" t="n">
        <v>0</v>
      </c>
      <c r="AL138" s="50" t="n">
        <v>0</v>
      </c>
      <c r="AM138" s="50" t="n">
        <v>3.307</v>
      </c>
      <c r="AN138" s="50" t="n">
        <v>0</v>
      </c>
      <c r="AO138" s="50" t="n">
        <v>0</v>
      </c>
      <c r="AP138" s="39" t="n">
        <f aca="false">AN138+AO138</f>
        <v>0</v>
      </c>
      <c r="AQ138" s="50" t="n">
        <v>0</v>
      </c>
      <c r="AR138" s="50" t="n">
        <v>4.514</v>
      </c>
      <c r="AS138" s="50" t="n">
        <v>4.514</v>
      </c>
      <c r="AT138" s="50" t="n">
        <v>0</v>
      </c>
      <c r="AU138" s="50" t="n">
        <v>0</v>
      </c>
      <c r="AV138" s="39" t="n">
        <f aca="false">AT138+AU138</f>
        <v>0</v>
      </c>
      <c r="AW138" s="50" t="n">
        <v>1.295</v>
      </c>
      <c r="AX138" s="50" t="n">
        <v>0</v>
      </c>
      <c r="AY138" s="50" t="n">
        <v>1.295</v>
      </c>
      <c r="AZ138" s="50" t="n">
        <v>2.867</v>
      </c>
      <c r="BA138" s="50" t="n">
        <v>0</v>
      </c>
      <c r="BB138" s="39" t="n">
        <f aca="false">AZ138+BA138</f>
        <v>2.867</v>
      </c>
      <c r="BC138" s="50" t="n">
        <v>0</v>
      </c>
      <c r="BD138" s="50" t="n">
        <v>0</v>
      </c>
      <c r="BE138" s="50" t="n">
        <v>2.867</v>
      </c>
      <c r="BF138" s="50" t="n">
        <v>0</v>
      </c>
      <c r="BG138" s="50" t="n">
        <v>0</v>
      </c>
      <c r="BH138" s="39" t="n">
        <f aca="false">BF138+BG138</f>
        <v>0</v>
      </c>
      <c r="BI138" s="50" t="n">
        <v>0</v>
      </c>
      <c r="BJ138" s="50" t="n">
        <v>0</v>
      </c>
      <c r="BK138" s="50" t="n">
        <v>0</v>
      </c>
      <c r="BL138" s="50" t="n">
        <v>0</v>
      </c>
      <c r="BM138" s="50" t="n">
        <v>0</v>
      </c>
      <c r="BN138" s="39" t="n">
        <f aca="false">BL138+BM138</f>
        <v>0</v>
      </c>
      <c r="BO138" s="50" t="n">
        <v>0</v>
      </c>
      <c r="BP138" s="50" t="n">
        <v>0</v>
      </c>
      <c r="BQ138" s="50" t="n">
        <v>0</v>
      </c>
      <c r="BR138" s="50" t="n">
        <v>0</v>
      </c>
      <c r="BS138" s="50" t="n">
        <v>0</v>
      </c>
      <c r="BT138" s="39" t="n">
        <f aca="false">BR138+BS138</f>
        <v>0</v>
      </c>
      <c r="BU138" s="50" t="n">
        <v>0</v>
      </c>
      <c r="BV138" s="50" t="n">
        <v>0</v>
      </c>
      <c r="BW138" s="50" t="n">
        <v>0</v>
      </c>
      <c r="BX138" s="50"/>
      <c r="BY138" s="50"/>
      <c r="BZ138" s="39"/>
      <c r="CA138" s="50"/>
      <c r="CB138" s="50"/>
      <c r="CC138" s="50"/>
      <c r="CD138" s="50"/>
      <c r="CE138" s="50"/>
      <c r="CF138" s="39"/>
      <c r="CG138" s="50"/>
      <c r="CH138" s="50"/>
      <c r="CI138" s="50"/>
      <c r="CJ138" s="50"/>
      <c r="CK138" s="50"/>
      <c r="CL138" s="39"/>
      <c r="CM138" s="50"/>
      <c r="CN138" s="50"/>
      <c r="CO138" s="50"/>
      <c r="CP138" s="51" t="n">
        <v>0</v>
      </c>
      <c r="CQ138" s="51" t="n">
        <v>0</v>
      </c>
      <c r="CR138" s="51" t="n">
        <v>0</v>
      </c>
      <c r="CS138" s="51" t="n">
        <v>0</v>
      </c>
      <c r="CT138" s="51" t="n">
        <v>0</v>
      </c>
      <c r="CU138" s="24"/>
      <c r="CW138" s="25"/>
      <c r="CX138" s="25"/>
      <c r="CY138" s="25"/>
      <c r="CZ138" s="25"/>
    </row>
    <row r="139" customFormat="false" ht="15" hidden="false" customHeight="false" outlineLevel="0" collapsed="false">
      <c r="B139" s="15" t="s">
        <v>270</v>
      </c>
      <c r="C139" s="50"/>
      <c r="D139" s="50"/>
      <c r="E139" s="50"/>
      <c r="F139" s="50"/>
      <c r="G139" s="50"/>
      <c r="H139" s="50"/>
      <c r="I139" s="50"/>
      <c r="J139" s="50"/>
      <c r="K139" s="50"/>
      <c r="L139" s="39"/>
      <c r="M139" s="50" t="n">
        <v>0</v>
      </c>
      <c r="N139" s="50"/>
      <c r="O139" s="39" t="n">
        <f aca="false">N(J139)+N(K139)+N(M139)+N(N139)</f>
        <v>0</v>
      </c>
      <c r="P139" s="50"/>
      <c r="Q139" s="50"/>
      <c r="R139" s="39"/>
      <c r="S139" s="50" t="n">
        <v>0</v>
      </c>
      <c r="T139" s="50"/>
      <c r="U139" s="39" t="n">
        <f aca="false">N(P139)+N(Q139)+N(S139)+N(T139)</f>
        <v>0</v>
      </c>
      <c r="V139" s="50"/>
      <c r="W139" s="50"/>
      <c r="X139" s="39"/>
      <c r="Y139" s="50"/>
      <c r="Z139" s="50" t="n">
        <v>0</v>
      </c>
      <c r="AA139" s="50" t="n">
        <v>0</v>
      </c>
      <c r="AB139" s="50" t="n">
        <v>0</v>
      </c>
      <c r="AC139" s="50" t="n">
        <v>0</v>
      </c>
      <c r="AD139" s="39" t="n">
        <f aca="false">AB139+AC139</f>
        <v>0</v>
      </c>
      <c r="AE139" s="50" t="n">
        <v>0</v>
      </c>
      <c r="AF139" s="50" t="n">
        <v>0</v>
      </c>
      <c r="AG139" s="50" t="n">
        <v>0</v>
      </c>
      <c r="AH139" s="50" t="n">
        <v>0</v>
      </c>
      <c r="AI139" s="50" t="n">
        <v>0</v>
      </c>
      <c r="AJ139" s="39" t="n">
        <f aca="false">AH139+AI139</f>
        <v>0</v>
      </c>
      <c r="AK139" s="50" t="n">
        <v>0</v>
      </c>
      <c r="AL139" s="50" t="n">
        <v>1.241</v>
      </c>
      <c r="AM139" s="50" t="n">
        <v>1.241</v>
      </c>
      <c r="AN139" s="50" t="n">
        <v>0</v>
      </c>
      <c r="AO139" s="50" t="n">
        <v>0</v>
      </c>
      <c r="AP139" s="39" t="n">
        <f aca="false">AN139+AO139</f>
        <v>0</v>
      </c>
      <c r="AQ139" s="50" t="n">
        <v>0</v>
      </c>
      <c r="AR139" s="50" t="n">
        <v>1.521</v>
      </c>
      <c r="AS139" s="50" t="n">
        <v>1.521</v>
      </c>
      <c r="AT139" s="50" t="n">
        <v>0</v>
      </c>
      <c r="AU139" s="50" t="n">
        <v>0</v>
      </c>
      <c r="AV139" s="39" t="n">
        <f aca="false">AT139+AU139</f>
        <v>0</v>
      </c>
      <c r="AW139" s="50" t="n">
        <v>0</v>
      </c>
      <c r="AX139" s="50" t="n">
        <v>0</v>
      </c>
      <c r="AY139" s="50" t="n">
        <v>0</v>
      </c>
      <c r="AZ139" s="50" t="n">
        <v>0</v>
      </c>
      <c r="BA139" s="50" t="n">
        <v>0</v>
      </c>
      <c r="BB139" s="39" t="n">
        <f aca="false">AZ139+BA139</f>
        <v>0</v>
      </c>
      <c r="BC139" s="50" t="n">
        <v>0</v>
      </c>
      <c r="BD139" s="50" t="n">
        <v>0</v>
      </c>
      <c r="BE139" s="50" t="n">
        <v>0</v>
      </c>
      <c r="BF139" s="50" t="n">
        <v>0</v>
      </c>
      <c r="BG139" s="50" t="n">
        <v>0</v>
      </c>
      <c r="BH139" s="39" t="n">
        <f aca="false">BF139+BG139</f>
        <v>0</v>
      </c>
      <c r="BI139" s="50" t="n">
        <v>0</v>
      </c>
      <c r="BJ139" s="50" t="n">
        <v>2.713</v>
      </c>
      <c r="BK139" s="50" t="n">
        <v>2.713</v>
      </c>
      <c r="BL139" s="50" t="n">
        <v>0</v>
      </c>
      <c r="BM139" s="50" t="n">
        <v>0</v>
      </c>
      <c r="BN139" s="39" t="n">
        <f aca="false">BL139+BM139</f>
        <v>0</v>
      </c>
      <c r="BO139" s="50" t="n">
        <v>0</v>
      </c>
      <c r="BP139" s="50" t="n">
        <v>0</v>
      </c>
      <c r="BQ139" s="50" t="n">
        <v>0</v>
      </c>
      <c r="BR139" s="50" t="n">
        <v>0</v>
      </c>
      <c r="BS139" s="50" t="n">
        <v>0</v>
      </c>
      <c r="BT139" s="39" t="n">
        <f aca="false">BR139+BS139</f>
        <v>0</v>
      </c>
      <c r="BU139" s="50" t="n">
        <v>0</v>
      </c>
      <c r="BV139" s="50" t="n">
        <v>0</v>
      </c>
      <c r="BW139" s="50" t="n">
        <v>0</v>
      </c>
      <c r="BX139" s="50"/>
      <c r="BY139" s="50"/>
      <c r="BZ139" s="39"/>
      <c r="CA139" s="50"/>
      <c r="CB139" s="50"/>
      <c r="CC139" s="50"/>
      <c r="CD139" s="50"/>
      <c r="CE139" s="50"/>
      <c r="CF139" s="39"/>
      <c r="CG139" s="50"/>
      <c r="CH139" s="50"/>
      <c r="CI139" s="50"/>
      <c r="CJ139" s="50"/>
      <c r="CK139" s="50"/>
      <c r="CL139" s="39"/>
      <c r="CM139" s="50"/>
      <c r="CN139" s="50"/>
      <c r="CO139" s="50"/>
      <c r="CP139" s="51" t="n">
        <v>0</v>
      </c>
      <c r="CQ139" s="51" t="n">
        <v>0</v>
      </c>
      <c r="CR139" s="51" t="n">
        <v>0</v>
      </c>
      <c r="CS139" s="51" t="n">
        <v>0</v>
      </c>
      <c r="CT139" s="51" t="n">
        <v>0</v>
      </c>
      <c r="CU139" s="24"/>
      <c r="CW139" s="25"/>
      <c r="CX139" s="25"/>
      <c r="CY139" s="25"/>
      <c r="CZ139" s="25"/>
    </row>
    <row r="140" customFormat="false" ht="15" hidden="false" customHeight="false" outlineLevel="0" collapsed="false">
      <c r="B140" s="15" t="s">
        <v>271</v>
      </c>
      <c r="C140" s="50"/>
      <c r="D140" s="50"/>
      <c r="E140" s="50"/>
      <c r="F140" s="50"/>
      <c r="G140" s="50"/>
      <c r="H140" s="50"/>
      <c r="I140" s="50"/>
      <c r="J140" s="50"/>
      <c r="K140" s="50"/>
      <c r="L140" s="39"/>
      <c r="M140" s="50" t="n">
        <v>0</v>
      </c>
      <c r="N140" s="50"/>
      <c r="O140" s="39" t="n">
        <f aca="false">N(J140)+N(K140)+N(M140)+N(N140)</f>
        <v>0</v>
      </c>
      <c r="P140" s="50"/>
      <c r="Q140" s="50"/>
      <c r="R140" s="39"/>
      <c r="S140" s="50" t="n">
        <v>0</v>
      </c>
      <c r="T140" s="50"/>
      <c r="U140" s="39" t="n">
        <f aca="false">N(P140)+N(Q140)+N(S140)+N(T140)</f>
        <v>0</v>
      </c>
      <c r="V140" s="50"/>
      <c r="W140" s="50"/>
      <c r="X140" s="39"/>
      <c r="Y140" s="50"/>
      <c r="Z140" s="50" t="n">
        <v>0</v>
      </c>
      <c r="AA140" s="50" t="n">
        <v>0</v>
      </c>
      <c r="AB140" s="50" t="n">
        <v>0</v>
      </c>
      <c r="AC140" s="50" t="n">
        <v>0</v>
      </c>
      <c r="AD140" s="39" t="n">
        <f aca="false">AB140+AC140</f>
        <v>0</v>
      </c>
      <c r="AE140" s="50" t="n">
        <v>0</v>
      </c>
      <c r="AF140" s="50" t="n">
        <v>0</v>
      </c>
      <c r="AG140" s="50" t="n">
        <v>0</v>
      </c>
      <c r="AH140" s="50" t="n">
        <v>0</v>
      </c>
      <c r="AI140" s="50" t="n">
        <v>0</v>
      </c>
      <c r="AJ140" s="39" t="n">
        <f aca="false">AH140+AI140</f>
        <v>0</v>
      </c>
      <c r="AK140" s="50" t="n">
        <v>0</v>
      </c>
      <c r="AL140" s="50" t="n">
        <v>0</v>
      </c>
      <c r="AM140" s="50" t="n">
        <v>0</v>
      </c>
      <c r="AN140" s="50" t="n">
        <v>2.994</v>
      </c>
      <c r="AO140" s="50" t="n">
        <v>0</v>
      </c>
      <c r="AP140" s="39" t="n">
        <f aca="false">AN140+AO140</f>
        <v>2.994</v>
      </c>
      <c r="AQ140" s="50" t="n">
        <v>0</v>
      </c>
      <c r="AR140" s="50" t="n">
        <v>0</v>
      </c>
      <c r="AS140" s="50" t="n">
        <v>2.994</v>
      </c>
      <c r="AT140" s="50" t="n">
        <v>0</v>
      </c>
      <c r="AU140" s="50" t="n">
        <v>-1.598</v>
      </c>
      <c r="AV140" s="39" t="n">
        <f aca="false">AT140+AU140</f>
        <v>-1.598</v>
      </c>
      <c r="AW140" s="50" t="n">
        <v>0</v>
      </c>
      <c r="AX140" s="50" t="n">
        <v>0</v>
      </c>
      <c r="AY140" s="50" t="n">
        <v>-1.598</v>
      </c>
      <c r="AZ140" s="50" t="n">
        <v>0</v>
      </c>
      <c r="BA140" s="50" t="n">
        <v>0</v>
      </c>
      <c r="BB140" s="39" t="n">
        <f aca="false">AZ140+BA140</f>
        <v>0</v>
      </c>
      <c r="BC140" s="50" t="n">
        <v>0</v>
      </c>
      <c r="BD140" s="50" t="n">
        <v>0</v>
      </c>
      <c r="BE140" s="50" t="n">
        <v>0</v>
      </c>
      <c r="BF140" s="50" t="n">
        <v>0</v>
      </c>
      <c r="BG140" s="50" t="n">
        <v>0</v>
      </c>
      <c r="BH140" s="39" t="n">
        <f aca="false">BF140+BG140</f>
        <v>0</v>
      </c>
      <c r="BI140" s="50" t="n">
        <v>0</v>
      </c>
      <c r="BJ140" s="50" t="n">
        <v>0</v>
      </c>
      <c r="BK140" s="50" t="n">
        <v>0</v>
      </c>
      <c r="BL140" s="50" t="n">
        <v>0</v>
      </c>
      <c r="BM140" s="50" t="n">
        <v>0</v>
      </c>
      <c r="BN140" s="39" t="n">
        <f aca="false">BL140+BM140</f>
        <v>0</v>
      </c>
      <c r="BO140" s="50" t="n">
        <v>0</v>
      </c>
      <c r="BP140" s="50" t="n">
        <v>0</v>
      </c>
      <c r="BQ140" s="50" t="n">
        <v>0</v>
      </c>
      <c r="BR140" s="50" t="n">
        <v>0</v>
      </c>
      <c r="BS140" s="50" t="n">
        <v>0</v>
      </c>
      <c r="BT140" s="39" t="n">
        <f aca="false">BR140+BS140</f>
        <v>0</v>
      </c>
      <c r="BU140" s="50" t="n">
        <v>0</v>
      </c>
      <c r="BV140" s="50" t="n">
        <v>0</v>
      </c>
      <c r="BW140" s="50" t="n">
        <v>0</v>
      </c>
      <c r="BX140" s="50"/>
      <c r="BY140" s="50"/>
      <c r="BZ140" s="39"/>
      <c r="CA140" s="50"/>
      <c r="CB140" s="50"/>
      <c r="CC140" s="50"/>
      <c r="CD140" s="50"/>
      <c r="CE140" s="50"/>
      <c r="CF140" s="39"/>
      <c r="CG140" s="50"/>
      <c r="CH140" s="50"/>
      <c r="CI140" s="50"/>
      <c r="CJ140" s="50"/>
      <c r="CK140" s="50"/>
      <c r="CL140" s="39"/>
      <c r="CM140" s="50"/>
      <c r="CN140" s="50"/>
      <c r="CO140" s="50"/>
      <c r="CP140" s="51" t="n">
        <v>0</v>
      </c>
      <c r="CQ140" s="51" t="n">
        <v>0</v>
      </c>
      <c r="CR140" s="51" t="n">
        <v>0</v>
      </c>
      <c r="CS140" s="51" t="n">
        <v>0</v>
      </c>
      <c r="CT140" s="51" t="n">
        <v>0</v>
      </c>
      <c r="CU140" s="24"/>
      <c r="CW140" s="25"/>
      <c r="CX140" s="25"/>
      <c r="CY140" s="25"/>
      <c r="CZ140" s="25"/>
    </row>
    <row r="141" customFormat="false" ht="15" hidden="false" customHeight="false" outlineLevel="0" collapsed="false">
      <c r="B141" s="15" t="s">
        <v>272</v>
      </c>
      <c r="C141" s="50"/>
      <c r="D141" s="50"/>
      <c r="E141" s="50"/>
      <c r="F141" s="50"/>
      <c r="G141" s="50"/>
      <c r="H141" s="50"/>
      <c r="I141" s="50"/>
      <c r="J141" s="50"/>
      <c r="K141" s="50"/>
      <c r="L141" s="39"/>
      <c r="M141" s="50" t="n">
        <v>0</v>
      </c>
      <c r="N141" s="50"/>
      <c r="O141" s="39" t="n">
        <f aca="false">N(J141)+N(K141)+N(M141)+N(N141)</f>
        <v>0</v>
      </c>
      <c r="P141" s="50"/>
      <c r="Q141" s="50"/>
      <c r="R141" s="39"/>
      <c r="S141" s="50" t="n">
        <v>0</v>
      </c>
      <c r="T141" s="50"/>
      <c r="U141" s="39" t="n">
        <f aca="false">N(P141)+N(Q141)+N(S141)+N(T141)</f>
        <v>0</v>
      </c>
      <c r="V141" s="50"/>
      <c r="W141" s="50"/>
      <c r="X141" s="39"/>
      <c r="Y141" s="50"/>
      <c r="Z141" s="50" t="n">
        <v>0</v>
      </c>
      <c r="AA141" s="50" t="n">
        <v>0</v>
      </c>
      <c r="AB141" s="50" t="n">
        <v>0</v>
      </c>
      <c r="AC141" s="50" t="n">
        <v>0</v>
      </c>
      <c r="AD141" s="39" t="n">
        <f aca="false">AB141+AC141</f>
        <v>0</v>
      </c>
      <c r="AE141" s="50" t="n">
        <v>0</v>
      </c>
      <c r="AF141" s="50" t="n">
        <v>0</v>
      </c>
      <c r="AG141" s="50" t="n">
        <v>0</v>
      </c>
      <c r="AH141" s="50" t="n">
        <v>0</v>
      </c>
      <c r="AI141" s="50" t="n">
        <v>0</v>
      </c>
      <c r="AJ141" s="39" t="n">
        <f aca="false">AH141+AI141</f>
        <v>0</v>
      </c>
      <c r="AK141" s="50" t="n">
        <v>0</v>
      </c>
      <c r="AL141" s="50" t="n">
        <v>0</v>
      </c>
      <c r="AM141" s="50" t="n">
        <v>0</v>
      </c>
      <c r="AN141" s="50" t="n">
        <v>0</v>
      </c>
      <c r="AO141" s="50" t="n">
        <v>0</v>
      </c>
      <c r="AP141" s="39" t="n">
        <f aca="false">AN141+AO141</f>
        <v>0</v>
      </c>
      <c r="AQ141" s="50" t="n">
        <v>0</v>
      </c>
      <c r="AR141" s="50" t="n">
        <v>1.017</v>
      </c>
      <c r="AS141" s="50" t="n">
        <v>1.017</v>
      </c>
      <c r="AT141" s="50" t="n">
        <v>0</v>
      </c>
      <c r="AU141" s="50" t="n">
        <v>0</v>
      </c>
      <c r="AV141" s="39" t="n">
        <f aca="false">AT141+AU141</f>
        <v>0</v>
      </c>
      <c r="AW141" s="50" t="n">
        <v>0</v>
      </c>
      <c r="AX141" s="50" t="n">
        <v>0.978</v>
      </c>
      <c r="AY141" s="50" t="n">
        <v>0.978</v>
      </c>
      <c r="AZ141" s="50" t="n">
        <v>0</v>
      </c>
      <c r="BA141" s="50" t="n">
        <v>0</v>
      </c>
      <c r="BB141" s="39" t="n">
        <f aca="false">AZ141+BA141</f>
        <v>0</v>
      </c>
      <c r="BC141" s="50" t="n">
        <v>0</v>
      </c>
      <c r="BD141" s="50" t="n">
        <v>0</v>
      </c>
      <c r="BE141" s="50" t="n">
        <v>0</v>
      </c>
      <c r="BF141" s="50" t="n">
        <v>0</v>
      </c>
      <c r="BG141" s="50" t="n">
        <v>0</v>
      </c>
      <c r="BH141" s="39" t="n">
        <f aca="false">BF141+BG141</f>
        <v>0</v>
      </c>
      <c r="BI141" s="50" t="n">
        <v>0</v>
      </c>
      <c r="BJ141" s="50" t="n">
        <v>0</v>
      </c>
      <c r="BK141" s="50" t="n">
        <v>0</v>
      </c>
      <c r="BL141" s="50" t="n">
        <v>0</v>
      </c>
      <c r="BM141" s="50" t="n">
        <v>0</v>
      </c>
      <c r="BN141" s="39" t="n">
        <f aca="false">BL141+BM141</f>
        <v>0</v>
      </c>
      <c r="BO141" s="50" t="n">
        <v>0</v>
      </c>
      <c r="BP141" s="50" t="n">
        <v>0</v>
      </c>
      <c r="BQ141" s="50" t="n">
        <v>0</v>
      </c>
      <c r="BR141" s="50" t="n">
        <v>0</v>
      </c>
      <c r="BS141" s="50" t="n">
        <v>0</v>
      </c>
      <c r="BT141" s="39" t="n">
        <f aca="false">BR141+BS141</f>
        <v>0</v>
      </c>
      <c r="BU141" s="50" t="n">
        <v>0</v>
      </c>
      <c r="BV141" s="50" t="n">
        <v>0</v>
      </c>
      <c r="BW141" s="50" t="n">
        <v>0</v>
      </c>
      <c r="BX141" s="50"/>
      <c r="BY141" s="50"/>
      <c r="BZ141" s="39"/>
      <c r="CA141" s="50"/>
      <c r="CB141" s="50"/>
      <c r="CC141" s="50"/>
      <c r="CD141" s="50"/>
      <c r="CE141" s="50"/>
      <c r="CF141" s="39"/>
      <c r="CG141" s="50"/>
      <c r="CH141" s="50"/>
      <c r="CI141" s="50"/>
      <c r="CJ141" s="50"/>
      <c r="CK141" s="50"/>
      <c r="CL141" s="39"/>
      <c r="CM141" s="50"/>
      <c r="CN141" s="50"/>
      <c r="CO141" s="50"/>
      <c r="CP141" s="51" t="n">
        <v>0</v>
      </c>
      <c r="CQ141" s="51" t="n">
        <v>0</v>
      </c>
      <c r="CR141" s="51" t="n">
        <v>0</v>
      </c>
      <c r="CS141" s="51" t="n">
        <v>0</v>
      </c>
      <c r="CT141" s="51" t="n">
        <v>0</v>
      </c>
      <c r="CU141" s="24"/>
      <c r="CW141" s="25"/>
      <c r="CX141" s="25"/>
      <c r="CY141" s="25"/>
      <c r="CZ141" s="25"/>
    </row>
    <row r="142" customFormat="false" ht="15" hidden="false" customHeight="false" outlineLevel="0" collapsed="false">
      <c r="B142" s="15" t="s">
        <v>273</v>
      </c>
      <c r="C142" s="50"/>
      <c r="D142" s="50"/>
      <c r="E142" s="50"/>
      <c r="F142" s="50"/>
      <c r="G142" s="50"/>
      <c r="H142" s="50"/>
      <c r="I142" s="50"/>
      <c r="J142" s="50"/>
      <c r="K142" s="50"/>
      <c r="L142" s="39"/>
      <c r="M142" s="50" t="n">
        <v>0</v>
      </c>
      <c r="N142" s="50"/>
      <c r="O142" s="39" t="n">
        <f aca="false">N(J142)+N(K142)+N(M142)+N(N142)</f>
        <v>0</v>
      </c>
      <c r="P142" s="50"/>
      <c r="Q142" s="50"/>
      <c r="R142" s="39"/>
      <c r="S142" s="50" t="n">
        <v>0</v>
      </c>
      <c r="T142" s="50"/>
      <c r="U142" s="39" t="n">
        <f aca="false">N(P142)+N(Q142)+N(S142)+N(T142)</f>
        <v>0</v>
      </c>
      <c r="V142" s="50"/>
      <c r="W142" s="50"/>
      <c r="X142" s="39"/>
      <c r="Y142" s="50"/>
      <c r="Z142" s="50" t="n">
        <v>0</v>
      </c>
      <c r="AA142" s="50" t="n">
        <v>0</v>
      </c>
      <c r="AB142" s="50" t="n">
        <v>0</v>
      </c>
      <c r="AC142" s="50" t="n">
        <v>0</v>
      </c>
      <c r="AD142" s="39" t="n">
        <f aca="false">AB142+AC142</f>
        <v>0</v>
      </c>
      <c r="AE142" s="50" t="n">
        <v>0</v>
      </c>
      <c r="AF142" s="50" t="n">
        <v>0</v>
      </c>
      <c r="AG142" s="50" t="n">
        <v>0</v>
      </c>
      <c r="AH142" s="50" t="n">
        <v>0</v>
      </c>
      <c r="AI142" s="50" t="n">
        <v>0</v>
      </c>
      <c r="AJ142" s="39" t="n">
        <f aca="false">AH142+AI142</f>
        <v>0</v>
      </c>
      <c r="AK142" s="50" t="n">
        <v>0</v>
      </c>
      <c r="AL142" s="50" t="n">
        <v>0</v>
      </c>
      <c r="AM142" s="50" t="n">
        <v>0</v>
      </c>
      <c r="AN142" s="50" t="n">
        <v>0</v>
      </c>
      <c r="AO142" s="50" t="n">
        <v>0</v>
      </c>
      <c r="AP142" s="39" t="n">
        <f aca="false">AN142+AO142</f>
        <v>0</v>
      </c>
      <c r="AQ142" s="50" t="n">
        <v>0</v>
      </c>
      <c r="AR142" s="50" t="n">
        <v>0</v>
      </c>
      <c r="AS142" s="50" t="n">
        <v>0</v>
      </c>
      <c r="AT142" s="50" t="n">
        <v>0</v>
      </c>
      <c r="AU142" s="50" t="n">
        <v>0</v>
      </c>
      <c r="AV142" s="39" t="n">
        <f aca="false">AT142+AU142</f>
        <v>0</v>
      </c>
      <c r="AW142" s="50" t="n">
        <v>0</v>
      </c>
      <c r="AX142" s="50" t="n">
        <v>0</v>
      </c>
      <c r="AY142" s="50" t="n">
        <v>0</v>
      </c>
      <c r="AZ142" s="50" t="n">
        <v>0</v>
      </c>
      <c r="BA142" s="50" t="n">
        <v>0</v>
      </c>
      <c r="BB142" s="39" t="n">
        <f aca="false">AZ142+BA142</f>
        <v>0</v>
      </c>
      <c r="BC142" s="50" t="n">
        <v>0</v>
      </c>
      <c r="BD142" s="50" t="n">
        <v>0</v>
      </c>
      <c r="BE142" s="50" t="n">
        <v>0</v>
      </c>
      <c r="BF142" s="50" t="n">
        <v>0</v>
      </c>
      <c r="BG142" s="50" t="n">
        <v>0</v>
      </c>
      <c r="BH142" s="39" t="n">
        <f aca="false">BF142+BG142</f>
        <v>0</v>
      </c>
      <c r="BI142" s="50" t="n">
        <v>0</v>
      </c>
      <c r="BJ142" s="50" t="n">
        <v>0</v>
      </c>
      <c r="BK142" s="50" t="n">
        <v>0</v>
      </c>
      <c r="BL142" s="50" t="n">
        <v>0</v>
      </c>
      <c r="BM142" s="50" t="n">
        <v>0</v>
      </c>
      <c r="BN142" s="39" t="n">
        <f aca="false">BL142+BM142</f>
        <v>0</v>
      </c>
      <c r="BO142" s="50" t="n">
        <v>5.092</v>
      </c>
      <c r="BP142" s="50" t="n">
        <v>0</v>
      </c>
      <c r="BQ142" s="50" t="n">
        <v>5.092</v>
      </c>
      <c r="BR142" s="50" t="n">
        <v>0</v>
      </c>
      <c r="BS142" s="50" t="n">
        <v>0</v>
      </c>
      <c r="BT142" s="39" t="n">
        <f aca="false">BR142+BS142</f>
        <v>0</v>
      </c>
      <c r="BU142" s="50" t="n">
        <v>0</v>
      </c>
      <c r="BV142" s="50" t="n">
        <v>0</v>
      </c>
      <c r="BW142" s="50" t="n">
        <v>0</v>
      </c>
      <c r="BX142" s="50"/>
      <c r="BY142" s="50"/>
      <c r="BZ142" s="39"/>
      <c r="CA142" s="50"/>
      <c r="CB142" s="50"/>
      <c r="CC142" s="50"/>
      <c r="CD142" s="50"/>
      <c r="CE142" s="50"/>
      <c r="CF142" s="39"/>
      <c r="CG142" s="50"/>
      <c r="CH142" s="50"/>
      <c r="CI142" s="50"/>
      <c r="CJ142" s="50"/>
      <c r="CK142" s="50"/>
      <c r="CL142" s="39"/>
      <c r="CM142" s="50"/>
      <c r="CN142" s="50"/>
      <c r="CO142" s="50"/>
      <c r="CP142" s="51" t="n">
        <v>0</v>
      </c>
      <c r="CQ142" s="51" t="n">
        <v>0</v>
      </c>
      <c r="CR142" s="51" t="n">
        <v>0</v>
      </c>
      <c r="CS142" s="51" t="n">
        <v>0</v>
      </c>
      <c r="CT142" s="51" t="n">
        <v>0</v>
      </c>
      <c r="CU142" s="24"/>
      <c r="CW142" s="25"/>
      <c r="CX142" s="25"/>
      <c r="CY142" s="25"/>
      <c r="CZ142" s="25"/>
    </row>
    <row r="143" customFormat="false" ht="15" hidden="false" customHeight="false" outlineLevel="0" collapsed="false">
      <c r="B143" s="15" t="s">
        <v>274</v>
      </c>
      <c r="C143" s="50"/>
      <c r="D143" s="50"/>
      <c r="E143" s="50"/>
      <c r="F143" s="50"/>
      <c r="G143" s="50"/>
      <c r="H143" s="50"/>
      <c r="I143" s="50"/>
      <c r="J143" s="50"/>
      <c r="K143" s="50"/>
      <c r="L143" s="39"/>
      <c r="M143" s="50" t="n">
        <v>0</v>
      </c>
      <c r="N143" s="50"/>
      <c r="O143" s="39" t="n">
        <f aca="false">N(J143)+N(K143)+N(M143)+N(N143)</f>
        <v>0</v>
      </c>
      <c r="P143" s="50"/>
      <c r="Q143" s="50"/>
      <c r="R143" s="39"/>
      <c r="S143" s="50" t="n">
        <v>0</v>
      </c>
      <c r="T143" s="50"/>
      <c r="U143" s="39" t="n">
        <f aca="false">N(P143)+N(Q143)+N(S143)+N(T143)</f>
        <v>0</v>
      </c>
      <c r="V143" s="50"/>
      <c r="W143" s="50"/>
      <c r="X143" s="39"/>
      <c r="Y143" s="50"/>
      <c r="Z143" s="50" t="n">
        <v>0</v>
      </c>
      <c r="AA143" s="50" t="n">
        <v>0</v>
      </c>
      <c r="AB143" s="50" t="n">
        <v>0</v>
      </c>
      <c r="AC143" s="50" t="n">
        <v>0</v>
      </c>
      <c r="AD143" s="39" t="n">
        <f aca="false">AB143+AC143</f>
        <v>0</v>
      </c>
      <c r="AE143" s="50" t="n">
        <v>0</v>
      </c>
      <c r="AF143" s="50" t="n">
        <v>0</v>
      </c>
      <c r="AG143" s="50" t="n">
        <v>0</v>
      </c>
      <c r="AH143" s="50" t="n">
        <v>0</v>
      </c>
      <c r="AI143" s="50" t="n">
        <v>0</v>
      </c>
      <c r="AJ143" s="39" t="n">
        <f aca="false">AH143+AI143</f>
        <v>0</v>
      </c>
      <c r="AK143" s="50" t="n">
        <v>0</v>
      </c>
      <c r="AL143" s="50" t="n">
        <v>0</v>
      </c>
      <c r="AM143" s="50" t="n">
        <v>0</v>
      </c>
      <c r="AN143" s="50" t="n">
        <v>0</v>
      </c>
      <c r="AO143" s="50" t="n">
        <v>0</v>
      </c>
      <c r="AP143" s="39" t="n">
        <f aca="false">AN143+AO143</f>
        <v>0</v>
      </c>
      <c r="AQ143" s="50" t="n">
        <v>0</v>
      </c>
      <c r="AR143" s="50" t="n">
        <v>0</v>
      </c>
      <c r="AS143" s="50" t="n">
        <v>0</v>
      </c>
      <c r="AT143" s="50" t="n">
        <v>0</v>
      </c>
      <c r="AU143" s="50" t="n">
        <v>0</v>
      </c>
      <c r="AV143" s="39" t="n">
        <f aca="false">AT143+AU143</f>
        <v>0</v>
      </c>
      <c r="AW143" s="50" t="n">
        <v>0</v>
      </c>
      <c r="AX143" s="50" t="n">
        <v>0</v>
      </c>
      <c r="AY143" s="50" t="n">
        <v>0</v>
      </c>
      <c r="AZ143" s="50" t="n">
        <v>0</v>
      </c>
      <c r="BA143" s="50" t="n">
        <v>0</v>
      </c>
      <c r="BB143" s="39" t="n">
        <f aca="false">AZ143+BA143</f>
        <v>0</v>
      </c>
      <c r="BC143" s="50" t="n">
        <v>0</v>
      </c>
      <c r="BD143" s="50" t="n">
        <v>0</v>
      </c>
      <c r="BE143" s="50" t="n">
        <v>0</v>
      </c>
      <c r="BF143" s="50" t="n">
        <v>0</v>
      </c>
      <c r="BG143" s="50" t="n">
        <v>0</v>
      </c>
      <c r="BH143" s="39" t="n">
        <f aca="false">BF143+BG143</f>
        <v>0</v>
      </c>
      <c r="BI143" s="50" t="n">
        <v>0</v>
      </c>
      <c r="BJ143" s="50" t="n">
        <v>0</v>
      </c>
      <c r="BK143" s="50" t="n">
        <v>0</v>
      </c>
      <c r="BL143" s="50" t="n">
        <v>0</v>
      </c>
      <c r="BM143" s="50" t="n">
        <v>0</v>
      </c>
      <c r="BN143" s="39" t="n">
        <f aca="false">BL143+BM143</f>
        <v>0</v>
      </c>
      <c r="BO143" s="50" t="n">
        <v>0</v>
      </c>
      <c r="BP143" s="50" t="n">
        <v>12.929</v>
      </c>
      <c r="BQ143" s="50" t="n">
        <v>12.929</v>
      </c>
      <c r="BR143" s="50" t="n">
        <v>0</v>
      </c>
      <c r="BS143" s="50" t="n">
        <v>0</v>
      </c>
      <c r="BT143" s="39" t="n">
        <f aca="false">BR143+BS143</f>
        <v>0</v>
      </c>
      <c r="BU143" s="50" t="n">
        <v>0</v>
      </c>
      <c r="BV143" s="50" t="n">
        <v>0</v>
      </c>
      <c r="BW143" s="50" t="n">
        <v>0</v>
      </c>
      <c r="BX143" s="50"/>
      <c r="BY143" s="50"/>
      <c r="BZ143" s="39"/>
      <c r="CA143" s="50"/>
      <c r="CB143" s="50"/>
      <c r="CC143" s="50"/>
      <c r="CD143" s="50"/>
      <c r="CE143" s="50"/>
      <c r="CF143" s="39"/>
      <c r="CG143" s="50"/>
      <c r="CH143" s="50"/>
      <c r="CI143" s="50"/>
      <c r="CJ143" s="50"/>
      <c r="CK143" s="50"/>
      <c r="CL143" s="39"/>
      <c r="CM143" s="50"/>
      <c r="CN143" s="50"/>
      <c r="CO143" s="50"/>
      <c r="CP143" s="51" t="n">
        <v>0</v>
      </c>
      <c r="CQ143" s="51" t="n">
        <v>0</v>
      </c>
      <c r="CR143" s="51" t="n">
        <v>0</v>
      </c>
      <c r="CS143" s="51" t="n">
        <v>0</v>
      </c>
      <c r="CT143" s="51" t="n">
        <v>0</v>
      </c>
      <c r="CU143" s="24"/>
      <c r="CW143" s="25"/>
      <c r="CX143" s="25"/>
      <c r="CY143" s="25"/>
      <c r="CZ143" s="25"/>
    </row>
    <row r="144" customFormat="false" ht="15" hidden="false" customHeight="false" outlineLevel="0" collapsed="false">
      <c r="B144" s="15" t="s">
        <v>275</v>
      </c>
      <c r="C144" s="50"/>
      <c r="D144" s="50"/>
      <c r="E144" s="50"/>
      <c r="F144" s="50"/>
      <c r="G144" s="50"/>
      <c r="H144" s="50"/>
      <c r="I144" s="50"/>
      <c r="J144" s="50"/>
      <c r="K144" s="50"/>
      <c r="L144" s="39"/>
      <c r="M144" s="50" t="n">
        <v>-3.567</v>
      </c>
      <c r="N144" s="50"/>
      <c r="O144" s="39" t="n">
        <f aca="false">N(J144)+N(K144)+N(M144)+N(N144)</f>
        <v>-3.567</v>
      </c>
      <c r="P144" s="50"/>
      <c r="Q144" s="50"/>
      <c r="R144" s="39"/>
      <c r="S144" s="50" t="n">
        <v>0</v>
      </c>
      <c r="T144" s="50"/>
      <c r="U144" s="39" t="n">
        <f aca="false">N(P144)+N(Q144)+N(S144)+N(T144)</f>
        <v>0</v>
      </c>
      <c r="V144" s="50"/>
      <c r="W144" s="50"/>
      <c r="X144" s="39"/>
      <c r="Y144" s="50"/>
      <c r="Z144" s="50" t="n">
        <v>0</v>
      </c>
      <c r="AA144" s="50" t="n">
        <v>0</v>
      </c>
      <c r="AB144" s="50" t="n">
        <v>0</v>
      </c>
      <c r="AC144" s="50" t="n">
        <v>0</v>
      </c>
      <c r="AD144" s="39" t="n">
        <f aca="false">AB144+AC144</f>
        <v>0</v>
      </c>
      <c r="AE144" s="50" t="n">
        <v>0</v>
      </c>
      <c r="AF144" s="50" t="n">
        <v>0</v>
      </c>
      <c r="AG144" s="50" t="n">
        <v>0</v>
      </c>
      <c r="AH144" s="50" t="n">
        <v>0</v>
      </c>
      <c r="AI144" s="50" t="n">
        <v>0</v>
      </c>
      <c r="AJ144" s="39" t="n">
        <f aca="false">AH144+AI144</f>
        <v>0</v>
      </c>
      <c r="AK144" s="50" t="n">
        <v>0</v>
      </c>
      <c r="AL144" s="50" t="n">
        <v>0</v>
      </c>
      <c r="AM144" s="50" t="n">
        <v>0</v>
      </c>
      <c r="AN144" s="50" t="n">
        <v>0</v>
      </c>
      <c r="AO144" s="50" t="n">
        <v>0</v>
      </c>
      <c r="AP144" s="39" t="n">
        <f aca="false">AN144+AO144</f>
        <v>0</v>
      </c>
      <c r="AQ144" s="50" t="n">
        <v>0</v>
      </c>
      <c r="AR144" s="50" t="n">
        <v>0</v>
      </c>
      <c r="AS144" s="50" t="n">
        <v>0</v>
      </c>
      <c r="AT144" s="50" t="n">
        <v>0</v>
      </c>
      <c r="AU144" s="50" t="n">
        <v>0</v>
      </c>
      <c r="AV144" s="39" t="n">
        <f aca="false">AT144+AU144</f>
        <v>0</v>
      </c>
      <c r="AW144" s="50" t="n">
        <v>0</v>
      </c>
      <c r="AX144" s="50" t="n">
        <v>0</v>
      </c>
      <c r="AY144" s="50" t="n">
        <v>0</v>
      </c>
      <c r="AZ144" s="50" t="n">
        <v>0</v>
      </c>
      <c r="BA144" s="50" t="n">
        <v>0</v>
      </c>
      <c r="BB144" s="39" t="n">
        <f aca="false">AZ144+BA144</f>
        <v>0</v>
      </c>
      <c r="BC144" s="50" t="n">
        <v>0</v>
      </c>
      <c r="BD144" s="50" t="n">
        <v>0</v>
      </c>
      <c r="BE144" s="50" t="n">
        <v>0</v>
      </c>
      <c r="BF144" s="50" t="n">
        <v>0</v>
      </c>
      <c r="BG144" s="50" t="n">
        <v>0</v>
      </c>
      <c r="BH144" s="39" t="n">
        <f aca="false">BF144+BG144</f>
        <v>0</v>
      </c>
      <c r="BI144" s="50" t="n">
        <v>0</v>
      </c>
      <c r="BJ144" s="50" t="n">
        <v>0</v>
      </c>
      <c r="BK144" s="50" t="n">
        <v>0</v>
      </c>
      <c r="BL144" s="50" t="n">
        <v>0</v>
      </c>
      <c r="BM144" s="50" t="n">
        <v>0</v>
      </c>
      <c r="BN144" s="39" t="n">
        <f aca="false">BL144+BM144</f>
        <v>0</v>
      </c>
      <c r="BO144" s="50" t="n">
        <v>0</v>
      </c>
      <c r="BP144" s="50" t="n">
        <v>0</v>
      </c>
      <c r="BQ144" s="50" t="n">
        <v>0</v>
      </c>
      <c r="BR144" s="50" t="n">
        <v>0</v>
      </c>
      <c r="BS144" s="50" t="n">
        <v>0</v>
      </c>
      <c r="BT144" s="39" t="n">
        <f aca="false">BR144+BS144</f>
        <v>0</v>
      </c>
      <c r="BU144" s="50" t="n">
        <v>0</v>
      </c>
      <c r="BV144" s="50" t="n">
        <v>0</v>
      </c>
      <c r="BW144" s="50" t="n">
        <v>0</v>
      </c>
      <c r="BX144" s="50"/>
      <c r="BY144" s="50"/>
      <c r="BZ144" s="39"/>
      <c r="CA144" s="50"/>
      <c r="CB144" s="50"/>
      <c r="CC144" s="50"/>
      <c r="CD144" s="50"/>
      <c r="CE144" s="50"/>
      <c r="CF144" s="39"/>
      <c r="CG144" s="50"/>
      <c r="CH144" s="50"/>
      <c r="CI144" s="50"/>
      <c r="CJ144" s="50"/>
      <c r="CK144" s="50"/>
      <c r="CL144" s="39"/>
      <c r="CM144" s="50"/>
      <c r="CN144" s="50"/>
      <c r="CO144" s="50"/>
      <c r="CP144" s="51" t="n">
        <v>0</v>
      </c>
      <c r="CQ144" s="51" t="n">
        <v>0</v>
      </c>
      <c r="CR144" s="51" t="n">
        <v>0</v>
      </c>
      <c r="CS144" s="51" t="n">
        <v>0</v>
      </c>
      <c r="CT144" s="51" t="n">
        <v>0</v>
      </c>
      <c r="CU144" s="24"/>
      <c r="CW144" s="25"/>
      <c r="CX144" s="25"/>
      <c r="CY144" s="25"/>
      <c r="CZ144" s="25"/>
    </row>
    <row r="145" customFormat="false" ht="15" hidden="false" customHeight="false" outlineLevel="0" collapsed="false">
      <c r="B145" s="15" t="s">
        <v>276</v>
      </c>
      <c r="C145" s="50"/>
      <c r="D145" s="50"/>
      <c r="E145" s="50"/>
      <c r="F145" s="50"/>
      <c r="G145" s="50"/>
      <c r="H145" s="50"/>
      <c r="I145" s="50"/>
      <c r="J145" s="50"/>
      <c r="K145" s="50"/>
      <c r="L145" s="39"/>
      <c r="M145" s="50" t="n">
        <v>0</v>
      </c>
      <c r="N145" s="50"/>
      <c r="O145" s="39" t="n">
        <f aca="false">N(J145)+N(K145)+N(M145)+N(N145)</f>
        <v>0</v>
      </c>
      <c r="P145" s="50"/>
      <c r="Q145" s="50"/>
      <c r="R145" s="39"/>
      <c r="S145" s="50" t="n">
        <v>0</v>
      </c>
      <c r="T145" s="50"/>
      <c r="U145" s="39" t="n">
        <f aca="false">N(P145)+N(Q145)+N(S145)+N(T145)</f>
        <v>0</v>
      </c>
      <c r="V145" s="50"/>
      <c r="W145" s="50"/>
      <c r="X145" s="39"/>
      <c r="Y145" s="50"/>
      <c r="Z145" s="50" t="n">
        <v>0</v>
      </c>
      <c r="AA145" s="50" t="n">
        <v>0</v>
      </c>
      <c r="AB145" s="50" t="n">
        <v>-0.197</v>
      </c>
      <c r="AC145" s="50" t="n">
        <v>-0.041</v>
      </c>
      <c r="AD145" s="39" t="n">
        <f aca="false">AB145+AC145</f>
        <v>-0.238</v>
      </c>
      <c r="AE145" s="50" t="n">
        <v>-0.608</v>
      </c>
      <c r="AF145" s="50" t="n">
        <v>-11.594</v>
      </c>
      <c r="AG145" s="50" t="n">
        <v>-12.44</v>
      </c>
      <c r="AH145" s="50" t="n">
        <v>-101.395</v>
      </c>
      <c r="AI145" s="50" t="n">
        <v>-1.347</v>
      </c>
      <c r="AJ145" s="39" t="n">
        <f aca="false">AH145+AI145</f>
        <v>-102.742</v>
      </c>
      <c r="AK145" s="50" t="n">
        <v>-4.007</v>
      </c>
      <c r="AL145" s="50" t="n">
        <v>-0.898</v>
      </c>
      <c r="AM145" s="50" t="n">
        <v>-107.647</v>
      </c>
      <c r="AN145" s="50" t="n">
        <v>-3.767</v>
      </c>
      <c r="AO145" s="50" t="n">
        <v>-2.596</v>
      </c>
      <c r="AP145" s="39" t="n">
        <f aca="false">AN145+AO145</f>
        <v>-6.363</v>
      </c>
      <c r="AQ145" s="50" t="n">
        <v>-3.085</v>
      </c>
      <c r="AR145" s="50" t="n">
        <v>-11.821</v>
      </c>
      <c r="AS145" s="50" t="n">
        <v>-21.269</v>
      </c>
      <c r="AT145" s="50" t="n">
        <v>-0.175</v>
      </c>
      <c r="AU145" s="50" t="n">
        <v>-4.847</v>
      </c>
      <c r="AV145" s="39" t="n">
        <f aca="false">AT145+AU145</f>
        <v>-5.022</v>
      </c>
      <c r="AW145" s="50" t="n">
        <v>-29.074</v>
      </c>
      <c r="AX145" s="50" t="n">
        <v>-12.007</v>
      </c>
      <c r="AY145" s="50" t="n">
        <v>-46.103</v>
      </c>
      <c r="AZ145" s="50" t="n">
        <v>-62.365</v>
      </c>
      <c r="BA145" s="50" t="n">
        <v>-14.829</v>
      </c>
      <c r="BB145" s="39" t="n">
        <f aca="false">AZ145+BA145</f>
        <v>-77.194</v>
      </c>
      <c r="BC145" s="50" t="n">
        <v>-8.768</v>
      </c>
      <c r="BD145" s="50" t="n">
        <v>-6.586</v>
      </c>
      <c r="BE145" s="50" t="n">
        <v>-92.548</v>
      </c>
      <c r="BF145" s="50" t="n">
        <v>-11.773</v>
      </c>
      <c r="BG145" s="50" t="n">
        <v>-2.167</v>
      </c>
      <c r="BH145" s="39" t="n">
        <f aca="false">BF145+BG145</f>
        <v>-13.94</v>
      </c>
      <c r="BI145" s="50" t="n">
        <v>-4.91</v>
      </c>
      <c r="BJ145" s="50" t="n">
        <v>-10.962</v>
      </c>
      <c r="BK145" s="50" t="n">
        <v>-29.812</v>
      </c>
      <c r="BL145" s="50" t="n">
        <v>-2.987</v>
      </c>
      <c r="BM145" s="50" t="n">
        <v>-3.965</v>
      </c>
      <c r="BN145" s="39" t="n">
        <f aca="false">BL145+BM145</f>
        <v>-6.952</v>
      </c>
      <c r="BO145" s="50" t="n">
        <v>-2.244</v>
      </c>
      <c r="BP145" s="50" t="n">
        <v>-5.077</v>
      </c>
      <c r="BQ145" s="50" t="n">
        <v>-14.274</v>
      </c>
      <c r="BR145" s="50" t="n">
        <v>-0.625</v>
      </c>
      <c r="BS145" s="50" t="n">
        <v>-0.115</v>
      </c>
      <c r="BT145" s="39" t="n">
        <f aca="false">BR145+BS145</f>
        <v>-0.74</v>
      </c>
      <c r="BU145" s="50" t="n">
        <v>-4.37</v>
      </c>
      <c r="BV145" s="50" t="n">
        <v>-15.911</v>
      </c>
      <c r="BW145" s="50" t="n">
        <v>-21.021</v>
      </c>
      <c r="BX145" s="50"/>
      <c r="BY145" s="50"/>
      <c r="BZ145" s="39"/>
      <c r="CA145" s="50"/>
      <c r="CB145" s="50"/>
      <c r="CC145" s="50"/>
      <c r="CD145" s="50"/>
      <c r="CE145" s="50"/>
      <c r="CF145" s="39"/>
      <c r="CG145" s="50"/>
      <c r="CH145" s="50"/>
      <c r="CI145" s="50"/>
      <c r="CJ145" s="50"/>
      <c r="CK145" s="50"/>
      <c r="CL145" s="39"/>
      <c r="CM145" s="50"/>
      <c r="CN145" s="50"/>
      <c r="CO145" s="50"/>
      <c r="CP145" s="51" t="n">
        <v>0</v>
      </c>
      <c r="CQ145" s="51" t="n">
        <v>0</v>
      </c>
      <c r="CR145" s="51" t="n">
        <v>0</v>
      </c>
      <c r="CS145" s="51" t="n">
        <v>0</v>
      </c>
      <c r="CT145" s="51" t="n">
        <v>0</v>
      </c>
      <c r="CU145" s="24"/>
      <c r="CW145" s="25"/>
      <c r="CX145" s="25"/>
      <c r="CY145" s="25"/>
      <c r="CZ145" s="25"/>
    </row>
    <row r="146" customFormat="false" ht="15" hidden="false" customHeight="false" outlineLevel="0" collapsed="false">
      <c r="B146" s="15" t="s">
        <v>277</v>
      </c>
      <c r="C146" s="50"/>
      <c r="D146" s="50"/>
      <c r="E146" s="50"/>
      <c r="F146" s="50"/>
      <c r="G146" s="50"/>
      <c r="H146" s="50"/>
      <c r="I146" s="50"/>
      <c r="J146" s="50"/>
      <c r="K146" s="50"/>
      <c r="L146" s="39"/>
      <c r="M146" s="50" t="n">
        <v>0</v>
      </c>
      <c r="N146" s="50"/>
      <c r="O146" s="39" t="n">
        <f aca="false">N(J146)+N(K146)+N(M146)+N(N146)</f>
        <v>0</v>
      </c>
      <c r="P146" s="50"/>
      <c r="Q146" s="50"/>
      <c r="R146" s="39"/>
      <c r="S146" s="50" t="n">
        <v>0</v>
      </c>
      <c r="T146" s="50"/>
      <c r="U146" s="39" t="n">
        <f aca="false">N(P146)+N(Q146)+N(S146)+N(T146)</f>
        <v>0</v>
      </c>
      <c r="V146" s="50"/>
      <c r="W146" s="50"/>
      <c r="X146" s="39"/>
      <c r="Y146" s="50"/>
      <c r="Z146" s="50" t="n">
        <v>0</v>
      </c>
      <c r="AA146" s="50" t="n">
        <v>0</v>
      </c>
      <c r="AB146" s="50" t="n">
        <v>0</v>
      </c>
      <c r="AC146" s="50" t="n">
        <v>0</v>
      </c>
      <c r="AD146" s="39" t="n">
        <f aca="false">AB146+AC146</f>
        <v>0</v>
      </c>
      <c r="AE146" s="50" t="n">
        <v>0</v>
      </c>
      <c r="AF146" s="50" t="n">
        <v>0</v>
      </c>
      <c r="AG146" s="50" t="n">
        <v>0</v>
      </c>
      <c r="AH146" s="50" t="n">
        <v>0</v>
      </c>
      <c r="AI146" s="50" t="n">
        <v>0</v>
      </c>
      <c r="AJ146" s="39" t="n">
        <f aca="false">AH146+AI146</f>
        <v>0</v>
      </c>
      <c r="AK146" s="50" t="n">
        <v>0</v>
      </c>
      <c r="AL146" s="50" t="n">
        <v>0</v>
      </c>
      <c r="AM146" s="50" t="n">
        <v>0</v>
      </c>
      <c r="AN146" s="50" t="n">
        <v>0</v>
      </c>
      <c r="AO146" s="50" t="n">
        <v>10</v>
      </c>
      <c r="AP146" s="39" t="n">
        <f aca="false">AN146+AO146</f>
        <v>10</v>
      </c>
      <c r="AQ146" s="50" t="n">
        <v>1</v>
      </c>
      <c r="AR146" s="50" t="n">
        <v>-2.87</v>
      </c>
      <c r="AS146" s="50" t="n">
        <v>8.131</v>
      </c>
      <c r="AT146" s="50" t="n">
        <v>0</v>
      </c>
      <c r="AU146" s="50" t="n">
        <v>0</v>
      </c>
      <c r="AV146" s="39" t="n">
        <f aca="false">AT146+AU146</f>
        <v>0</v>
      </c>
      <c r="AW146" s="50" t="n">
        <v>0</v>
      </c>
      <c r="AX146" s="50" t="n">
        <v>0</v>
      </c>
      <c r="AY146" s="50" t="n">
        <v>0</v>
      </c>
      <c r="AZ146" s="50" t="n">
        <v>0</v>
      </c>
      <c r="BA146" s="50" t="n">
        <v>0</v>
      </c>
      <c r="BB146" s="39" t="n">
        <f aca="false">AZ146+BA146</f>
        <v>0</v>
      </c>
      <c r="BC146" s="50" t="n">
        <v>0</v>
      </c>
      <c r="BD146" s="50" t="n">
        <v>0</v>
      </c>
      <c r="BE146" s="50" t="n">
        <v>0</v>
      </c>
      <c r="BF146" s="50" t="n">
        <v>0</v>
      </c>
      <c r="BG146" s="50" t="n">
        <v>0</v>
      </c>
      <c r="BH146" s="39" t="n">
        <f aca="false">BF146+BG146</f>
        <v>0</v>
      </c>
      <c r="BI146" s="50" t="n">
        <v>0</v>
      </c>
      <c r="BJ146" s="50" t="n">
        <v>0</v>
      </c>
      <c r="BK146" s="50" t="n">
        <v>0</v>
      </c>
      <c r="BL146" s="50" t="n">
        <v>0</v>
      </c>
      <c r="BM146" s="50" t="n">
        <v>0</v>
      </c>
      <c r="BN146" s="39" t="n">
        <f aca="false">BL146+BM146</f>
        <v>0</v>
      </c>
      <c r="BO146" s="50" t="n">
        <v>0</v>
      </c>
      <c r="BP146" s="50" t="n">
        <v>0</v>
      </c>
      <c r="BQ146" s="50" t="n">
        <v>0</v>
      </c>
      <c r="BR146" s="50" t="n">
        <v>0</v>
      </c>
      <c r="BS146" s="50" t="n">
        <v>0</v>
      </c>
      <c r="BT146" s="39" t="n">
        <f aca="false">BR146+BS146</f>
        <v>0</v>
      </c>
      <c r="BU146" s="50" t="n">
        <v>0</v>
      </c>
      <c r="BV146" s="50" t="n">
        <v>0</v>
      </c>
      <c r="BW146" s="50" t="n">
        <v>0</v>
      </c>
      <c r="BX146" s="50"/>
      <c r="BY146" s="50"/>
      <c r="BZ146" s="39"/>
      <c r="CA146" s="50"/>
      <c r="CB146" s="50"/>
      <c r="CC146" s="50"/>
      <c r="CD146" s="50"/>
      <c r="CE146" s="50"/>
      <c r="CF146" s="39"/>
      <c r="CG146" s="50"/>
      <c r="CH146" s="50"/>
      <c r="CI146" s="50"/>
      <c r="CJ146" s="50"/>
      <c r="CK146" s="50"/>
      <c r="CL146" s="39"/>
      <c r="CM146" s="50"/>
      <c r="CN146" s="50"/>
      <c r="CO146" s="50"/>
      <c r="CP146" s="51" t="n">
        <v>0</v>
      </c>
      <c r="CQ146" s="51" t="n">
        <v>0</v>
      </c>
      <c r="CR146" s="51" t="n">
        <v>0</v>
      </c>
      <c r="CS146" s="51" t="n">
        <v>0</v>
      </c>
      <c r="CT146" s="51" t="n">
        <v>0</v>
      </c>
      <c r="CU146" s="24"/>
      <c r="CW146" s="25"/>
      <c r="CX146" s="25"/>
      <c r="CY146" s="25"/>
      <c r="CZ146" s="25"/>
    </row>
    <row r="147" customFormat="false" ht="15" hidden="false" customHeight="false" outlineLevel="0" collapsed="false">
      <c r="B147" s="15" t="s">
        <v>278</v>
      </c>
      <c r="C147" s="50"/>
      <c r="D147" s="50"/>
      <c r="E147" s="50"/>
      <c r="F147" s="50"/>
      <c r="G147" s="50"/>
      <c r="H147" s="50"/>
      <c r="I147" s="50"/>
      <c r="J147" s="50"/>
      <c r="K147" s="50"/>
      <c r="L147" s="39"/>
      <c r="M147" s="50" t="n">
        <v>0</v>
      </c>
      <c r="N147" s="50"/>
      <c r="O147" s="39" t="n">
        <f aca="false">N(J147)+N(K147)+N(M147)+N(N147)</f>
        <v>0</v>
      </c>
      <c r="P147" s="50"/>
      <c r="Q147" s="50"/>
      <c r="R147" s="39"/>
      <c r="S147" s="50" t="n">
        <v>0</v>
      </c>
      <c r="T147" s="50"/>
      <c r="U147" s="39" t="n">
        <f aca="false">N(P147)+N(Q147)+N(S147)+N(T147)</f>
        <v>0</v>
      </c>
      <c r="V147" s="50"/>
      <c r="W147" s="50"/>
      <c r="X147" s="39"/>
      <c r="Y147" s="50"/>
      <c r="Z147" s="50" t="n">
        <v>0</v>
      </c>
      <c r="AA147" s="50" t="n">
        <v>0</v>
      </c>
      <c r="AB147" s="50" t="n">
        <v>0</v>
      </c>
      <c r="AC147" s="50" t="n">
        <v>0</v>
      </c>
      <c r="AD147" s="39" t="n">
        <f aca="false">AB147+AC147</f>
        <v>0</v>
      </c>
      <c r="AE147" s="50" t="n">
        <v>0</v>
      </c>
      <c r="AF147" s="50" t="n">
        <v>0</v>
      </c>
      <c r="AG147" s="50" t="n">
        <v>0</v>
      </c>
      <c r="AH147" s="50" t="n">
        <v>0</v>
      </c>
      <c r="AI147" s="50" t="n">
        <v>0</v>
      </c>
      <c r="AJ147" s="39" t="n">
        <f aca="false">AH147+AI147</f>
        <v>0</v>
      </c>
      <c r="AK147" s="50" t="n">
        <v>0</v>
      </c>
      <c r="AL147" s="50" t="n">
        <v>0</v>
      </c>
      <c r="AM147" s="50" t="n">
        <v>0</v>
      </c>
      <c r="AN147" s="50" t="n">
        <v>0</v>
      </c>
      <c r="AO147" s="50" t="n">
        <v>0</v>
      </c>
      <c r="AP147" s="39" t="n">
        <f aca="false">AN147+AO147</f>
        <v>0</v>
      </c>
      <c r="AQ147" s="50" t="n">
        <v>0</v>
      </c>
      <c r="AR147" s="50" t="n">
        <v>0</v>
      </c>
      <c r="AS147" s="50" t="n">
        <v>0</v>
      </c>
      <c r="AT147" s="50" t="n">
        <v>0</v>
      </c>
      <c r="AU147" s="50" t="n">
        <v>0</v>
      </c>
      <c r="AV147" s="39" t="n">
        <f aca="false">AT147+AU147</f>
        <v>0</v>
      </c>
      <c r="AW147" s="50" t="n">
        <v>-10.17</v>
      </c>
      <c r="AX147" s="50" t="n">
        <v>0</v>
      </c>
      <c r="AY147" s="50" t="n">
        <v>-10.17</v>
      </c>
      <c r="AZ147" s="50" t="n">
        <v>-3.008</v>
      </c>
      <c r="BA147" s="50" t="n">
        <v>0</v>
      </c>
      <c r="BB147" s="39" t="n">
        <f aca="false">AZ147+BA147</f>
        <v>-3.008</v>
      </c>
      <c r="BC147" s="50" t="n">
        <v>0</v>
      </c>
      <c r="BD147" s="50" t="n">
        <v>4.74</v>
      </c>
      <c r="BE147" s="50" t="n">
        <v>1.732</v>
      </c>
      <c r="BF147" s="50" t="n">
        <v>0</v>
      </c>
      <c r="BG147" s="50" t="n">
        <v>0</v>
      </c>
      <c r="BH147" s="39" t="n">
        <f aca="false">BF147+BG147</f>
        <v>0</v>
      </c>
      <c r="BI147" s="50" t="n">
        <v>-19.764</v>
      </c>
      <c r="BJ147" s="50" t="n">
        <v>0</v>
      </c>
      <c r="BK147" s="50" t="n">
        <v>-19.764</v>
      </c>
      <c r="BL147" s="50" t="n">
        <v>0</v>
      </c>
      <c r="BM147" s="50" t="n">
        <v>-17.49</v>
      </c>
      <c r="BN147" s="39" t="n">
        <f aca="false">BL147+BM147</f>
        <v>-17.49</v>
      </c>
      <c r="BO147" s="50" t="n">
        <v>0</v>
      </c>
      <c r="BP147" s="50" t="n">
        <v>0</v>
      </c>
      <c r="BQ147" s="50" t="n">
        <v>-17.49</v>
      </c>
      <c r="BR147" s="50" t="n">
        <v>0</v>
      </c>
      <c r="BS147" s="50" t="n">
        <v>0</v>
      </c>
      <c r="BT147" s="39" t="n">
        <f aca="false">BR147+BS147</f>
        <v>0</v>
      </c>
      <c r="BU147" s="50" t="n">
        <v>0</v>
      </c>
      <c r="BV147" s="50" t="n">
        <v>-1.448</v>
      </c>
      <c r="BW147" s="50" t="n">
        <v>-1.448</v>
      </c>
      <c r="BX147" s="50"/>
      <c r="BY147" s="50"/>
      <c r="BZ147" s="39"/>
      <c r="CA147" s="50"/>
      <c r="CB147" s="50"/>
      <c r="CC147" s="50"/>
      <c r="CD147" s="50"/>
      <c r="CE147" s="50"/>
      <c r="CF147" s="39"/>
      <c r="CG147" s="50"/>
      <c r="CH147" s="50"/>
      <c r="CI147" s="50"/>
      <c r="CJ147" s="50"/>
      <c r="CK147" s="50"/>
      <c r="CL147" s="39"/>
      <c r="CM147" s="50"/>
      <c r="CN147" s="50"/>
      <c r="CO147" s="50"/>
      <c r="CP147" s="51" t="n">
        <v>0</v>
      </c>
      <c r="CQ147" s="51" t="n">
        <v>0</v>
      </c>
      <c r="CR147" s="51" t="n">
        <v>0</v>
      </c>
      <c r="CS147" s="51" t="n">
        <v>0</v>
      </c>
      <c r="CT147" s="51" t="n">
        <v>0</v>
      </c>
      <c r="CU147" s="24"/>
      <c r="CW147" s="25"/>
      <c r="CX147" s="25"/>
      <c r="CY147" s="25"/>
      <c r="CZ147" s="25"/>
    </row>
    <row r="148" customFormat="false" ht="15" hidden="false" customHeight="false" outlineLevel="0" collapsed="false">
      <c r="B148" s="41" t="s">
        <v>279</v>
      </c>
      <c r="C148" s="42" t="n">
        <f aca="false">SUM(C135:C147)</f>
        <v>96.947</v>
      </c>
      <c r="D148" s="42" t="n">
        <f aca="false">SUM(D135:D147)</f>
        <v>136.338</v>
      </c>
      <c r="E148" s="42" t="n">
        <f aca="false">SUM(E135:E147)</f>
        <v>156.932</v>
      </c>
      <c r="F148" s="42" t="n">
        <f aca="false">SUM(F135:F147)</f>
        <v>141.103</v>
      </c>
      <c r="G148" s="42" t="n">
        <f aca="false">SUM(G135:G147)</f>
        <v>151.627</v>
      </c>
      <c r="H148" s="42" t="n">
        <f aca="false">SUM(H135:H147)</f>
        <v>166.375</v>
      </c>
      <c r="I148" s="42" t="n">
        <f aca="false">SUM(I135:I147)</f>
        <v>182.119</v>
      </c>
      <c r="J148" s="21" t="n">
        <f aca="false">SUM(J135:J147)</f>
        <v>45.845</v>
      </c>
      <c r="K148" s="21" t="n">
        <f aca="false">SUM(K135:K147)</f>
        <v>39.64</v>
      </c>
      <c r="L148" s="21" t="n">
        <f aca="false">SUM(L135:L147)</f>
        <v>85.485</v>
      </c>
      <c r="M148" s="21" t="n">
        <f aca="false">SUM(M135:M147)</f>
        <v>49.6690000000001</v>
      </c>
      <c r="N148" s="21" t="n">
        <f aca="false">SUM(N135:N147)</f>
        <v>41.304</v>
      </c>
      <c r="O148" s="42" t="n">
        <f aca="false">SUM(O135:O147)</f>
        <v>176.458</v>
      </c>
      <c r="P148" s="21" t="n">
        <f aca="false">SUM(P135:P147)</f>
        <v>41.422</v>
      </c>
      <c r="Q148" s="21" t="n">
        <f aca="false">SUM(Q135:Q147)</f>
        <v>45.345</v>
      </c>
      <c r="R148" s="21" t="n">
        <f aca="false">SUM(R135:R147)</f>
        <v>86.767</v>
      </c>
      <c r="S148" s="21" t="n">
        <f aca="false">SUM(S135:S147)</f>
        <v>60.279</v>
      </c>
      <c r="T148" s="21" t="n">
        <f aca="false">SUM(T135:T147)</f>
        <v>51.0429999999999</v>
      </c>
      <c r="U148" s="42" t="n">
        <f aca="false">SUM(U135:U147)</f>
        <v>198.089</v>
      </c>
      <c r="V148" s="21" t="n">
        <f aca="false">SUM(V135:V147)</f>
        <v>52.615</v>
      </c>
      <c r="W148" s="21" t="n">
        <f aca="false">SUM(W135:W147)</f>
        <v>52.1930000000001</v>
      </c>
      <c r="X148" s="21" t="n">
        <f aca="false">SUM(X135:X147)</f>
        <v>104.808</v>
      </c>
      <c r="Y148" s="21" t="n">
        <f aca="false">SUM(Y135:Y147)</f>
        <v>57.563</v>
      </c>
      <c r="Z148" s="21" t="n">
        <f aca="false">SUM(Z135:Z147)</f>
        <v>59.022</v>
      </c>
      <c r="AA148" s="42" t="n">
        <f aca="false">SUM(AA135:AA147)</f>
        <v>220.317</v>
      </c>
      <c r="AB148" s="21" t="n">
        <f aca="false">SUM(AB135:AB147)</f>
        <v>51.901</v>
      </c>
      <c r="AC148" s="21" t="n">
        <f aca="false">SUM(AC135:AC147)</f>
        <v>55.475</v>
      </c>
      <c r="AD148" s="21" t="n">
        <f aca="false">SUM(AD135:AD147)</f>
        <v>107.376</v>
      </c>
      <c r="AE148" s="21" t="n">
        <f aca="false">SUM(AE135:AE147)</f>
        <v>74.482</v>
      </c>
      <c r="AF148" s="21" t="n">
        <f aca="false">SUM(AF135:AF147)</f>
        <v>69.005</v>
      </c>
      <c r="AG148" s="42" t="n">
        <f aca="false">SUM(AG135:AG147)</f>
        <v>253.108</v>
      </c>
      <c r="AH148" s="21" t="n">
        <f aca="false">SUM(AH135:AH147)</f>
        <v>66.345</v>
      </c>
      <c r="AI148" s="21" t="n">
        <f aca="false">SUM(AI135:AI147)</f>
        <v>67.4390000000001</v>
      </c>
      <c r="AJ148" s="21" t="n">
        <f aca="false">SUM(AJ135:AJ147)</f>
        <v>133.784</v>
      </c>
      <c r="AK148" s="21" t="n">
        <f aca="false">SUM(AK135:AK147)</f>
        <v>86.372</v>
      </c>
      <c r="AL148" s="21" t="n">
        <f aca="false">SUM(AL135:AL147)</f>
        <v>82.432</v>
      </c>
      <c r="AM148" s="42" t="n">
        <f aca="false">SUM(AM135:AM147)</f>
        <v>302.587</v>
      </c>
      <c r="AN148" s="21" t="n">
        <f aca="false">SUM(AN135:AN147)</f>
        <v>77.05</v>
      </c>
      <c r="AO148" s="21" t="n">
        <f aca="false">SUM(AO135:AO147)</f>
        <v>111.428</v>
      </c>
      <c r="AP148" s="21" t="n">
        <f aca="false">SUM(AP135:AP147)</f>
        <v>188.478</v>
      </c>
      <c r="AQ148" s="21" t="n">
        <f aca="false">SUM(AQ135:AQ147)</f>
        <v>125.002</v>
      </c>
      <c r="AR148" s="21" t="n">
        <f aca="false">SUM(AR135:AR147)</f>
        <v>102.61</v>
      </c>
      <c r="AS148" s="42" t="n">
        <f aca="false">SUM(AS135:AS147)</f>
        <v>416.143</v>
      </c>
      <c r="AT148" s="21" t="n">
        <f aca="false">SUM(AT135:AT147)</f>
        <v>113.563</v>
      </c>
      <c r="AU148" s="21" t="n">
        <f aca="false">SUM(AU135:AU147)</f>
        <v>124.872</v>
      </c>
      <c r="AV148" s="21" t="n">
        <f aca="false">SUM(AV135:AV147)</f>
        <v>238.435</v>
      </c>
      <c r="AW148" s="21" t="n">
        <f aca="false">SUM(AW135:AW147)</f>
        <v>154.886</v>
      </c>
      <c r="AX148" s="21" t="n">
        <f aca="false">SUM(AX135:AX147)</f>
        <v>142.515</v>
      </c>
      <c r="AY148" s="42" t="n">
        <f aca="false">SUM(AY135:AY147)</f>
        <v>535.839</v>
      </c>
      <c r="AZ148" s="21" t="n">
        <f aca="false">SUM(AZ135:AZ147)</f>
        <v>155.411</v>
      </c>
      <c r="BA148" s="21" t="n">
        <f aca="false">SUM(BA135:BA147)</f>
        <v>153.462</v>
      </c>
      <c r="BB148" s="21" t="n">
        <f aca="false">SUM(BB135:BB147)</f>
        <v>308.873</v>
      </c>
      <c r="BC148" s="21" t="n">
        <f aca="false">SUM(BC135:BC147)</f>
        <v>138.229</v>
      </c>
      <c r="BD148" s="21" t="n">
        <f aca="false">SUM(BD135:BD147)</f>
        <v>163.419</v>
      </c>
      <c r="BE148" s="42" t="n">
        <f aca="false">SUM(BE135:BE147)</f>
        <v>610.522</v>
      </c>
      <c r="BF148" s="21" t="n">
        <f aca="false">SUM(BF135:BF147)</f>
        <v>188.512</v>
      </c>
      <c r="BG148" s="21" t="n">
        <f aca="false">SUM(BG135:BG147)</f>
        <v>191.273</v>
      </c>
      <c r="BH148" s="21" t="n">
        <f aca="false">SUM(BH135:BH147)</f>
        <v>379.785</v>
      </c>
      <c r="BI148" s="21" t="n">
        <f aca="false">SUM(BI135:BI147)</f>
        <v>262.122</v>
      </c>
      <c r="BJ148" s="21" t="n">
        <f aca="false">SUM(BJ135:BJ147)</f>
        <v>247.725</v>
      </c>
      <c r="BK148" s="42" t="n">
        <f aca="false">SUM(BK135:BK147)</f>
        <v>889.632</v>
      </c>
      <c r="BL148" s="21" t="n">
        <f aca="false">SUM(BL135:BL147)</f>
        <v>257.376</v>
      </c>
      <c r="BM148" s="21" t="n">
        <f aca="false">SUM(BM135:BM147)</f>
        <v>265.957</v>
      </c>
      <c r="BN148" s="21" t="n">
        <f aca="false">SUM(BN135:BN147)</f>
        <v>523.333</v>
      </c>
      <c r="BO148" s="21" t="n">
        <f aca="false">SUM(BO135:BO147)</f>
        <v>281.468</v>
      </c>
      <c r="BP148" s="21" t="n">
        <f aca="false">SUM(BP135:BP147)</f>
        <v>271.587</v>
      </c>
      <c r="BQ148" s="42" t="n">
        <f aca="false">SUM(BQ135:BQ147)</f>
        <v>1076.387</v>
      </c>
      <c r="BR148" s="21" t="n">
        <f aca="false">SUM(BR135:BR147)</f>
        <v>245.223</v>
      </c>
      <c r="BS148" s="21" t="n">
        <f aca="false">SUM(BS135:BS147)</f>
        <v>293.562</v>
      </c>
      <c r="BT148" s="21" t="n">
        <f aca="false">SUM(BT135:BT147)</f>
        <v>538.785</v>
      </c>
      <c r="BU148" s="21" t="n">
        <f aca="false">SUM(BU135:BU147)</f>
        <v>346.061</v>
      </c>
      <c r="BV148" s="21" t="n">
        <f aca="false">SUM(BV135:BV147)</f>
        <v>330.426</v>
      </c>
      <c r="BW148" s="42" t="n">
        <f aca="false">SUM(BW135:BW147)</f>
        <v>1215.272</v>
      </c>
      <c r="BX148" s="21" t="n">
        <f aca="false">SUM(BX135:BX147)</f>
        <v>332.527</v>
      </c>
      <c r="BY148" s="21" t="n">
        <f aca="false">SUM(BY135:BY147)</f>
        <v>325.635</v>
      </c>
      <c r="BZ148" s="21" t="n">
        <f aca="false">SUM(BZ135:BZ147)</f>
        <v>658.162</v>
      </c>
      <c r="CA148" s="21" t="n">
        <f aca="false">SUM(CA135:CA147)</f>
        <v>382.291</v>
      </c>
      <c r="CB148" s="21" t="n">
        <f aca="false">SUM(CB135:CB147)</f>
        <v>322.567</v>
      </c>
      <c r="CC148" s="42" t="n">
        <f aca="false">SUM(CC135:CC147)</f>
        <v>1363.02</v>
      </c>
      <c r="CD148" s="21" t="n">
        <f aca="false">SUM(CD135:CD147)</f>
        <v>362.086</v>
      </c>
      <c r="CE148" s="21" t="n">
        <f aca="false">SUM(CE135:CE147)</f>
        <v>387.4</v>
      </c>
      <c r="CF148" s="21" t="n">
        <f aca="false">SUM(CF135:CF147)</f>
        <v>749.486</v>
      </c>
      <c r="CG148" s="21" t="n">
        <f aca="false">SUM(CG135:CG147)</f>
        <v>406.609</v>
      </c>
      <c r="CH148" s="21" t="n">
        <f aca="false">SUM(CH135:CH147)</f>
        <v>396.354</v>
      </c>
      <c r="CI148" s="42" t="n">
        <f aca="false">SUM(CI135:CI147)</f>
        <v>1552.449</v>
      </c>
      <c r="CJ148" s="21" t="n">
        <f aca="false">SUM(CJ135:CJ147)</f>
        <v>403.714</v>
      </c>
      <c r="CK148" s="21" t="n">
        <f aca="false">SUM(CK135:CK147)</f>
        <v>350.732</v>
      </c>
      <c r="CL148" s="21" t="n">
        <f aca="false">SUM(CL135:CL147)</f>
        <v>754.446</v>
      </c>
      <c r="CM148" s="21" t="n">
        <f aca="false">SUM(CM135:CM147)</f>
        <v>402.401</v>
      </c>
      <c r="CN148" s="21" t="n">
        <f aca="false">SUM(CN135:CN147)</f>
        <v>327.423</v>
      </c>
      <c r="CO148" s="42" t="n">
        <f aca="false">SUM(CO135:CO147)</f>
        <v>1484.27</v>
      </c>
      <c r="CP148" s="42" t="n">
        <f aca="false">SUM(CP135:CP147)</f>
        <v>1484.66892473288</v>
      </c>
      <c r="CQ148" s="42" t="n">
        <f aca="false">SUM(CQ135:CQ147)</f>
        <v>1561.1086672709</v>
      </c>
      <c r="CR148" s="42" t="n">
        <f aca="false">SUM(CR135:CR147)</f>
        <v>1680.54992830152</v>
      </c>
      <c r="CS148" s="42" t="n">
        <f aca="false">SUM(CS135:CS147)</f>
        <v>1808.2120125569</v>
      </c>
      <c r="CT148" s="42" t="n">
        <f aca="false">SUM(CT135:CT147)</f>
        <v>1945.30893238154</v>
      </c>
      <c r="CU148" s="24" t="s">
        <v>280</v>
      </c>
      <c r="CW148" s="25" t="n">
        <f aca="false">IFERROR((CT148/CO148)^(1/5)-1,"n/m")</f>
        <v>0.0555896765896544</v>
      </c>
      <c r="CX148" s="25" t="n">
        <f aca="false">IFERROR((CO148/BK148)^(1/5)-1,"n/m")</f>
        <v>0.107797811149375</v>
      </c>
      <c r="CY148" s="25" t="n">
        <f aca="false">IFERROR((CO148/AG148)^(1/10)-1,"n/m")</f>
        <v>0.193495274322217</v>
      </c>
      <c r="CZ148" s="25" t="n">
        <f aca="false">IFERROR((CO148/C148)^(1/20)-1,"n/m")</f>
        <v>0.146169709070497</v>
      </c>
    </row>
    <row r="149" customFormat="false" ht="15" hidden="false" customHeight="false" outlineLevel="0" collapsed="false">
      <c r="B149" s="28" t="s">
        <v>281</v>
      </c>
      <c r="C149" s="39" t="n">
        <f aca="false">C125-SUM(C136:C144)</f>
        <v>0</v>
      </c>
      <c r="D149" s="39" t="n">
        <f aca="false">D125-SUM(D136:D144)</f>
        <v>0</v>
      </c>
      <c r="E149" s="39" t="n">
        <f aca="false">E125-SUM(E136:E144)</f>
        <v>0</v>
      </c>
      <c r="F149" s="39" t="n">
        <f aca="false">F125-SUM(F136:F144)</f>
        <v>0</v>
      </c>
      <c r="G149" s="39" t="n">
        <f aca="false">G125-SUM(G136:G144)</f>
        <v>0</v>
      </c>
      <c r="H149" s="39" t="n">
        <f aca="false">H125-SUM(H136:H144)</f>
        <v>0</v>
      </c>
      <c r="I149" s="39" t="n">
        <f aca="false">I125-SUM(I136:I144)</f>
        <v>0</v>
      </c>
      <c r="J149" s="39" t="n">
        <f aca="false">J125-SUM(J136:J144)</f>
        <v>0</v>
      </c>
      <c r="K149" s="39" t="n">
        <f aca="false">K125-SUM(K136:K144)</f>
        <v>0</v>
      </c>
      <c r="L149" s="39" t="n">
        <f aca="false">L125-SUM(L136:L144)</f>
        <v>0</v>
      </c>
      <c r="M149" s="39" t="n">
        <f aca="false">M125-SUM(M136:M144)</f>
        <v>-2.18622580645161</v>
      </c>
      <c r="N149" s="39" t="n">
        <f aca="false">N125-SUM(N136:N144)</f>
        <v>0</v>
      </c>
      <c r="O149" s="39" t="n">
        <f aca="false">O125-SUM(O136:O144)</f>
        <v>-2.18622580645161</v>
      </c>
      <c r="P149" s="39" t="n">
        <f aca="false">P125-SUM(P136:P144)</f>
        <v>0</v>
      </c>
      <c r="Q149" s="39" t="n">
        <f aca="false">Q125-SUM(Q136:Q144)</f>
        <v>0</v>
      </c>
      <c r="R149" s="39" t="n">
        <f aca="false">R125-SUM(R136:R144)</f>
        <v>0</v>
      </c>
      <c r="S149" s="39" t="n">
        <f aca="false">S125-SUM(S136:S144)</f>
        <v>9.702</v>
      </c>
      <c r="T149" s="39" t="n">
        <f aca="false">T125-SUM(T136:T144)</f>
        <v>0</v>
      </c>
      <c r="U149" s="39" t="n">
        <f aca="false">U125-SUM(U136:U144)</f>
        <v>9.702</v>
      </c>
      <c r="V149" s="39" t="n">
        <f aca="false">V125-SUM(V136:V144)</f>
        <v>0</v>
      </c>
      <c r="W149" s="39" t="n">
        <f aca="false">W125-SUM(W136:W144)</f>
        <v>0</v>
      </c>
      <c r="X149" s="39" t="n">
        <f aca="false">X125-SUM(X136:X144)</f>
        <v>0</v>
      </c>
      <c r="Y149" s="39" t="n">
        <f aca="false">Y125-SUM(Y136:Y144)</f>
        <v>0</v>
      </c>
      <c r="Z149" s="39" t="n">
        <f aca="false">Z125-SUM(Z136:Z144)</f>
        <v>0.986774193548387</v>
      </c>
      <c r="AA149" s="39" t="n">
        <f aca="false">AA125-SUM(AA136:AA144)</f>
        <v>0.327290322580645</v>
      </c>
      <c r="AB149" s="39" t="n">
        <f aca="false">AB125-SUM(AB136:AB144)</f>
        <v>-0.313806451612903</v>
      </c>
      <c r="AC149" s="39" t="n">
        <f aca="false">AC125-SUM(AC136:AC144)</f>
        <v>-2.13964516129032</v>
      </c>
      <c r="AD149" s="39" t="n">
        <f aca="false">AD125-SUM(AD136:AD144)</f>
        <v>-2.45345161290323</v>
      </c>
      <c r="AE149" s="39" t="n">
        <f aca="false">AE125-SUM(AE136:AE144)</f>
        <v>0.286225806451613</v>
      </c>
      <c r="AF149" s="39" t="n">
        <f aca="false">AF125-SUM(AF136:AF144)</f>
        <v>-2.15803225806452</v>
      </c>
      <c r="AG149" s="39" t="n">
        <f aca="false">AG125-SUM(AG136:AG144)</f>
        <v>-2.94929032258065</v>
      </c>
      <c r="AH149" s="39" t="n">
        <f aca="false">AH125-SUM(AH136:AH144)</f>
        <v>0.281935483870968</v>
      </c>
      <c r="AI149" s="39" t="n">
        <f aca="false">AI125-SUM(AI136:AI144)</f>
        <v>1.66709677419355</v>
      </c>
      <c r="AJ149" s="39" t="n">
        <f aca="false">AJ125-SUM(AJ136:AJ144)</f>
        <v>1.94903225806452</v>
      </c>
      <c r="AK149" s="39" t="n">
        <f aca="false">AK125-SUM(AK136:AK144)</f>
        <v>-0.102354838709677</v>
      </c>
      <c r="AL149" s="39" t="n">
        <f aca="false">AL125-SUM(AL136:AL144)</f>
        <v>7.42806451612903</v>
      </c>
      <c r="AM149" s="39" t="n">
        <f aca="false">AM125-SUM(AM136:AM144)</f>
        <v>9.27412903225806</v>
      </c>
      <c r="AN149" s="39" t="n">
        <f aca="false">AN125-SUM(AN136:AN144)</f>
        <v>1.22128767123288</v>
      </c>
      <c r="AO149" s="39" t="n">
        <f aca="false">AO125-SUM(AO136:AO144)</f>
        <v>0.284054794520548</v>
      </c>
      <c r="AP149" s="39" t="n">
        <f aca="false">AP125-SUM(AP136:AP144)</f>
        <v>1.50534246575343</v>
      </c>
      <c r="AQ149" s="39" t="n">
        <f aca="false">AQ125-SUM(AQ136:AQ144)</f>
        <v>-0.0965342465753425</v>
      </c>
      <c r="AR149" s="39" t="n">
        <f aca="false">AR125-SUM(AR136:AR144)</f>
        <v>2.66978082191781</v>
      </c>
      <c r="AS149" s="39" t="n">
        <f aca="false">AS125-SUM(AS136:AS144)</f>
        <v>4.09782191780822</v>
      </c>
      <c r="AT149" s="39" t="n">
        <f aca="false">AT125-SUM(AT136:AT144)</f>
        <v>-0.115</v>
      </c>
      <c r="AU149" s="39" t="n">
        <f aca="false">AU125-SUM(AU136:AU144)</f>
        <v>-0.551333333333334</v>
      </c>
      <c r="AV149" s="39" t="n">
        <f aca="false">AV125-SUM(AV136:AV144)</f>
        <v>-0.666333333333334</v>
      </c>
      <c r="AW149" s="39" t="n">
        <f aca="false">AW125-SUM(AW136:AW144)</f>
        <v>0.463</v>
      </c>
      <c r="AX149" s="39" t="n">
        <f aca="false">AX125-SUM(AX136:AX144)</f>
        <v>0.342</v>
      </c>
      <c r="AY149" s="39" t="n">
        <f aca="false">AY125-SUM(AY136:AY144)</f>
        <v>0.139666666666667</v>
      </c>
      <c r="AZ149" s="39" t="n">
        <f aca="false">AZ125-SUM(AZ136:AZ144)</f>
        <v>0.868</v>
      </c>
      <c r="BA149" s="39" t="n">
        <f aca="false">BA125-SUM(BA136:BA144)</f>
        <v>-0.138666666666667</v>
      </c>
      <c r="BB149" s="39" t="n">
        <f aca="false">BB125-SUM(BB136:BB144)</f>
        <v>0.729333333333333</v>
      </c>
      <c r="BC149" s="39" t="n">
        <f aca="false">BC125-SUM(BC136:BC144)</f>
        <v>-0.163333333333333</v>
      </c>
      <c r="BD149" s="39" t="n">
        <f aca="false">BD125-SUM(BD136:BD144)</f>
        <v>-0.0893333333333333</v>
      </c>
      <c r="BE149" s="39" t="n">
        <f aca="false">BE125-SUM(BE136:BE144)</f>
        <v>0.477</v>
      </c>
      <c r="BF149" s="39" t="n">
        <f aca="false">BF125-SUM(BF136:BF144)</f>
        <v>0</v>
      </c>
      <c r="BG149" s="39" t="n">
        <f aca="false">BG125-SUM(BG136:BG144)</f>
        <v>0</v>
      </c>
      <c r="BH149" s="39" t="n">
        <f aca="false">BH125-SUM(BH136:BH144)</f>
        <v>0</v>
      </c>
      <c r="BI149" s="39" t="n">
        <f aca="false">BI125-SUM(BI136:BI144)</f>
        <v>0</v>
      </c>
      <c r="BJ149" s="39" t="n">
        <f aca="false">BJ125-SUM(BJ136:BJ144)</f>
        <v>0.904333333333333</v>
      </c>
      <c r="BK149" s="39" t="n">
        <f aca="false">BK125-SUM(BK136:BK144)</f>
        <v>0.904333333333333</v>
      </c>
      <c r="BL149" s="39" t="n">
        <f aca="false">BL125-SUM(BL136:BL144)</f>
        <v>0</v>
      </c>
      <c r="BM149" s="39" t="n">
        <f aca="false">BM125-SUM(BM136:BM144)</f>
        <v>0</v>
      </c>
      <c r="BN149" s="39" t="n">
        <f aca="false">BN125-SUM(BN136:BN144)</f>
        <v>0</v>
      </c>
      <c r="BO149" s="39" t="n">
        <f aca="false">BO125-SUM(BO136:BO144)</f>
        <v>1.69733333333333</v>
      </c>
      <c r="BP149" s="39" t="n">
        <f aca="false">BP125-SUM(BP136:BP144)</f>
        <v>3.83</v>
      </c>
      <c r="BQ149" s="39" t="n">
        <f aca="false">BQ125-SUM(BQ136:BQ144)</f>
        <v>5.52733333333333</v>
      </c>
      <c r="BR149" s="39" t="n">
        <f aca="false">BR125-SUM(BR136:BR144)</f>
        <v>0</v>
      </c>
      <c r="BS149" s="39" t="n">
        <f aca="false">BS125-SUM(BS136:BS144)</f>
        <v>0</v>
      </c>
      <c r="BT149" s="39" t="n">
        <f aca="false">BT125-SUM(BT136:BT144)</f>
        <v>0</v>
      </c>
      <c r="BU149" s="39" t="n">
        <f aca="false">BU125-SUM(BU136:BU144)</f>
        <v>0</v>
      </c>
      <c r="BV149" s="39" t="n">
        <f aca="false">BV125-SUM(BV136:BV144)</f>
        <v>0</v>
      </c>
      <c r="BW149" s="39" t="n">
        <f aca="false">BW125-SUM(BW136:BW144)</f>
        <v>0</v>
      </c>
      <c r="BX149" s="39" t="n">
        <f aca="false">BX125-SUM(BX136:BX144)</f>
        <v>0</v>
      </c>
      <c r="BY149" s="39" t="n">
        <f aca="false">BY125-SUM(BY136:BY144)</f>
        <v>0</v>
      </c>
      <c r="BZ149" s="39" t="n">
        <f aca="false">BZ125-SUM(BZ136:BZ144)</f>
        <v>0</v>
      </c>
      <c r="CA149" s="39" t="n">
        <f aca="false">CA125-SUM(CA136:CA144)</f>
        <v>0</v>
      </c>
      <c r="CB149" s="39" t="n">
        <f aca="false">CB125-SUM(CB136:CB144)</f>
        <v>0</v>
      </c>
      <c r="CC149" s="39" t="n">
        <f aca="false">CC125-SUM(CC136:CC144)</f>
        <v>0</v>
      </c>
      <c r="CD149" s="39" t="n">
        <f aca="false">CD125-SUM(CD136:CD144)</f>
        <v>0</v>
      </c>
      <c r="CE149" s="39" t="n">
        <f aca="false">CE125-SUM(CE136:CE144)</f>
        <v>0</v>
      </c>
      <c r="CF149" s="39" t="n">
        <f aca="false">CF125-SUM(CF136:CF144)</f>
        <v>0</v>
      </c>
      <c r="CG149" s="39" t="n">
        <f aca="false">CG125-SUM(CG136:CG144)</f>
        <v>0</v>
      </c>
      <c r="CH149" s="39" t="n">
        <f aca="false">CH125-SUM(CH136:CH144)</f>
        <v>0</v>
      </c>
      <c r="CI149" s="39" t="n">
        <f aca="false">CI125-SUM(CI136:CI144)</f>
        <v>0</v>
      </c>
      <c r="CJ149" s="39" t="n">
        <f aca="false">CJ125-SUM(CJ136:CJ144)</f>
        <v>0</v>
      </c>
      <c r="CK149" s="39" t="n">
        <f aca="false">CK125-SUM(CK136:CK144)</f>
        <v>0</v>
      </c>
      <c r="CL149" s="39" t="n">
        <f aca="false">CL125-SUM(CL136:CL144)</f>
        <v>0</v>
      </c>
      <c r="CM149" s="39" t="n">
        <f aca="false">CM125-SUM(CM136:CM144)</f>
        <v>0</v>
      </c>
      <c r="CN149" s="39" t="n">
        <f aca="false">CN125-SUM(CN136:CN144)</f>
        <v>0</v>
      </c>
      <c r="CO149" s="39" t="n">
        <f aca="false">CO125-SUM(CO136:CO144)</f>
        <v>0</v>
      </c>
      <c r="CP149" s="40" t="n">
        <f aca="false">CP125-SUM(CP136:CP144)</f>
        <v>0</v>
      </c>
      <c r="CQ149" s="40" t="n">
        <f aca="false">CQ125-SUM(CQ136:CQ144)</f>
        <v>0</v>
      </c>
      <c r="CR149" s="40" t="n">
        <f aca="false">CR125-SUM(CR136:CR144)</f>
        <v>0</v>
      </c>
      <c r="CS149" s="40" t="n">
        <f aca="false">CS125-SUM(CS136:CS144)</f>
        <v>0</v>
      </c>
      <c r="CT149" s="40" t="n">
        <f aca="false">CT125-SUM(CT136:CT144)</f>
        <v>0</v>
      </c>
      <c r="CU149" s="24"/>
      <c r="CW149" s="6"/>
      <c r="CX149" s="6"/>
      <c r="CY149" s="6"/>
      <c r="CZ149" s="6"/>
    </row>
    <row r="150" customFormat="false" ht="15" hidden="false" customHeight="false" outlineLevel="0" collapsed="false">
      <c r="B150" s="15" t="s">
        <v>215</v>
      </c>
      <c r="C150" s="31" t="n">
        <f aca="false">C98</f>
        <v>1486.8</v>
      </c>
      <c r="D150" s="31" t="n">
        <f aca="false">D98</f>
        <v>1495.28</v>
      </c>
      <c r="E150" s="31" t="n">
        <f aca="false">E98</f>
        <v>1437.728</v>
      </c>
      <c r="F150" s="31" t="n">
        <f aca="false">F98</f>
        <v>1358.88</v>
      </c>
      <c r="G150" s="31" t="n">
        <f aca="false">G98</f>
        <v>1360.432</v>
      </c>
      <c r="H150" s="31" t="n">
        <f aca="false">H98</f>
        <v>1226.816</v>
      </c>
      <c r="I150" s="31" t="n">
        <f aca="false">I98</f>
        <v>1051.424</v>
      </c>
      <c r="J150" s="31" t="n">
        <f aca="false">J98</f>
        <v>1027.784</v>
      </c>
      <c r="K150" s="31" t="n">
        <f aca="false">K98</f>
        <v>1036.16</v>
      </c>
      <c r="L150" s="31" t="n">
        <f aca="false">L98</f>
        <v>1031.972</v>
      </c>
      <c r="M150" s="31" t="n">
        <f aca="false">M98</f>
        <v>1044.24</v>
      </c>
      <c r="N150" s="31" t="n">
        <f aca="false">N98</f>
        <v>1044.904</v>
      </c>
      <c r="O150" s="31" t="n">
        <f aca="false">O98</f>
        <v>1038.248</v>
      </c>
      <c r="P150" s="31" t="n">
        <f aca="false">P98</f>
        <v>1045.648</v>
      </c>
      <c r="Q150" s="31" t="n">
        <f aca="false">Q98</f>
        <v>1048.808</v>
      </c>
      <c r="R150" s="31" t="n">
        <f aca="false">R98</f>
        <v>1047.228</v>
      </c>
      <c r="S150" s="31" t="n">
        <f aca="false">S98</f>
        <v>1051.888</v>
      </c>
      <c r="T150" s="31" t="n">
        <f aca="false">T98</f>
        <v>1053.032</v>
      </c>
      <c r="U150" s="31" t="n">
        <f aca="false">U98</f>
        <v>1049.84</v>
      </c>
      <c r="V150" s="31" t="n">
        <f aca="false">V98</f>
        <v>1052.136</v>
      </c>
      <c r="W150" s="31" t="n">
        <f aca="false">W98</f>
        <v>1054.976</v>
      </c>
      <c r="X150" s="31" t="n">
        <f aca="false">X98</f>
        <v>1053.556</v>
      </c>
      <c r="Y150" s="31" t="n">
        <f aca="false">Y98</f>
        <v>1056.992</v>
      </c>
      <c r="Z150" s="31" t="n">
        <f aca="false">Z98</f>
        <v>1041.64</v>
      </c>
      <c r="AA150" s="31" t="n">
        <f aca="false">AA98</f>
        <v>1051.404</v>
      </c>
      <c r="AB150" s="31" t="n">
        <f aca="false">AB98</f>
        <v>1017.152</v>
      </c>
      <c r="AC150" s="31" t="n">
        <f aca="false">AC98</f>
        <v>996.896</v>
      </c>
      <c r="AD150" s="31" t="n">
        <f aca="false">AD98</f>
        <v>1007.024</v>
      </c>
      <c r="AE150" s="31" t="n">
        <f aca="false">AE98</f>
        <v>945.648</v>
      </c>
      <c r="AF150" s="31" t="n">
        <f aca="false">AF98</f>
        <v>948.152</v>
      </c>
      <c r="AG150" s="31" t="n">
        <f aca="false">AG98</f>
        <v>977.18</v>
      </c>
      <c r="AH150" s="31" t="n">
        <f aca="false">AH98</f>
        <v>951.032</v>
      </c>
      <c r="AI150" s="31" t="n">
        <f aca="false">AI98</f>
        <v>942.352</v>
      </c>
      <c r="AJ150" s="31" t="n">
        <f aca="false">AJ98</f>
        <v>946.692</v>
      </c>
      <c r="AK150" s="31" t="n">
        <f aca="false">AK98</f>
        <v>948.54</v>
      </c>
      <c r="AL150" s="31" t="n">
        <f aca="false">AL98</f>
        <v>950.536</v>
      </c>
      <c r="AM150" s="31" t="n">
        <f aca="false">AM98</f>
        <v>948.076</v>
      </c>
      <c r="AN150" s="31" t="n">
        <f aca="false">AN98</f>
        <v>955.164</v>
      </c>
      <c r="AO150" s="31" t="n">
        <f aca="false">AO98</f>
        <v>965.44</v>
      </c>
      <c r="AP150" s="31" t="n">
        <f aca="false">AP98</f>
        <v>960.302</v>
      </c>
      <c r="AQ150" s="31" t="n">
        <f aca="false">AQ98</f>
        <v>971.84</v>
      </c>
      <c r="AR150" s="31" t="n">
        <f aca="false">AR98</f>
        <v>977.624</v>
      </c>
      <c r="AS150" s="31" t="n">
        <f aca="false">AS98</f>
        <v>967.508</v>
      </c>
      <c r="AT150" s="31" t="n">
        <f aca="false">AT98</f>
        <v>979.304</v>
      </c>
      <c r="AU150" s="31" t="n">
        <f aca="false">AU98</f>
        <v>962.64</v>
      </c>
      <c r="AV150" s="31" t="n">
        <f aca="false">AV98</f>
        <v>970.972</v>
      </c>
      <c r="AW150" s="31" t="n">
        <f aca="false">AW98</f>
        <v>951.568</v>
      </c>
      <c r="AX150" s="31" t="n">
        <f aca="false">AX98</f>
        <v>953.416</v>
      </c>
      <c r="AY150" s="31" t="n">
        <f aca="false">AY98</f>
        <v>961.812</v>
      </c>
      <c r="AZ150" s="31" t="n">
        <f aca="false">AZ98</f>
        <v>954.648</v>
      </c>
      <c r="BA150" s="31" t="n">
        <f aca="false">BA98</f>
        <v>953.88</v>
      </c>
      <c r="BB150" s="31" t="n">
        <f aca="false">BB98</f>
        <v>954.264</v>
      </c>
      <c r="BC150" s="31" t="n">
        <f aca="false">BC98</f>
        <v>954.364</v>
      </c>
      <c r="BD150" s="31" t="n">
        <f aca="false">BD98</f>
        <v>955.708</v>
      </c>
      <c r="BE150" s="31" t="n">
        <f aca="false">BE98</f>
        <v>954.624</v>
      </c>
      <c r="BF150" s="31" t="n">
        <f aca="false">BF98</f>
        <v>959.872</v>
      </c>
      <c r="BG150" s="31" t="n">
        <f aca="false">BG98</f>
        <v>961.12</v>
      </c>
      <c r="BH150" s="31" t="n">
        <f aca="false">BH98</f>
        <v>960.496</v>
      </c>
      <c r="BI150" s="31" t="n">
        <f aca="false">BI98</f>
        <v>960.832</v>
      </c>
      <c r="BJ150" s="31" t="n">
        <f aca="false">BJ98</f>
        <v>962.856</v>
      </c>
      <c r="BK150" s="31" t="n">
        <f aca="false">BK98</f>
        <v>961.16</v>
      </c>
      <c r="BL150" s="31" t="n">
        <f aca="false">BL98</f>
        <v>964.884</v>
      </c>
      <c r="BM150" s="31" t="n">
        <f aca="false">BM98</f>
        <v>964.748</v>
      </c>
      <c r="BN150" s="31" t="n">
        <f aca="false">BN98</f>
        <v>964.816</v>
      </c>
      <c r="BO150" s="31" t="n">
        <f aca="false">BO98</f>
        <v>962.896</v>
      </c>
      <c r="BP150" s="31" t="n">
        <f aca="false">BP98</f>
        <v>962.944</v>
      </c>
      <c r="BQ150" s="31" t="n">
        <f aca="false">BQ98</f>
        <v>964.604</v>
      </c>
      <c r="BR150" s="31" t="n">
        <f aca="false">BR98</f>
        <v>964.336</v>
      </c>
      <c r="BS150" s="31" t="n">
        <f aca="false">BS98</f>
        <v>965.072</v>
      </c>
      <c r="BT150" s="31" t="n">
        <f aca="false">BT98</f>
        <v>964.704</v>
      </c>
      <c r="BU150" s="31" t="n">
        <f aca="false">BU98</f>
        <v>967.38</v>
      </c>
      <c r="BV150" s="31" t="n">
        <f aca="false">BV98</f>
        <v>970.255</v>
      </c>
      <c r="BW150" s="31" t="n">
        <f aca="false">BW98</f>
        <v>966.647</v>
      </c>
      <c r="BX150" s="31" t="n">
        <f aca="false">BX98</f>
        <v>971.682</v>
      </c>
      <c r="BY150" s="31" t="n">
        <f aca="false">BY98</f>
        <v>974.589</v>
      </c>
      <c r="BZ150" s="31" t="n">
        <f aca="false">BZ98</f>
        <v>973.1355</v>
      </c>
      <c r="CA150" s="31" t="n">
        <f aca="false">CA98</f>
        <v>976.445</v>
      </c>
      <c r="CB150" s="31" t="n">
        <f aca="false">CB98</f>
        <v>976.5</v>
      </c>
      <c r="CC150" s="31" t="n">
        <f aca="false">CC98</f>
        <v>974.798</v>
      </c>
      <c r="CD150" s="31" t="n">
        <f aca="false">CD98</f>
        <v>976.506</v>
      </c>
      <c r="CE150" s="31" t="n">
        <f aca="false">CE98</f>
        <v>977.91</v>
      </c>
      <c r="CF150" s="31" t="n">
        <f aca="false">CF98</f>
        <v>977.208</v>
      </c>
      <c r="CG150" s="31" t="n">
        <f aca="false">CG98</f>
        <v>978.089</v>
      </c>
      <c r="CH150" s="31" t="n">
        <f aca="false">CH98</f>
        <v>977.778</v>
      </c>
      <c r="CI150" s="31" t="n">
        <f aca="false">CI98</f>
        <v>977.563</v>
      </c>
      <c r="CJ150" s="31" t="n">
        <f aca="false">CJ98</f>
        <v>977.1</v>
      </c>
      <c r="CK150" s="31" t="n">
        <f aca="false">CK98</f>
        <v>975.089</v>
      </c>
      <c r="CL150" s="31" t="n">
        <f aca="false">CL98</f>
        <v>976.0945</v>
      </c>
      <c r="CM150" s="31" t="n">
        <f aca="false">CM98</f>
        <v>942.77</v>
      </c>
      <c r="CN150" s="31" t="n">
        <f aca="false">CN98</f>
        <v>932.14</v>
      </c>
      <c r="CO150" s="31" t="n">
        <f aca="false">CO98</f>
        <v>956.86</v>
      </c>
      <c r="CP150" s="33" t="n">
        <f aca="false">CP98</f>
        <v>901.112476472659</v>
      </c>
      <c r="CQ150" s="33" t="n">
        <f aca="false">CQ98</f>
        <v>853.0485594711</v>
      </c>
      <c r="CR150" s="33" t="n">
        <f aca="false">CR98</f>
        <v>820.36581368535</v>
      </c>
      <c r="CS150" s="33" t="n">
        <f aca="false">CS98</f>
        <v>787.593752647945</v>
      </c>
      <c r="CT150" s="33" t="n">
        <f aca="false">CT98</f>
        <v>754.540457671242</v>
      </c>
      <c r="CU150" s="24"/>
      <c r="CW150" s="6"/>
      <c r="CX150" s="6"/>
      <c r="CY150" s="6"/>
      <c r="CZ150" s="6"/>
    </row>
    <row r="151" customFormat="false" ht="15" hidden="false" customHeight="false" outlineLevel="0" collapsed="false">
      <c r="B151" s="15" t="s">
        <v>282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1"/>
      <c r="M151" s="32" t="n">
        <v>0</v>
      </c>
      <c r="N151" s="32"/>
      <c r="O151" s="31" t="n">
        <f aca="false">N(J151)+N(K151)+N(M151)+N(N151)</f>
        <v>0</v>
      </c>
      <c r="P151" s="32"/>
      <c r="Q151" s="32"/>
      <c r="R151" s="31"/>
      <c r="S151" s="32" t="n">
        <v>0</v>
      </c>
      <c r="T151" s="32"/>
      <c r="U151" s="31" t="n">
        <f aca="false">N(P151)+N(Q151)+N(S151)+N(T151)</f>
        <v>0</v>
      </c>
      <c r="V151" s="32"/>
      <c r="W151" s="32"/>
      <c r="X151" s="31"/>
      <c r="Y151" s="32"/>
      <c r="Z151" s="32" t="n">
        <v>0</v>
      </c>
      <c r="AA151" s="32" t="n">
        <v>0</v>
      </c>
      <c r="AB151" s="32" t="n">
        <v>-12.576</v>
      </c>
      <c r="AC151" s="32" t="n">
        <v>-13.632</v>
      </c>
      <c r="AD151" s="31" t="n">
        <f aca="false">AB151+AC151</f>
        <v>-26.208</v>
      </c>
      <c r="AE151" s="32" t="n">
        <v>-7.272</v>
      </c>
      <c r="AF151" s="32" t="n">
        <v>-18.288</v>
      </c>
      <c r="AG151" s="32" t="n">
        <v>-14.912</v>
      </c>
      <c r="AH151" s="32" t="n">
        <v>-12.392</v>
      </c>
      <c r="AI151" s="32" t="n">
        <v>-5.616</v>
      </c>
      <c r="AJ151" s="31" t="n">
        <f aca="false">AH151+AI151</f>
        <v>-18.008</v>
      </c>
      <c r="AK151" s="32" t="n">
        <v>-6.768</v>
      </c>
      <c r="AL151" s="32" t="n">
        <v>-7.084</v>
      </c>
      <c r="AM151" s="32" t="n">
        <v>-7.968</v>
      </c>
      <c r="AN151" s="32" t="n">
        <v>-8.056</v>
      </c>
      <c r="AO151" s="32" t="n">
        <v>-10.812</v>
      </c>
      <c r="AP151" s="31" t="n">
        <f aca="false">AN151+AO151</f>
        <v>-18.868</v>
      </c>
      <c r="AQ151" s="32" t="n">
        <v>-12.36</v>
      </c>
      <c r="AR151" s="32" t="n">
        <v>-10.344</v>
      </c>
      <c r="AS151" s="32" t="n">
        <v>-2.584</v>
      </c>
      <c r="AT151" s="32" t="n">
        <v>-9.764</v>
      </c>
      <c r="AU151" s="32" t="n">
        <v>-6.7</v>
      </c>
      <c r="AV151" s="31" t="n">
        <f aca="false">AT151+AU151</f>
        <v>-16.464</v>
      </c>
      <c r="AW151" s="32" t="n">
        <v>-6.924</v>
      </c>
      <c r="AX151" s="32" t="n">
        <v>-6.532</v>
      </c>
      <c r="AY151" s="32" t="n">
        <v>-7.48</v>
      </c>
      <c r="AZ151" s="32" t="n">
        <v>-5.224</v>
      </c>
      <c r="BA151" s="32" t="n">
        <v>0</v>
      </c>
      <c r="BB151" s="31" t="n">
        <f aca="false">AZ151+BA151</f>
        <v>-5.224</v>
      </c>
      <c r="BC151" s="32" t="n">
        <v>0</v>
      </c>
      <c r="BD151" s="32" t="n">
        <v>0</v>
      </c>
      <c r="BE151" s="32" t="n">
        <v>0</v>
      </c>
      <c r="BF151" s="32" t="n">
        <v>0</v>
      </c>
      <c r="BG151" s="32" t="n">
        <v>0</v>
      </c>
      <c r="BH151" s="31" t="n">
        <f aca="false">BF151+BG151</f>
        <v>0</v>
      </c>
      <c r="BI151" s="32" t="n">
        <v>0</v>
      </c>
      <c r="BJ151" s="32" t="n">
        <v>0</v>
      </c>
      <c r="BK151" s="32" t="n">
        <v>0</v>
      </c>
      <c r="BL151" s="32" t="n">
        <v>0</v>
      </c>
      <c r="BM151" s="32" t="n">
        <v>0</v>
      </c>
      <c r="BN151" s="31" t="n">
        <f aca="false">BL151+BM151</f>
        <v>0</v>
      </c>
      <c r="BO151" s="32" t="n">
        <v>0</v>
      </c>
      <c r="BP151" s="32" t="n">
        <v>0</v>
      </c>
      <c r="BQ151" s="32" t="n">
        <v>0</v>
      </c>
      <c r="BR151" s="32" t="n">
        <v>0</v>
      </c>
      <c r="BS151" s="32" t="n">
        <v>0</v>
      </c>
      <c r="BT151" s="31" t="n">
        <f aca="false">BR151+BS151</f>
        <v>0</v>
      </c>
      <c r="BU151" s="32" t="n">
        <v>0</v>
      </c>
      <c r="BV151" s="32" t="n">
        <v>0</v>
      </c>
      <c r="BW151" s="32" t="n">
        <v>0</v>
      </c>
      <c r="BX151" s="32"/>
      <c r="BY151" s="32"/>
      <c r="BZ151" s="31"/>
      <c r="CA151" s="32"/>
      <c r="CB151" s="32"/>
      <c r="CC151" s="32"/>
      <c r="CD151" s="32"/>
      <c r="CE151" s="32"/>
      <c r="CF151" s="31"/>
      <c r="CG151" s="32"/>
      <c r="CH151" s="32"/>
      <c r="CI151" s="32"/>
      <c r="CJ151" s="32"/>
      <c r="CK151" s="32"/>
      <c r="CL151" s="31"/>
      <c r="CM151" s="32"/>
      <c r="CN151" s="32"/>
      <c r="CO151" s="32"/>
      <c r="CP151" s="61" t="n">
        <v>0</v>
      </c>
      <c r="CQ151" s="61" t="n">
        <v>0</v>
      </c>
      <c r="CR151" s="61" t="n">
        <v>0</v>
      </c>
      <c r="CS151" s="61" t="n">
        <v>0</v>
      </c>
      <c r="CT151" s="61" t="n">
        <v>0</v>
      </c>
      <c r="CU151" s="24"/>
      <c r="CW151" s="6"/>
      <c r="CX151" s="6"/>
      <c r="CY151" s="6"/>
      <c r="CZ151" s="6"/>
    </row>
    <row r="152" customFormat="false" ht="15" hidden="false" customHeight="false" outlineLevel="0" collapsed="false">
      <c r="B152" s="41" t="s">
        <v>283</v>
      </c>
      <c r="C152" s="53" t="n">
        <f aca="false">IFERROR(C148/(C150+C151),"")</f>
        <v>0.0652051385525962</v>
      </c>
      <c r="D152" s="53" t="n">
        <f aca="false">IFERROR(D148/(D150+D151),"")</f>
        <v>0.0911789096356535</v>
      </c>
      <c r="E152" s="53" t="n">
        <f aca="false">IFERROR(E148/(E150+E151),"")</f>
        <v>0.109152774377351</v>
      </c>
      <c r="F152" s="53" t="n">
        <f aca="false">IFERROR(F148/(F150+F151),"")</f>
        <v>0.103837719298246</v>
      </c>
      <c r="G152" s="53" t="n">
        <f aca="false">IFERROR(G148/(G150+G151),"")</f>
        <v>0.111455037811519</v>
      </c>
      <c r="H152" s="53" t="n">
        <f aca="false">IFERROR(H148/(H150+H151),"")</f>
        <v>0.135615283791538</v>
      </c>
      <c r="I152" s="53" t="n">
        <f aca="false">IFERROR(I148/(I150+I151),"")</f>
        <v>0.173211758529385</v>
      </c>
      <c r="J152" s="54" t="n">
        <f aca="false">IFERROR(J148/(J150+J151),"")</f>
        <v>0.0446056759007729</v>
      </c>
      <c r="K152" s="54" t="n">
        <f aca="false">IFERROR(K148/(K150+K151),"")</f>
        <v>0.0382566399011736</v>
      </c>
      <c r="L152" s="54" t="n">
        <f aca="false">IFERROR(L148/(L150+L151),"")</f>
        <v>0.0828365498288713</v>
      </c>
      <c r="M152" s="54" t="n">
        <f aca="false">IFERROR(M148/(M150+M151),"")</f>
        <v>0.0475647360759979</v>
      </c>
      <c r="N152" s="54" t="n">
        <f aca="false">IFERROR(N148/(N150+N151),"")</f>
        <v>0.0395289902230253</v>
      </c>
      <c r="O152" s="53" t="n">
        <f aca="false">IFERROR(O148/(O150+O151),"")</f>
        <v>0.169957466809471</v>
      </c>
      <c r="P152" s="54" t="n">
        <f aca="false">IFERROR(P148/(P150+P151),"")</f>
        <v>0.03961371321898</v>
      </c>
      <c r="Q152" s="54" t="n">
        <f aca="false">IFERROR(Q148/(Q150+Q151),"")</f>
        <v>0.0432347960732565</v>
      </c>
      <c r="R152" s="54" t="n">
        <f aca="false">IFERROR(R148/(R150+R151),"")</f>
        <v>0.0828539725828568</v>
      </c>
      <c r="S152" s="54" t="n">
        <f aca="false">IFERROR(S148/(S150+S151),"")</f>
        <v>0.0573055306268348</v>
      </c>
      <c r="T152" s="54" t="n">
        <f aca="false">IFERROR(T148/(T150+T151),"")</f>
        <v>0.0484724110948195</v>
      </c>
      <c r="U152" s="53" t="n">
        <f aca="false">IFERROR(U148/(U150+U151),"")</f>
        <v>0.188684942467424</v>
      </c>
      <c r="V152" s="54" t="n">
        <f aca="false">IFERROR(V148/(V150+V151),"")</f>
        <v>0.0500077936692595</v>
      </c>
      <c r="W152" s="54" t="n">
        <f aca="false">IFERROR(W148/(W150+W151),"")</f>
        <v>0.0494731633705412</v>
      </c>
      <c r="X152" s="54" t="n">
        <f aca="false">IFERROR(X148/(X150+X151),"")</f>
        <v>0.099480236456344</v>
      </c>
      <c r="Y152" s="54" t="n">
        <f aca="false">IFERROR(Y148/(Y150+Y151),"")</f>
        <v>0.054459257969786</v>
      </c>
      <c r="Z152" s="54" t="n">
        <f aca="false">IFERROR(Z148/(Z150+Z151),"")</f>
        <v>0.0566625705618064</v>
      </c>
      <c r="AA152" s="53" t="n">
        <f aca="false">IFERROR(AA148/(AA150+AA151),"")</f>
        <v>0.209545521987742</v>
      </c>
      <c r="AB152" s="54" t="n">
        <f aca="false">IFERROR(AB148/(AB150+AB151),"")</f>
        <v>0.0516645828687924</v>
      </c>
      <c r="AC152" s="54" t="n">
        <f aca="false">IFERROR(AC148/(AC150+AC151),"")</f>
        <v>0.0564192322712923</v>
      </c>
      <c r="AD152" s="54" t="n">
        <f aca="false">IFERROR(AD148/(AD150+AD151),"")</f>
        <v>0.109476191252997</v>
      </c>
      <c r="AE152" s="54" t="n">
        <f aca="false">IFERROR(AE148/(AE150+AE151),"")</f>
        <v>0.0793733002549085</v>
      </c>
      <c r="AF152" s="54" t="n">
        <f aca="false">IFERROR(AF148/(AF150+AF151),"")</f>
        <v>0.0742097769136132</v>
      </c>
      <c r="AG152" s="53" t="n">
        <f aca="false">IFERROR(AG148/(AG150+AG151),"")</f>
        <v>0.263032751790561</v>
      </c>
      <c r="AH152" s="54" t="n">
        <f aca="false">IFERROR(AH148/(AH150+AH151),"")</f>
        <v>0.0706820506264382</v>
      </c>
      <c r="AI152" s="54" t="n">
        <f aca="false">IFERROR(AI148/(AI150+AI151),"")</f>
        <v>0.071993603320466</v>
      </c>
      <c r="AJ152" s="54" t="n">
        <f aca="false">IFERROR(AJ148/(AJ150+AJ151),"")</f>
        <v>0.144057612707875</v>
      </c>
      <c r="AK152" s="54" t="n">
        <f aca="false">IFERROR(AK148/(AK150+AK151),"")</f>
        <v>0.0917122190933687</v>
      </c>
      <c r="AL152" s="54" t="n">
        <f aca="false">IFERROR(AL148/(AL150+AL151),"")</f>
        <v>0.0873727545227526</v>
      </c>
      <c r="AM152" s="53" t="n">
        <f aca="false">IFERROR(AM148/(AM150+AM151),"")</f>
        <v>0.321864083701022</v>
      </c>
      <c r="AN152" s="54" t="n">
        <f aca="false">IFERROR(AN148/(AN150+AN151),"")</f>
        <v>0.0813529185689489</v>
      </c>
      <c r="AO152" s="54" t="n">
        <f aca="false">IFERROR(AO148/(AO150+AO151),"")</f>
        <v>0.116724001391118</v>
      </c>
      <c r="AP152" s="54" t="n">
        <f aca="false">IFERROR(AP148/(AP150+AP151),"")</f>
        <v>0.200203094428287</v>
      </c>
      <c r="AQ152" s="54" t="n">
        <f aca="false">IFERROR(AQ148/(AQ150+AQ151),"")</f>
        <v>0.130280985533831</v>
      </c>
      <c r="AR152" s="54" t="n">
        <f aca="false">IFERROR(AR148/(AR150+AR151),"")</f>
        <v>0.10608096931602</v>
      </c>
      <c r="AS152" s="53" t="n">
        <f aca="false">IFERROR(AS148/(AS150+AS151),"")</f>
        <v>0.431270234754239</v>
      </c>
      <c r="AT152" s="54" t="n">
        <f aca="false">IFERROR(AT148/(AT150+AT151),"")</f>
        <v>0.117130804298946</v>
      </c>
      <c r="AU152" s="54" t="n">
        <f aca="false">IFERROR(AU148/(AU150+AU151),"")</f>
        <v>0.130627445237149</v>
      </c>
      <c r="AV152" s="54" t="n">
        <f aca="false">IFERROR(AV148/(AV150+AV151),"")</f>
        <v>0.249798849250085</v>
      </c>
      <c r="AW152" s="54" t="n">
        <f aca="false">IFERROR(AW148/(AW150+AW151),"")</f>
        <v>0.163962296907618</v>
      </c>
      <c r="AX152" s="54" t="n">
        <f aca="false">IFERROR(AX148/(AX150+AX151),"")</f>
        <v>0.150509460504138</v>
      </c>
      <c r="AY152" s="53" t="n">
        <f aca="false">IFERROR(AY148/(AY150+AY151),"")</f>
        <v>0.561480700636676</v>
      </c>
      <c r="AZ152" s="54" t="n">
        <f aca="false">IFERROR(AZ148/(AZ150+AZ151),"")</f>
        <v>0.163689774010347</v>
      </c>
      <c r="BA152" s="54" t="n">
        <f aca="false">IFERROR(BA148/(BA150+BA151),"")</f>
        <v>0.160881871933577</v>
      </c>
      <c r="BB152" s="54" t="n">
        <f aca="false">IFERROR(BB148/(BB150+BB151),"")</f>
        <v>0.325458357919582</v>
      </c>
      <c r="BC152" s="54" t="n">
        <f aca="false">IFERROR(BC148/(BC150+BC151),"")</f>
        <v>0.144838866512148</v>
      </c>
      <c r="BD152" s="54" t="n">
        <f aca="false">IFERROR(BD148/(BD150+BD151),"")</f>
        <v>0.170992604435664</v>
      </c>
      <c r="BE152" s="53" t="n">
        <f aca="false">IFERROR(BE148/(BE150+BE151),"")</f>
        <v>0.639541851032449</v>
      </c>
      <c r="BF152" s="54" t="n">
        <f aca="false">IFERROR(BF148/(BF150+BF151),"")</f>
        <v>0.196392852380317</v>
      </c>
      <c r="BG152" s="54" t="n">
        <f aca="false">IFERROR(BG148/(BG150+BG151),"")</f>
        <v>0.199010529382387</v>
      </c>
      <c r="BH152" s="54" t="n">
        <f aca="false">IFERROR(BH148/(BH150+BH151),"")</f>
        <v>0.395405082374107</v>
      </c>
      <c r="BI152" s="54" t="n">
        <f aca="false">IFERROR(BI148/(BI150+BI151),"")</f>
        <v>0.27280731699194</v>
      </c>
      <c r="BJ152" s="54" t="n">
        <f aca="false">IFERROR(BJ148/(BJ150+BJ151),"")</f>
        <v>0.25728146264862</v>
      </c>
      <c r="BK152" s="53" t="n">
        <f aca="false">IFERROR(BK148/(BK150+BK151),"")</f>
        <v>0.925581588913397</v>
      </c>
      <c r="BL152" s="54" t="n">
        <f aca="false">IFERROR(BL148/(BL150+BL151),"")</f>
        <v>0.266742945265959</v>
      </c>
      <c r="BM152" s="54" t="n">
        <f aca="false">IFERROR(BM148/(BM150+BM151),"")</f>
        <v>0.275675098574965</v>
      </c>
      <c r="BN152" s="54" t="n">
        <f aca="false">IFERROR(BN148/(BN150+BN151),"")</f>
        <v>0.542417414304904</v>
      </c>
      <c r="BO152" s="54" t="n">
        <f aca="false">IFERROR(BO148/(BO150+BO151),"")</f>
        <v>0.292314019374886</v>
      </c>
      <c r="BP152" s="54" t="n">
        <f aca="false">IFERROR(BP148/(BP150+BP151),"")</f>
        <v>0.282038207829323</v>
      </c>
      <c r="BQ152" s="53" t="n">
        <f aca="false">IFERROR(BQ148/(BQ150+BQ151),"")</f>
        <v>1.11588486052307</v>
      </c>
      <c r="BR152" s="54" t="n">
        <f aca="false">IFERROR(BR148/(BR150+BR151),"")</f>
        <v>0.254292072472665</v>
      </c>
      <c r="BS152" s="54" t="n">
        <f aca="false">IFERROR(BS148/(BS150+BS151),"")</f>
        <v>0.304186630634813</v>
      </c>
      <c r="BT152" s="54" t="n">
        <f aca="false">IFERROR(BT148/(BT150+BT151),"")</f>
        <v>0.558497736093144</v>
      </c>
      <c r="BU152" s="54" t="n">
        <f aca="false">IFERROR(BU148/(BU150+BU151),"")</f>
        <v>0.357730157745663</v>
      </c>
      <c r="BV152" s="54" t="n">
        <f aca="false">IFERROR(BV148/(BV150+BV151),"")</f>
        <v>0.340555833260328</v>
      </c>
      <c r="BW152" s="53" t="n">
        <f aca="false">IFERROR(BW148/(BW150+BW151),"")</f>
        <v>1.25720350862311</v>
      </c>
      <c r="BX152" s="54" t="n">
        <f aca="false">IFERROR(BX148/(BX150+BX151),"")</f>
        <v>0.34221792726427</v>
      </c>
      <c r="BY152" s="54" t="n">
        <f aca="false">IFERROR(BY148/(BY150+BY151),"")</f>
        <v>0.334125462117877</v>
      </c>
      <c r="BZ152" s="54" t="n">
        <f aca="false">IFERROR(BZ148/(BZ150+BZ151),"")</f>
        <v>0.676331302269828</v>
      </c>
      <c r="CA152" s="54" t="n">
        <f aca="false">IFERROR(CA148/(CA150+CA151),"")</f>
        <v>0.391513090855092</v>
      </c>
      <c r="CB152" s="54" t="n">
        <f aca="false">IFERROR(CB148/(CB150+CB151),"")</f>
        <v>0.330329749103943</v>
      </c>
      <c r="CC152" s="53" t="n">
        <f aca="false">IFERROR(CC148/(CC150+CC151),"")</f>
        <v>1.3982589213355</v>
      </c>
      <c r="CD152" s="54" t="n">
        <f aca="false">IFERROR(CD148/(CD150+CD151),"")</f>
        <v>0.370797516861136</v>
      </c>
      <c r="CE152" s="54" t="n">
        <f aca="false">IFERROR(CE148/(CE150+CE151),"")</f>
        <v>0.396150975038603</v>
      </c>
      <c r="CF152" s="54" t="n">
        <f aca="false">IFERROR(CF148/(CF150+CF151),"")</f>
        <v>0.766966705143634</v>
      </c>
      <c r="CG152" s="54" t="n">
        <f aca="false">IFERROR(CG148/(CG150+CG151),"")</f>
        <v>0.41571779255262</v>
      </c>
      <c r="CH152" s="54" t="n">
        <f aca="false">IFERROR(CH148/(CH150+CH151),"")</f>
        <v>0.405361953326829</v>
      </c>
      <c r="CI152" s="53" t="n">
        <f aca="false">IFERROR(CI148/(CI150+CI151),"")</f>
        <v>1.58808076819601</v>
      </c>
      <c r="CJ152" s="54" t="n">
        <f aca="false">IFERROR(CJ148/(CJ150+CJ151),"")</f>
        <v>0.413175724081466</v>
      </c>
      <c r="CK152" s="54" t="n">
        <f aca="false">IFERROR(CK148/(CK150+CK151),"")</f>
        <v>0.359692294754633</v>
      </c>
      <c r="CL152" s="54" t="n">
        <f aca="false">IFERROR(CL148/(CL150+CL151),"")</f>
        <v>0.772923113489524</v>
      </c>
      <c r="CM152" s="54" t="n">
        <f aca="false">IFERROR(CM148/(CM150+CM151),"")</f>
        <v>0.426828388684409</v>
      </c>
      <c r="CN152" s="54" t="n">
        <f aca="false">IFERROR(CN148/(CN150+CN151),"")</f>
        <v>0.351259467461969</v>
      </c>
      <c r="CO152" s="53" t="n">
        <f aca="false">IFERROR(CO148/(CO150+CO151),"")</f>
        <v>1.55118826160567</v>
      </c>
      <c r="CP152" s="53" t="n">
        <f aca="false">IFERROR(CP148/(CP150+CP151),"")</f>
        <v>1.64759557047141</v>
      </c>
      <c r="CQ152" s="53" t="n">
        <f aca="false">IFERROR(CQ148/(CQ150+CQ151),"")</f>
        <v>1.83003493756417</v>
      </c>
      <c r="CR152" s="53" t="n">
        <f aca="false">IFERROR(CR148/(CR150+CR151),"")</f>
        <v>2.04853725041508</v>
      </c>
      <c r="CS152" s="53" t="n">
        <f aca="false">IFERROR(CS148/(CS150+CS151),"")</f>
        <v>2.29586891271999</v>
      </c>
      <c r="CT152" s="53" t="n">
        <f aca="false">IFERROR(CT148/(CT150+CT151),"")</f>
        <v>2.57813734519338</v>
      </c>
      <c r="CU152" s="24"/>
      <c r="CW152" s="25" t="n">
        <f aca="false">IFERROR((CT152/CO152)^(1/5)-1,"n/m")</f>
        <v>0.106950773406091</v>
      </c>
      <c r="CX152" s="25" t="n">
        <f aca="false">IFERROR((CO152/BK152)^(1/5)-1,"n/m")</f>
        <v>0.108791685057203</v>
      </c>
      <c r="CY152" s="25" t="n">
        <f aca="false">IFERROR((CO152/AG152)^(1/10)-1,"n/m")</f>
        <v>0.194168106848361</v>
      </c>
      <c r="CZ152" s="25" t="n">
        <f aca="false">IFERROR((CO152/C152)^(1/20)-1,"n/m")</f>
        <v>0.171707296478526</v>
      </c>
    </row>
    <row r="153" customFormat="false" ht="15" hidden="false" customHeight="false" outlineLevel="0" collapsed="false">
      <c r="B153" s="52" t="s">
        <v>284</v>
      </c>
      <c r="C153" s="50"/>
      <c r="D153" s="50"/>
      <c r="E153" s="50"/>
      <c r="F153" s="50"/>
      <c r="G153" s="50"/>
      <c r="H153" s="50"/>
      <c r="I153" s="50"/>
      <c r="J153" s="50"/>
      <c r="K153" s="50"/>
      <c r="L153" s="39"/>
      <c r="M153" s="50" t="n">
        <v>49.669</v>
      </c>
      <c r="N153" s="50"/>
      <c r="O153" s="50"/>
      <c r="P153" s="50"/>
      <c r="Q153" s="50"/>
      <c r="R153" s="39"/>
      <c r="S153" s="50" t="n">
        <v>60.279</v>
      </c>
      <c r="T153" s="50"/>
      <c r="U153" s="50"/>
      <c r="V153" s="50"/>
      <c r="W153" s="50"/>
      <c r="X153" s="39"/>
      <c r="Y153" s="50"/>
      <c r="Z153" s="50" t="n">
        <v>59.022</v>
      </c>
      <c r="AA153" s="50" t="n">
        <v>220.317</v>
      </c>
      <c r="AB153" s="50" t="n">
        <v>51.901</v>
      </c>
      <c r="AC153" s="50" t="n">
        <v>55.472</v>
      </c>
      <c r="AD153" s="39" t="n">
        <f aca="false">AB153+AC153</f>
        <v>107.373</v>
      </c>
      <c r="AE153" s="50" t="n">
        <v>74.483</v>
      </c>
      <c r="AF153" s="50" t="n">
        <v>69.007</v>
      </c>
      <c r="AG153" s="50" t="n">
        <v>253.108</v>
      </c>
      <c r="AH153" s="50" t="n">
        <v>66.345</v>
      </c>
      <c r="AI153" s="50" t="n">
        <v>67.439</v>
      </c>
      <c r="AJ153" s="39" t="n">
        <f aca="false">AH153+AI153</f>
        <v>133.784</v>
      </c>
      <c r="AK153" s="50" t="n">
        <v>86.372</v>
      </c>
      <c r="AL153" s="50" t="n">
        <v>82.432</v>
      </c>
      <c r="AM153" s="50" t="n">
        <v>302.587</v>
      </c>
      <c r="AN153" s="50" t="n">
        <v>77.05</v>
      </c>
      <c r="AO153" s="50" t="n">
        <v>111.428</v>
      </c>
      <c r="AP153" s="39" t="n">
        <f aca="false">AN153+AO153</f>
        <v>188.478</v>
      </c>
      <c r="AQ153" s="50" t="n">
        <v>125.002</v>
      </c>
      <c r="AR153" s="50" t="n">
        <v>102.61</v>
      </c>
      <c r="AS153" s="50" t="n">
        <v>416.143</v>
      </c>
      <c r="AT153" s="50" t="n">
        <v>113.563</v>
      </c>
      <c r="AU153" s="50" t="n">
        <v>124.872</v>
      </c>
      <c r="AV153" s="39" t="n">
        <f aca="false">AT153+AU153</f>
        <v>238.435</v>
      </c>
      <c r="AW153" s="50" t="n">
        <v>154.886</v>
      </c>
      <c r="AX153" s="50" t="n">
        <v>142.515</v>
      </c>
      <c r="AY153" s="50" t="n">
        <v>535.839</v>
      </c>
      <c r="AZ153" s="50" t="n">
        <v>155.411</v>
      </c>
      <c r="BA153" s="50" t="n">
        <v>153.462</v>
      </c>
      <c r="BB153" s="39" t="n">
        <f aca="false">AZ153+BA153</f>
        <v>308.873</v>
      </c>
      <c r="BC153" s="50" t="n">
        <v>138.229</v>
      </c>
      <c r="BD153" s="50" t="n">
        <v>163.419</v>
      </c>
      <c r="BE153" s="50" t="n">
        <v>610.522</v>
      </c>
      <c r="BF153" s="50" t="n">
        <v>188.512</v>
      </c>
      <c r="BG153" s="50" t="n">
        <v>191.273</v>
      </c>
      <c r="BH153" s="39" t="n">
        <f aca="false">BF153+BG153</f>
        <v>379.785</v>
      </c>
      <c r="BI153" s="50" t="n">
        <v>262.122</v>
      </c>
      <c r="BJ153" s="50" t="n">
        <v>247.725</v>
      </c>
      <c r="BK153" s="50" t="n">
        <v>889.632</v>
      </c>
      <c r="BL153" s="50" t="n">
        <v>257.376</v>
      </c>
      <c r="BM153" s="50" t="n">
        <v>265.957</v>
      </c>
      <c r="BN153" s="39" t="n">
        <f aca="false">BL153+BM153</f>
        <v>523.333</v>
      </c>
      <c r="BO153" s="50" t="n">
        <v>281.468</v>
      </c>
      <c r="BP153" s="50" t="n">
        <v>271.587</v>
      </c>
      <c r="BQ153" s="50" t="n">
        <v>1076.387</v>
      </c>
      <c r="BR153" s="50" t="n">
        <v>245.223</v>
      </c>
      <c r="BS153" s="50" t="n">
        <v>293.562</v>
      </c>
      <c r="BT153" s="39" t="n">
        <f aca="false">BR153+BS153</f>
        <v>538.785</v>
      </c>
      <c r="BU153" s="50" t="n">
        <v>346.061</v>
      </c>
      <c r="BV153" s="50" t="n">
        <v>330.426</v>
      </c>
      <c r="BW153" s="50" t="n">
        <v>1215.272</v>
      </c>
      <c r="BX153" s="50"/>
      <c r="BY153" s="50"/>
      <c r="BZ153" s="39"/>
      <c r="CA153" s="50"/>
      <c r="CB153" s="50"/>
      <c r="CC153" s="50"/>
      <c r="CD153" s="50"/>
      <c r="CE153" s="50"/>
      <c r="CF153" s="39"/>
      <c r="CG153" s="50"/>
      <c r="CH153" s="50"/>
      <c r="CI153" s="50"/>
      <c r="CJ153" s="50"/>
      <c r="CK153" s="50"/>
      <c r="CL153" s="39"/>
      <c r="CM153" s="50"/>
      <c r="CN153" s="50"/>
      <c r="CO153" s="50"/>
      <c r="CP153" s="40"/>
      <c r="CQ153" s="40"/>
      <c r="CR153" s="40"/>
      <c r="CS153" s="40"/>
      <c r="CT153" s="40"/>
      <c r="CU153" s="24"/>
      <c r="CW153" s="6"/>
      <c r="CX153" s="6"/>
      <c r="CY153" s="6"/>
      <c r="CZ153" s="6"/>
    </row>
    <row r="154" customFormat="false" ht="15" hidden="false" customHeight="false" outlineLevel="0" collapsed="false">
      <c r="B154" s="52" t="s">
        <v>285</v>
      </c>
      <c r="C154" s="55"/>
      <c r="D154" s="55"/>
      <c r="E154" s="55"/>
      <c r="F154" s="55"/>
      <c r="G154" s="55"/>
      <c r="H154" s="55"/>
      <c r="I154" s="55"/>
      <c r="J154" s="55"/>
      <c r="K154" s="55"/>
      <c r="L154" s="56"/>
      <c r="M154" s="55" t="n">
        <v>0.0475</v>
      </c>
      <c r="N154" s="55"/>
      <c r="O154" s="55"/>
      <c r="P154" s="55"/>
      <c r="Q154" s="55"/>
      <c r="R154" s="56"/>
      <c r="S154" s="55" t="n">
        <v>0.0575</v>
      </c>
      <c r="T154" s="55"/>
      <c r="U154" s="55"/>
      <c r="V154" s="55"/>
      <c r="W154" s="55"/>
      <c r="X154" s="56"/>
      <c r="Y154" s="55"/>
      <c r="Z154" s="55" t="n">
        <v>0.05625</v>
      </c>
      <c r="AA154" s="55" t="n">
        <v>0.21</v>
      </c>
      <c r="AB154" s="55" t="n">
        <v>0.05125</v>
      </c>
      <c r="AC154" s="55" t="n">
        <v>0.05625</v>
      </c>
      <c r="AD154" s="56" t="n">
        <f aca="false">AB154+AC154</f>
        <v>0.1075</v>
      </c>
      <c r="AE154" s="55" t="n">
        <v>0.08</v>
      </c>
      <c r="AF154" s="55" t="n">
        <v>0.075</v>
      </c>
      <c r="AG154" s="55" t="n">
        <v>0.2625</v>
      </c>
      <c r="AH154" s="55" t="n">
        <v>0.07</v>
      </c>
      <c r="AI154" s="55" t="n">
        <v>0.0725</v>
      </c>
      <c r="AJ154" s="56" t="n">
        <f aca="false">AH154+AI154</f>
        <v>0.1425</v>
      </c>
      <c r="AK154" s="55" t="n">
        <v>0.0925</v>
      </c>
      <c r="AL154" s="55" t="n">
        <v>0.0875</v>
      </c>
      <c r="AM154" s="55" t="n">
        <v>0.3225</v>
      </c>
      <c r="AN154" s="55" t="n">
        <v>0.0825</v>
      </c>
      <c r="AO154" s="55" t="n">
        <v>0.1175</v>
      </c>
      <c r="AP154" s="56" t="n">
        <f aca="false">AN154+AO154</f>
        <v>0.2</v>
      </c>
      <c r="AQ154" s="55" t="n">
        <v>0.13</v>
      </c>
      <c r="AR154" s="55" t="n">
        <v>0.105</v>
      </c>
      <c r="AS154" s="55" t="n">
        <v>0.4325</v>
      </c>
      <c r="AT154" s="55" t="n">
        <v>0.1175</v>
      </c>
      <c r="AU154" s="55" t="n">
        <v>0.13</v>
      </c>
      <c r="AV154" s="56" t="n">
        <f aca="false">AT154+AU154</f>
        <v>0.2475</v>
      </c>
      <c r="AW154" s="55" t="n">
        <v>0.165</v>
      </c>
      <c r="AX154" s="55" t="n">
        <v>0.15</v>
      </c>
      <c r="AY154" s="55" t="n">
        <v>0.5625</v>
      </c>
      <c r="AZ154" s="55" t="n">
        <v>0.1625</v>
      </c>
      <c r="BA154" s="55" t="n">
        <v>0.16</v>
      </c>
      <c r="BB154" s="56" t="n">
        <f aca="false">AZ154+BA154</f>
        <v>0.3225</v>
      </c>
      <c r="BC154" s="55" t="n">
        <v>0.145</v>
      </c>
      <c r="BD154" s="55" t="n">
        <v>0.17</v>
      </c>
      <c r="BE154" s="55" t="n">
        <v>0.64</v>
      </c>
      <c r="BF154" s="55" t="n">
        <v>0.1975</v>
      </c>
      <c r="BG154" s="55" t="n">
        <v>0.2</v>
      </c>
      <c r="BH154" s="56" t="n">
        <f aca="false">BF154+BG154</f>
        <v>0.3975</v>
      </c>
      <c r="BI154" s="55" t="n">
        <v>0.2725</v>
      </c>
      <c r="BJ154" s="55" t="n">
        <v>0.2575</v>
      </c>
      <c r="BK154" s="55" t="n">
        <v>0.925</v>
      </c>
      <c r="BL154" s="55" t="n">
        <v>0.265</v>
      </c>
      <c r="BM154" s="55" t="n">
        <v>0.275</v>
      </c>
      <c r="BN154" s="56" t="n">
        <f aca="false">BL154+BM154</f>
        <v>0.54</v>
      </c>
      <c r="BO154" s="55" t="n">
        <v>0.29</v>
      </c>
      <c r="BP154" s="55" t="n">
        <v>0.28</v>
      </c>
      <c r="BQ154" s="55" t="n">
        <v>1.12</v>
      </c>
      <c r="BR154" s="55" t="n">
        <v>0.255</v>
      </c>
      <c r="BS154" s="55" t="n">
        <v>0.305</v>
      </c>
      <c r="BT154" s="56" t="n">
        <f aca="false">BR154+BS154</f>
        <v>0.56</v>
      </c>
      <c r="BU154" s="55" t="n">
        <v>0.36</v>
      </c>
      <c r="BV154" s="55" t="n">
        <v>0.34</v>
      </c>
      <c r="BW154" s="55" t="n">
        <v>1.26</v>
      </c>
      <c r="BX154" s="55"/>
      <c r="BY154" s="55"/>
      <c r="BZ154" s="56"/>
      <c r="CA154" s="55"/>
      <c r="CB154" s="55"/>
      <c r="CC154" s="55"/>
      <c r="CD154" s="55"/>
      <c r="CE154" s="55"/>
      <c r="CF154" s="56"/>
      <c r="CG154" s="55"/>
      <c r="CH154" s="55"/>
      <c r="CI154" s="55"/>
      <c r="CJ154" s="55"/>
      <c r="CK154" s="55"/>
      <c r="CL154" s="56"/>
      <c r="CM154" s="55"/>
      <c r="CN154" s="55"/>
      <c r="CO154" s="55"/>
      <c r="CP154" s="57"/>
      <c r="CQ154" s="57"/>
      <c r="CR154" s="57"/>
      <c r="CS154" s="57"/>
      <c r="CT154" s="57"/>
      <c r="CU154" s="24"/>
      <c r="CW154" s="6"/>
      <c r="CX154" s="6"/>
      <c r="CY154" s="6"/>
      <c r="CZ154" s="6"/>
    </row>
    <row r="155" customFormat="false" ht="15" hidden="false" customHeight="false" outlineLevel="0" collapsed="false">
      <c r="B155" s="43" t="s">
        <v>286</v>
      </c>
      <c r="C155" s="39" t="str">
        <f aca="false">IF(ISNUMBER(C153),ROUND(C148-C153,1),"n/p")</f>
        <v>n/p</v>
      </c>
      <c r="D155" s="39" t="str">
        <f aca="false">IF(ISNUMBER(D153),ROUND(D148-D153,1),"n/p")</f>
        <v>n/p</v>
      </c>
      <c r="E155" s="39" t="str">
        <f aca="false">IF(ISNUMBER(E153),ROUND(E148-E153,1),"n/p")</f>
        <v>n/p</v>
      </c>
      <c r="F155" s="39" t="str">
        <f aca="false">IF(ISNUMBER(F153),ROUND(F148-F153,1),"n/p")</f>
        <v>n/p</v>
      </c>
      <c r="G155" s="39" t="str">
        <f aca="false">IF(ISNUMBER(G153),ROUND(G148-G153,1),"n/p")</f>
        <v>n/p</v>
      </c>
      <c r="H155" s="39" t="str">
        <f aca="false">IF(ISNUMBER(H153),ROUND(H148-H153,1),"n/p")</f>
        <v>n/p</v>
      </c>
      <c r="I155" s="39" t="str">
        <f aca="false">IF(ISNUMBER(I153),ROUND(I148-I153,1),"n/p")</f>
        <v>n/p</v>
      </c>
      <c r="J155" s="39" t="str">
        <f aca="false">IF(ISNUMBER(J153),ROUND(J148-J153,1),"n/p")</f>
        <v>n/p</v>
      </c>
      <c r="K155" s="39" t="str">
        <f aca="false">IF(ISNUMBER(K153),ROUND(K148-K153,1),"n/p")</f>
        <v>n/p</v>
      </c>
      <c r="L155" s="39" t="str">
        <f aca="false">IF(ISNUMBER(L153),ROUND(L148-L153,1),"n/p")</f>
        <v>n/p</v>
      </c>
      <c r="M155" s="39" t="n">
        <f aca="false">IF(ISNUMBER(M153),ROUND(M148-M153,1),"n/p")</f>
        <v>0</v>
      </c>
      <c r="N155" s="39" t="str">
        <f aca="false">IF(ISNUMBER(N153),ROUND(N148-N153,1),"n/p")</f>
        <v>n/p</v>
      </c>
      <c r="O155" s="39" t="str">
        <f aca="false">IF(ISNUMBER(O153),ROUND(O148-O153,1),"n/p")</f>
        <v>n/p</v>
      </c>
      <c r="P155" s="39" t="str">
        <f aca="false">IF(ISNUMBER(P153),ROUND(P148-P153,1),"n/p")</f>
        <v>n/p</v>
      </c>
      <c r="Q155" s="39" t="str">
        <f aca="false">IF(ISNUMBER(Q153),ROUND(Q148-Q153,1),"n/p")</f>
        <v>n/p</v>
      </c>
      <c r="R155" s="39" t="str">
        <f aca="false">IF(ISNUMBER(R153),ROUND(R148-R153,1),"n/p")</f>
        <v>n/p</v>
      </c>
      <c r="S155" s="39" t="n">
        <f aca="false">IF(ISNUMBER(S153),ROUND(S148-S153,1),"n/p")</f>
        <v>0</v>
      </c>
      <c r="T155" s="39" t="str">
        <f aca="false">IF(ISNUMBER(T153),ROUND(T148-T153,1),"n/p")</f>
        <v>n/p</v>
      </c>
      <c r="U155" s="39" t="str">
        <f aca="false">IF(ISNUMBER(U153),ROUND(U148-U153,1),"n/p")</f>
        <v>n/p</v>
      </c>
      <c r="V155" s="39" t="str">
        <f aca="false">IF(ISNUMBER(V153),ROUND(V148-V153,1),"n/p")</f>
        <v>n/p</v>
      </c>
      <c r="W155" s="39" t="str">
        <f aca="false">IF(ISNUMBER(W153),ROUND(W148-W153,1),"n/p")</f>
        <v>n/p</v>
      </c>
      <c r="X155" s="39" t="str">
        <f aca="false">IF(ISNUMBER(X153),ROUND(X148-X153,1),"n/p")</f>
        <v>n/p</v>
      </c>
      <c r="Y155" s="39" t="str">
        <f aca="false">IF(ISNUMBER(Y153),ROUND(Y148-Y153,1),"n/p")</f>
        <v>n/p</v>
      </c>
      <c r="Z155" s="39" t="n">
        <f aca="false">IF(ISNUMBER(Z153),ROUND(Z148-Z153,1),"n/p")</f>
        <v>0</v>
      </c>
      <c r="AA155" s="39" t="n">
        <f aca="false">IF(ISNUMBER(AA153),ROUND(AA148-AA153,1),"n/p")</f>
        <v>0</v>
      </c>
      <c r="AB155" s="39" t="n">
        <f aca="false">IF(ISNUMBER(AB153),ROUND(AB148-AB153,1),"n/p")</f>
        <v>0</v>
      </c>
      <c r="AC155" s="39" t="n">
        <f aca="false">IF(ISNUMBER(AC153),ROUND(AC148-AC153,1),"n/p")</f>
        <v>0</v>
      </c>
      <c r="AD155" s="39" t="n">
        <f aca="false">IF(ISNUMBER(AD153),ROUND(AD148-AD153,1),"n/p")</f>
        <v>0</v>
      </c>
      <c r="AE155" s="39" t="n">
        <f aca="false">IF(ISNUMBER(AE153),ROUND(AE148-AE153,1),"n/p")</f>
        <v>-0</v>
      </c>
      <c r="AF155" s="39" t="n">
        <f aca="false">IF(ISNUMBER(AF153),ROUND(AF148-AF153,1),"n/p")</f>
        <v>-0</v>
      </c>
      <c r="AG155" s="39" t="n">
        <f aca="false">IF(ISNUMBER(AG153),ROUND(AG148-AG153,1),"n/p")</f>
        <v>0</v>
      </c>
      <c r="AH155" s="39" t="n">
        <f aca="false">IF(ISNUMBER(AH153),ROUND(AH148-AH153,1),"n/p")</f>
        <v>0</v>
      </c>
      <c r="AI155" s="39" t="n">
        <f aca="false">IF(ISNUMBER(AI153),ROUND(AI148-AI153,1),"n/p")</f>
        <v>0</v>
      </c>
      <c r="AJ155" s="39" t="n">
        <f aca="false">IF(ISNUMBER(AJ153),ROUND(AJ148-AJ153,1),"n/p")</f>
        <v>0</v>
      </c>
      <c r="AK155" s="39" t="n">
        <f aca="false">IF(ISNUMBER(AK153),ROUND(AK148-AK153,1),"n/p")</f>
        <v>0</v>
      </c>
      <c r="AL155" s="39" t="n">
        <f aca="false">IF(ISNUMBER(AL153),ROUND(AL148-AL153,1),"n/p")</f>
        <v>0</v>
      </c>
      <c r="AM155" s="39" t="n">
        <f aca="false">IF(ISNUMBER(AM153),ROUND(AM148-AM153,1),"n/p")</f>
        <v>0</v>
      </c>
      <c r="AN155" s="39" t="n">
        <f aca="false">IF(ISNUMBER(AN153),ROUND(AN148-AN153,1),"n/p")</f>
        <v>0</v>
      </c>
      <c r="AO155" s="39" t="n">
        <f aca="false">IF(ISNUMBER(AO153),ROUND(AO148-AO153,1),"n/p")</f>
        <v>0</v>
      </c>
      <c r="AP155" s="39" t="n">
        <f aca="false">IF(ISNUMBER(AP153),ROUND(AP148-AP153,1),"n/p")</f>
        <v>0</v>
      </c>
      <c r="AQ155" s="39" t="n">
        <f aca="false">IF(ISNUMBER(AQ153),ROUND(AQ148-AQ153,1),"n/p")</f>
        <v>0</v>
      </c>
      <c r="AR155" s="39" t="n">
        <f aca="false">IF(ISNUMBER(AR153),ROUND(AR148-AR153,1),"n/p")</f>
        <v>0</v>
      </c>
      <c r="AS155" s="39" t="n">
        <f aca="false">IF(ISNUMBER(AS153),ROUND(AS148-AS153,1),"n/p")</f>
        <v>0</v>
      </c>
      <c r="AT155" s="39" t="n">
        <f aca="false">IF(ISNUMBER(AT153),ROUND(AT148-AT153,1),"n/p")</f>
        <v>0</v>
      </c>
      <c r="AU155" s="39" t="n">
        <f aca="false">IF(ISNUMBER(AU153),ROUND(AU148-AU153,1),"n/p")</f>
        <v>0</v>
      </c>
      <c r="AV155" s="39" t="n">
        <f aca="false">IF(ISNUMBER(AV153),ROUND(AV148-AV153,1),"n/p")</f>
        <v>0</v>
      </c>
      <c r="AW155" s="39" t="n">
        <f aca="false">IF(ISNUMBER(AW153),ROUND(AW148-AW153,1),"n/p")</f>
        <v>0</v>
      </c>
      <c r="AX155" s="39" t="n">
        <f aca="false">IF(ISNUMBER(AX153),ROUND(AX148-AX153,1),"n/p")</f>
        <v>0</v>
      </c>
      <c r="AY155" s="39" t="n">
        <f aca="false">IF(ISNUMBER(AY153),ROUND(AY148-AY153,1),"n/p")</f>
        <v>0</v>
      </c>
      <c r="AZ155" s="39" t="n">
        <f aca="false">IF(ISNUMBER(AZ153),ROUND(AZ148-AZ153,1),"n/p")</f>
        <v>0</v>
      </c>
      <c r="BA155" s="39" t="n">
        <f aca="false">IF(ISNUMBER(BA153),ROUND(BA148-BA153,1),"n/p")</f>
        <v>0</v>
      </c>
      <c r="BB155" s="39" t="n">
        <f aca="false">IF(ISNUMBER(BB153),ROUND(BB148-BB153,1),"n/p")</f>
        <v>0</v>
      </c>
      <c r="BC155" s="39" t="n">
        <f aca="false">IF(ISNUMBER(BC153),ROUND(BC148-BC153,1),"n/p")</f>
        <v>0</v>
      </c>
      <c r="BD155" s="39" t="n">
        <f aca="false">IF(ISNUMBER(BD153),ROUND(BD148-BD153,1),"n/p")</f>
        <v>0</v>
      </c>
      <c r="BE155" s="39" t="n">
        <f aca="false">IF(ISNUMBER(BE153),ROUND(BE148-BE153,1),"n/p")</f>
        <v>0</v>
      </c>
      <c r="BF155" s="39" t="n">
        <f aca="false">IF(ISNUMBER(BF153),ROUND(BF148-BF153,1),"n/p")</f>
        <v>0</v>
      </c>
      <c r="BG155" s="39" t="n">
        <f aca="false">IF(ISNUMBER(BG153),ROUND(BG148-BG153,1),"n/p")</f>
        <v>0</v>
      </c>
      <c r="BH155" s="39" t="n">
        <f aca="false">IF(ISNUMBER(BH153),ROUND(BH148-BH153,1),"n/p")</f>
        <v>0</v>
      </c>
      <c r="BI155" s="39" t="n">
        <f aca="false">IF(ISNUMBER(BI153),ROUND(BI148-BI153,1),"n/p")</f>
        <v>0</v>
      </c>
      <c r="BJ155" s="39" t="n">
        <f aca="false">IF(ISNUMBER(BJ153),ROUND(BJ148-BJ153,1),"n/p")</f>
        <v>0</v>
      </c>
      <c r="BK155" s="39" t="n">
        <f aca="false">IF(ISNUMBER(BK153),ROUND(BK148-BK153,1),"n/p")</f>
        <v>0</v>
      </c>
      <c r="BL155" s="39" t="n">
        <f aca="false">IF(ISNUMBER(BL153),ROUND(BL148-BL153,1),"n/p")</f>
        <v>0</v>
      </c>
      <c r="BM155" s="39" t="n">
        <f aca="false">IF(ISNUMBER(BM153),ROUND(BM148-BM153,1),"n/p")</f>
        <v>0</v>
      </c>
      <c r="BN155" s="39" t="n">
        <f aca="false">IF(ISNUMBER(BN153),ROUND(BN148-BN153,1),"n/p")</f>
        <v>0</v>
      </c>
      <c r="BO155" s="39" t="n">
        <f aca="false">IF(ISNUMBER(BO153),ROUND(BO148-BO153,1),"n/p")</f>
        <v>0</v>
      </c>
      <c r="BP155" s="39" t="n">
        <f aca="false">IF(ISNUMBER(BP153),ROUND(BP148-BP153,1),"n/p")</f>
        <v>0</v>
      </c>
      <c r="BQ155" s="39" t="n">
        <f aca="false">IF(ISNUMBER(BQ153),ROUND(BQ148-BQ153,1),"n/p")</f>
        <v>0</v>
      </c>
      <c r="BR155" s="39" t="n">
        <f aca="false">IF(ISNUMBER(BR153),ROUND(BR148-BR153,1),"n/p")</f>
        <v>0</v>
      </c>
      <c r="BS155" s="39" t="n">
        <f aca="false">IF(ISNUMBER(BS153),ROUND(BS148-BS153,1),"n/p")</f>
        <v>0</v>
      </c>
      <c r="BT155" s="39" t="n">
        <f aca="false">IF(ISNUMBER(BT153),ROUND(BT148-BT153,1),"n/p")</f>
        <v>0</v>
      </c>
      <c r="BU155" s="39" t="n">
        <f aca="false">IF(ISNUMBER(BU153),ROUND(BU148-BU153,1),"n/p")</f>
        <v>0</v>
      </c>
      <c r="BV155" s="39" t="n">
        <f aca="false">IF(ISNUMBER(BV153),ROUND(BV148-BV153,1),"n/p")</f>
        <v>0</v>
      </c>
      <c r="BW155" s="39" t="n">
        <f aca="false">IF(ISNUMBER(BW153),ROUND(BW148-BW153,1),"n/p")</f>
        <v>0</v>
      </c>
      <c r="BX155" s="39" t="str">
        <f aca="false">IF(ISNUMBER(BX153),ROUND(BX148-BX153,1),"n/p")</f>
        <v>n/p</v>
      </c>
      <c r="BY155" s="39" t="str">
        <f aca="false">IF(ISNUMBER(BY153),ROUND(BY148-BY153,1),"n/p")</f>
        <v>n/p</v>
      </c>
      <c r="BZ155" s="39" t="str">
        <f aca="false">IF(ISNUMBER(BZ153),ROUND(BZ148-BZ153,1),"n/p")</f>
        <v>n/p</v>
      </c>
      <c r="CA155" s="39" t="str">
        <f aca="false">IF(ISNUMBER(CA153),ROUND(CA148-CA153,1),"n/p")</f>
        <v>n/p</v>
      </c>
      <c r="CB155" s="39" t="str">
        <f aca="false">IF(ISNUMBER(CB153),ROUND(CB148-CB153,1),"n/p")</f>
        <v>n/p</v>
      </c>
      <c r="CC155" s="39" t="str">
        <f aca="false">IF(ISNUMBER(CC153),ROUND(CC148-CC153,1),"n/p")</f>
        <v>n/p</v>
      </c>
      <c r="CD155" s="39" t="str">
        <f aca="false">IF(ISNUMBER(CD153),ROUND(CD148-CD153,1),"n/p")</f>
        <v>n/p</v>
      </c>
      <c r="CE155" s="39" t="str">
        <f aca="false">IF(ISNUMBER(CE153),ROUND(CE148-CE153,1),"n/p")</f>
        <v>n/p</v>
      </c>
      <c r="CF155" s="39" t="str">
        <f aca="false">IF(ISNUMBER(CF153),ROUND(CF148-CF153,1),"n/p")</f>
        <v>n/p</v>
      </c>
      <c r="CG155" s="39" t="str">
        <f aca="false">IF(ISNUMBER(CG153),ROUND(CG148-CG153,1),"n/p")</f>
        <v>n/p</v>
      </c>
      <c r="CH155" s="39" t="str">
        <f aca="false">IF(ISNUMBER(CH153),ROUND(CH148-CH153,1),"n/p")</f>
        <v>n/p</v>
      </c>
      <c r="CI155" s="39" t="str">
        <f aca="false">IF(ISNUMBER(CI153),ROUND(CI148-CI153,1),"n/p")</f>
        <v>n/p</v>
      </c>
      <c r="CJ155" s="39" t="str">
        <f aca="false">IF(ISNUMBER(CJ153),ROUND(CJ148-CJ153,1),"n/p")</f>
        <v>n/p</v>
      </c>
      <c r="CK155" s="39" t="str">
        <f aca="false">IF(ISNUMBER(CK153),ROUND(CK148-CK153,1),"n/p")</f>
        <v>n/p</v>
      </c>
      <c r="CL155" s="39" t="str">
        <f aca="false">IF(ISNUMBER(CL153),ROUND(CL148-CL153,1),"n/p")</f>
        <v>n/p</v>
      </c>
      <c r="CM155" s="39" t="str">
        <f aca="false">IF(ISNUMBER(CM153),ROUND(CM148-CM153,1),"n/p")</f>
        <v>n/p</v>
      </c>
      <c r="CN155" s="39" t="str">
        <f aca="false">IF(ISNUMBER(CN153),ROUND(CN148-CN153,1),"n/p")</f>
        <v>n/p</v>
      </c>
      <c r="CO155" s="39" t="str">
        <f aca="false">IF(ISNUMBER(CO153),ROUND(CO148-CO153,1),"n/p")</f>
        <v>n/p</v>
      </c>
      <c r="CP155" s="40"/>
      <c r="CQ155" s="40"/>
      <c r="CR155" s="40"/>
      <c r="CS155" s="40"/>
      <c r="CT155" s="40"/>
      <c r="CU155" s="24"/>
      <c r="CW155" s="6"/>
      <c r="CX155" s="6"/>
      <c r="CY155" s="6"/>
      <c r="CZ155" s="6"/>
    </row>
    <row r="156" customFormat="false" ht="15" hidden="false" customHeight="false" outlineLevel="0" collapsed="false">
      <c r="B156" s="43" t="s">
        <v>287</v>
      </c>
      <c r="C156" s="56" t="str">
        <f aca="false">IF(ISNUMBER(C154),ROUND(C152-C154,2),"n/p")</f>
        <v>n/p</v>
      </c>
      <c r="D156" s="56" t="str">
        <f aca="false">IF(ISNUMBER(D154),ROUND(D152-D154,2),"n/p")</f>
        <v>n/p</v>
      </c>
      <c r="E156" s="56" t="str">
        <f aca="false">IF(ISNUMBER(E154),ROUND(E152-E154,2),"n/p")</f>
        <v>n/p</v>
      </c>
      <c r="F156" s="56" t="str">
        <f aca="false">IF(ISNUMBER(F154),ROUND(F152-F154,2),"n/p")</f>
        <v>n/p</v>
      </c>
      <c r="G156" s="56" t="str">
        <f aca="false">IF(ISNUMBER(G154),ROUND(G152-G154,2),"n/p")</f>
        <v>n/p</v>
      </c>
      <c r="H156" s="56" t="str">
        <f aca="false">IF(ISNUMBER(H154),ROUND(H152-H154,2),"n/p")</f>
        <v>n/p</v>
      </c>
      <c r="I156" s="56" t="str">
        <f aca="false">IF(ISNUMBER(I154),ROUND(I152-I154,2),"n/p")</f>
        <v>n/p</v>
      </c>
      <c r="J156" s="56" t="str">
        <f aca="false">IF(ISNUMBER(J154),ROUND(J152-J154,2),"n/p")</f>
        <v>n/p</v>
      </c>
      <c r="K156" s="56" t="str">
        <f aca="false">IF(ISNUMBER(K154),ROUND(K152-K154,2),"n/p")</f>
        <v>n/p</v>
      </c>
      <c r="L156" s="56" t="str">
        <f aca="false">IF(ISNUMBER(L154),ROUND(L152-L154,2),"n/p")</f>
        <v>n/p</v>
      </c>
      <c r="M156" s="56" t="n">
        <f aca="false">IF(ISNUMBER(M154),ROUND(M152-M154,2),"n/p")</f>
        <v>0</v>
      </c>
      <c r="N156" s="56" t="str">
        <f aca="false">IF(ISNUMBER(N154),ROUND(N152-N154,2),"n/p")</f>
        <v>n/p</v>
      </c>
      <c r="O156" s="56" t="str">
        <f aca="false">IF(ISNUMBER(O154),ROUND(O152-O154,2),"n/p")</f>
        <v>n/p</v>
      </c>
      <c r="P156" s="56" t="str">
        <f aca="false">IF(ISNUMBER(P154),ROUND(P152-P154,2),"n/p")</f>
        <v>n/p</v>
      </c>
      <c r="Q156" s="56" t="str">
        <f aca="false">IF(ISNUMBER(Q154),ROUND(Q152-Q154,2),"n/p")</f>
        <v>n/p</v>
      </c>
      <c r="R156" s="56" t="str">
        <f aca="false">IF(ISNUMBER(R154),ROUND(R152-R154,2),"n/p")</f>
        <v>n/p</v>
      </c>
      <c r="S156" s="56" t="n">
        <f aca="false">IF(ISNUMBER(S154),ROUND(S152-S154,2),"n/p")</f>
        <v>-0</v>
      </c>
      <c r="T156" s="56" t="str">
        <f aca="false">IF(ISNUMBER(T154),ROUND(T152-T154,2),"n/p")</f>
        <v>n/p</v>
      </c>
      <c r="U156" s="56" t="str">
        <f aca="false">IF(ISNUMBER(U154),ROUND(U152-U154,2),"n/p")</f>
        <v>n/p</v>
      </c>
      <c r="V156" s="56" t="str">
        <f aca="false">IF(ISNUMBER(V154),ROUND(V152-V154,2),"n/p")</f>
        <v>n/p</v>
      </c>
      <c r="W156" s="56" t="str">
        <f aca="false">IF(ISNUMBER(W154),ROUND(W152-W154,2),"n/p")</f>
        <v>n/p</v>
      </c>
      <c r="X156" s="56" t="str">
        <f aca="false">IF(ISNUMBER(X154),ROUND(X152-X154,2),"n/p")</f>
        <v>n/p</v>
      </c>
      <c r="Y156" s="56" t="str">
        <f aca="false">IF(ISNUMBER(Y154),ROUND(Y152-Y154,2),"n/p")</f>
        <v>n/p</v>
      </c>
      <c r="Z156" s="56" t="n">
        <f aca="false">IF(ISNUMBER(Z154),ROUND(Z152-Z154,2),"n/p")</f>
        <v>0</v>
      </c>
      <c r="AA156" s="56" t="n">
        <f aca="false">IF(ISNUMBER(AA154),ROUND(AA152-AA154,2),"n/p")</f>
        <v>-0</v>
      </c>
      <c r="AB156" s="56" t="n">
        <f aca="false">IF(ISNUMBER(AB154),ROUND(AB152-AB154,2),"n/p")</f>
        <v>0</v>
      </c>
      <c r="AC156" s="56" t="n">
        <f aca="false">IF(ISNUMBER(AC154),ROUND(AC152-AC154,2),"n/p")</f>
        <v>0</v>
      </c>
      <c r="AD156" s="56" t="n">
        <f aca="false">IF(ISNUMBER(AD154),ROUND(AD152-AD154,2),"n/p")</f>
        <v>0</v>
      </c>
      <c r="AE156" s="56" t="n">
        <f aca="false">IF(ISNUMBER(AE154),ROUND(AE152-AE154,2),"n/p")</f>
        <v>-0</v>
      </c>
      <c r="AF156" s="56" t="n">
        <f aca="false">IF(ISNUMBER(AF154),ROUND(AF152-AF154,2),"n/p")</f>
        <v>-0</v>
      </c>
      <c r="AG156" s="56" t="n">
        <f aca="false">IF(ISNUMBER(AG154),ROUND(AG152-AG154,2),"n/p")</f>
        <v>0</v>
      </c>
      <c r="AH156" s="56" t="n">
        <f aca="false">IF(ISNUMBER(AH154),ROUND(AH152-AH154,2),"n/p")</f>
        <v>0</v>
      </c>
      <c r="AI156" s="56" t="n">
        <f aca="false">IF(ISNUMBER(AI154),ROUND(AI152-AI154,2),"n/p")</f>
        <v>-0</v>
      </c>
      <c r="AJ156" s="56" t="n">
        <f aca="false">IF(ISNUMBER(AJ154),ROUND(AJ152-AJ154,2),"n/p")</f>
        <v>0</v>
      </c>
      <c r="AK156" s="56" t="n">
        <f aca="false">IF(ISNUMBER(AK154),ROUND(AK152-AK154,2),"n/p")</f>
        <v>-0</v>
      </c>
      <c r="AL156" s="56" t="n">
        <f aca="false">IF(ISNUMBER(AL154),ROUND(AL152-AL154,2),"n/p")</f>
        <v>-0</v>
      </c>
      <c r="AM156" s="56" t="n">
        <f aca="false">IF(ISNUMBER(AM154),ROUND(AM152-AM154,2),"n/p")</f>
        <v>-0</v>
      </c>
      <c r="AN156" s="56" t="n">
        <f aca="false">IF(ISNUMBER(AN154),ROUND(AN152-AN154,2),"n/p")</f>
        <v>-0</v>
      </c>
      <c r="AO156" s="56" t="n">
        <f aca="false">IF(ISNUMBER(AO154),ROUND(AO152-AO154,2),"n/p")</f>
        <v>-0</v>
      </c>
      <c r="AP156" s="56" t="n">
        <f aca="false">IF(ISNUMBER(AP154),ROUND(AP152-AP154,2),"n/p")</f>
        <v>0</v>
      </c>
      <c r="AQ156" s="56" t="n">
        <f aca="false">IF(ISNUMBER(AQ154),ROUND(AQ152-AQ154,2),"n/p")</f>
        <v>0</v>
      </c>
      <c r="AR156" s="56" t="n">
        <f aca="false">IF(ISNUMBER(AR154),ROUND(AR152-AR154,2),"n/p")</f>
        <v>0</v>
      </c>
      <c r="AS156" s="56" t="n">
        <f aca="false">IF(ISNUMBER(AS154),ROUND(AS152-AS154,2),"n/p")</f>
        <v>-0</v>
      </c>
      <c r="AT156" s="56" t="n">
        <f aca="false">IF(ISNUMBER(AT154),ROUND(AT152-AT154,2),"n/p")</f>
        <v>-0</v>
      </c>
      <c r="AU156" s="56" t="n">
        <f aca="false">IF(ISNUMBER(AU154),ROUND(AU152-AU154,2),"n/p")</f>
        <v>0</v>
      </c>
      <c r="AV156" s="56" t="n">
        <f aca="false">IF(ISNUMBER(AV154),ROUND(AV152-AV154,2),"n/p")</f>
        <v>0</v>
      </c>
      <c r="AW156" s="56" t="n">
        <f aca="false">IF(ISNUMBER(AW154),ROUND(AW152-AW154,2),"n/p")</f>
        <v>-0</v>
      </c>
      <c r="AX156" s="56" t="n">
        <f aca="false">IF(ISNUMBER(AX154),ROUND(AX152-AX154,2),"n/p")</f>
        <v>0</v>
      </c>
      <c r="AY156" s="56" t="n">
        <f aca="false">IF(ISNUMBER(AY154),ROUND(AY152-AY154,2),"n/p")</f>
        <v>-0</v>
      </c>
      <c r="AZ156" s="56" t="n">
        <f aca="false">IF(ISNUMBER(AZ154),ROUND(AZ152-AZ154,2),"n/p")</f>
        <v>0</v>
      </c>
      <c r="BA156" s="56" t="n">
        <f aca="false">IF(ISNUMBER(BA154),ROUND(BA152-BA154,2),"n/p")</f>
        <v>0</v>
      </c>
      <c r="BB156" s="56" t="n">
        <f aca="false">IF(ISNUMBER(BB154),ROUND(BB152-BB154,2),"n/p")</f>
        <v>0</v>
      </c>
      <c r="BC156" s="56" t="n">
        <f aca="false">IF(ISNUMBER(BC154),ROUND(BC152-BC154,2),"n/p")</f>
        <v>-0</v>
      </c>
      <c r="BD156" s="56" t="n">
        <f aca="false">IF(ISNUMBER(BD154),ROUND(BD152-BD154,2),"n/p")</f>
        <v>0</v>
      </c>
      <c r="BE156" s="56" t="n">
        <f aca="false">IF(ISNUMBER(BE154),ROUND(BE152-BE154,2),"n/p")</f>
        <v>-0</v>
      </c>
      <c r="BF156" s="56" t="n">
        <f aca="false">IF(ISNUMBER(BF154),ROUND(BF152-BF154,2),"n/p")</f>
        <v>-0</v>
      </c>
      <c r="BG156" s="56" t="n">
        <f aca="false">IF(ISNUMBER(BG154),ROUND(BG152-BG154,2),"n/p")</f>
        <v>-0</v>
      </c>
      <c r="BH156" s="56" t="n">
        <f aca="false">IF(ISNUMBER(BH154),ROUND(BH152-BH154,2),"n/p")</f>
        <v>-0</v>
      </c>
      <c r="BI156" s="56" t="n">
        <f aca="false">IF(ISNUMBER(BI154),ROUND(BI152-BI154,2),"n/p")</f>
        <v>0</v>
      </c>
      <c r="BJ156" s="56" t="n">
        <f aca="false">IF(ISNUMBER(BJ154),ROUND(BJ152-BJ154,2),"n/p")</f>
        <v>-0</v>
      </c>
      <c r="BK156" s="56" t="n">
        <f aca="false">IF(ISNUMBER(BK154),ROUND(BK152-BK154,2),"n/p")</f>
        <v>0</v>
      </c>
      <c r="BL156" s="56" t="n">
        <f aca="false">IF(ISNUMBER(BL154),ROUND(BL152-BL154,2),"n/p")</f>
        <v>0</v>
      </c>
      <c r="BM156" s="56" t="n">
        <f aca="false">IF(ISNUMBER(BM154),ROUND(BM152-BM154,2),"n/p")</f>
        <v>0</v>
      </c>
      <c r="BN156" s="56" t="n">
        <f aca="false">IF(ISNUMBER(BN154),ROUND(BN152-BN154,2),"n/p")</f>
        <v>0</v>
      </c>
      <c r="BO156" s="56" t="n">
        <f aca="false">IF(ISNUMBER(BO154),ROUND(BO152-BO154,2),"n/p")</f>
        <v>0</v>
      </c>
      <c r="BP156" s="56" t="n">
        <f aca="false">IF(ISNUMBER(BP154),ROUND(BP152-BP154,2),"n/p")</f>
        <v>0</v>
      </c>
      <c r="BQ156" s="56" t="n">
        <f aca="false">IF(ISNUMBER(BQ154),ROUND(BQ152-BQ154,2),"n/p")</f>
        <v>-0</v>
      </c>
      <c r="BR156" s="56" t="n">
        <f aca="false">IF(ISNUMBER(BR154),ROUND(BR152-BR154,2),"n/p")</f>
        <v>-0</v>
      </c>
      <c r="BS156" s="56" t="n">
        <f aca="false">IF(ISNUMBER(BS154),ROUND(BS152-BS154,2),"n/p")</f>
        <v>-0</v>
      </c>
      <c r="BT156" s="56" t="n">
        <f aca="false">IF(ISNUMBER(BT154),ROUND(BT152-BT154,2),"n/p")</f>
        <v>-0</v>
      </c>
      <c r="BU156" s="56" t="n">
        <f aca="false">IF(ISNUMBER(BU154),ROUND(BU152-BU154,2),"n/p")</f>
        <v>-0</v>
      </c>
      <c r="BV156" s="56" t="n">
        <f aca="false">IF(ISNUMBER(BV154),ROUND(BV152-BV154,2),"n/p")</f>
        <v>0</v>
      </c>
      <c r="BW156" s="56" t="n">
        <f aca="false">IF(ISNUMBER(BW154),ROUND(BW152-BW154,2),"n/p")</f>
        <v>-0</v>
      </c>
      <c r="BX156" s="56" t="str">
        <f aca="false">IF(ISNUMBER(BX154),ROUND(BX152-BX154,2),"n/p")</f>
        <v>n/p</v>
      </c>
      <c r="BY156" s="56" t="str">
        <f aca="false">IF(ISNUMBER(BY154),ROUND(BY152-BY154,2),"n/p")</f>
        <v>n/p</v>
      </c>
      <c r="BZ156" s="56" t="str">
        <f aca="false">IF(ISNUMBER(BZ154),ROUND(BZ152-BZ154,2),"n/p")</f>
        <v>n/p</v>
      </c>
      <c r="CA156" s="56" t="str">
        <f aca="false">IF(ISNUMBER(CA154),ROUND(CA152-CA154,2),"n/p")</f>
        <v>n/p</v>
      </c>
      <c r="CB156" s="56" t="str">
        <f aca="false">IF(ISNUMBER(CB154),ROUND(CB152-CB154,2),"n/p")</f>
        <v>n/p</v>
      </c>
      <c r="CC156" s="56" t="str">
        <f aca="false">IF(ISNUMBER(CC154),ROUND(CC152-CC154,2),"n/p")</f>
        <v>n/p</v>
      </c>
      <c r="CD156" s="56" t="str">
        <f aca="false">IF(ISNUMBER(CD154),ROUND(CD152-CD154,2),"n/p")</f>
        <v>n/p</v>
      </c>
      <c r="CE156" s="56" t="str">
        <f aca="false">IF(ISNUMBER(CE154),ROUND(CE152-CE154,2),"n/p")</f>
        <v>n/p</v>
      </c>
      <c r="CF156" s="56" t="str">
        <f aca="false">IF(ISNUMBER(CF154),ROUND(CF152-CF154,2),"n/p")</f>
        <v>n/p</v>
      </c>
      <c r="CG156" s="56" t="str">
        <f aca="false">IF(ISNUMBER(CG154),ROUND(CG152-CG154,2),"n/p")</f>
        <v>n/p</v>
      </c>
      <c r="CH156" s="56" t="str">
        <f aca="false">IF(ISNUMBER(CH154),ROUND(CH152-CH154,2),"n/p")</f>
        <v>n/p</v>
      </c>
      <c r="CI156" s="56" t="str">
        <f aca="false">IF(ISNUMBER(CI154),ROUND(CI152-CI154,2),"n/p")</f>
        <v>n/p</v>
      </c>
      <c r="CJ156" s="56" t="str">
        <f aca="false">IF(ISNUMBER(CJ154),ROUND(CJ152-CJ154,2),"n/p")</f>
        <v>n/p</v>
      </c>
      <c r="CK156" s="56" t="str">
        <f aca="false">IF(ISNUMBER(CK154),ROUND(CK152-CK154,2),"n/p")</f>
        <v>n/p</v>
      </c>
      <c r="CL156" s="56" t="str">
        <f aca="false">IF(ISNUMBER(CL154),ROUND(CL152-CL154,2),"n/p")</f>
        <v>n/p</v>
      </c>
      <c r="CM156" s="56" t="str">
        <f aca="false">IF(ISNUMBER(CM154),ROUND(CM152-CM154,2),"n/p")</f>
        <v>n/p</v>
      </c>
      <c r="CN156" s="56" t="str">
        <f aca="false">IF(ISNUMBER(CN154),ROUND(CN152-CN154,2),"n/p")</f>
        <v>n/p</v>
      </c>
      <c r="CO156" s="56" t="str">
        <f aca="false">IF(ISNUMBER(CO154),ROUND(CO152-CO154,2),"n/p")</f>
        <v>n/p</v>
      </c>
      <c r="CP156" s="57"/>
      <c r="CQ156" s="57"/>
      <c r="CR156" s="57"/>
      <c r="CS156" s="57"/>
      <c r="CT156" s="57"/>
      <c r="CU156" s="24"/>
      <c r="CW156" s="6"/>
      <c r="CX156" s="6"/>
      <c r="CY156" s="6"/>
      <c r="CZ156" s="6"/>
    </row>
    <row r="157" customFormat="false" ht="15" hidden="false" customHeight="false" outlineLevel="0" collapsed="false">
      <c r="B157" s="59" t="s">
        <v>247</v>
      </c>
      <c r="C157" s="60"/>
      <c r="D157" s="60"/>
      <c r="E157" s="60"/>
      <c r="F157" s="60"/>
      <c r="G157" s="60"/>
      <c r="H157" s="60"/>
      <c r="I157" s="60"/>
      <c r="K157" s="60"/>
      <c r="M157" s="60"/>
      <c r="Q157" s="60"/>
      <c r="S157" s="60" t="s">
        <v>248</v>
      </c>
      <c r="W157" s="60"/>
      <c r="Y157" s="60"/>
      <c r="AC157" s="60"/>
      <c r="AE157" s="60"/>
      <c r="AF157" s="0" t="s">
        <v>249</v>
      </c>
      <c r="AH157" s="0" t="s">
        <v>250</v>
      </c>
      <c r="AI157" s="60"/>
      <c r="AK157" s="60"/>
      <c r="AL157" s="0" t="s">
        <v>251</v>
      </c>
      <c r="AN157" s="0" t="s">
        <v>252</v>
      </c>
      <c r="AO157" s="60" t="s">
        <v>253</v>
      </c>
      <c r="AQ157" s="60"/>
      <c r="AR157" s="0" t="s">
        <v>254</v>
      </c>
      <c r="AU157" s="60"/>
      <c r="AW157" s="60" t="s">
        <v>255</v>
      </c>
      <c r="BA157" s="60"/>
      <c r="BC157" s="60"/>
      <c r="BG157" s="60" t="s">
        <v>256</v>
      </c>
      <c r="BI157" s="60"/>
      <c r="BL157" s="0" t="s">
        <v>257</v>
      </c>
      <c r="BM157" s="60"/>
      <c r="BO157" s="60"/>
      <c r="BS157" s="60"/>
      <c r="BU157" s="60"/>
      <c r="BX157" s="0" t="s">
        <v>258</v>
      </c>
      <c r="BY157" s="60"/>
      <c r="CA157" s="60"/>
      <c r="CE157" s="60"/>
      <c r="CG157" s="60"/>
      <c r="CK157" s="60"/>
      <c r="CM157" s="60"/>
      <c r="CP157" s="6"/>
      <c r="CQ157" s="6"/>
      <c r="CR157" s="6"/>
      <c r="CS157" s="6"/>
      <c r="CT157" s="6"/>
      <c r="CU157" s="24" t="s">
        <v>288</v>
      </c>
      <c r="CW157" s="6"/>
      <c r="CX157" s="6"/>
      <c r="CY157" s="6"/>
      <c r="CZ157" s="6"/>
    </row>
    <row r="158" customFormat="false" ht="15" hidden="false" customHeight="false" outlineLevel="0" collapsed="false">
      <c r="B158" s="15"/>
      <c r="CP158" s="6"/>
      <c r="CQ158" s="6"/>
      <c r="CR158" s="6"/>
      <c r="CS158" s="6"/>
      <c r="CT158" s="6"/>
      <c r="CU158" s="6"/>
    </row>
    <row r="159" customFormat="false" ht="15" hidden="false" customHeight="false" outlineLevel="0" collapsed="false">
      <c r="B159" s="11" t="s">
        <v>289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 t="s">
        <v>290</v>
      </c>
    </row>
    <row r="160" customFormat="false" ht="15" hidden="false" customHeight="false" outlineLevel="0" collapsed="false">
      <c r="B160" s="28" t="s">
        <v>291</v>
      </c>
      <c r="C160" s="29"/>
      <c r="D160" s="29" t="n">
        <f aca="false">IFERROR(D73/C73-1,"")</f>
        <v>0.0607468060109238</v>
      </c>
      <c r="E160" s="29" t="n">
        <f aca="false">IFERROR(E73/D73-1,"")</f>
        <v>0.399814510950988</v>
      </c>
      <c r="F160" s="29" t="n">
        <f aca="false">IFERROR(F73/E73-1,"")</f>
        <v>-0.053215399669745</v>
      </c>
      <c r="G160" s="29" t="n">
        <f aca="false">IFERROR(G73/F73-1,"")</f>
        <v>0.0400992084319094</v>
      </c>
      <c r="H160" s="29" t="n">
        <f aca="false">IFERROR(H73/G73-1,"")</f>
        <v>0.128567343659227</v>
      </c>
      <c r="I160" s="29" t="n">
        <f aca="false">IFERROR(I73/H73-1,"")</f>
        <v>0.0595531535828195</v>
      </c>
      <c r="J160" s="29"/>
      <c r="K160" s="29"/>
      <c r="L160" s="29"/>
      <c r="M160" s="29"/>
      <c r="N160" s="29"/>
      <c r="O160" s="29" t="n">
        <f aca="false">IFERROR(O73/I73-1,"")</f>
        <v>0.132218340148303</v>
      </c>
      <c r="P160" s="29" t="n">
        <f aca="false">IFERROR(P73/J73-1,"")</f>
        <v>0.171715522510529</v>
      </c>
      <c r="Q160" s="29" t="n">
        <f aca="false">IFERROR(Q73/K73-1,"")</f>
        <v>0.0760711535210472</v>
      </c>
      <c r="R160" s="29" t="n">
        <f aca="false">IFERROR(R73/L73-1,"")</f>
        <v>0.12130656111957</v>
      </c>
      <c r="S160" s="29" t="n">
        <f aca="false">IFERROR(S73/M73-1,"")</f>
        <v>0.115560550068794</v>
      </c>
      <c r="T160" s="29" t="n">
        <f aca="false">IFERROR(T73/N73-1,"")</f>
        <v>0.0900768685271352</v>
      </c>
      <c r="U160" s="29" t="n">
        <f aca="false">IFERROR(U73/O73-1,"")</f>
        <v>0.111911856618877</v>
      </c>
      <c r="V160" s="29" t="n">
        <f aca="false">IFERROR(V73/P73-1,"")</f>
        <v>0.0375263949578932</v>
      </c>
      <c r="W160" s="29" t="n">
        <f aca="false">IFERROR(W73/Q73-1,"")</f>
        <v>-0.0355265087245227</v>
      </c>
      <c r="X160" s="29" t="n">
        <f aca="false">IFERROR(X73/R73-1,"")</f>
        <v>0.000577415122625657</v>
      </c>
      <c r="Y160" s="29" t="n">
        <f aca="false">IFERROR(Y73/S73-1,"")</f>
        <v>-0.0406170695010362</v>
      </c>
      <c r="Z160" s="29" t="n">
        <f aca="false">IFERROR(Z73/T73-1,"")</f>
        <v>-0.0179405113932857</v>
      </c>
      <c r="AA160" s="29" t="n">
        <f aca="false">IFERROR(AA73/U73-1,"")</f>
        <v>-0.0149636137513977</v>
      </c>
      <c r="AB160" s="29" t="n">
        <f aca="false">IFERROR(AB73/V73-1,"")</f>
        <v>-0.00533083550859892</v>
      </c>
      <c r="AC160" s="29" t="n">
        <f aca="false">IFERROR(AC73/W73-1,"")</f>
        <v>0.0848771800273653</v>
      </c>
      <c r="AD160" s="29" t="n">
        <f aca="false">IFERROR(AD73/X73-1,"")</f>
        <v>0.0386486047677201</v>
      </c>
      <c r="AE160" s="29" t="n">
        <f aca="false">IFERROR(AE73/Y73-1,"")</f>
        <v>0.168619717172261</v>
      </c>
      <c r="AF160" s="29" t="n">
        <f aca="false">IFERROR(AF73/Z73-1,"")</f>
        <v>0.178417459873252</v>
      </c>
      <c r="AG160" s="29" t="n">
        <f aca="false">IFERROR(AG73/AA73-1,"")</f>
        <v>0.106772744287261</v>
      </c>
      <c r="AH160" s="29" t="n">
        <f aca="false">IFERROR(AH73/AB73-1,"")</f>
        <v>0.197872163634979</v>
      </c>
      <c r="AI160" s="29" t="n">
        <f aca="false">IFERROR(AI73/AC73-1,"")</f>
        <v>0.166249591266108</v>
      </c>
      <c r="AJ160" s="29" t="n">
        <f aca="false">IFERROR(AJ73/AD73-1,"")</f>
        <v>0.181768907677251</v>
      </c>
      <c r="AK160" s="29" t="n">
        <f aca="false">IFERROR(AK73/AE73-1,"")</f>
        <v>0.0766488310880473</v>
      </c>
      <c r="AL160" s="29" t="n">
        <f aca="false">IFERROR(AL73/AF73-1,"")</f>
        <v>0.13809035679179</v>
      </c>
      <c r="AM160" s="29" t="n">
        <f aca="false">IFERROR(AM73/AG73-1,"")</f>
        <v>0.141536632533117</v>
      </c>
      <c r="AN160" s="29" t="n">
        <f aca="false">IFERROR(AN73/AH73-1,"")</f>
        <v>0.211499721091011</v>
      </c>
      <c r="AO160" s="29" t="n">
        <f aca="false">IFERROR(AO73/AI73-1,"")</f>
        <v>0.313487749333394</v>
      </c>
      <c r="AP160" s="29" t="n">
        <f aca="false">IFERROR(AP73/AJ73-1,"")</f>
        <v>0.262753352513144</v>
      </c>
      <c r="AQ160" s="29" t="n">
        <f aca="false">IFERROR(AQ73/AK73-1,"")</f>
        <v>0.279076236686264</v>
      </c>
      <c r="AR160" s="29" t="n">
        <f aca="false">IFERROR(AR73/AL73-1,"")</f>
        <v>0.186549778655876</v>
      </c>
      <c r="AS160" s="29" t="n">
        <f aca="false">IFERROR(AS73/AM73-1,"")</f>
        <v>0.24704329683884</v>
      </c>
      <c r="AT160" s="29" t="n">
        <f aca="false">IFERROR(AT73/AN73-1,"")</f>
        <v>0.100675624093442</v>
      </c>
      <c r="AU160" s="29" t="n">
        <f aca="false">IFERROR(AU73/AO73-1,"")</f>
        <v>0.05617874739167</v>
      </c>
      <c r="AV160" s="29" t="n">
        <f aca="false">IFERROR(AV73/AP73-1,"")</f>
        <v>0.0774154762636719</v>
      </c>
      <c r="AW160" s="29" t="n">
        <f aca="false">IFERROR(AW73/AQ73-1,"")</f>
        <v>0.156667321904316</v>
      </c>
      <c r="AX160" s="29" t="n">
        <f aca="false">IFERROR(AX73/AR73-1,"")</f>
        <v>0.20780770352364</v>
      </c>
      <c r="AY160" s="29" t="n">
        <f aca="false">IFERROR(AY73/AS73-1,"")</f>
        <v>0.130842694918023</v>
      </c>
      <c r="AZ160" s="29" t="n">
        <f aca="false">IFERROR(AZ73/AT73-1,"")</f>
        <v>0.201695826325189</v>
      </c>
      <c r="BA160" s="29" t="n">
        <f aca="false">IFERROR(BA73/AU73-1,"")</f>
        <v>0.186105119014721</v>
      </c>
      <c r="BB160" s="29" t="n">
        <f aca="false">IFERROR(BB73/AV73-1,"")</f>
        <v>0.193706632173194</v>
      </c>
      <c r="BC160" s="29" t="n">
        <f aca="false">IFERROR(BC73/AW73-1,"")</f>
        <v>-0.00498267994417079</v>
      </c>
      <c r="BD160" s="29" t="n">
        <f aca="false">IFERROR(BD73/AX73-1,"")</f>
        <v>-0.0311772566004701</v>
      </c>
      <c r="BE160" s="29" t="n">
        <f aca="false">IFERROR(BE73/AY73-1,"")</f>
        <v>0.0801319518481536</v>
      </c>
      <c r="BF160" s="29" t="n">
        <f aca="false">IFERROR(BF73/AZ73-1,"")</f>
        <v>0.0694702971011356</v>
      </c>
      <c r="BG160" s="29" t="n">
        <f aca="false">IFERROR(BG73/BA73-1,"")</f>
        <v>0.0728361790172827</v>
      </c>
      <c r="BH160" s="29" t="n">
        <f aca="false">IFERROR(BH73/BB73-1,"")</f>
        <v>0.0711841028927978</v>
      </c>
      <c r="BI160" s="29" t="n">
        <f aca="false">IFERROR(BI73/BC73-1,"")</f>
        <v>0.333508975943019</v>
      </c>
      <c r="BJ160" s="29" t="n">
        <f aca="false">IFERROR(BJ73/BD73-1,"")</f>
        <v>0.424174227017896</v>
      </c>
      <c r="BK160" s="29" t="n">
        <f aca="false">IFERROR(BK73/BE73-1,"")</f>
        <v>0.220770653382802</v>
      </c>
      <c r="BL160" s="29" t="n">
        <f aca="false">IFERROR(BL73/BF73-1,"")</f>
        <v>0.366296758525315</v>
      </c>
      <c r="BM160" s="29" t="n">
        <f aca="false">IFERROR(BM73/BG73-1,"")</f>
        <v>0.40586129384099</v>
      </c>
      <c r="BN160" s="29" t="n">
        <f aca="false">IFERROR(BN73/BH73-1,"")</f>
        <v>0.386472898937247</v>
      </c>
      <c r="BO160" s="29" t="n">
        <f aca="false">IFERROR(BO73/BI73-1,"")</f>
        <v>0.280730607295173</v>
      </c>
      <c r="BP160" s="29" t="n">
        <f aca="false">IFERROR(BP73/BJ73-1,"")</f>
        <v>0.180006144557392</v>
      </c>
      <c r="BQ160" s="29" t="n">
        <f aca="false">IFERROR(BQ73/BK73-1,"")</f>
        <v>0.300243898725019</v>
      </c>
      <c r="BR160" s="29" t="n">
        <f aca="false">IFERROR(BR73/BL73-1,"")</f>
        <v>0.10274868786815</v>
      </c>
      <c r="BS160" s="29" t="n">
        <f aca="false">IFERROR(BS73/BM73-1,"")</f>
        <v>0.102902727503285</v>
      </c>
      <c r="BT160" s="29" t="n">
        <f aca="false">IFERROR(BT73/BN73-1,"")</f>
        <v>0.10282833966781</v>
      </c>
      <c r="BU160" s="29" t="n">
        <f aca="false">IFERROR(BU73/BO73-1,"")</f>
        <v>0.0871224896030709</v>
      </c>
      <c r="BV160" s="29" t="n">
        <f aca="false">IFERROR(BV73/BP73-1,"")</f>
        <v>0.129278414467935</v>
      </c>
      <c r="BW160" s="29" t="n">
        <f aca="false">IFERROR(BW73/BQ73-1,"")</f>
        <v>0.105285723385361</v>
      </c>
      <c r="BX160" s="29" t="n">
        <f aca="false">IFERROR(BX73/BR73-1,"")</f>
        <v>0.142207277595447</v>
      </c>
      <c r="BY160" s="29" t="n">
        <f aca="false">IFERROR(BY73/BS73-1,"")</f>
        <v>0.0662939363912685</v>
      </c>
      <c r="BZ160" s="29" t="n">
        <f aca="false">IFERROR(BZ73/BT73-1,"")</f>
        <v>0.102950873900598</v>
      </c>
      <c r="CA160" s="29" t="n">
        <f aca="false">IFERROR(CA73/BU73-1,"")</f>
        <v>0.103175574043066</v>
      </c>
      <c r="CB160" s="29" t="n">
        <f aca="false">IFERROR(CB73/BV73-1,"")</f>
        <v>0.0715804372733917</v>
      </c>
      <c r="CC160" s="29" t="n">
        <f aca="false">IFERROR(CC73/BW73-1,"")</f>
        <v>0.0949226751238785</v>
      </c>
      <c r="CD160" s="29" t="n">
        <f aca="false">IFERROR(CD73/BX73-1,"")</f>
        <v>0.123883788572504</v>
      </c>
      <c r="CE160" s="29" t="n">
        <f aca="false">IFERROR(CE73/BY73-1,"")</f>
        <v>0.140339303376271</v>
      </c>
      <c r="CF160" s="29" t="n">
        <f aca="false">IFERROR(CF73/BZ73-1,"")</f>
        <v>0.132110469404307</v>
      </c>
      <c r="CG160" s="29" t="n">
        <f aca="false">IFERROR(CG73/CA73-1,"")</f>
        <v>0.0749224446200916</v>
      </c>
      <c r="CH160" s="29" t="n">
        <f aca="false">IFERROR(CH73/CB73-1,"")</f>
        <v>0.052477130474397</v>
      </c>
      <c r="CI160" s="29" t="n">
        <f aca="false">IFERROR(CI73/CC73-1,"")</f>
        <v>0.0968024862025152</v>
      </c>
      <c r="CJ160" s="29" t="n">
        <f aca="false">IFERROR(CJ73/CD73-1,"")</f>
        <v>0.00715102251512656</v>
      </c>
      <c r="CK160" s="29" t="n">
        <f aca="false">IFERROR(CK73/CE73-1,"")</f>
        <v>-0.0357959488221602</v>
      </c>
      <c r="CL160" s="29" t="n">
        <f aca="false">IFERROR(CL73/CF73-1,"")</f>
        <v>-0.0144757147278634</v>
      </c>
      <c r="CM160" s="29" t="n">
        <f aca="false">IFERROR(CM73/CG73-1,"")</f>
        <v>0.0209207438046539</v>
      </c>
      <c r="CN160" s="29" t="n">
        <f aca="false">IFERROR(CN73/CH73-1,"")</f>
        <v>0.0243019046357782</v>
      </c>
      <c r="CO160" s="29" t="n">
        <f aca="false">IFERROR(CO73/CI73-1,"")</f>
        <v>0.00414271013424261</v>
      </c>
      <c r="CP160" s="30" t="n">
        <f aca="false">IFERROR(CP73/CO73-1,"")</f>
        <v>0.0472649586634462</v>
      </c>
      <c r="CQ160" s="30" t="n">
        <f aca="false">IFERROR(CQ73/CP73-1,"")</f>
        <v>0.0586835875506038</v>
      </c>
      <c r="CR160" s="30" t="n">
        <f aca="false">IFERROR(CR73/CQ73-1,"")</f>
        <v>0.0618723577830298</v>
      </c>
      <c r="CS160" s="30" t="n">
        <f aca="false">IFERROR(CS73/CR73-1,"")</f>
        <v>0.0612919679353607</v>
      </c>
      <c r="CT160" s="30" t="n">
        <f aca="false">IFERROR(CT73/CS73-1,"")</f>
        <v>0.06138849193148</v>
      </c>
      <c r="CU160" s="24"/>
      <c r="CW160" s="6"/>
      <c r="CX160" s="6"/>
      <c r="CY160" s="6"/>
      <c r="CZ160" s="6"/>
    </row>
    <row r="161" customFormat="false" ht="15" hidden="false" customHeight="false" outlineLevel="0" collapsed="false">
      <c r="B161" s="28" t="s">
        <v>111</v>
      </c>
      <c r="C161" s="29"/>
      <c r="D161" s="29" t="n">
        <f aca="false">IFERROR(D71/C71-1,"")</f>
        <v>0.0136651462149833</v>
      </c>
      <c r="E161" s="29" t="n">
        <f aca="false">IFERROR(E71/D71-1,"")</f>
        <v>0.156653489960694</v>
      </c>
      <c r="F161" s="29" t="n">
        <f aca="false">IFERROR(F71/E71-1,"")</f>
        <v>-0.007061162316371</v>
      </c>
      <c r="G161" s="29" t="n">
        <f aca="false">IFERROR(G71/F71-1,"")</f>
        <v>0.0312894083386419</v>
      </c>
      <c r="H161" s="29" t="n">
        <f aca="false">IFERROR(H71/G71-1,"")</f>
        <v>0.123678313788398</v>
      </c>
      <c r="I161" s="29" t="n">
        <f aca="false">IFERROR(I71/H71-1,"")</f>
        <v>0.0619540508741498</v>
      </c>
      <c r="J161" s="29"/>
      <c r="K161" s="29"/>
      <c r="L161" s="29"/>
      <c r="M161" s="29"/>
      <c r="N161" s="29"/>
      <c r="O161" s="29" t="n">
        <f aca="false">IFERROR(O71/I71-1,"")</f>
        <v>0.122010321258412</v>
      </c>
      <c r="P161" s="29" t="n">
        <f aca="false">IFERROR(P71/J71-1,"")</f>
        <v>0.159771286870001</v>
      </c>
      <c r="Q161" s="29" t="n">
        <f aca="false">IFERROR(Q71/K71-1,"")</f>
        <v>0.0867232159321409</v>
      </c>
      <c r="R161" s="29" t="n">
        <f aca="false">IFERROR(R71/L71-1,"")</f>
        <v>0.121320362340117</v>
      </c>
      <c r="S161" s="29" t="n">
        <f aca="false">IFERROR(S71/M71-1,"")</f>
        <v>0.138710671184988</v>
      </c>
      <c r="T161" s="29" t="n">
        <f aca="false">IFERROR(T71/N71-1,"")</f>
        <v>0.129602839070935</v>
      </c>
      <c r="U161" s="29" t="n">
        <f aca="false">IFERROR(U71/O71-1,"")</f>
        <v>0.127986611225339</v>
      </c>
      <c r="V161" s="29" t="n">
        <f aca="false">IFERROR(V71/P71-1,"")</f>
        <v>0.0893873998842567</v>
      </c>
      <c r="W161" s="29" t="n">
        <f aca="false">IFERROR(W71/Q71-1,"")</f>
        <v>0.0117760847063615</v>
      </c>
      <c r="X161" s="29" t="n">
        <f aca="false">IFERROR(X71/R71-1,"")</f>
        <v>0.0497949555827264</v>
      </c>
      <c r="Y161" s="29" t="n">
        <f aca="false">IFERROR(Y71/S71-1,"")</f>
        <v>0.00595581171950066</v>
      </c>
      <c r="Z161" s="29" t="n">
        <f aca="false">IFERROR(Z71/T71-1,"")</f>
        <v>0.00993894882560409</v>
      </c>
      <c r="AA161" s="29" t="n">
        <f aca="false">IFERROR(AA71/U71-1,"")</f>
        <v>0.028119401552358</v>
      </c>
      <c r="AB161" s="29" t="n">
        <f aca="false">IFERROR(AB71/V71-1,"")</f>
        <v>0.0177212212638433</v>
      </c>
      <c r="AC161" s="29" t="n">
        <f aca="false">IFERROR(AC71/W71-1,"")</f>
        <v>0.0918585540107668</v>
      </c>
      <c r="AD161" s="29" t="n">
        <f aca="false">IFERROR(AD71/X71-1,"")</f>
        <v>0.0541717772441017</v>
      </c>
      <c r="AE161" s="29" t="n">
        <f aca="false">IFERROR(AE71/Y71-1,"")</f>
        <v>0.182967992391762</v>
      </c>
      <c r="AF161" s="29" t="n">
        <f aca="false">IFERROR(AF71/Z71-1,"")</f>
        <v>0.188028119882957</v>
      </c>
      <c r="AG161" s="29" t="n">
        <f aca="false">IFERROR(AG71/AA71-1,"")</f>
        <v>0.120783914151434</v>
      </c>
      <c r="AH161" s="29" t="n">
        <f aca="false">IFERROR(AH71/AB71-1,"")</f>
        <v>0.223579195671144</v>
      </c>
      <c r="AI161" s="29" t="n">
        <f aca="false">IFERROR(AI71/AC71-1,"")</f>
        <v>0.190525196127749</v>
      </c>
      <c r="AJ161" s="29" t="n">
        <f aca="false">IFERROR(AJ71/AD71-1,"")</f>
        <v>0.206746789105643</v>
      </c>
      <c r="AK161" s="29" t="n">
        <f aca="false">IFERROR(AK71/AE71-1,"")</f>
        <v>0.0950192252567486</v>
      </c>
      <c r="AL161" s="29" t="n">
        <f aca="false">IFERROR(AL71/AF71-1,"")</f>
        <v>0.163416100149229</v>
      </c>
      <c r="AM161" s="29" t="n">
        <f aca="false">IFERROR(AM71/AG71-1,"")</f>
        <v>0.164683500863381</v>
      </c>
      <c r="AN161" s="29" t="n">
        <f aca="false">IFERROR(AN71/AH71-1,"")</f>
        <v>0.218338663140961</v>
      </c>
      <c r="AO161" s="29" t="n">
        <f aca="false">IFERROR(AO71/AI71-1,"")</f>
        <v>0.296487793234914</v>
      </c>
      <c r="AP161" s="29" t="n">
        <f aca="false">IFERROR(AP71/AJ71-1,"")</f>
        <v>0.25760033446171</v>
      </c>
      <c r="AQ161" s="29" t="n">
        <f aca="false">IFERROR(AQ71/AK71-1,"")</f>
        <v>0.235946874642692</v>
      </c>
      <c r="AR161" s="29" t="n">
        <f aca="false">IFERROR(AR71/AL71-1,"")</f>
        <v>0.162906218916552</v>
      </c>
      <c r="AS161" s="29" t="n">
        <f aca="false">IFERROR(AS71/AM71-1,"")</f>
        <v>0.227210531062342</v>
      </c>
      <c r="AT161" s="29" t="n">
        <f aca="false">IFERROR(AT71/AN71-1,"")</f>
        <v>0.0552783160708319</v>
      </c>
      <c r="AU161" s="29" t="n">
        <f aca="false">IFERROR(AU71/AO71-1,"")</f>
        <v>0.0369519895311403</v>
      </c>
      <c r="AV161" s="29" t="n">
        <f aca="false">IFERROR(AV71/AP71-1,"")</f>
        <v>0.04578657585117</v>
      </c>
      <c r="AW161" s="29" t="n">
        <f aca="false">IFERROR(AW71/AQ71-1,"")</f>
        <v>0.153178726367093</v>
      </c>
      <c r="AX161" s="29" t="n">
        <f aca="false">IFERROR(AX71/AR71-1,"")</f>
        <v>0.201036100096767</v>
      </c>
      <c r="AY161" s="29" t="n">
        <f aca="false">IFERROR(AY71/AS71-1,"")</f>
        <v>0.11225326290369</v>
      </c>
      <c r="AZ161" s="29" t="n">
        <f aca="false">IFERROR(AZ71/AT71-1,"")</f>
        <v>0.235685374589039</v>
      </c>
      <c r="BA161" s="29" t="n">
        <f aca="false">IFERROR(BA71/AU71-1,"")</f>
        <v>0.223669468123136</v>
      </c>
      <c r="BB161" s="29" t="n">
        <f aca="false">IFERROR(BB71/AV71-1,"")</f>
        <v>0.229514559278868</v>
      </c>
      <c r="BC161" s="29" t="n">
        <f aca="false">IFERROR(BC71/AW71-1,"")</f>
        <v>0.0377890652378599</v>
      </c>
      <c r="BD161" s="29" t="n">
        <f aca="false">IFERROR(BD71/AX71-1,"")</f>
        <v>-0.0270642582148346</v>
      </c>
      <c r="BE161" s="29" t="n">
        <f aca="false">IFERROR(BE71/AY71-1,"")</f>
        <v>0.109042919779871</v>
      </c>
      <c r="BF161" s="29" t="n">
        <f aca="false">IFERROR(BF71/AZ71-1,"")</f>
        <v>0.0564018890820242</v>
      </c>
      <c r="BG161" s="29" t="n">
        <f aca="false">IFERROR(BG71/BA71-1,"")</f>
        <v>0.0442460698698519</v>
      </c>
      <c r="BH161" s="29" t="n">
        <f aca="false">IFERROR(BH71/BB71-1,"")</f>
        <v>0.0501888985759953</v>
      </c>
      <c r="BI161" s="29" t="n">
        <f aca="false">IFERROR(BI71/BC71-1,"")</f>
        <v>0.269057858098954</v>
      </c>
      <c r="BJ161" s="29" t="n">
        <f aca="false">IFERROR(BJ71/BD71-1,"")</f>
        <v>0.354798675022068</v>
      </c>
      <c r="BK161" s="29" t="n">
        <f aca="false">IFERROR(BK71/BE71-1,"")</f>
        <v>0.177042739607835</v>
      </c>
      <c r="BL161" s="29" t="n">
        <f aca="false">IFERROR(BL71/BF71-1,"")</f>
        <v>0.295797986696988</v>
      </c>
      <c r="BM161" s="29" t="n">
        <f aca="false">IFERROR(BM71/BG71-1,"")</f>
        <v>0.335127046325486</v>
      </c>
      <c r="BN161" s="29" t="n">
        <f aca="false">IFERROR(BN71/BH71-1,"")</f>
        <v>0.31578580745878</v>
      </c>
      <c r="BO161" s="29" t="n">
        <f aca="false">IFERROR(BO71/BI71-1,"")</f>
        <v>0.228373669142705</v>
      </c>
      <c r="BP161" s="29" t="n">
        <f aca="false">IFERROR(BP71/BJ71-1,"")</f>
        <v>0.141550331587232</v>
      </c>
      <c r="BQ161" s="29" t="n">
        <f aca="false">IFERROR(BQ71/BK71-1,"")</f>
        <v>0.244854086210064</v>
      </c>
      <c r="BR161" s="29" t="n">
        <f aca="false">IFERROR(BR71/BL71-1,"")</f>
        <v>0.0883803671060079</v>
      </c>
      <c r="BS161" s="29" t="n">
        <f aca="false">IFERROR(BS71/BM71-1,"")</f>
        <v>0.110685004711077</v>
      </c>
      <c r="BT161" s="29" t="n">
        <f aca="false">IFERROR(BT71/BN71-1,"")</f>
        <v>0.0998826607721475</v>
      </c>
      <c r="BU161" s="29" t="n">
        <f aca="false">IFERROR(BU71/BO71-1,"")</f>
        <v>0.105613089117283</v>
      </c>
      <c r="BV161" s="29" t="n">
        <f aca="false">IFERROR(BV71/BP71-1,"")</f>
        <v>0.178614216123964</v>
      </c>
      <c r="BW161" s="29" t="n">
        <f aca="false">IFERROR(BW71/BQ71-1,"")</f>
        <v>0.120954490648571</v>
      </c>
      <c r="BX161" s="29" t="n">
        <f aca="false">IFERROR(BX71/BR71-1,"")</f>
        <v>0.182565626547796</v>
      </c>
      <c r="BY161" s="29" t="n">
        <f aca="false">IFERROR(BY71/BS71-1,"")</f>
        <v>0.0910968261464655</v>
      </c>
      <c r="BZ161" s="29" t="n">
        <f aca="false">IFERROR(BZ71/BT71-1,"")</f>
        <v>0.134932749233996</v>
      </c>
      <c r="CA161" s="29" t="n">
        <f aca="false">IFERROR(CA71/BU71-1,"")</f>
        <v>0.11729845653403</v>
      </c>
      <c r="CB161" s="29" t="n">
        <f aca="false">IFERROR(CB71/BV71-1,"")</f>
        <v>0.0705418811328129</v>
      </c>
      <c r="CC161" s="29" t="n">
        <f aca="false">IFERROR(CC71/BW71-1,"")</f>
        <v>0.113464501733514</v>
      </c>
      <c r="CD161" s="29" t="n">
        <f aca="false">IFERROR(CD71/BX71-1,"")</f>
        <v>0.147521453435342</v>
      </c>
      <c r="CE161" s="29" t="n">
        <f aca="false">IFERROR(CE71/BY71-1,"")</f>
        <v>0.150318249598199</v>
      </c>
      <c r="CF161" s="29" t="n">
        <f aca="false">IFERROR(CF71/BZ71-1,"")</f>
        <v>0.148921646146097</v>
      </c>
      <c r="CG161" s="29" t="n">
        <f aca="false">IFERROR(CG71/CA71-1,"")</f>
        <v>0.0931789611569462</v>
      </c>
      <c r="CH161" s="29" t="n">
        <f aca="false">IFERROR(CH71/CB71-1,"")</f>
        <v>0.0706736491578126</v>
      </c>
      <c r="CI161" s="29" t="n">
        <f aca="false">IFERROR(CI71/CC71-1,"")</f>
        <v>0.114479014614426</v>
      </c>
      <c r="CJ161" s="29" t="n">
        <f aca="false">IFERROR(CJ71/CD71-1,"")</f>
        <v>0.00558531778217564</v>
      </c>
      <c r="CK161" s="29" t="n">
        <f aca="false">IFERROR(CK71/CE71-1,"")</f>
        <v>-0.0395750549037053</v>
      </c>
      <c r="CL161" s="29" t="n">
        <f aca="false">IFERROR(CL71/CF71-1,"")</f>
        <v>-0.0170513299592387</v>
      </c>
      <c r="CM161" s="29" t="n">
        <f aca="false">IFERROR(CM71/CG71-1,"")</f>
        <v>0.0205288567463828</v>
      </c>
      <c r="CN161" s="29" t="n">
        <f aca="false">IFERROR(CN71/CH71-1,"")</f>
        <v>0.0139456959723241</v>
      </c>
      <c r="CO161" s="29" t="n">
        <f aca="false">IFERROR(CO71/CI71-1,"")</f>
        <v>0.000216193770091744</v>
      </c>
      <c r="CP161" s="30" t="n">
        <f aca="false">IFERROR(CP71/CO71-1,"")</f>
        <v>0.0478408360456679</v>
      </c>
      <c r="CQ161" s="30" t="n">
        <f aca="false">IFERROR(CQ71/CP71-1,"")</f>
        <v>0.0612500331710788</v>
      </c>
      <c r="CR161" s="30" t="n">
        <f aca="false">IFERROR(CR71/CQ71-1,"")</f>
        <v>0.0649416867093993</v>
      </c>
      <c r="CS161" s="30" t="n">
        <f aca="false">IFERROR(CS71/CR71-1,"")</f>
        <v>0.0641992596064782</v>
      </c>
      <c r="CT161" s="30" t="n">
        <f aca="false">IFERROR(CT71/CS71-1,"")</f>
        <v>0.0642528958343061</v>
      </c>
      <c r="CU161" s="24"/>
      <c r="CW161" s="6"/>
      <c r="CX161" s="6"/>
      <c r="CY161" s="6"/>
      <c r="CZ161" s="6"/>
    </row>
    <row r="162" customFormat="false" ht="15" hidden="false" customHeight="false" outlineLevel="0" collapsed="false">
      <c r="B162" s="28" t="s">
        <v>292</v>
      </c>
      <c r="C162" s="29"/>
      <c r="D162" s="29" t="str">
        <f aca="false">IFERROR(D72/C72-1,"")</f>
        <v/>
      </c>
      <c r="E162" s="29" t="n">
        <f aca="false">IFERROR(E72/D72-1,"")</f>
        <v>5.63505585469742</v>
      </c>
      <c r="F162" s="29" t="n">
        <f aca="false">IFERROR(F72/E72-1,"")</f>
        <v>-0.226441375968992</v>
      </c>
      <c r="G162" s="29" t="n">
        <f aca="false">IFERROR(G72/F72-1,"")</f>
        <v>0.0825412980505753</v>
      </c>
      <c r="H162" s="29" t="n">
        <f aca="false">IFERROR(H72/G72-1,"")</f>
        <v>0.151005619318305</v>
      </c>
      <c r="I162" s="29" t="n">
        <f aca="false">IFERROR(I72/H72-1,"")</f>
        <v>0.0487958128341912</v>
      </c>
      <c r="J162" s="29"/>
      <c r="K162" s="29"/>
      <c r="L162" s="29"/>
      <c r="M162" s="29"/>
      <c r="N162" s="29"/>
      <c r="O162" s="29" t="n">
        <f aca="false">IFERROR(O72/I72-1,"")</f>
        <v>0.178529706025078</v>
      </c>
      <c r="P162" s="29" t="n">
        <f aca="false">IFERROR(P72/J72-1,"")</f>
        <v>0.225078398608282</v>
      </c>
      <c r="Q162" s="29" t="n">
        <f aca="false">IFERROR(Q72/K72-1,"")</f>
        <v>0.0291687810819039</v>
      </c>
      <c r="R162" s="29" t="n">
        <f aca="false">IFERROR(R72/L72-1,"")</f>
        <v>0.121245373956451</v>
      </c>
      <c r="S162" s="29" t="n">
        <f aca="false">IFERROR(S72/M72-1,"")</f>
        <v>0.0189336762266823</v>
      </c>
      <c r="T162" s="29" t="n">
        <f aca="false">IFERROR(T72/N72-1,"")</f>
        <v>-0.0784137628228157</v>
      </c>
      <c r="U162" s="29" t="n">
        <f aca="false">IFERROR(U72/O72-1,"")</f>
        <v>0.0424819158291776</v>
      </c>
      <c r="V162" s="29" t="n">
        <f aca="false">IFERROR(V72/P72-1,"")</f>
        <v>-0.181819880418535</v>
      </c>
      <c r="W162" s="29" t="n">
        <f aca="false">IFERROR(W72/Q72-1,"")</f>
        <v>-0.255453433789594</v>
      </c>
      <c r="X162" s="29" t="n">
        <f aca="false">IFERROR(X72/R72-1,"")</f>
        <v>-0.217641189000403</v>
      </c>
      <c r="Y162" s="29" t="n">
        <f aca="false">IFERROR(Y72/S72-1,"")</f>
        <v>-0.257859794794886</v>
      </c>
      <c r="Z162" s="29" t="n">
        <f aca="false">IFERROR(Z72/T72-1,"")</f>
        <v>-0.163609589189423</v>
      </c>
      <c r="AA162" s="29" t="n">
        <f aca="false">IFERROR(AA72/U72-1,"")</f>
        <v>-0.216310050907956</v>
      </c>
      <c r="AB162" s="29" t="n">
        <f aca="false">IFERROR(AB72/V72-1,"")</f>
        <v>-0.135148096553929</v>
      </c>
      <c r="AC162" s="29" t="n">
        <f aca="false">IFERROR(AC72/W72-1,"")</f>
        <v>0.0407682119205299</v>
      </c>
      <c r="AD162" s="29" t="n">
        <f aca="false">IFERROR(AD72/X72-1,"")</f>
        <v>-0.0537043623296828</v>
      </c>
      <c r="AE162" s="29" t="n">
        <f aca="false">IFERROR(AE72/Y72-1,"")</f>
        <v>0.0778993543299322</v>
      </c>
      <c r="AF162" s="29" t="n">
        <f aca="false">IFERROR(AF72/Z72-1,"")</f>
        <v>0.117782610947129</v>
      </c>
      <c r="AG162" s="29" t="n">
        <f aca="false">IFERROR(AG72/AA72-1,"")</f>
        <v>0.0208691107294854</v>
      </c>
      <c r="AH162" s="29" t="n">
        <f aca="false">IFERROR(AH72/AB72-1,"")</f>
        <v>0.0275144569723533</v>
      </c>
      <c r="AI162" s="29" t="n">
        <f aca="false">IFERROR(AI72/AC72-1,"")</f>
        <v>0.0053450075084629</v>
      </c>
      <c r="AJ162" s="29" t="n">
        <f aca="false">IFERROR(AJ72/AD72-1,"")</f>
        <v>0.0162260238465528</v>
      </c>
      <c r="AK162" s="29" t="n">
        <f aca="false">IFERROR(AK72/AE72-1,"")</f>
        <v>-0.0508242072292462</v>
      </c>
      <c r="AL162" s="29" t="n">
        <f aca="false">IFERROR(AL72/AF72-1,"")</f>
        <v>-0.0317342660582335</v>
      </c>
      <c r="AM162" s="29" t="n">
        <f aca="false">IFERROR(AM72/AG72-1,"")</f>
        <v>-0.0142683001158042</v>
      </c>
      <c r="AN162" s="29" t="n">
        <f aca="false">IFERROR(AN72/AH72-1,"")</f>
        <v>0.157530902269165</v>
      </c>
      <c r="AO162" s="29" t="n">
        <f aca="false">IFERROR(AO72/AI72-1,"")</f>
        <v>0.446922706903972</v>
      </c>
      <c r="AP162" s="29" t="n">
        <f aca="false">IFERROR(AP72/AJ72-1,"")</f>
        <v>0.303308167117278</v>
      </c>
      <c r="AQ162" s="29" t="n">
        <f aca="false">IFERROR(AQ72/AK72-1,"")</f>
        <v>0.624337604778881</v>
      </c>
      <c r="AR162" s="29" t="n">
        <f aca="false">IFERROR(AR72/AL72-1,"")</f>
        <v>0.377048395971388</v>
      </c>
      <c r="AS162" s="29" t="n">
        <f aca="false">IFERROR(AS72/AM72-1,"")</f>
        <v>0.404775890532928</v>
      </c>
      <c r="AT162" s="29" t="n">
        <f aca="false">IFERROR(AT72/AN72-1,"")</f>
        <v>0.477743489554426</v>
      </c>
      <c r="AU162" s="29" t="n">
        <f aca="false">IFERROR(AU72/AO72-1,"")</f>
        <v>0.191401875699888</v>
      </c>
      <c r="AV162" s="29" t="n">
        <f aca="false">IFERROR(AV72/AP72-1,"")</f>
        <v>0.317608493566221</v>
      </c>
      <c r="AW162" s="29" t="n">
        <f aca="false">IFERROR(AW72/AQ72-1,"")</f>
        <v>0.177916839670206</v>
      </c>
      <c r="AX162" s="29" t="n">
        <f aca="false">IFERROR(AX72/AR72-1,"")</f>
        <v>0.253882769882909</v>
      </c>
      <c r="AY162" s="29" t="n">
        <f aca="false">IFERROR(AY72/AS72-1,"")</f>
        <v>0.259999207722069</v>
      </c>
      <c r="AZ162" s="29" t="n">
        <f aca="false">IFERROR(AZ72/AT72-1,"")</f>
        <v>9.01415221898905E-005</v>
      </c>
      <c r="BA162" s="29" t="n">
        <f aca="false">IFERROR(BA72/AU72-1,"")</f>
        <v>-0.0438383927391285</v>
      </c>
      <c r="BB162" s="29" t="n">
        <f aca="false">IFERROR(BB72/AV72-1,"")</f>
        <v>-0.022123532338678</v>
      </c>
      <c r="BC162" s="29" t="n">
        <f aca="false">IFERROR(BC72/AW72-1,"")</f>
        <v>-0.260039781453786</v>
      </c>
      <c r="BD162" s="29" t="n">
        <f aca="false">IFERROR(BD72/AX72-1,"")</f>
        <v>-0.05798326313456</v>
      </c>
      <c r="BE162" s="29" t="n">
        <f aca="false">IFERROR(BE72/AY72-1,"")</f>
        <v>-0.0971833593583523</v>
      </c>
      <c r="BF162" s="29" t="n">
        <f aca="false">IFERROR(BF72/AZ72-1,"")</f>
        <v>0.165244561951688</v>
      </c>
      <c r="BG162" s="29" t="n">
        <f aca="false">IFERROR(BG72/BA72-1,"")</f>
        <v>0.296808281878783</v>
      </c>
      <c r="BH162" s="29" t="n">
        <f aca="false">IFERROR(BH72/BB72-1,"")</f>
        <v>0.230296034144934</v>
      </c>
      <c r="BI162" s="29" t="n">
        <f aca="false">IFERROR(BI72/BC72-1,"")</f>
        <v>0.872537343904182</v>
      </c>
      <c r="BJ162" s="29" t="n">
        <f aca="false">IFERROR(BJ72/BD72-1,"")</f>
        <v>0.891162065567501</v>
      </c>
      <c r="BK162" s="29" t="n">
        <f aca="false">IFERROR(BK72/BE72-1,"")</f>
        <v>0.55022190579741</v>
      </c>
      <c r="BL162" s="29" t="n">
        <f aca="false">IFERROR(BL72/BF72-1,"")</f>
        <v>0.834699876237624</v>
      </c>
      <c r="BM162" s="29" t="n">
        <f aca="false">IFERROR(BM72/BG72-1,"")</f>
        <v>0.852066800900154</v>
      </c>
      <c r="BN162" s="29" t="n">
        <f aca="false">IFERROR(BN72/BH72-1,"")</f>
        <v>0.843751157421697</v>
      </c>
      <c r="BO162" s="29" t="n">
        <f aca="false">IFERROR(BO72/BI72-1,"")</f>
        <v>0.577491277802006</v>
      </c>
      <c r="BP162" s="29" t="n">
        <f aca="false">IFERROR(BP72/BJ72-1,"")</f>
        <v>0.365447729853323</v>
      </c>
      <c r="BQ162" s="29" t="n">
        <f aca="false">IFERROR(BQ72/BK72-1,"")</f>
        <v>0.617098970657242</v>
      </c>
      <c r="BR162" s="29" t="n">
        <f aca="false">IFERROR(BR72/BL72-1,"")</f>
        <v>0.170172997737398</v>
      </c>
      <c r="BS162" s="29" t="n">
        <f aca="false">IFERROR(BS72/BM72-1,"")</f>
        <v>0.0675129500543581</v>
      </c>
      <c r="BT162" s="29" t="n">
        <f aca="false">IFERROR(BT72/BN72-1,"")</f>
        <v>0.116427394838692</v>
      </c>
      <c r="BU162" s="29" t="n">
        <f aca="false">IFERROR(BU72/BO72-1,"")</f>
        <v>0.00551187904967598</v>
      </c>
      <c r="BV162" s="29" t="n">
        <f aca="false">IFERROR(BV72/BP72-1,"")</f>
        <v>-0.0696181623493496</v>
      </c>
      <c r="BW162" s="29" t="n">
        <f aca="false">IFERROR(BW72/BQ72-1,"")</f>
        <v>0.0362859846175456</v>
      </c>
      <c r="BX162" s="29" t="n">
        <f aca="false">IFERROR(BX72/BR72-1,"")</f>
        <v>-0.0339394230538276</v>
      </c>
      <c r="BY162" s="29" t="n">
        <f aca="false">IFERROR(BY72/BS72-1,"")</f>
        <v>-0.0510582470181576</v>
      </c>
      <c r="BZ162" s="29" t="n">
        <f aca="false">IFERROR(BZ72/BT72-1,"")</f>
        <v>-0.042508974116758</v>
      </c>
      <c r="CA162" s="29" t="n">
        <f aca="false">IFERROR(CA72/BU72-1,"")</f>
        <v>0.0346370187075413</v>
      </c>
      <c r="CB162" s="29" t="n">
        <f aca="false">IFERROR(CB72/BV72-1,"")</f>
        <v>0.0768844621026146</v>
      </c>
      <c r="CC162" s="29" t="n">
        <f aca="false">IFERROR(CC72/BW72-1,"")</f>
        <v>0.00659974083617576</v>
      </c>
      <c r="CD162" s="29" t="n">
        <f aca="false">IFERROR(CD72/BX72-1,"")</f>
        <v>-0.00240551964196922</v>
      </c>
      <c r="CE162" s="29" t="n">
        <f aca="false">IFERROR(CE72/BY72-1,"")</f>
        <v>0.0860521198959623</v>
      </c>
      <c r="CF162" s="29" t="n">
        <f aca="false">IFERROR(CF72/BZ72-1,"")</f>
        <v>0.0414803121985443</v>
      </c>
      <c r="CG162" s="29" t="n">
        <f aca="false">IFERROR(CG72/CA72-1,"")</f>
        <v>-0.0207552497107331</v>
      </c>
      <c r="CH162" s="29" t="n">
        <f aca="false">IFERROR(CH72/CB72-1,"")</f>
        <v>-0.0399072242308478</v>
      </c>
      <c r="CI162" s="29" t="n">
        <f aca="false">IFERROR(CI72/CC72-1,"")</f>
        <v>0.00366221233137187</v>
      </c>
      <c r="CJ162" s="29" t="n">
        <f aca="false">IFERROR(CJ72/CD72-1,"")</f>
        <v>0.0167733172163271</v>
      </c>
      <c r="CK162" s="29" t="n">
        <f aca="false">IFERROR(CK72/CE72-1,"")</f>
        <v>-0.0140204028250066</v>
      </c>
      <c r="CL162" s="29" t="n">
        <f aca="false">IFERROR(CL72/CF72-1,"")</f>
        <v>0.00084203435500152</v>
      </c>
      <c r="CM162" s="29" t="n">
        <f aca="false">IFERROR(CM72/CG72-1,"")</f>
        <v>0.0232134780642244</v>
      </c>
      <c r="CN162" s="29" t="n">
        <f aca="false">IFERROR(CN72/CH72-1,"")</f>
        <v>0.0829366207190565</v>
      </c>
      <c r="CO162" s="29" t="n">
        <f aca="false">IFERROR(CO72/CI72-1,"")</f>
        <v>0.0271164801207731</v>
      </c>
      <c r="CP162" s="30" t="n">
        <f aca="false">IFERROR(CP72/CO72-1,"")</f>
        <v>0.0439837861657066</v>
      </c>
      <c r="CQ162" s="30" t="n">
        <f aca="false">IFERROR(CQ72/CP72-1,"")</f>
        <v>0.0440067437152019</v>
      </c>
      <c r="CR162" s="30" t="n">
        <f aca="false">IFERROR(CR72/CQ72-1,"")</f>
        <v>0.0440297449478062</v>
      </c>
      <c r="CS162" s="30" t="n">
        <f aca="false">IFERROR(CS72/CR72-1,"")</f>
        <v>0.0440527889321849</v>
      </c>
      <c r="CT162" s="30" t="n">
        <f aca="false">IFERROR(CT72/CS72-1,"")</f>
        <v>0.0440758747296164</v>
      </c>
      <c r="CU162" s="24"/>
      <c r="CW162" s="6"/>
      <c r="CX162" s="6"/>
      <c r="CY162" s="6"/>
      <c r="CZ162" s="6"/>
    </row>
    <row r="163" customFormat="false" ht="15" hidden="false" customHeight="false" outlineLevel="0" collapsed="false">
      <c r="B163" s="28" t="s">
        <v>293</v>
      </c>
      <c r="C163" s="29"/>
      <c r="D163" s="29" t="n">
        <f aca="false">IFERROR(D76/C76-1,"")</f>
        <v>0.157164668528896</v>
      </c>
      <c r="E163" s="29" t="n">
        <f aca="false">IFERROR(E76/D76-1,"")</f>
        <v>0.20794881213875</v>
      </c>
      <c r="F163" s="29" t="n">
        <f aca="false">IFERROR(F76/E76-1,"")</f>
        <v>-0.0310278378571274</v>
      </c>
      <c r="G163" s="29" t="n">
        <f aca="false">IFERROR(G76/F76-1,"")</f>
        <v>0.114436687375905</v>
      </c>
      <c r="H163" s="29" t="n">
        <f aca="false">IFERROR(H76/G76-1,"")</f>
        <v>0.0715558314223808</v>
      </c>
      <c r="I163" s="29" t="n">
        <f aca="false">IFERROR(I76/H76-1,"")</f>
        <v>0.0984754421485941</v>
      </c>
      <c r="J163" s="29"/>
      <c r="K163" s="29"/>
      <c r="L163" s="29"/>
      <c r="M163" s="29"/>
      <c r="N163" s="29"/>
      <c r="O163" s="29" t="n">
        <f aca="false">IFERROR(O76/I76-1,"")</f>
        <v>0.0276014608804342</v>
      </c>
      <c r="P163" s="29" t="n">
        <f aca="false">IFERROR(P76/J76-1,"")</f>
        <v>0.0227626237717666</v>
      </c>
      <c r="Q163" s="29" t="n">
        <f aca="false">IFERROR(Q76/K76-1,"")</f>
        <v>0.152132373446812</v>
      </c>
      <c r="R163" s="29" t="n">
        <f aca="false">IFERROR(R76/L76-1,"")</f>
        <v>0.0846909563764198</v>
      </c>
      <c r="S163" s="29" t="n">
        <f aca="false">IFERROR(S76/M76-1,"")</f>
        <v>0.144078133515575</v>
      </c>
      <c r="T163" s="29" t="n">
        <f aca="false">IFERROR(T76/N76-1,"")</f>
        <v>0.134537022663769</v>
      </c>
      <c r="U163" s="29" t="n">
        <f aca="false">IFERROR(U76/O76-1,"")</f>
        <v>0.113206247238206</v>
      </c>
      <c r="V163" s="29" t="n">
        <f aca="false">IFERROR(V76/P76-1,"")</f>
        <v>0.134203790941801</v>
      </c>
      <c r="W163" s="29" t="n">
        <f aca="false">IFERROR(W76/Q76-1,"")</f>
        <v>0.0297724705502671</v>
      </c>
      <c r="X163" s="29" t="n">
        <f aca="false">IFERROR(X76/R76-1,"")</f>
        <v>0.0811051043385509</v>
      </c>
      <c r="Y163" s="29" t="n">
        <f aca="false">IFERROR(Y76/S76-1,"")</f>
        <v>-0.0365589934367717</v>
      </c>
      <c r="Z163" s="29" t="n">
        <f aca="false">IFERROR(Z76/T76-1,"")</f>
        <v>0.0157774566226838</v>
      </c>
      <c r="AA163" s="29" t="n">
        <f aca="false">IFERROR(AA76/U76-1,"")</f>
        <v>0.031591662345035</v>
      </c>
      <c r="AB163" s="29" t="n">
        <f aca="false">IFERROR(AB76/V76-1,"")</f>
        <v>-0.0118307878470745</v>
      </c>
      <c r="AC163" s="29" t="n">
        <f aca="false">IFERROR(AC76/W76-1,"")</f>
        <v>0.0848546579957681</v>
      </c>
      <c r="AD163" s="29" t="n">
        <f aca="false">IFERROR(AD76/X76-1,"")</f>
        <v>0.034995256667018</v>
      </c>
      <c r="AE163" s="29" t="n">
        <f aca="false">IFERROR(AE76/Y76-1,"")</f>
        <v>0.237252485932018</v>
      </c>
      <c r="AF163" s="29" t="n">
        <f aca="false">IFERROR(AF76/Z76-1,"")</f>
        <v>0.190934806034482</v>
      </c>
      <c r="AG163" s="29" t="n">
        <f aca="false">IFERROR(AG76/AA76-1,"")</f>
        <v>0.126630200920194</v>
      </c>
      <c r="AH163" s="29" t="n">
        <f aca="false">IFERROR(AH76/AB76-1,"")</f>
        <v>0.202149576786556</v>
      </c>
      <c r="AI163" s="29" t="n">
        <f aca="false">IFERROR(AI76/AC76-1,"")</f>
        <v>0.177756913348421</v>
      </c>
      <c r="AJ163" s="29" t="n">
        <f aca="false">IFERROR(AJ76/AD76-1,"")</f>
        <v>0.189766778694368</v>
      </c>
      <c r="AK163" s="29" t="n">
        <f aca="false">IFERROR(AK76/AE76-1,"")</f>
        <v>0.0942485426300534</v>
      </c>
      <c r="AL163" s="29" t="n">
        <f aca="false">IFERROR(AL76/AF76-1,"")</f>
        <v>0.183799411864503</v>
      </c>
      <c r="AM163" s="29" t="n">
        <f aca="false">IFERROR(AM76/AG76-1,"")</f>
        <v>0.160566007939977</v>
      </c>
      <c r="AN163" s="29" t="n">
        <f aca="false">IFERROR(AN76/AH76-1,"")</f>
        <v>0.123687995980536</v>
      </c>
      <c r="AO163" s="29" t="n">
        <f aca="false">IFERROR(AO76/AI76-1,"")</f>
        <v>0.305549688277177</v>
      </c>
      <c r="AP163" s="29" t="n">
        <f aca="false">IFERROR(AP76/AJ76-1,"")</f>
        <v>0.215077142211478</v>
      </c>
      <c r="AQ163" s="29" t="n">
        <f aca="false">IFERROR(AQ76/AK76-1,"")</f>
        <v>0.269922610938813</v>
      </c>
      <c r="AR163" s="29" t="n">
        <f aca="false">IFERROR(AR76/AL76-1,"")</f>
        <v>0.125160481294599</v>
      </c>
      <c r="AS163" s="29" t="n">
        <f aca="false">IFERROR(AS76/AM76-1,"")</f>
        <v>0.206221876245989</v>
      </c>
      <c r="AT163" s="29" t="n">
        <f aca="false">IFERROR(AT76/AN76-1,"")</f>
        <v>0.2000073500588</v>
      </c>
      <c r="AU163" s="29" t="n">
        <f aca="false">IFERROR(AU76/AO76-1,"")</f>
        <v>0.0867234837612012</v>
      </c>
      <c r="AV163" s="29" t="n">
        <f aca="false">IFERROR(AV76/AP76-1,"")</f>
        <v>0.138841219253085</v>
      </c>
      <c r="AW163" s="29" t="n">
        <f aca="false">IFERROR(AW76/AQ76-1,"")</f>
        <v>0.148405974400643</v>
      </c>
      <c r="AX163" s="29" t="n">
        <f aca="false">IFERROR(AX76/AR76-1,"")</f>
        <v>0.287615762239618</v>
      </c>
      <c r="AY163" s="29" t="n">
        <f aca="false">IFERROR(AY76/AS76-1,"")</f>
        <v>0.17836052499718</v>
      </c>
      <c r="AZ163" s="29" t="n">
        <f aca="false">IFERROR(AZ76/AT76-1,"")</f>
        <v>0.300896293347217</v>
      </c>
      <c r="BA163" s="29" t="n">
        <f aca="false">IFERROR(BA76/AU76-1,"")</f>
        <v>0.248110226388635</v>
      </c>
      <c r="BB163" s="29" t="n">
        <f aca="false">IFERROR(BB76/AV76-1,"")</f>
        <v>0.273699473455006</v>
      </c>
      <c r="BC163" s="29" t="n">
        <f aca="false">IFERROR(BC76/AW76-1,"")</f>
        <v>-0.0356389046780533</v>
      </c>
      <c r="BD163" s="29" t="n">
        <f aca="false">IFERROR(BD76/AX76-1,"")</f>
        <v>0.0321986324236763</v>
      </c>
      <c r="BE163" s="29" t="n">
        <f aca="false">IFERROR(BE76/AY76-1,"")</f>
        <v>0.12184669090391</v>
      </c>
      <c r="BF163" s="29" t="n">
        <f aca="false">IFERROR(BF76/AZ76-1,"")</f>
        <v>0.164398181026331</v>
      </c>
      <c r="BG163" s="29" t="n">
        <f aca="false">IFERROR(BG76/BA76-1,"")</f>
        <v>0.183189746391728</v>
      </c>
      <c r="BH163" s="29" t="n">
        <f aca="false">IFERROR(BH76/BB76-1,"")</f>
        <v>0.173885592841685</v>
      </c>
      <c r="BI163" s="29" t="n">
        <f aca="false">IFERROR(BI76/BC76-1,"")</f>
        <v>0.571807776170279</v>
      </c>
      <c r="BJ163" s="29" t="n">
        <f aca="false">IFERROR(BJ76/BD76-1,"")</f>
        <v>0.427471039927166</v>
      </c>
      <c r="BK163" s="29" t="n">
        <f aca="false">IFERROR(BK76/BE76-1,"")</f>
        <v>0.332693326665357</v>
      </c>
      <c r="BL163" s="29" t="n">
        <f aca="false">IFERROR(BL76/BF76-1,"")</f>
        <v>0.297406400264179</v>
      </c>
      <c r="BM163" s="29" t="n">
        <f aca="false">IFERROR(BM76/BG76-1,"")</f>
        <v>0.31168983212899</v>
      </c>
      <c r="BN163" s="29" t="n">
        <f aca="false">IFERROR(BN76/BH76-1,"")</f>
        <v>0.304674920192564</v>
      </c>
      <c r="BO163" s="29" t="n">
        <f aca="false">IFERROR(BO76/BI76-1,"")</f>
        <v>0.144060040750929</v>
      </c>
      <c r="BP163" s="29" t="n">
        <f aca="false">IFERROR(BP76/BJ76-1,"")</f>
        <v>0.0673850225045667</v>
      </c>
      <c r="BQ163" s="29" t="n">
        <f aca="false">IFERROR(BQ76/BK76-1,"")</f>
        <v>0.195913754168555</v>
      </c>
      <c r="BR163" s="29" t="n">
        <f aca="false">IFERROR(BR76/BL76-1,"")</f>
        <v>-0.0403786717918081</v>
      </c>
      <c r="BS163" s="29" t="n">
        <f aca="false">IFERROR(BS76/BM76-1,"")</f>
        <v>0.0574152952085329</v>
      </c>
      <c r="BT163" s="29" t="n">
        <f aca="false">IFERROR(BT76/BN76-1,"")</f>
        <v>0.00965407193558421</v>
      </c>
      <c r="BU163" s="29" t="n">
        <f aca="false">IFERROR(BU76/BO76-1,"")</f>
        <v>0.108080416799419</v>
      </c>
      <c r="BV163" s="29" t="n">
        <f aca="false">IFERROR(BV76/BP76-1,"")</f>
        <v>0.199191764594886</v>
      </c>
      <c r="BW163" s="29" t="n">
        <f aca="false">IFERROR(BW76/BQ76-1,"")</f>
        <v>0.081414699471617</v>
      </c>
      <c r="BX163" s="29" t="n">
        <f aca="false">IFERROR(BX76/BR76-1,"")</f>
        <v>0.255860215490293</v>
      </c>
      <c r="BY163" s="29" t="n">
        <f aca="false">IFERROR(BY76/BS76-1,"")</f>
        <v>0.0882813599062131</v>
      </c>
      <c r="BZ163" s="29" t="n">
        <f aca="false">IFERROR(BZ76/BT76-1,"")</f>
        <v>0.166068873330209</v>
      </c>
      <c r="CA163" s="29" t="n">
        <f aca="false">IFERROR(CA76/BU76-1,"")</f>
        <v>0.0870343172744761</v>
      </c>
      <c r="CB163" s="29" t="n">
        <f aca="false">IFERROR(CB76/BV76-1,"")</f>
        <v>-0.00874604985379479</v>
      </c>
      <c r="CC163" s="29" t="n">
        <f aca="false">IFERROR(CC76/BW76-1,"")</f>
        <v>0.0980206575624172</v>
      </c>
      <c r="CD163" s="29" t="n">
        <f aca="false">IFERROR(CD76/BX76-1,"")</f>
        <v>0.103629377245328</v>
      </c>
      <c r="CE163" s="29" t="n">
        <f aca="false">IFERROR(CE76/BY76-1,"")</f>
        <v>0.132286406177287</v>
      </c>
      <c r="CF163" s="29" t="n">
        <f aca="false">IFERROR(CF76/BZ76-1,"")</f>
        <v>0.117959944880846</v>
      </c>
      <c r="CG163" s="29" t="n">
        <f aca="false">IFERROR(CG76/CA76-1,"")</f>
        <v>0.0509262518910378</v>
      </c>
      <c r="CH163" s="29" t="n">
        <f aca="false">IFERROR(CH76/CB76-1,"")</f>
        <v>0.1237763902852</v>
      </c>
      <c r="CI163" s="29" t="n">
        <f aca="false">IFERROR(CI76/CC76-1,"")</f>
        <v>0.100873403199996</v>
      </c>
      <c r="CJ163" s="29" t="n">
        <f aca="false">IFERROR(CJ76/CD76-1,"")</f>
        <v>0.0486091719471593</v>
      </c>
      <c r="CK163" s="29" t="n">
        <f aca="false">IFERROR(CK76/CE76-1,"")</f>
        <v>-0.0622981887649773</v>
      </c>
      <c r="CL163" s="29" t="n">
        <f aca="false">IFERROR(CL76/CF76-1,"")</f>
        <v>-0.0075631855582472</v>
      </c>
      <c r="CM163" s="29" t="n">
        <f aca="false">IFERROR(CM76/CG76-1,"")</f>
        <v>0.0368155258235599</v>
      </c>
      <c r="CN163" s="29" t="n">
        <f aca="false">IFERROR(CN76/CH76-1,"")</f>
        <v>-0.0554600779254409</v>
      </c>
      <c r="CO163" s="29" t="n">
        <f aca="false">IFERROR(CO76/CI76-1,"")</f>
        <v>-0.0075179447172683</v>
      </c>
      <c r="CP163" s="30" t="n">
        <f aca="false">IFERROR(CP76/CO76-1,"")</f>
        <v>0.0481294242829886</v>
      </c>
      <c r="CQ163" s="30" t="n">
        <f aca="false">IFERROR(CQ76/CP76-1,"")</f>
        <v>0.0605896931313463</v>
      </c>
      <c r="CR163" s="30" t="n">
        <f aca="false">IFERROR(CR76/CQ76-1,"")</f>
        <v>0.064153375366919</v>
      </c>
      <c r="CS163" s="30" t="n">
        <f aca="false">IFERROR(CS76/CR76-1,"")</f>
        <v>0.0634541656585526</v>
      </c>
      <c r="CT163" s="30" t="n">
        <f aca="false">IFERROR(CT76/CS76-1,"")</f>
        <v>0.063520285924149</v>
      </c>
      <c r="CU163" s="24"/>
      <c r="CW163" s="6"/>
      <c r="CX163" s="6"/>
      <c r="CY163" s="6"/>
      <c r="CZ163" s="6"/>
    </row>
    <row r="164" customFormat="false" ht="15" hidden="false" customHeight="false" outlineLevel="0" collapsed="false">
      <c r="B164" s="28" t="s">
        <v>169</v>
      </c>
      <c r="C164" s="29"/>
      <c r="D164" s="29" t="n">
        <f aca="false">IFERROR(D58/C58-1,"")</f>
        <v>0.217306487153051</v>
      </c>
      <c r="E164" s="29" t="n">
        <f aca="false">IFERROR(E58/D58-1,"")</f>
        <v>0.182823644682106</v>
      </c>
      <c r="F164" s="29" t="n">
        <f aca="false">IFERROR(F58/E58-1,"")</f>
        <v>-0.0604909758443259</v>
      </c>
      <c r="G164" s="29" t="n">
        <f aca="false">IFERROR(G58/F58-1,"")</f>
        <v>0.0563384491235417</v>
      </c>
      <c r="H164" s="29" t="n">
        <f aca="false">IFERROR(H58/G58-1,"")</f>
        <v>0.107544527282244</v>
      </c>
      <c r="I164" s="29" t="n">
        <f aca="false">IFERROR(I58/H58-1,"")</f>
        <v>0.0768019772892747</v>
      </c>
      <c r="J164" s="29"/>
      <c r="K164" s="29"/>
      <c r="L164" s="29"/>
      <c r="M164" s="29"/>
      <c r="N164" s="29"/>
      <c r="O164" s="29" t="n">
        <f aca="false">IFERROR(O58/I58-1,"")</f>
        <v>0.000797059947000633</v>
      </c>
      <c r="P164" s="29" t="n">
        <f aca="false">IFERROR(P58/J58-1,"")</f>
        <v>-0.0692381160604352</v>
      </c>
      <c r="Q164" s="29" t="n">
        <f aca="false">IFERROR(Q58/K58-1,"")</f>
        <v>0.0973299541765862</v>
      </c>
      <c r="R164" s="29" t="n">
        <f aca="false">IFERROR(R58/L58-1,"")</f>
        <v>0.00961649164692258</v>
      </c>
      <c r="S164" s="29" t="n">
        <f aca="false">IFERROR(S58/M58-1,"")</f>
        <v>0.125900268976068</v>
      </c>
      <c r="T164" s="29" t="n">
        <f aca="false">IFERROR(T58/N58-1,"")</f>
        <v>0.13056026734854</v>
      </c>
      <c r="U164" s="29" t="n">
        <f aca="false">IFERROR(U58/O58-1,"")</f>
        <v>0.0701271842786517</v>
      </c>
      <c r="V164" s="29" t="n">
        <f aca="false">IFERROR(V58/P58-1,"")</f>
        <v>0.211099572237471</v>
      </c>
      <c r="W164" s="29" t="n">
        <f aca="false">IFERROR(W58/Q58-1,"")</f>
        <v>0.11989968505774</v>
      </c>
      <c r="X164" s="29" t="n">
        <f aca="false">IFERROR(X58/R58-1,"")</f>
        <v>0.164173908868296</v>
      </c>
      <c r="Y164" s="29" t="n">
        <f aca="false">IFERROR(Y58/S58-1,"")</f>
        <v>0.00902921664417322</v>
      </c>
      <c r="Z164" s="29" t="n">
        <f aca="false">IFERROR(Z58/T58-1,"")</f>
        <v>0.101853885183944</v>
      </c>
      <c r="AA164" s="29" t="n">
        <f aca="false">IFERROR(AA58/U58-1,"")</f>
        <v>0.098756971835402</v>
      </c>
      <c r="AB164" s="29" t="n">
        <f aca="false">IFERROR(AB58/V58-1,"")</f>
        <v>7.34327782190292E-005</v>
      </c>
      <c r="AC164" s="29" t="n">
        <f aca="false">IFERROR(AC58/W58-1,"")</f>
        <v>0.0684451961660844</v>
      </c>
      <c r="AD164" s="29" t="n">
        <f aca="false">IFERROR(AD58/X58-1,"")</f>
        <v>0.0339152878646014</v>
      </c>
      <c r="AE164" s="29" t="n">
        <f aca="false">IFERROR(AE58/Y58-1,"")</f>
        <v>0.272542724524806</v>
      </c>
      <c r="AF164" s="29" t="n">
        <f aca="false">IFERROR(AF58/Z58-1,"")</f>
        <v>0.215013282319437</v>
      </c>
      <c r="AG164" s="29" t="n">
        <f aca="false">IFERROR(AG58/AA58-1,"")</f>
        <v>0.156318749346599</v>
      </c>
      <c r="AH164" s="29" t="n">
        <f aca="false">IFERROR(AH58/AB58-1,"")</f>
        <v>0.261704753418983</v>
      </c>
      <c r="AI164" s="29" t="n">
        <f aca="false">IFERROR(AI58/AC58-1,"")</f>
        <v>0.223051889140568</v>
      </c>
      <c r="AJ164" s="29" t="n">
        <f aca="false">IFERROR(AJ58/AD58-1,"")</f>
        <v>0.241933857219031</v>
      </c>
      <c r="AK164" s="29" t="n">
        <f aca="false">IFERROR(AK58/AE58-1,"")</f>
        <v>0.106843885392827</v>
      </c>
      <c r="AL164" s="29" t="n">
        <f aca="false">IFERROR(AL58/AF58-1,"")</f>
        <v>0.222359694459111</v>
      </c>
      <c r="AM164" s="29" t="n">
        <f aca="false">IFERROR(AM58/AG58-1,"")</f>
        <v>0.187253122507058</v>
      </c>
      <c r="AN164" s="29" t="n">
        <f aca="false">IFERROR(AN58/AH58-1,"")</f>
        <v>0.132228439475345</v>
      </c>
      <c r="AO164" s="29" t="n">
        <f aca="false">IFERROR(AO58/AI58-1,"")</f>
        <v>0.346409836497353</v>
      </c>
      <c r="AP164" s="29" t="n">
        <f aca="false">IFERROR(AP58/AJ58-1,"")</f>
        <v>0.240116363651692</v>
      </c>
      <c r="AQ164" s="29" t="n">
        <f aca="false">IFERROR(AQ58/AK58-1,"")</f>
        <v>0.281094610122067</v>
      </c>
      <c r="AR164" s="29" t="n">
        <f aca="false">IFERROR(AR58/AL58-1,"")</f>
        <v>0.198629561020686</v>
      </c>
      <c r="AS164" s="29" t="n">
        <f aca="false">IFERROR(AS58/AM58-1,"")</f>
        <v>0.240368426611405</v>
      </c>
      <c r="AT164" s="29" t="n">
        <f aca="false">IFERROR(AT58/AN58-1,"")</f>
        <v>0.242475170421332</v>
      </c>
      <c r="AU164" s="29" t="n">
        <f aca="false">IFERROR(AU58/AO58-1,"")</f>
        <v>0.111250196991777</v>
      </c>
      <c r="AV164" s="29" t="n">
        <f aca="false">IFERROR(AV58/AP58-1,"")</f>
        <v>0.170708562221616</v>
      </c>
      <c r="AW164" s="29" t="n">
        <f aca="false">IFERROR(AW58/AQ58-1,"")</f>
        <v>0.211998201694918</v>
      </c>
      <c r="AX164" s="29" t="n">
        <f aca="false">IFERROR(AX58/AR58-1,"")</f>
        <v>0.222747639648617</v>
      </c>
      <c r="AY164" s="29" t="n">
        <f aca="false">IFERROR(AY58/AS58-1,"")</f>
        <v>0.195789052496097</v>
      </c>
      <c r="AZ164" s="29" t="n">
        <f aca="false">IFERROR(AZ58/AT58-1,"")</f>
        <v>0.337623500454321</v>
      </c>
      <c r="BA164" s="29" t="n">
        <f aca="false">IFERROR(BA58/AU58-1,"")</f>
        <v>0.242659071214467</v>
      </c>
      <c r="BB164" s="29" t="n">
        <f aca="false">IFERROR(BB58/AV58-1,"")</f>
        <v>0.288325427128636</v>
      </c>
      <c r="BC164" s="29" t="n">
        <f aca="false">IFERROR(BC58/AW58-1,"")</f>
        <v>-0.0376322087602709</v>
      </c>
      <c r="BD164" s="29" t="n">
        <f aca="false">IFERROR(BD58/AX58-1,"")</f>
        <v>0.0910314585200673</v>
      </c>
      <c r="BE164" s="29" t="n">
        <f aca="false">IFERROR(BE58/AY58-1,"")</f>
        <v>0.142351242940813</v>
      </c>
      <c r="BF164" s="29" t="n">
        <f aca="false">IFERROR(BF58/AZ58-1,"")</f>
        <v>0.207236644109478</v>
      </c>
      <c r="BG164" s="29" t="n">
        <f aca="false">IFERROR(BG58/BA58-1,"")</f>
        <v>0.237616391062538</v>
      </c>
      <c r="BH164" s="29" t="n">
        <f aca="false">IFERROR(BH58/BB58-1,"")</f>
        <v>0.222448407172981</v>
      </c>
      <c r="BI164" s="29" t="n">
        <f aca="false">IFERROR(BI58/BC58-1,"")</f>
        <v>0.614963920163385</v>
      </c>
      <c r="BJ164" s="29" t="n">
        <f aca="false">IFERROR(BJ58/BD58-1,"")</f>
        <v>0.443450008058501</v>
      </c>
      <c r="BK164" s="29" t="n">
        <f aca="false">IFERROR(BK58/BE58-1,"")</f>
        <v>0.373423993435954</v>
      </c>
      <c r="BL164" s="29" t="n">
        <f aca="false">IFERROR(BL58/BF58-1,"")</f>
        <v>0.291660137608798</v>
      </c>
      <c r="BM164" s="29" t="n">
        <f aca="false">IFERROR(BM58/BG58-1,"")</f>
        <v>0.31555320011223</v>
      </c>
      <c r="BN164" s="29" t="n">
        <f aca="false">IFERROR(BN58/BH58-1,"")</f>
        <v>0.303772329228483</v>
      </c>
      <c r="BO164" s="29" t="n">
        <f aca="false">IFERROR(BO58/BI58-1,"")</f>
        <v>0.156903987932097</v>
      </c>
      <c r="BP164" s="29" t="n">
        <f aca="false">IFERROR(BP58/BJ58-1,"")</f>
        <v>0.0648316858293576</v>
      </c>
      <c r="BQ164" s="29" t="n">
        <f aca="false">IFERROR(BQ58/BK58-1,"")</f>
        <v>0.198388974726561</v>
      </c>
      <c r="BR164" s="29" t="n">
        <f aca="false">IFERROR(BR58/BL58-1,"")</f>
        <v>-0.0412304621263711</v>
      </c>
      <c r="BS164" s="29" t="n">
        <f aca="false">IFERROR(BS58/BM58-1,"")</f>
        <v>0.0559412940275046</v>
      </c>
      <c r="BT164" s="29" t="n">
        <f aca="false">IFERROR(BT58/BN58-1,"")</f>
        <v>0.00847425668431967</v>
      </c>
      <c r="BU164" s="29" t="n">
        <f aca="false">IFERROR(BU58/BO58-1,"")</f>
        <v>0.101703454817805</v>
      </c>
      <c r="BV164" s="29" t="n">
        <f aca="false">IFERROR(BV58/BP58-1,"")</f>
        <v>0.222604226983208</v>
      </c>
      <c r="BW164" s="29" t="n">
        <f aca="false">IFERROR(BW58/BQ58-1,"")</f>
        <v>0.0847187706663659</v>
      </c>
      <c r="BX164" s="29" t="n">
        <f aca="false">IFERROR(BX58/BR58-1,"")</f>
        <v>0.249408320608272</v>
      </c>
      <c r="BY164" s="29" t="n">
        <f aca="false">IFERROR(BY58/BS58-1,"")</f>
        <v>0.0524191034742432</v>
      </c>
      <c r="BZ164" s="29" t="n">
        <f aca="false">IFERROR(BZ58/BT58-1,"")</f>
        <v>0.143902849450303</v>
      </c>
      <c r="CA164" s="29" t="n">
        <f aca="false">IFERROR(CA58/BU58-1,"")</f>
        <v>0.0580618929690406</v>
      </c>
      <c r="CB164" s="29" t="n">
        <f aca="false">IFERROR(CB58/BV58-1,"")</f>
        <v>-0.0538345412690497</v>
      </c>
      <c r="CC164" s="29" t="n">
        <f aca="false">IFERROR(CC58/BW58-1,"")</f>
        <v>0.0672446625296297</v>
      </c>
      <c r="CD164" s="29" t="n">
        <f aca="false">IFERROR(CD58/BX58-1,"")</f>
        <v>0.0573805205446663</v>
      </c>
      <c r="CE164" s="29" t="n">
        <f aca="false">IFERROR(CE58/BY58-1,"")</f>
        <v>0.128996182998112</v>
      </c>
      <c r="CF164" s="29" t="n">
        <f aca="false">IFERROR(CF58/BZ58-1,"")</f>
        <v>0.0926695830954536</v>
      </c>
      <c r="CG164" s="29" t="n">
        <f aca="false">IFERROR(CG58/CA58-1,"")</f>
        <v>0.0571628783441935</v>
      </c>
      <c r="CH164" s="29" t="n">
        <f aca="false">IFERROR(CH58/CB58-1,"")</f>
        <v>0.160371183242848</v>
      </c>
      <c r="CI164" s="29" t="n">
        <f aca="false">IFERROR(CI58/CC58-1,"")</f>
        <v>0.0988418077329185</v>
      </c>
      <c r="CJ164" s="29" t="n">
        <f aca="false">IFERROR(CJ58/CD58-1,"")</f>
        <v>0.0615196409213799</v>
      </c>
      <c r="CK164" s="29" t="n">
        <f aca="false">IFERROR(CK58/CE58-1,"")</f>
        <v>-0.0630720058425658</v>
      </c>
      <c r="CL164" s="29" t="n">
        <f aca="false">IFERROR(CL58/CF58-1,"")</f>
        <v>-0.00191473243430629</v>
      </c>
      <c r="CM164" s="29" t="n">
        <f aca="false">IFERROR(CM58/CG58-1,"")</f>
        <v>0.0152008770633927</v>
      </c>
      <c r="CN164" s="29" t="n">
        <f aca="false">IFERROR(CN58/CH58-1,"")</f>
        <v>-0.116393184231484</v>
      </c>
      <c r="CO164" s="29" t="n">
        <f aca="false">IFERROR(CO58/CI58-1,"")</f>
        <v>-0.0259215811885095</v>
      </c>
      <c r="CP164" s="30" t="n">
        <f aca="false">IFERROR(CP58/CO58-1,"")</f>
        <v>0.038395045438681</v>
      </c>
      <c r="CQ164" s="30" t="n">
        <f aca="false">IFERROR(CQ58/CP58-1,"")</f>
        <v>0.0719171323949861</v>
      </c>
      <c r="CR164" s="30" t="n">
        <f aca="false">IFERROR(CR58/CQ58-1,"")</f>
        <v>0.0749818930643018</v>
      </c>
      <c r="CS164" s="30" t="n">
        <f aca="false">IFERROR(CS58/CR58-1,"")</f>
        <v>0.0742345529101822</v>
      </c>
      <c r="CT164" s="30" t="n">
        <f aca="false">IFERROR(CT58/CS58-1,"")</f>
        <v>0.074176305087281</v>
      </c>
      <c r="CU164" s="24"/>
      <c r="CW164" s="6"/>
      <c r="CX164" s="6"/>
      <c r="CY164" s="6"/>
      <c r="CZ164" s="6"/>
    </row>
    <row r="165" customFormat="false" ht="15" hidden="false" customHeight="false" outlineLevel="0" collapsed="false">
      <c r="B165" s="28" t="s">
        <v>294</v>
      </c>
      <c r="C165" s="29"/>
      <c r="D165" s="29" t="n">
        <f aca="false">IFERROR(D81/C81-1,"")</f>
        <v>0.184090882596379</v>
      </c>
      <c r="E165" s="29" t="n">
        <f aca="false">IFERROR(E81/D81-1,"")</f>
        <v>0.17116837726747</v>
      </c>
      <c r="F165" s="29" t="n">
        <f aca="false">IFERROR(F81/E81-1,"")</f>
        <v>-0.0529260204188859</v>
      </c>
      <c r="G165" s="29" t="n">
        <f aca="false">IFERROR(G81/F81-1,"")</f>
        <v>0.0610007766559419</v>
      </c>
      <c r="H165" s="29" t="n">
        <f aca="false">IFERROR(H81/G81-1,"")</f>
        <v>0.10967499058853</v>
      </c>
      <c r="I165" s="29" t="n">
        <f aca="false">IFERROR(I81/H81-1,"")</f>
        <v>0.0793961325342083</v>
      </c>
      <c r="J165" s="29"/>
      <c r="K165" s="29"/>
      <c r="L165" s="29"/>
      <c r="M165" s="29"/>
      <c r="N165" s="29"/>
      <c r="O165" s="29" t="n">
        <f aca="false">IFERROR(O81/I81-1,"")</f>
        <v>-0.0117372613522474</v>
      </c>
      <c r="P165" s="29" t="n">
        <f aca="false">IFERROR(P81/J81-1,"")</f>
        <v>-0.12639025243084</v>
      </c>
      <c r="Q165" s="29" t="n">
        <f aca="false">IFERROR(Q81/K81-1,"")</f>
        <v>0.138824279114226</v>
      </c>
      <c r="R165" s="29" t="n">
        <f aca="false">IFERROR(R81/L81-1,"")</f>
        <v>-0.00498807674637403</v>
      </c>
      <c r="S165" s="29" t="n">
        <f aca="false">IFERROR(S81/M81-1,"")</f>
        <v>-0.24368154758311</v>
      </c>
      <c r="T165" s="29" t="n">
        <f aca="false">IFERROR(T81/N81-1,"")</f>
        <v>0.203102201357609</v>
      </c>
      <c r="U165" s="29" t="n">
        <f aca="false">IFERROR(U81/O81-1,"")</f>
        <v>-0.0284743031605129</v>
      </c>
      <c r="V165" s="29" t="n">
        <f aca="false">IFERROR(V81/P81-1,"")</f>
        <v>0.268507828014595</v>
      </c>
      <c r="W165" s="29" t="n">
        <f aca="false">IFERROR(W81/Q81-1,"")</f>
        <v>0.125678473504562</v>
      </c>
      <c r="X165" s="29" t="n">
        <f aca="false">IFERROR(X81/R81-1,"")</f>
        <v>0.193677946102035</v>
      </c>
      <c r="Y165" s="29" t="n">
        <f aca="false">IFERROR(Y81/S81-1,"")</f>
        <v>0.513052224865487</v>
      </c>
      <c r="Z165" s="29" t="n">
        <f aca="false">IFERROR(Z81/T81-1,"")</f>
        <v>0.143781802842153</v>
      </c>
      <c r="AA165" s="29" t="n">
        <f aca="false">IFERROR(AA81/U81-1,"")</f>
        <v>0.252667913026399</v>
      </c>
      <c r="AB165" s="29" t="n">
        <f aca="false">IFERROR(AB81/V81-1,"")</f>
        <v>0.0466620550721475</v>
      </c>
      <c r="AC165" s="29" t="n">
        <f aca="false">IFERROR(AC81/W81-1,"")</f>
        <v>0.144367947507082</v>
      </c>
      <c r="AD165" s="29" t="n">
        <f aca="false">IFERROR(AD81/X81-1,"")</f>
        <v>0.0949351933148726</v>
      </c>
      <c r="AE165" s="29" t="n">
        <f aca="false">IFERROR(AE81/Y81-1,"")</f>
        <v>0.286819251427184</v>
      </c>
      <c r="AF165" s="29" t="n">
        <f aca="false">IFERROR(AF81/Z81-1,"")</f>
        <v>0.223892122399585</v>
      </c>
      <c r="AG165" s="29" t="n">
        <f aca="false">IFERROR(AG81/AA81-1,"")</f>
        <v>0.180223053940028</v>
      </c>
      <c r="AH165" s="29" t="n">
        <f aca="false">IFERROR(AH81/AB81-1,"")</f>
        <v>0.215407091343366</v>
      </c>
      <c r="AI165" s="29" t="n">
        <f aca="false">IFERROR(AI81/AC81-1,"")</f>
        <v>0.182385839170333</v>
      </c>
      <c r="AJ165" s="29" t="n">
        <f aca="false">IFERROR(AJ81/AD81-1,"")</f>
        <v>0.198355866338438</v>
      </c>
      <c r="AK165" s="29" t="n">
        <f aca="false">IFERROR(AK81/AE81-1,"")</f>
        <v>0.121691212648014</v>
      </c>
      <c r="AL165" s="29" t="n">
        <f aca="false">IFERROR(AL81/AF81-1,"")</f>
        <v>0.0434688438756585</v>
      </c>
      <c r="AM165" s="29" t="n">
        <f aca="false">IFERROR(AM81/AG81-1,"")</f>
        <v>0.134890643835954</v>
      </c>
      <c r="AN165" s="29" t="n">
        <f aca="false">IFERROR(AN81/AH81-1,"")</f>
        <v>0.182381897275433</v>
      </c>
      <c r="AO165" s="29" t="n">
        <f aca="false">IFERROR(AO81/AI81-1,"")</f>
        <v>0.38636113152094</v>
      </c>
      <c r="AP165" s="29" t="n">
        <f aca="false">IFERROR(AP81/AJ81-1,"")</f>
        <v>0.28630722869015</v>
      </c>
      <c r="AQ165" s="29" t="n">
        <f aca="false">IFERROR(AQ81/AK81-1,"")</f>
        <v>0.276566657893967</v>
      </c>
      <c r="AR165" s="29" t="n">
        <f aca="false">IFERROR(AR81/AL81-1,"")</f>
        <v>0.216863555551545</v>
      </c>
      <c r="AS165" s="29" t="n">
        <f aca="false">IFERROR(AS81/AM81-1,"")</f>
        <v>0.266738059263081</v>
      </c>
      <c r="AT165" s="29" t="n">
        <f aca="false">IFERROR(AT81/AN81-1,"")</f>
        <v>0.221861838601927</v>
      </c>
      <c r="AU165" s="29" t="n">
        <f aca="false">IFERROR(AU81/AO81-1,"")</f>
        <v>0.091369818545582</v>
      </c>
      <c r="AV165" s="29" t="n">
        <f aca="false">IFERROR(AV81/AP81-1,"")</f>
        <v>0.150206083182667</v>
      </c>
      <c r="AW165" s="29" t="n">
        <f aca="false">IFERROR(AW81/AQ81-1,"")</f>
        <v>0.188267027070365</v>
      </c>
      <c r="AX165" s="29" t="n">
        <f aca="false">IFERROR(AX81/AR81-1,"")</f>
        <v>0.429889422042911</v>
      </c>
      <c r="AY165" s="29" t="n">
        <f aca="false">IFERROR(AY81/AS81-1,"")</f>
        <v>0.226116420949953</v>
      </c>
      <c r="AZ165" s="29" t="n">
        <f aca="false">IFERROR(AZ81/AT81-1,"")</f>
        <v>0.356253301637612</v>
      </c>
      <c r="BA165" s="29" t="n">
        <f aca="false">IFERROR(BA81/AU81-1,"")</f>
        <v>0.27408810299929</v>
      </c>
      <c r="BB165" s="29" t="n">
        <f aca="false">IFERROR(BB81/AV81-1,"")</f>
        <v>0.31344270176071</v>
      </c>
      <c r="BC165" s="29" t="n">
        <f aca="false">IFERROR(BC81/AW81-1,"")</f>
        <v>-0.0597270282514194</v>
      </c>
      <c r="BD165" s="29" t="n">
        <f aca="false">IFERROR(BD81/AX81-1,"")</f>
        <v>0.0669754463127974</v>
      </c>
      <c r="BE165" s="29" t="n">
        <f aca="false">IFERROR(BE81/AY81-1,"")</f>
        <v>0.139047419658746</v>
      </c>
      <c r="BF165" s="29" t="n">
        <f aca="false">IFERROR(BF81/AZ81-1,"")</f>
        <v>0.210345146574095</v>
      </c>
      <c r="BG165" s="29" t="n">
        <f aca="false">IFERROR(BG81/BA81-1,"")</f>
        <v>0.230256512873287</v>
      </c>
      <c r="BH165" s="29" t="n">
        <f aca="false">IFERROR(BH81/BB81-1,"")</f>
        <v>0.220408733321615</v>
      </c>
      <c r="BI165" s="29" t="n">
        <f aca="false">IFERROR(BI81/BC81-1,"")</f>
        <v>0.681749452847499</v>
      </c>
      <c r="BJ165" s="29" t="n">
        <f aca="false">IFERROR(BJ81/BD81-1,"")</f>
        <v>0.465619911041976</v>
      </c>
      <c r="BK165" s="29" t="n">
        <f aca="false">IFERROR(BK81/BE81-1,"")</f>
        <v>0.392509977343435</v>
      </c>
      <c r="BL165" s="29" t="n">
        <f aca="false">IFERROR(BL81/BF81-1,"")</f>
        <v>0.327952404321906</v>
      </c>
      <c r="BM165" s="29" t="n">
        <f aca="false">IFERROR(BM81/BG81-1,"")</f>
        <v>0.345080376886466</v>
      </c>
      <c r="BN165" s="29" t="n">
        <f aca="false">IFERROR(BN81/BH81-1,"")</f>
        <v>0.33667906435287</v>
      </c>
      <c r="BO165" s="29" t="n">
        <f aca="false">IFERROR(BO81/BI81-1,"")</f>
        <v>0.136063710146871</v>
      </c>
      <c r="BP165" s="29" t="n">
        <f aca="false">IFERROR(BP81/BJ81-1,"")</f>
        <v>0.0772570480928689</v>
      </c>
      <c r="BQ165" s="29" t="n">
        <f aca="false">IFERROR(BQ81/BK81-1,"")</f>
        <v>0.20993095898897</v>
      </c>
      <c r="BR165" s="29" t="n">
        <f aca="false">IFERROR(BR81/BL81-1,"")</f>
        <v>-0.0563975027338457</v>
      </c>
      <c r="BS165" s="29" t="n">
        <f aca="false">IFERROR(BS81/BM81-1,"")</f>
        <v>0.0523913994840612</v>
      </c>
      <c r="BT165" s="29" t="n">
        <f aca="false">IFERROR(BT81/BN81-1,"")</f>
        <v>-0.00062144899468386</v>
      </c>
      <c r="BU165" s="29" t="n">
        <f aca="false">IFERROR(BU81/BO81-1,"")</f>
        <v>0.123858834891551</v>
      </c>
      <c r="BV165" s="29" t="n">
        <f aca="false">IFERROR(BV81/BP81-1,"")</f>
        <v>0.202664466290837</v>
      </c>
      <c r="BW165" s="29" t="n">
        <f aca="false">IFERROR(BW81/BQ81-1,"")</f>
        <v>0.081143449767527</v>
      </c>
      <c r="BX165" s="29" t="n">
        <f aca="false">IFERROR(BX81/BR81-1,"")</f>
        <v>0.269252623570238</v>
      </c>
      <c r="BY165" s="29" t="n">
        <f aca="false">IFERROR(BY81/BS81-1,"")</f>
        <v>0.0393269954175504</v>
      </c>
      <c r="BZ165" s="29" t="n">
        <f aca="false">IFERROR(BZ81/BT81-1,"")</f>
        <v>0.145116597836426</v>
      </c>
      <c r="CA165" s="29" t="n">
        <f aca="false">IFERROR(CA81/BU81-1,"")</f>
        <v>0.0436332127068395</v>
      </c>
      <c r="CB165" s="29" t="n">
        <f aca="false">IFERROR(CB81/BV81-1,"")</f>
        <v>-0.0795485091534671</v>
      </c>
      <c r="CC165" s="29" t="n">
        <f aca="false">IFERROR(CC81/BW81-1,"")</f>
        <v>0.0574840454765306</v>
      </c>
      <c r="CD165" s="29" t="n">
        <f aca="false">IFERROR(CD81/BX81-1,"")</f>
        <v>0.0277988547610375</v>
      </c>
      <c r="CE165" s="29" t="n">
        <f aca="false">IFERROR(CE81/BY81-1,"")</f>
        <v>0.121903132403264</v>
      </c>
      <c r="CF165" s="29" t="n">
        <f aca="false">IFERROR(CF81/BZ81-1,"")</f>
        <v>0.0739117423988358</v>
      </c>
      <c r="CG165" s="29" t="n">
        <f aca="false">IFERROR(CG81/CA81-1,"")</f>
        <v>0.03280398350423</v>
      </c>
      <c r="CH165" s="29" t="n">
        <f aca="false">IFERROR(CH81/CB81-1,"")</f>
        <v>0.14753966134882</v>
      </c>
      <c r="CI165" s="29" t="n">
        <f aca="false">IFERROR(CI81/CC81-1,"")</f>
        <v>0.0793188140377075</v>
      </c>
      <c r="CJ165" s="29" t="n">
        <f aca="false">IFERROR(CJ81/CD81-1,"")</f>
        <v>0.059864605147564</v>
      </c>
      <c r="CK165" s="29" t="n">
        <f aca="false">IFERROR(CK81/CE81-1,"")</f>
        <v>-0.0879869360481078</v>
      </c>
      <c r="CL165" s="29" t="n">
        <f aca="false">IFERROR(CL81/CF81-1,"")</f>
        <v>-0.0158231420959956</v>
      </c>
      <c r="CM165" s="29" t="n">
        <f aca="false">IFERROR(CM81/CG81-1,"")</f>
        <v>0.0282075983567529</v>
      </c>
      <c r="CN165" s="29" t="n">
        <f aca="false">IFERROR(CN81/CH81-1,"")</f>
        <v>-0.105884520021038</v>
      </c>
      <c r="CO165" s="29" t="n">
        <f aca="false">IFERROR(CO81/CI81-1,"")</f>
        <v>-0.026005561337974</v>
      </c>
      <c r="CP165" s="30" t="n">
        <f aca="false">IFERROR(CP81/CO81-1,"")</f>
        <v>0.0349602813916337</v>
      </c>
      <c r="CQ165" s="30" t="n">
        <f aca="false">IFERROR(CQ81/CP81-1,"")</f>
        <v>0.0738076388013265</v>
      </c>
      <c r="CR165" s="30" t="n">
        <f aca="false">IFERROR(CR81/CQ81-1,"")</f>
        <v>0.0768283064841993</v>
      </c>
      <c r="CS165" s="30" t="n">
        <f aca="false">IFERROR(CS81/CR81-1,"")</f>
        <v>0.0760321341566852</v>
      </c>
      <c r="CT165" s="30" t="n">
        <f aca="false">IFERROR(CT81/CS81-1,"")</f>
        <v>0.075928060314103</v>
      </c>
      <c r="CU165" s="24"/>
      <c r="CW165" s="6"/>
      <c r="CX165" s="6"/>
      <c r="CY165" s="6"/>
      <c r="CZ165" s="6"/>
    </row>
    <row r="166" customFormat="false" ht="15" hidden="false" customHeight="false" outlineLevel="0" collapsed="false">
      <c r="B166" s="28" t="s">
        <v>295</v>
      </c>
      <c r="C166" s="29"/>
      <c r="D166" s="29" t="n">
        <f aca="false">IFERROR(D93/C93-1,"")</f>
        <v>0.406314790555664</v>
      </c>
      <c r="E166" s="29" t="n">
        <f aca="false">IFERROR(E93/D93-1,"")</f>
        <v>0.15105106426675</v>
      </c>
      <c r="F166" s="29" t="n">
        <f aca="false">IFERROR(F93/E93-1,"")</f>
        <v>-0.100865342951088</v>
      </c>
      <c r="G166" s="29" t="n">
        <f aca="false">IFERROR(G93/F93-1,"")</f>
        <v>0.0745838146602138</v>
      </c>
      <c r="H166" s="29" t="n">
        <f aca="false">IFERROR(H93/G93-1,"")</f>
        <v>0.0972649989777541</v>
      </c>
      <c r="I166" s="29" t="n">
        <f aca="false">IFERROR(I93/H93-1,"")</f>
        <v>0.0946296018031561</v>
      </c>
      <c r="J166" s="29"/>
      <c r="K166" s="29"/>
      <c r="L166" s="29"/>
      <c r="M166" s="29"/>
      <c r="N166" s="29"/>
      <c r="O166" s="29" t="n">
        <f aca="false">IFERROR(O93/I93-1,"")</f>
        <v>-0.0114979765977197</v>
      </c>
      <c r="P166" s="29" t="n">
        <f aca="false">IFERROR(P93/J93-1,"")</f>
        <v>-0.0964772603337332</v>
      </c>
      <c r="Q166" s="29" t="n">
        <f aca="false">IFERROR(Q93/K93-1,"")</f>
        <v>0.143920282542885</v>
      </c>
      <c r="R166" s="29" t="n">
        <f aca="false">IFERROR(R93/L93-1,"")</f>
        <v>0.0149967830613553</v>
      </c>
      <c r="S166" s="29" t="n">
        <f aca="false">IFERROR(S93/M93-1,"")</f>
        <v>-0.232154932752274</v>
      </c>
      <c r="T166" s="29" t="n">
        <f aca="false">IFERROR(T93/N93-1,"")</f>
        <v>0.235788301375168</v>
      </c>
      <c r="U166" s="29" t="n">
        <f aca="false">IFERROR(U93/O93-1,"")</f>
        <v>-0.00743230106929571</v>
      </c>
      <c r="V166" s="29" t="n">
        <f aca="false">IFERROR(V93/P93-1,"")</f>
        <v>0.270218724349381</v>
      </c>
      <c r="W166" s="29" t="n">
        <f aca="false">IFERROR(W93/Q93-1,"")</f>
        <v>0.15101995809902</v>
      </c>
      <c r="X166" s="29" t="n">
        <f aca="false">IFERROR(X93/R93-1,"")</f>
        <v>0.207924671822237</v>
      </c>
      <c r="Y166" s="29" t="n">
        <f aca="false">IFERROR(Y93/S93-1,"")</f>
        <v>0.40820021038726</v>
      </c>
      <c r="Z166" s="29" t="n">
        <f aca="false">IFERROR(Z93/T93-1,"")</f>
        <v>0.124777148678566</v>
      </c>
      <c r="AA166" s="29" t="n">
        <f aca="false">IFERROR(AA93/U93-1,"")</f>
        <v>0.229988751280172</v>
      </c>
      <c r="AB166" s="29" t="n">
        <f aca="false">IFERROR(AB93/V93-1,"")</f>
        <v>-9.50299344288919E-005</v>
      </c>
      <c r="AC166" s="29" t="n">
        <f aca="false">IFERROR(AC93/W93-1,"")</f>
        <v>0.130553905696164</v>
      </c>
      <c r="AD166" s="29" t="n">
        <f aca="false">IFERROR(AD93/X93-1,"")</f>
        <v>0.0649664147774975</v>
      </c>
      <c r="AE166" s="29" t="n">
        <f aca="false">IFERROR(AE93/Y93-1,"")</f>
        <v>0.296370932717196</v>
      </c>
      <c r="AF166" s="29" t="n">
        <f aca="false">IFERROR(AF93/Z93-1,"")</f>
        <v>0.465198913119208</v>
      </c>
      <c r="AG166" s="29" t="n">
        <f aca="false">IFERROR(AG93/AA93-1,"")</f>
        <v>0.230122438951146</v>
      </c>
      <c r="AH166" s="29" t="n">
        <f aca="false">IFERROR(AH93/AB93-1,"")</f>
        <v>2.17962364569473</v>
      </c>
      <c r="AI166" s="29" t="n">
        <f aca="false">IFERROR(AI93/AC93-1,"")</f>
        <v>0.11962987442168</v>
      </c>
      <c r="AJ166" s="29" t="n">
        <f aca="false">IFERROR(AJ93/AD93-1,"")</f>
        <v>1.0905955186038</v>
      </c>
      <c r="AK166" s="29" t="n">
        <f aca="false">IFERROR(AK93/AE93-1,"")</f>
        <v>0.213379253045308</v>
      </c>
      <c r="AL166" s="29" t="n">
        <f aca="false">IFERROR(AL93/AF93-1,"")</f>
        <v>-0.163873038516405</v>
      </c>
      <c r="AM166" s="29" t="n">
        <f aca="false">IFERROR(AM93/AG93-1,"")</f>
        <v>0.458155792276965</v>
      </c>
      <c r="AN166" s="29" t="n">
        <f aca="false">IFERROR(AN93/AH93-1,"")</f>
        <v>-0.536615255858441</v>
      </c>
      <c r="AO166" s="29" t="n">
        <f aca="false">IFERROR(AO93/AI93-1,"")</f>
        <v>0.562921926558289</v>
      </c>
      <c r="AP166" s="29" t="n">
        <f aca="false">IFERROR(AP93/AJ93-1,"")</f>
        <v>-0.225309197500707</v>
      </c>
      <c r="AQ166" s="29" t="n">
        <f aca="false">IFERROR(AQ93/AK93-1,"")</f>
        <v>0.406445342698738</v>
      </c>
      <c r="AR166" s="29" t="n">
        <f aca="false">IFERROR(AR93/AL93-1,"")</f>
        <v>0.560361128883202</v>
      </c>
      <c r="AS166" s="29" t="n">
        <f aca="false">IFERROR(AS93/AM93-1,"")</f>
        <v>0.0599654513769978</v>
      </c>
      <c r="AT166" s="29" t="n">
        <f aca="false">IFERROR(AT93/AN93-1,"")</f>
        <v>0.471753854092756</v>
      </c>
      <c r="AU166" s="29" t="n">
        <f aca="false">IFERROR(AU93/AO93-1,"")</f>
        <v>0.272303788641822</v>
      </c>
      <c r="AV166" s="29" t="n">
        <f aca="false">IFERROR(AV93/AP93-1,"")</f>
        <v>0.357828412743195</v>
      </c>
      <c r="AW166" s="29" t="n">
        <f aca="false">IFERROR(AW93/AQ93-1,"")</f>
        <v>0.513498445205265</v>
      </c>
      <c r="AX166" s="29" t="n">
        <f aca="false">IFERROR(AX93/AR93-1,"")</f>
        <v>0.398622298356234</v>
      </c>
      <c r="AY166" s="29" t="n">
        <f aca="false">IFERROR(AY93/AS93-1,"")</f>
        <v>0.415984033197167</v>
      </c>
      <c r="AZ166" s="29" t="n">
        <f aca="false">IFERROR(AZ93/AT93-1,"")</f>
        <v>0.912467238764759</v>
      </c>
      <c r="BA166" s="29" t="n">
        <f aca="false">IFERROR(BA93/AU93-1,"")</f>
        <v>0.284183203550197</v>
      </c>
      <c r="BB166" s="29" t="n">
        <f aca="false">IFERROR(BB93/AV93-1,"")</f>
        <v>0.57619695586989</v>
      </c>
      <c r="BC166" s="29" t="n">
        <f aca="false">IFERROR(BC93/AW93-1,"")</f>
        <v>-0.234791767190167</v>
      </c>
      <c r="BD166" s="29" t="n">
        <f aca="false">IFERROR(BD93/AX93-1,"")</f>
        <v>0.0784189816021261</v>
      </c>
      <c r="BE166" s="29" t="n">
        <f aca="false">IFERROR(BE93/AY93-1,"")</f>
        <v>0.182888761570612</v>
      </c>
      <c r="BF166" s="29" t="n">
        <f aca="false">IFERROR(BF93/AZ93-1,"")</f>
        <v>-0.0820194334952794</v>
      </c>
      <c r="BG166" s="29" t="n">
        <f aca="false">IFERROR(BG93/BA93-1,"")</f>
        <v>0.146603282614236</v>
      </c>
      <c r="BH166" s="29" t="n">
        <f aca="false">IFERROR(BH93/BB93-1,"")</f>
        <v>0.0176744113914404</v>
      </c>
      <c r="BI166" s="29" t="n">
        <f aca="false">IFERROR(BI93/BC93-1,"")</f>
        <v>0.944551045176863</v>
      </c>
      <c r="BJ166" s="29" t="n">
        <f aca="false">IFERROR(BJ93/BD93-1,"")</f>
        <v>0.546362356750618</v>
      </c>
      <c r="BK166" s="29" t="n">
        <f aca="false">IFERROR(BK93/BE93-1,"")</f>
        <v>0.338027766546127</v>
      </c>
      <c r="BL166" s="29" t="n">
        <f aca="false">IFERROR(BL93/BF93-1,"")</f>
        <v>0.29996255336146</v>
      </c>
      <c r="BM166" s="29" t="n">
        <f aca="false">IFERROR(BM93/BG93-1,"")</f>
        <v>0.485794044665013</v>
      </c>
      <c r="BN166" s="29" t="n">
        <f aca="false">IFERROR(BN93/BH93-1,"")</f>
        <v>0.391262937329354</v>
      </c>
      <c r="BO166" s="29" t="n">
        <f aca="false">IFERROR(BO93/BI93-1,"")</f>
        <v>-0.0285080684528375</v>
      </c>
      <c r="BP166" s="29" t="n">
        <f aca="false">IFERROR(BP93/BJ93-1,"")</f>
        <v>0.0303194855727531</v>
      </c>
      <c r="BQ166" s="29" t="n">
        <f aca="false">IFERROR(BQ93/BK93-1,"")</f>
        <v>0.164053198361977</v>
      </c>
      <c r="BR166" s="29" t="n">
        <f aca="false">IFERROR(BR93/BL93-1,"")</f>
        <v>-0.0557490887722137</v>
      </c>
      <c r="BS166" s="29" t="n">
        <f aca="false">IFERROR(BS93/BM93-1,"")</f>
        <v>0.0217979764240881</v>
      </c>
      <c r="BT166" s="29" t="n">
        <f aca="false">IFERROR(BT93/BN93-1,"")</f>
        <v>-0.0150609283008526</v>
      </c>
      <c r="BU166" s="29" t="n">
        <f aca="false">IFERROR(BU93/BO93-1,"")</f>
        <v>0.257738137965688</v>
      </c>
      <c r="BV166" s="29" t="n">
        <f aca="false">IFERROR(BV93/BP93-1,"")</f>
        <v>0.318691110394904</v>
      </c>
      <c r="BW166" s="29" t="n">
        <f aca="false">IFERROR(BW93/BQ93-1,"")</f>
        <v>0.135406786346583</v>
      </c>
      <c r="BX166" s="29" t="n">
        <f aca="false">IFERROR(BX93/BR93-1,"")</f>
        <v>0.35257150759819</v>
      </c>
      <c r="BY166" s="29" t="n">
        <f aca="false">IFERROR(BY93/BS93-1,"")</f>
        <v>0.108820234475291</v>
      </c>
      <c r="BZ166" s="29" t="n">
        <f aca="false">IFERROR(BZ93/BT93-1,"")</f>
        <v>0.21989157128956</v>
      </c>
      <c r="CA166" s="29" t="n">
        <f aca="false">IFERROR(CA93/BU93-1,"")</f>
        <v>0.0909166141123361</v>
      </c>
      <c r="CB166" s="29" t="n">
        <f aca="false">IFERROR(CB93/BV93-1,"")</f>
        <v>-0.0725103152809923</v>
      </c>
      <c r="CC166" s="29" t="n">
        <f aca="false">IFERROR(CC93/BW93-1,"")</f>
        <v>0.101215844025528</v>
      </c>
      <c r="CD166" s="29" t="n">
        <f aca="false">IFERROR(CD93/BX93-1,"")</f>
        <v>0.088892029820135</v>
      </c>
      <c r="CE166" s="29" t="n">
        <f aca="false">IFERROR(CE93/BY93-1,"")</f>
        <v>0.189675556988653</v>
      </c>
      <c r="CF166" s="29" t="n">
        <f aca="false">IFERROR(CF93/BZ93-1,"")</f>
        <v>0.138756111717176</v>
      </c>
      <c r="CG166" s="29" t="n">
        <f aca="false">IFERROR(CG93/CA93-1,"")</f>
        <v>0.0636112280958745</v>
      </c>
      <c r="CH166" s="29" t="n">
        <f aca="false">IFERROR(CH93/CB93-1,"")</f>
        <v>0.228749376098609</v>
      </c>
      <c r="CI166" s="29" t="n">
        <f aca="false">IFERROR(CI93/CC93-1,"")</f>
        <v>0.138977417792842</v>
      </c>
      <c r="CJ166" s="29" t="n">
        <f aca="false">IFERROR(CJ93/CD93-1,"")</f>
        <v>0.114967162497307</v>
      </c>
      <c r="CK166" s="29" t="n">
        <f aca="false">IFERROR(CK93/CE93-1,"")</f>
        <v>-0.0946515229736709</v>
      </c>
      <c r="CL166" s="29" t="n">
        <f aca="false">IFERROR(CL93/CF93-1,"")</f>
        <v>0.00661786877940385</v>
      </c>
      <c r="CM166" s="29" t="n">
        <f aca="false">IFERROR(CM93/CG93-1,"")</f>
        <v>-0.0103490085069442</v>
      </c>
      <c r="CN166" s="29" t="n">
        <f aca="false">IFERROR(CN93/CH93-1,"")</f>
        <v>-0.17391271439168</v>
      </c>
      <c r="CO166" s="29" t="n">
        <f aca="false">IFERROR(CO93/CI93-1,"")</f>
        <v>-0.0439170626539097</v>
      </c>
      <c r="CP166" s="30" t="n">
        <f aca="false">IFERROR(CP93/CO93-1,"")</f>
        <v>0.00026876830554734</v>
      </c>
      <c r="CQ166" s="30" t="n">
        <f aca="false">IFERROR(CQ93/CP93-1,"")</f>
        <v>0.0514860527250387</v>
      </c>
      <c r="CR166" s="30" t="n">
        <f aca="false">IFERROR(CR93/CQ93-1,"")</f>
        <v>0.0765105360919067</v>
      </c>
      <c r="CS166" s="30" t="n">
        <f aca="false">IFERROR(CS93/CR93-1,"")</f>
        <v>0.0759644697878179</v>
      </c>
      <c r="CT166" s="30" t="n">
        <f aca="false">IFERROR(CT93/CS93-1,"")</f>
        <v>0.0758190515672879</v>
      </c>
      <c r="CU166" s="24"/>
      <c r="CW166" s="6"/>
      <c r="CX166" s="6"/>
      <c r="CY166" s="6"/>
      <c r="CZ166" s="6"/>
    </row>
    <row r="167" customFormat="false" ht="15" hidden="false" customHeight="false" outlineLevel="0" collapsed="false">
      <c r="B167" s="28" t="s">
        <v>296</v>
      </c>
      <c r="C167" s="29"/>
      <c r="D167" s="29" t="n">
        <f aca="false">IFERROR(D100/C100-1,"")</f>
        <v>0.398339328151357</v>
      </c>
      <c r="E167" s="29" t="n">
        <f aca="false">IFERROR(E100/D100-1,"")</f>
        <v>0.197127436745188</v>
      </c>
      <c r="F167" s="29" t="n">
        <f aca="false">IFERROR(F100/E100-1,"")</f>
        <v>-0.0486937240892363</v>
      </c>
      <c r="G167" s="29" t="n">
        <f aca="false">IFERROR(G100/F100-1,"")</f>
        <v>0.0733579142988929</v>
      </c>
      <c r="H167" s="29" t="n">
        <f aca="false">IFERROR(H100/G100-1,"")</f>
        <v>0.216771233085731</v>
      </c>
      <c r="I167" s="29" t="n">
        <f aca="false">IFERROR(I100/H100-1,"")</f>
        <v>0.277228891071291</v>
      </c>
      <c r="J167" s="29"/>
      <c r="K167" s="29"/>
      <c r="L167" s="29"/>
      <c r="M167" s="29"/>
      <c r="N167" s="29"/>
      <c r="O167" s="29" t="n">
        <f aca="false">IFERROR(O100/I100-1,"")</f>
        <v>0.00104671663583189</v>
      </c>
      <c r="P167" s="29" t="n">
        <f aca="false">IFERROR(P100/J100-1,"")</f>
        <v>-0.111913172056797</v>
      </c>
      <c r="Q167" s="29" t="n">
        <f aca="false">IFERROR(Q100/K100-1,"")</f>
        <v>0.130125285047059</v>
      </c>
      <c r="R167" s="29" t="n">
        <f aca="false">IFERROR(R100/L100-1,"")</f>
        <v>0.000210326890985435</v>
      </c>
      <c r="S167" s="29" t="n">
        <f aca="false">IFERROR(S100/M100-1,"")</f>
        <v>-0.237737731561948</v>
      </c>
      <c r="T167" s="29" t="n">
        <f aca="false">IFERROR(T100/N100-1,"")</f>
        <v>0.226249666923815</v>
      </c>
      <c r="U167" s="29" t="n">
        <f aca="false">IFERROR(U100/O100-1,"")</f>
        <v>-0.0183919185024328</v>
      </c>
      <c r="V167" s="29" t="n">
        <f aca="false">IFERROR(V100/P100-1,"")</f>
        <v>0.262385916534061</v>
      </c>
      <c r="W167" s="29" t="n">
        <f aca="false">IFERROR(W100/Q100-1,"")</f>
        <v>0.144290429558508</v>
      </c>
      <c r="X167" s="29" t="n">
        <f aca="false">IFERROR(X100/R100-1,"")</f>
        <v>0.200669483371607</v>
      </c>
      <c r="Y167" s="29" t="n">
        <f aca="false">IFERROR(Y100/S100-1,"")</f>
        <v>0.401400297167656</v>
      </c>
      <c r="Z167" s="29" t="n">
        <f aca="false">IFERROR(Z100/T100-1,"")</f>
        <v>0.137078386416889</v>
      </c>
      <c r="AA167" s="29" t="n">
        <f aca="false">IFERROR(AA100/U100-1,"")</f>
        <v>0.228159100254493</v>
      </c>
      <c r="AB167" s="29" t="n">
        <f aca="false">IFERROR(AB100/V100-1,"")</f>
        <v>0.0342957744613486</v>
      </c>
      <c r="AC167" s="29" t="n">
        <f aca="false">IFERROR(AC100/W100-1,"")</f>
        <v>0.196420927775532</v>
      </c>
      <c r="AD167" s="29" t="n">
        <f aca="false">IFERROR(AD100/X100-1,"")</f>
        <v>0.114175785370876</v>
      </c>
      <c r="AE167" s="29" t="n">
        <f aca="false">IFERROR(AE100/Y100-1,"")</f>
        <v>0.44901031347247</v>
      </c>
      <c r="AF167" s="29" t="n">
        <f aca="false">IFERROR(AF100/Z100-1,"")</f>
        <v>0.609667854797008</v>
      </c>
      <c r="AG167" s="29" t="n">
        <f aca="false">IFERROR(AG100/AA100-1,"")</f>
        <v>0.323559275469198</v>
      </c>
      <c r="AH167" s="29" t="n">
        <f aca="false">IFERROR(AH100/AB100-1,"")</f>
        <v>2.40068530866016</v>
      </c>
      <c r="AI167" s="29" t="n">
        <f aca="false">IFERROR(AI100/AC100-1,"")</f>
        <v>0.184434843128126</v>
      </c>
      <c r="AJ167" s="29" t="n">
        <f aca="false">IFERROR(AJ100/AD100-1,"")</f>
        <v>1.22382766678758</v>
      </c>
      <c r="AK167" s="29" t="n">
        <f aca="false">IFERROR(AK100/AE100-1,"")</f>
        <v>0.20967978565352</v>
      </c>
      <c r="AL167" s="29" t="n">
        <f aca="false">IFERROR(AL100/AF100-1,"")</f>
        <v>-0.165970093942161</v>
      </c>
      <c r="AM167" s="29" t="n">
        <f aca="false">IFERROR(AM100/AG100-1,"")</f>
        <v>0.502918201807877</v>
      </c>
      <c r="AN167" s="29" t="n">
        <f aca="false">IFERROR(AN100/AH100-1,"")</f>
        <v>-0.538619839116178</v>
      </c>
      <c r="AO167" s="29" t="n">
        <f aca="false">IFERROR(AO100/AI100-1,"")</f>
        <v>0.525545454234397</v>
      </c>
      <c r="AP167" s="29" t="n">
        <f aca="false">IFERROR(AP100/AJ100-1,"")</f>
        <v>-0.236288599628387</v>
      </c>
      <c r="AQ167" s="29" t="n">
        <f aca="false">IFERROR(AQ100/AK100-1,"")</f>
        <v>0.372725618788546</v>
      </c>
      <c r="AR167" s="29" t="n">
        <f aca="false">IFERROR(AR100/AL100-1,"")</f>
        <v>0.517126651968572</v>
      </c>
      <c r="AS167" s="29" t="n">
        <f aca="false">IFERROR(AS100/AM100-1,"")</f>
        <v>0.0386764815171541</v>
      </c>
      <c r="AT167" s="29" t="n">
        <f aca="false">IFERROR(AT100/AN100-1,"")</f>
        <v>0.435474886542538</v>
      </c>
      <c r="AU167" s="29" t="n">
        <f aca="false">IFERROR(AU100/AO100-1,"")</f>
        <v>0.276004497742002</v>
      </c>
      <c r="AV167" s="29" t="n">
        <f aca="false">IFERROR(AV100/AP100-1,"")</f>
        <v>0.342907252128914</v>
      </c>
      <c r="AW167" s="29" t="n">
        <f aca="false">IFERROR(AW100/AQ100-1,"")</f>
        <v>0.545741690544748</v>
      </c>
      <c r="AX167" s="29" t="n">
        <f aca="false">IFERROR(AX100/AR100-1,"")</f>
        <v>0.434134444784034</v>
      </c>
      <c r="AY167" s="29" t="n">
        <f aca="false">IFERROR(AY100/AS100-1,"")</f>
        <v>0.424369710494904</v>
      </c>
      <c r="AZ167" s="29" t="n">
        <f aca="false">IFERROR(AZ100/AT100-1,"")</f>
        <v>0.961861143365181</v>
      </c>
      <c r="BA167" s="29" t="n">
        <f aca="false">IFERROR(BA100/AU100-1,"")</f>
        <v>0.295976557916679</v>
      </c>
      <c r="BB167" s="29" t="n">
        <f aca="false">IFERROR(BB100/AV100-1,"")</f>
        <v>0.603794244187037</v>
      </c>
      <c r="BC167" s="29" t="n">
        <f aca="false">IFERROR(BC100/AW100-1,"")</f>
        <v>-0.237033597580811</v>
      </c>
      <c r="BD167" s="29" t="n">
        <f aca="false">IFERROR(BD100/AX100-1,"")</f>
        <v>0.0758326934201374</v>
      </c>
      <c r="BE167" s="29" t="n">
        <f aca="false">IFERROR(BE100/AY100-1,"")</f>
        <v>0.191795519014558</v>
      </c>
      <c r="BF167" s="29" t="n">
        <f aca="false">IFERROR(BF100/AZ100-1,"")</f>
        <v>-0.0870154438793938</v>
      </c>
      <c r="BG167" s="29" t="n">
        <f aca="false">IFERROR(BG100/BA100-1,"")</f>
        <v>0.137966059618016</v>
      </c>
      <c r="BH167" s="29" t="n">
        <f aca="false">IFERROR(BH100/BB100-1,"")</f>
        <v>0.0110714198831037</v>
      </c>
      <c r="BI167" s="29" t="n">
        <f aca="false">IFERROR(BI100/BC100-1,"")</f>
        <v>0.931460977235533</v>
      </c>
      <c r="BJ167" s="29" t="n">
        <f aca="false">IFERROR(BJ100/BD100-1,"")</f>
        <v>0.534882552786107</v>
      </c>
      <c r="BK167" s="29" t="n">
        <f aca="false">IFERROR(BK100/BE100-1,"")</f>
        <v>0.328929021818771</v>
      </c>
      <c r="BL167" s="29" t="n">
        <f aca="false">IFERROR(BL100/BF100-1,"")</f>
        <v>0.293210019049099</v>
      </c>
      <c r="BM167" s="29" t="n">
        <f aca="false">IFERROR(BM100/BG100-1,"")</f>
        <v>0.480206615829665</v>
      </c>
      <c r="BN167" s="29" t="n">
        <f aca="false">IFERROR(BN100/BH100-1,"")</f>
        <v>0.385033505096407</v>
      </c>
      <c r="BO167" s="29" t="n">
        <f aca="false">IFERROR(BO100/BI100-1,"")</f>
        <v>-0.0305904941215632</v>
      </c>
      <c r="BP167" s="29" t="n">
        <f aca="false">IFERROR(BP100/BJ100-1,"")</f>
        <v>0.030225328368668</v>
      </c>
      <c r="BQ167" s="29" t="n">
        <f aca="false">IFERROR(BQ100/BK100-1,"")</f>
        <v>0.159897089518183</v>
      </c>
      <c r="BR167" s="29" t="n">
        <f aca="false">IFERROR(BR100/BL100-1,"")</f>
        <v>-0.0552125024585711</v>
      </c>
      <c r="BS167" s="29" t="n">
        <f aca="false">IFERROR(BS100/BM100-1,"")</f>
        <v>0.0214549320249537</v>
      </c>
      <c r="BT167" s="29" t="n">
        <f aca="false">IFERROR(BT100/BN100-1,"")</f>
        <v>-0.0149465790537983</v>
      </c>
      <c r="BU167" s="29" t="n">
        <f aca="false">IFERROR(BU100/BO100-1,"")</f>
        <v>0.251908269857356</v>
      </c>
      <c r="BV167" s="29" t="n">
        <f aca="false">IFERROR(BV100/BP100-1,"")</f>
        <v>0.308754598129472</v>
      </c>
      <c r="BW167" s="29" t="n">
        <f aca="false">IFERROR(BW100/BQ100-1,"")</f>
        <v>0.133007114010656</v>
      </c>
      <c r="BX167" s="29" t="n">
        <f aca="false">IFERROR(BX100/BR100-1,"")</f>
        <v>0.342345949962239</v>
      </c>
      <c r="BY167" s="29" t="n">
        <f aca="false">IFERROR(BY100/BS100-1,"")</f>
        <v>0.0979924474065868</v>
      </c>
      <c r="BZ167" s="29" t="n">
        <f aca="false">IFERROR(BZ100/BT100-1,"")</f>
        <v>0.209322112274522</v>
      </c>
      <c r="CA167" s="29" t="n">
        <f aca="false">IFERROR(CA100/BU100-1,"")</f>
        <v>0.0807888966198727</v>
      </c>
      <c r="CB167" s="29" t="n">
        <f aca="false">IFERROR(CB100/BV100-1,"")</f>
        <v>-0.0784418801361591</v>
      </c>
      <c r="CC167" s="29" t="n">
        <f aca="false">IFERROR(CC100/BW100-1,"")</f>
        <v>0.0920077718458026</v>
      </c>
      <c r="CD167" s="29" t="n">
        <f aca="false">IFERROR(CD100/BX100-1,"")</f>
        <v>0.083512835885994</v>
      </c>
      <c r="CE167" s="29" t="n">
        <f aca="false">IFERROR(CE100/BY100-1,"")</f>
        <v>0.185635397337193</v>
      </c>
      <c r="CF167" s="29" t="n">
        <f aca="false">IFERROR(CF100/BZ100-1,"")</f>
        <v>0.134010362332226</v>
      </c>
      <c r="CG167" s="29" t="n">
        <f aca="false">IFERROR(CG100/CA100-1,"")</f>
        <v>0.061823479885855</v>
      </c>
      <c r="CH167" s="29" t="n">
        <f aca="false">IFERROR(CH100/CB100-1,"")</f>
        <v>0.227143345176811</v>
      </c>
      <c r="CI167" s="29" t="n">
        <f aca="false">IFERROR(CI100/CC100-1,"")</f>
        <v>0.135755863212526</v>
      </c>
      <c r="CJ167" s="29" t="n">
        <f aca="false">IFERROR(CJ100/CD100-1,"")</f>
        <v>0.11428935009886</v>
      </c>
      <c r="CK167" s="29" t="n">
        <f aca="false">IFERROR(CK100/CE100-1,"")</f>
        <v>-0.0920322871360282</v>
      </c>
      <c r="CL167" s="29" t="n">
        <f aca="false">IFERROR(CL100/CF100-1,"")</f>
        <v>0.00776618894398395</v>
      </c>
      <c r="CM167" s="29" t="n">
        <f aca="false">IFERROR(CM100/CG100-1,"")</f>
        <v>0.0267262944498143</v>
      </c>
      <c r="CN167" s="29" t="n">
        <f aca="false">IFERROR(CN100/CH100-1,"")</f>
        <v>-0.133467103710245</v>
      </c>
      <c r="CO167" s="29" t="n">
        <f aca="false">IFERROR(CO100/CI100-1,"")</f>
        <v>-0.0232308754876827</v>
      </c>
      <c r="CP167" s="30" t="n">
        <f aca="false">IFERROR(CP100/CO100-1,"")</f>
        <v>0.0621506178534041</v>
      </c>
      <c r="CQ167" s="30" t="n">
        <f aca="false">IFERROR(CQ100/CP100-1,"")</f>
        <v>0.110730673450742</v>
      </c>
      <c r="CR167" s="30" t="n">
        <f aca="false">IFERROR(CR100/CQ100-1,"")</f>
        <v>0.119397891464163</v>
      </c>
      <c r="CS167" s="30" t="n">
        <f aca="false">IFERROR(CS100/CR100-1,"")</f>
        <v>0.120735740711962</v>
      </c>
      <c r="CT167" s="30" t="n">
        <f aca="false">IFERROR(CT100/CS100-1,"")</f>
        <v>0.122946232212787</v>
      </c>
      <c r="CU167" s="24"/>
      <c r="CW167" s="6"/>
      <c r="CX167" s="6"/>
      <c r="CY167" s="6"/>
      <c r="CZ167" s="6"/>
    </row>
    <row r="168" customFormat="false" ht="15" hidden="false" customHeight="false" outlineLevel="0" collapsed="false">
      <c r="B168" s="28" t="s">
        <v>297</v>
      </c>
      <c r="C168" s="29"/>
      <c r="D168" s="29" t="n">
        <f aca="false">IFERROR(D152/C152-1,"")</f>
        <v>0.398339328151357</v>
      </c>
      <c r="E168" s="29" t="n">
        <f aca="false">IFERROR(E152/D152-1,"")</f>
        <v>0.197127436745188</v>
      </c>
      <c r="F168" s="29" t="n">
        <f aca="false">IFERROR(F152/E152-1,"")</f>
        <v>-0.0486937240892363</v>
      </c>
      <c r="G168" s="29" t="n">
        <f aca="false">IFERROR(G152/F152-1,"")</f>
        <v>0.0733579142988929</v>
      </c>
      <c r="H168" s="29" t="n">
        <f aca="false">IFERROR(H152/G152-1,"")</f>
        <v>0.216771233085731</v>
      </c>
      <c r="I168" s="29" t="n">
        <f aca="false">IFERROR(I152/H152-1,"")</f>
        <v>0.277228891071291</v>
      </c>
      <c r="J168" s="29"/>
      <c r="K168" s="29"/>
      <c r="L168" s="29"/>
      <c r="M168" s="29"/>
      <c r="N168" s="29"/>
      <c r="O168" s="29" t="n">
        <f aca="false">IFERROR(O152/I152-1,"")</f>
        <v>-0.0187879376524061</v>
      </c>
      <c r="P168" s="29" t="n">
        <f aca="false">IFERROR(P152/J152-1,"")</f>
        <v>-0.111913172056797</v>
      </c>
      <c r="Q168" s="29" t="n">
        <f aca="false">IFERROR(Q152/K152-1,"")</f>
        <v>0.130125285047059</v>
      </c>
      <c r="R168" s="29" t="n">
        <f aca="false">IFERROR(R152/L152-1,"")</f>
        <v>0.000210326890985435</v>
      </c>
      <c r="S168" s="29" t="n">
        <f aca="false">IFERROR(S152/M152-1,"")</f>
        <v>0.204790257540234</v>
      </c>
      <c r="T168" s="29" t="n">
        <f aca="false">IFERROR(T152/N152-1,"")</f>
        <v>0.226249666923815</v>
      </c>
      <c r="U168" s="29" t="n">
        <f aca="false">IFERROR(U152/O152-1,"")</f>
        <v>0.11018919032811</v>
      </c>
      <c r="V168" s="29" t="n">
        <f aca="false">IFERROR(V152/P152-1,"")</f>
        <v>0.262385916534061</v>
      </c>
      <c r="W168" s="29" t="n">
        <f aca="false">IFERROR(W152/Q152-1,"")</f>
        <v>0.144290429558508</v>
      </c>
      <c r="X168" s="29" t="n">
        <f aca="false">IFERROR(X152/R152-1,"")</f>
        <v>0.200669483371607</v>
      </c>
      <c r="Y168" s="29" t="n">
        <f aca="false">IFERROR(Y152/S152-1,"")</f>
        <v>-0.0496683762616792</v>
      </c>
      <c r="Z168" s="29" t="n">
        <f aca="false">IFERROR(Z152/T152-1,"")</f>
        <v>0.168965382204027</v>
      </c>
      <c r="AA168" s="29" t="n">
        <f aca="false">IFERROR(AA152/U152-1,"")</f>
        <v>0.110557733158384</v>
      </c>
      <c r="AB168" s="29" t="n">
        <f aca="false">IFERROR(AB152/V152-1,"")</f>
        <v>0.0331306198087957</v>
      </c>
      <c r="AC168" s="29" t="n">
        <f aca="false">IFERROR(AC152/W152-1,"")</f>
        <v>0.140400743100393</v>
      </c>
      <c r="AD168" s="29" t="n">
        <f aca="false">IFERROR(AD152/X152-1,"")</f>
        <v>0.100481815813134</v>
      </c>
      <c r="AE168" s="29" t="n">
        <f aca="false">IFERROR(AE152/Y152-1,"")</f>
        <v>0.457480384674811</v>
      </c>
      <c r="AF168" s="29" t="n">
        <f aca="false">IFERROR(AF152/Z152-1,"")</f>
        <v>0.30967896757643</v>
      </c>
      <c r="AG168" s="29" t="n">
        <f aca="false">IFERROR(AG152/AA152-1,"")</f>
        <v>0.255253509096453</v>
      </c>
      <c r="AH168" s="29" t="n">
        <f aca="false">IFERROR(AH152/AB152-1,"")</f>
        <v>0.368094866960266</v>
      </c>
      <c r="AI168" s="29" t="n">
        <f aca="false">IFERROR(AI152/AC152-1,"")</f>
        <v>0.276047199194137</v>
      </c>
      <c r="AJ168" s="29" t="n">
        <f aca="false">IFERROR(AJ152/AD152-1,"")</f>
        <v>0.315880750499991</v>
      </c>
      <c r="AK168" s="29" t="n">
        <f aca="false">IFERROR(AK152/AE152-1,"")</f>
        <v>0.155454274911508</v>
      </c>
      <c r="AL168" s="29" t="n">
        <f aca="false">IFERROR(AL152/AF152-1,"")</f>
        <v>0.177375248337727</v>
      </c>
      <c r="AM168" s="29" t="n">
        <f aca="false">IFERROR(AM152/AG152-1,"")</f>
        <v>0.223665423830202</v>
      </c>
      <c r="AN168" s="29" t="n">
        <f aca="false">IFERROR(AN152/AH152-1,"")</f>
        <v>0.150969982448687</v>
      </c>
      <c r="AO168" s="29" t="n">
        <f aca="false">IFERROR(AO152/AI152-1,"")</f>
        <v>0.621310727725945</v>
      </c>
      <c r="AP168" s="29" t="n">
        <f aca="false">IFERROR(AP152/AJ152-1,"")</f>
        <v>0.389743246920703</v>
      </c>
      <c r="AQ168" s="29" t="n">
        <f aca="false">IFERROR(AQ152/AK152-1,"")</f>
        <v>0.420541197473335</v>
      </c>
      <c r="AR168" s="29" t="n">
        <f aca="false">IFERROR(AR152/AL152-1,"")</f>
        <v>0.214119548999635</v>
      </c>
      <c r="AS168" s="29" t="n">
        <f aca="false">IFERROR(AS152/AM152-1,"")</f>
        <v>0.339914133304929</v>
      </c>
      <c r="AT168" s="29" t="n">
        <f aca="false">IFERROR(AT152/AN152-1,"")</f>
        <v>0.439786136248748</v>
      </c>
      <c r="AU168" s="29" t="n">
        <f aca="false">IFERROR(AU152/AO152-1,"")</f>
        <v>0.119113838459354</v>
      </c>
      <c r="AV168" s="29" t="n">
        <f aca="false">IFERROR(AV152/AP152-1,"")</f>
        <v>0.247727214024473</v>
      </c>
      <c r="AW168" s="29" t="n">
        <f aca="false">IFERROR(AW152/AQ152-1,"")</f>
        <v>0.258528220643842</v>
      </c>
      <c r="AX168" s="29" t="n">
        <f aca="false">IFERROR(AX152/AR152-1,"")</f>
        <v>0.418816791311202</v>
      </c>
      <c r="AY168" s="29" t="n">
        <f aca="false">IFERROR(AY152/AS152-1,"")</f>
        <v>0.301923145604141</v>
      </c>
      <c r="AZ168" s="29" t="n">
        <f aca="false">IFERROR(AZ152/AT152-1,"")</f>
        <v>0.397495517853457</v>
      </c>
      <c r="BA168" s="29" t="n">
        <f aca="false">IFERROR(BA152/AU152-1,"")</f>
        <v>0.231608500353828</v>
      </c>
      <c r="BB168" s="29" t="n">
        <f aca="false">IFERROR(BB152/AV152-1,"")</f>
        <v>0.302881734229891</v>
      </c>
      <c r="BC168" s="29" t="n">
        <f aca="false">IFERROR(BC152/AW152-1,"")</f>
        <v>-0.116633096487082</v>
      </c>
      <c r="BD168" s="29" t="n">
        <f aca="false">IFERROR(BD152/AX152-1,"")</f>
        <v>0.136092069315227</v>
      </c>
      <c r="BE168" s="29" t="n">
        <f aca="false">IFERROR(BE152/AY152-1,"")</f>
        <v>0.13902730816439</v>
      </c>
      <c r="BF168" s="29" t="n">
        <f aca="false">IFERROR(BF152/AZ152-1,"")</f>
        <v>0.199786935791742</v>
      </c>
      <c r="BG168" s="29" t="n">
        <f aca="false">IFERROR(BG152/BA152-1,"")</f>
        <v>0.236997848114005</v>
      </c>
      <c r="BH168" s="29" t="n">
        <f aca="false">IFERROR(BH152/BB152-1,"")</f>
        <v>0.21491758546821</v>
      </c>
      <c r="BI168" s="29" t="n">
        <f aca="false">IFERROR(BI152/BC152-1,"")</f>
        <v>0.883522866212562</v>
      </c>
      <c r="BJ168" s="29" t="n">
        <f aca="false">IFERROR(BJ152/BD152-1,"")</f>
        <v>0.504635030840892</v>
      </c>
      <c r="BK168" s="29" t="n">
        <f aca="false">IFERROR(BK152/BE152-1,"")</f>
        <v>0.447257263022237</v>
      </c>
      <c r="BL168" s="29" t="n">
        <f aca="false">IFERROR(BL152/BF152-1,"")</f>
        <v>0.358211065387493</v>
      </c>
      <c r="BM168" s="29" t="n">
        <f aca="false">IFERROR(BM152/BG152-1,"")</f>
        <v>0.385228708403016</v>
      </c>
      <c r="BN168" s="29" t="n">
        <f aca="false">IFERROR(BN152/BH152-1,"")</f>
        <v>0.371801826744612</v>
      </c>
      <c r="BO168" s="29" t="n">
        <f aca="false">IFERROR(BO152/BI152-1,"")</f>
        <v>0.0715035894126026</v>
      </c>
      <c r="BP168" s="29" t="n">
        <f aca="false">IFERROR(BP152/BJ152-1,"")</f>
        <v>0.0962243642656613</v>
      </c>
      <c r="BQ168" s="29" t="n">
        <f aca="false">IFERROR(BQ152/BK152-1,"")</f>
        <v>0.205603994168778</v>
      </c>
      <c r="BR168" s="29" t="n">
        <f aca="false">IFERROR(BR152/BL152-1,"")</f>
        <v>-0.046677421143715</v>
      </c>
      <c r="BS168" s="29" t="n">
        <f aca="false">IFERROR(BS152/BM152-1,"")</f>
        <v>0.10342440143209</v>
      </c>
      <c r="BT168" s="29" t="n">
        <f aca="false">IFERROR(BT152/BN152-1,"")</f>
        <v>0.0296456591624128</v>
      </c>
      <c r="BU168" s="29" t="n">
        <f aca="false">IFERROR(BU152/BO152-1,"")</f>
        <v>0.223787208395514</v>
      </c>
      <c r="BV168" s="29" t="n">
        <f aca="false">IFERROR(BV152/BP152-1,"")</f>
        <v>0.207481198669427</v>
      </c>
      <c r="BW168" s="29" t="n">
        <f aca="false">IFERROR(BW152/BQ152-1,"")</f>
        <v>0.126642678917418</v>
      </c>
      <c r="BX168" s="29" t="n">
        <f aca="false">IFERROR(BX152/BR152-1,"")</f>
        <v>0.345767187850718</v>
      </c>
      <c r="BY168" s="29" t="n">
        <f aca="false">IFERROR(BY152/BS152-1,"")</f>
        <v>0.098422575050668</v>
      </c>
      <c r="BZ168" s="29" t="n">
        <f aca="false">IFERROR(BZ152/BT152-1,"")</f>
        <v>0.210983068617188</v>
      </c>
      <c r="CA168" s="29" t="n">
        <f aca="false">IFERROR(CA152/BU152-1,"")</f>
        <v>0.0944369167036985</v>
      </c>
      <c r="CB168" s="29" t="n">
        <f aca="false">IFERROR(CB152/BV152-1,"")</f>
        <v>-0.030027628828101</v>
      </c>
      <c r="CC168" s="29" t="n">
        <f aca="false">IFERROR(CC152/BW152-1,"")</f>
        <v>0.112197756166682</v>
      </c>
      <c r="CD168" s="29" t="n">
        <f aca="false">IFERROR(CD152/BX152-1,"")</f>
        <v>0.083512835885994</v>
      </c>
      <c r="CE168" s="29" t="n">
        <f aca="false">IFERROR(CE152/BY152-1,"")</f>
        <v>0.185635397337193</v>
      </c>
      <c r="CF168" s="29" t="n">
        <f aca="false">IFERROR(CF152/BZ152-1,"")</f>
        <v>0.134010362332226</v>
      </c>
      <c r="CG168" s="29" t="n">
        <f aca="false">IFERROR(CG152/CA152-1,"")</f>
        <v>0.061823479885855</v>
      </c>
      <c r="CH168" s="29" t="n">
        <f aca="false">IFERROR(CH152/CB152-1,"")</f>
        <v>0.227143345176811</v>
      </c>
      <c r="CI168" s="29" t="n">
        <f aca="false">IFERROR(CI152/CC152-1,"")</f>
        <v>0.135755863212526</v>
      </c>
      <c r="CJ168" s="29" t="n">
        <f aca="false">IFERROR(CJ152/CD152-1,"")</f>
        <v>0.11428935009886</v>
      </c>
      <c r="CK168" s="29" t="n">
        <f aca="false">IFERROR(CK152/CE152-1,"")</f>
        <v>-0.0920322871360282</v>
      </c>
      <c r="CL168" s="29" t="n">
        <f aca="false">IFERROR(CL152/CF152-1,"")</f>
        <v>0.00776618894398395</v>
      </c>
      <c r="CM168" s="29" t="n">
        <f aca="false">IFERROR(CM152/CG152-1,"")</f>
        <v>0.0267262944498143</v>
      </c>
      <c r="CN168" s="29" t="n">
        <f aca="false">IFERROR(CN152/CH152-1,"")</f>
        <v>-0.133467103710245</v>
      </c>
      <c r="CO168" s="29" t="n">
        <f aca="false">IFERROR(CO152/CI152-1,"")</f>
        <v>-0.0232308754876827</v>
      </c>
      <c r="CP168" s="30" t="n">
        <f aca="false">IFERROR(CP152/CO152-1,"")</f>
        <v>0.0621506178534041</v>
      </c>
      <c r="CQ168" s="30" t="n">
        <f aca="false">IFERROR(CQ152/CP152-1,"")</f>
        <v>0.110730673450742</v>
      </c>
      <c r="CR168" s="30" t="n">
        <f aca="false">IFERROR(CR152/CQ152-1,"")</f>
        <v>0.119397891464163</v>
      </c>
      <c r="CS168" s="30" t="n">
        <f aca="false">IFERROR(CS152/CR152-1,"")</f>
        <v>0.120735740711962</v>
      </c>
      <c r="CT168" s="30" t="n">
        <f aca="false">IFERROR(CT152/CS152-1,"")</f>
        <v>0.122946232212787</v>
      </c>
      <c r="CU168" s="24"/>
      <c r="CW168" s="6"/>
      <c r="CX168" s="6"/>
      <c r="CY168" s="6"/>
      <c r="CZ168" s="6"/>
    </row>
    <row r="169" customFormat="false" ht="15" hidden="false" customHeight="false" outlineLevel="0" collapsed="false">
      <c r="B169" s="28" t="s">
        <v>176</v>
      </c>
      <c r="C169" s="35" t="n">
        <f aca="false">IFERROR(C76/C73,"")</f>
        <v>0.436172245545064</v>
      </c>
      <c r="D169" s="35" t="n">
        <f aca="false">IFERROR(D76/D73,"")</f>
        <v>0.47581864878362</v>
      </c>
      <c r="E169" s="35" t="n">
        <f aca="false">IFERROR(E76/E73,"")</f>
        <v>0.410600523923104</v>
      </c>
      <c r="F169" s="35" t="n">
        <f aca="false">IFERROR(F76/F73,"")</f>
        <v>0.420222801790381</v>
      </c>
      <c r="G169" s="35" t="n">
        <f aca="false">IFERROR(G76/G73,"")</f>
        <v>0.450256767230058</v>
      </c>
      <c r="H169" s="35" t="n">
        <f aca="false">IFERROR(H76/H73,"")</f>
        <v>0.427511275488796</v>
      </c>
      <c r="I169" s="35" t="n">
        <f aca="false">IFERROR(I76/I73,"")</f>
        <v>0.443215742200476</v>
      </c>
      <c r="J169" s="35" t="n">
        <f aca="false">IFERROR(J76/J73,"")</f>
        <v>0.441402292498723</v>
      </c>
      <c r="K169" s="35" t="n">
        <f aca="false">IFERROR(K76/K73,"")</f>
        <v>0.363720720551496</v>
      </c>
      <c r="L169" s="35" t="n">
        <f aca="false">IFERROR(L76/L73,"")</f>
        <v>0.400460547548663</v>
      </c>
      <c r="M169" s="35" t="n">
        <f aca="false">IFERROR(M76/M73,"")</f>
        <v>0.416358711703729</v>
      </c>
      <c r="N169" s="35" t="n">
        <f aca="false">IFERROR(N76/N73,"")</f>
        <v>0.390872857863381</v>
      </c>
      <c r="O169" s="35" t="n">
        <f aca="false">IFERROR(O76/O73,"")</f>
        <v>0.402262644951289</v>
      </c>
      <c r="P169" s="35" t="n">
        <f aca="false">IFERROR(P76/P73,"")</f>
        <v>0.385289567426389</v>
      </c>
      <c r="Q169" s="35" t="n">
        <f aca="false">IFERROR(Q76/Q73,"")</f>
        <v>0.389430025765098</v>
      </c>
      <c r="R169" s="35" t="n">
        <f aca="false">IFERROR(R76/R73,"")</f>
        <v>0.387383744439952</v>
      </c>
      <c r="S169" s="35" t="n">
        <f aca="false">IFERROR(S76/S73,"")</f>
        <v>0.427002279463519</v>
      </c>
      <c r="T169" s="35" t="n">
        <f aca="false">IFERROR(T76/T73,"")</f>
        <v>0.406815098277961</v>
      </c>
      <c r="U169" s="35" t="n">
        <f aca="false">IFERROR(U76/U73,"")</f>
        <v>0.402730923970919</v>
      </c>
      <c r="V169" s="35" t="n">
        <f aca="false">IFERROR(V76/V73,"")</f>
        <v>0.421191104254337</v>
      </c>
      <c r="W169" s="35" t="n">
        <f aca="false">IFERROR(W76/W73,"")</f>
        <v>0.415796103642248</v>
      </c>
      <c r="X169" s="35" t="n">
        <f aca="false">IFERROR(X76/X73,"")</f>
        <v>0.418560860081462</v>
      </c>
      <c r="Y169" s="35" t="n">
        <f aca="false">IFERROR(Y76/Y73,"")</f>
        <v>0.428808448485909</v>
      </c>
      <c r="Z169" s="35" t="n">
        <f aca="false">IFERROR(Z76/Z73,"")</f>
        <v>0.420782661985951</v>
      </c>
      <c r="AA169" s="35" t="n">
        <f aca="false">IFERROR(AA76/AA73,"")</f>
        <v>0.421764991767583</v>
      </c>
      <c r="AB169" s="35" t="n">
        <f aca="false">IFERROR(AB76/AB73,"")</f>
        <v>0.418438709588074</v>
      </c>
      <c r="AC169" s="35" t="n">
        <f aca="false">IFERROR(AC76/AC73,"")</f>
        <v>0.415787471722288</v>
      </c>
      <c r="AD169" s="35" t="n">
        <f aca="false">IFERROR(AD76/AD73,"")</f>
        <v>0.417088611896477</v>
      </c>
      <c r="AE169" s="35" t="n">
        <f aca="false">IFERROR(AE76/AE73,"")</f>
        <v>0.453992270609309</v>
      </c>
      <c r="AF169" s="35" t="n">
        <f aca="false">IFERROR(AF76/AF73,"")</f>
        <v>0.42525228537331</v>
      </c>
      <c r="AG169" s="35" t="n">
        <f aca="false">IFERROR(AG76/AG73,"")</f>
        <v>0.429332200190942</v>
      </c>
      <c r="AH169" s="35" t="n">
        <f aca="false">IFERROR(AH76/AH73,"")</f>
        <v>0.419932888427734</v>
      </c>
      <c r="AI169" s="35" t="n">
        <f aca="false">IFERROR(AI76/AI73,"")</f>
        <v>0.419890024375451</v>
      </c>
      <c r="AJ169" s="35" t="n">
        <f aca="false">IFERROR(AJ76/AJ73,"")</f>
        <v>0.4199113472883</v>
      </c>
      <c r="AK169" s="35" t="n">
        <f aca="false">IFERROR(AK76/AK73,"")</f>
        <v>0.461413569712889</v>
      </c>
      <c r="AL169" s="35" t="n">
        <f aca="false">IFERROR(AL76/AL73,"")</f>
        <v>0.442331667529504</v>
      </c>
      <c r="AM169" s="35" t="n">
        <f aca="false">IFERROR(AM76/AM73,"")</f>
        <v>0.436489152827282</v>
      </c>
      <c r="AN169" s="35" t="n">
        <f aca="false">IFERROR(AN76/AN73,"")</f>
        <v>0.389495381326819</v>
      </c>
      <c r="AO169" s="35" t="n">
        <f aca="false">IFERROR(AO76/AO73,"")</f>
        <v>0.417352419702639</v>
      </c>
      <c r="AP169" s="35" t="n">
        <f aca="false">IFERROR(AP76/AP73,"")</f>
        <v>0.404057275975379</v>
      </c>
      <c r="AQ169" s="35" t="n">
        <f aca="false">IFERROR(AQ76/AQ73,"")</f>
        <v>0.458111493565427</v>
      </c>
      <c r="AR169" s="35" t="n">
        <f aca="false">IFERROR(AR76/AR73,"")</f>
        <v>0.4194464664543</v>
      </c>
      <c r="AS169" s="35" t="n">
        <f aca="false">IFERROR(AS76/AS73,"")</f>
        <v>0.422200870025115</v>
      </c>
      <c r="AT169" s="35" t="n">
        <f aca="false">IFERROR(AT76/AT73,"")</f>
        <v>0.424645835862045</v>
      </c>
      <c r="AU169" s="35" t="n">
        <f aca="false">IFERROR(AU76/AU73,"")</f>
        <v>0.429422270250651</v>
      </c>
      <c r="AV169" s="35" t="n">
        <f aca="false">IFERROR(AV76/AV73,"")</f>
        <v>0.427093438842778</v>
      </c>
      <c r="AW169" s="35" t="n">
        <f aca="false">IFERROR(AW76/AW73,"")</f>
        <v>0.454839491173642</v>
      </c>
      <c r="AX169" s="35" t="n">
        <f aca="false">IFERROR(AX76/AX73,"")</f>
        <v>0.447162143482468</v>
      </c>
      <c r="AY169" s="35" t="n">
        <f aca="false">IFERROR(AY76/AY73,"")</f>
        <v>0.4399416833949</v>
      </c>
      <c r="AZ169" s="35" t="n">
        <f aca="false">IFERROR(AZ76/AZ73,"")</f>
        <v>0.459700518015093</v>
      </c>
      <c r="BA169" s="35" t="n">
        <f aca="false">IFERROR(BA76/BA73,"")</f>
        <v>0.451870848836805</v>
      </c>
      <c r="BB169" s="35" t="n">
        <f aca="false">IFERROR(BB76/BB73,"")</f>
        <v>0.455713886065774</v>
      </c>
      <c r="BC169" s="35" t="n">
        <f aca="false">IFERROR(BC76/BC73,"")</f>
        <v>0.44082600479686</v>
      </c>
      <c r="BD169" s="35" t="n">
        <f aca="false">IFERROR(BD76/BD73,"")</f>
        <v>0.476413416302203</v>
      </c>
      <c r="BE169" s="35" t="n">
        <f aca="false">IFERROR(BE76/BE73,"")</f>
        <v>0.456932248752371</v>
      </c>
      <c r="BF169" s="35" t="n">
        <f aca="false">IFERROR(BF76/BF73,"")</f>
        <v>0.500504266873545</v>
      </c>
      <c r="BG169" s="35" t="n">
        <f aca="false">IFERROR(BG76/BG73,"")</f>
        <v>0.498350974262233</v>
      </c>
      <c r="BH169" s="35" t="n">
        <f aca="false">IFERROR(BH76/BH73,"")</f>
        <v>0.499406184115156</v>
      </c>
      <c r="BI169" s="35" t="n">
        <f aca="false">IFERROR(BI76/BI73,"")</f>
        <v>0.519601858538513</v>
      </c>
      <c r="BJ169" s="35" t="n">
        <f aca="false">IFERROR(BJ76/BJ73,"")</f>
        <v>0.477516263040487</v>
      </c>
      <c r="BK169" s="35" t="n">
        <f aca="false">IFERROR(BK76/BK73,"")</f>
        <v>0.498824703037425</v>
      </c>
      <c r="BL169" s="35" t="n">
        <f aca="false">IFERROR(BL76/BL73,"")</f>
        <v>0.475268227893726</v>
      </c>
      <c r="BM169" s="35" t="n">
        <f aca="false">IFERROR(BM76/BM73,"")</f>
        <v>0.464968989924607</v>
      </c>
      <c r="BN169" s="35" t="n">
        <f aca="false">IFERROR(BN76/BN73,"")</f>
        <v>0.469942632058331</v>
      </c>
      <c r="BO169" s="35" t="n">
        <f aca="false">IFERROR(BO76/BO73,"")</f>
        <v>0.464153601130284</v>
      </c>
      <c r="BP169" s="35" t="n">
        <f aca="false">IFERROR(BP76/BP73,"")</f>
        <v>0.431941570408473</v>
      </c>
      <c r="BQ169" s="35" t="n">
        <f aca="false">IFERROR(BQ76/BQ73,"")</f>
        <v>0.458799555888293</v>
      </c>
      <c r="BR169" s="35" t="n">
        <f aca="false">IFERROR(BR76/BR73,"")</f>
        <v>0.413582471803459</v>
      </c>
      <c r="BS169" s="35" t="n">
        <f aca="false">IFERROR(BS76/BS73,"")</f>
        <v>0.44579209887073</v>
      </c>
      <c r="BT169" s="35" t="n">
        <f aca="false">IFERROR(BT76/BT73,"")</f>
        <v>0.43023875517811</v>
      </c>
      <c r="BU169" s="35" t="n">
        <f aca="false">IFERROR(BU76/BU73,"")</f>
        <v>0.473101716428646</v>
      </c>
      <c r="BV169" s="35" t="n">
        <f aca="false">IFERROR(BV76/BV73,"")</f>
        <v>0.458682967268149</v>
      </c>
      <c r="BW169" s="35" t="n">
        <f aca="false">IFERROR(BW76/BW73,"")</f>
        <v>0.448890792083148</v>
      </c>
      <c r="BX169" s="35" t="n">
        <f aca="false">IFERROR(BX76/BX73,"")</f>
        <v>0.45473512763422</v>
      </c>
      <c r="BY169" s="35" t="n">
        <f aca="false">IFERROR(BY76/BY73,"")</f>
        <v>0.45498451696762</v>
      </c>
      <c r="BZ169" s="35" t="n">
        <f aca="false">IFERROR(BZ76/BZ73,"")</f>
        <v>0.454859805985107</v>
      </c>
      <c r="CA169" s="35" t="n">
        <f aca="false">IFERROR(CA76/CA73,"")</f>
        <v>0.466179467185447</v>
      </c>
      <c r="CB169" s="35" t="n">
        <f aca="false">IFERROR(CB76/CB73,"")</f>
        <v>0.424299742095175</v>
      </c>
      <c r="CC169" s="35" t="n">
        <f aca="false">IFERROR(CC76/CC73,"")</f>
        <v>0.450160887060895</v>
      </c>
      <c r="CD169" s="35" t="n">
        <f aca="false">IFERROR(CD76/CD73,"")</f>
        <v>0.446539981113139</v>
      </c>
      <c r="CE169" s="35" t="n">
        <f aca="false">IFERROR(CE76/CE73,"")</f>
        <v>0.451771487712711</v>
      </c>
      <c r="CF169" s="35" t="n">
        <f aca="false">IFERROR(CF76/CF73,"")</f>
        <v>0.449174402472572</v>
      </c>
      <c r="CG169" s="35" t="n">
        <f aca="false">IFERROR(CG76/CG73,"")</f>
        <v>0.455772639793483</v>
      </c>
      <c r="CH169" s="35" t="n">
        <f aca="false">IFERROR(CH76/CH73,"")</f>
        <v>0.453043604240345</v>
      </c>
      <c r="CI169" s="35" t="n">
        <f aca="false">IFERROR(CI76/CI73,"")</f>
        <v>0.451831714424791</v>
      </c>
      <c r="CJ169" s="35" t="n">
        <f aca="false">IFERROR(CJ76/CJ73,"")</f>
        <v>0.464921257456516</v>
      </c>
      <c r="CK169" s="35" t="n">
        <f aca="false">IFERROR(CK76/CK73,"")</f>
        <v>0.439354036912686</v>
      </c>
      <c r="CL169" s="35" t="n">
        <f aca="false">IFERROR(CL76/CL73,"")</f>
        <v>0.452324939913138</v>
      </c>
      <c r="CM169" s="35" t="n">
        <f aca="false">IFERROR(CM76/CM73,"")</f>
        <v>0.462868593914957</v>
      </c>
      <c r="CN169" s="35" t="n">
        <f aca="false">IFERROR(CN76/CN73,"")</f>
        <v>0.417765278682863</v>
      </c>
      <c r="CO169" s="35" t="n">
        <f aca="false">IFERROR(CO76/CO73,"")</f>
        <v>0.446584797209041</v>
      </c>
      <c r="CP169" s="45" t="n">
        <f aca="false">IFERROR(CP76/CP73,"")</f>
        <v>0.446953430953733</v>
      </c>
      <c r="CQ169" s="45" t="n">
        <f aca="false">IFERROR(CQ76/CQ73,"")</f>
        <v>0.447758147716221</v>
      </c>
      <c r="CR169" s="45" t="n">
        <f aca="false">IFERROR(CR76/CR73,"")</f>
        <v>0.448719981029599</v>
      </c>
      <c r="CS169" s="45" t="n">
        <f aca="false">IFERROR(CS76/CS73,"")</f>
        <v>0.449634169915076</v>
      </c>
      <c r="CT169" s="45" t="n">
        <f aca="false">IFERROR(CT76/CT73,"")</f>
        <v>0.450537258114741</v>
      </c>
      <c r="CU169" s="24"/>
      <c r="CW169" s="6"/>
      <c r="CX169" s="6"/>
      <c r="CY169" s="6"/>
      <c r="CZ169" s="6"/>
    </row>
    <row r="170" customFormat="false" ht="15" hidden="false" customHeight="false" outlineLevel="0" collapsed="false">
      <c r="B170" s="28" t="s">
        <v>246</v>
      </c>
      <c r="C170" s="35" t="n">
        <f aca="false">IFERROR(C58/C73,"")</f>
        <v>0.374345168387974</v>
      </c>
      <c r="D170" s="35" t="n">
        <f aca="false">IFERROR(D58/D73,"")</f>
        <v>0.429596204608689</v>
      </c>
      <c r="E170" s="35" t="n">
        <f aca="false">IFERROR(E58/E73,"")</f>
        <v>0.363002772511365</v>
      </c>
      <c r="F170" s="35" t="n">
        <f aca="false">IFERROR(F58/F73,"")</f>
        <v>0.360213273905168</v>
      </c>
      <c r="G170" s="35" t="n">
        <f aca="false">IFERROR(G58/G73,"")</f>
        <v>0.365837343232252</v>
      </c>
      <c r="H170" s="35" t="n">
        <f aca="false">IFERROR(H58/H73,"")</f>
        <v>0.35902256932104</v>
      </c>
      <c r="I170" s="35" t="n">
        <f aca="false">IFERROR(I58/I73,"")</f>
        <v>0.364867219005595</v>
      </c>
      <c r="J170" s="35" t="n">
        <f aca="false">IFERROR(J58/J73,"")</f>
        <v>0.363814858539934</v>
      </c>
      <c r="K170" s="35" t="n">
        <f aca="false">IFERROR(K58/K73,"")</f>
        <v>0.29350263914195</v>
      </c>
      <c r="L170" s="35" t="n">
        <f aca="false">IFERROR(L58/L73,"")</f>
        <v>0.326757099778042</v>
      </c>
      <c r="M170" s="35" t="n">
        <f aca="false">IFERROR(M58/M73,"")</f>
        <v>0.336584956646959</v>
      </c>
      <c r="N170" s="35" t="n">
        <f aca="false">IFERROR(N58/N73,"")</f>
        <v>0.299578683109781</v>
      </c>
      <c r="O170" s="35" t="n">
        <f aca="false">IFERROR(O58/O73,"")</f>
        <v>0.322515567098134</v>
      </c>
      <c r="P170" s="35" t="n">
        <f aca="false">IFERROR(P58/P73,"")</f>
        <v>0.288999331863672</v>
      </c>
      <c r="Q170" s="35" t="n">
        <f aca="false">IFERROR(Q58/Q73,"")</f>
        <v>0.299301060628277</v>
      </c>
      <c r="R170" s="35" t="n">
        <f aca="false">IFERROR(R58/R73,"")</f>
        <v>0.294209780034857</v>
      </c>
      <c r="S170" s="35" t="n">
        <f aca="false">IFERROR(S58/S73,"")</f>
        <v>0.339704638353104</v>
      </c>
      <c r="T170" s="35" t="n">
        <f aca="false">IFERROR(T58/T73,"")</f>
        <v>0.310704470342668</v>
      </c>
      <c r="U170" s="35" t="n">
        <f aca="false">IFERROR(U58/U73,"")</f>
        <v>0.31039571495734</v>
      </c>
      <c r="V170" s="35" t="n">
        <f aca="false">IFERROR(V58/V73,"")</f>
        <v>0.337347530528331</v>
      </c>
      <c r="W170" s="35" t="n">
        <f aca="false">IFERROR(W58/W73,"")</f>
        <v>0.347533827074691</v>
      </c>
      <c r="X170" s="35" t="n">
        <f aca="false">IFERROR(X58/X73,"")</f>
        <v>0.342313692547702</v>
      </c>
      <c r="Y170" s="35" t="n">
        <f aca="false">IFERROR(Y58/Y73,"")</f>
        <v>0.357283722933816</v>
      </c>
      <c r="Z170" s="35" t="n">
        <f aca="false">IFERROR(Z58/Z73,"")</f>
        <v>0.348605081222518</v>
      </c>
      <c r="AA170" s="35" t="n">
        <f aca="false">IFERROR(AA58/AA73,"")</f>
        <v>0.346230312502524</v>
      </c>
      <c r="AB170" s="35" t="n">
        <f aca="false">IFERROR(AB58/AB73,"")</f>
        <v>0.339180417910341</v>
      </c>
      <c r="AC170" s="35" t="n">
        <f aca="false">IFERROR(AC58/AC73,"")</f>
        <v>0.34226994067089</v>
      </c>
      <c r="AD170" s="35" t="n">
        <f aca="false">IFERROR(AD58/AD73,"")</f>
        <v>0.340753704713831</v>
      </c>
      <c r="AE170" s="35" t="n">
        <f aca="false">IFERROR(AE58/AE73,"")</f>
        <v>0.389056247750735</v>
      </c>
      <c r="AF170" s="35" t="n">
        <f aca="false">IFERROR(AF58/AF73,"")</f>
        <v>0.359431032203955</v>
      </c>
      <c r="AG170" s="35" t="n">
        <f aca="false">IFERROR(AG58/AG73,"")</f>
        <v>0.361729726364575</v>
      </c>
      <c r="AH170" s="35" t="n">
        <f aca="false">IFERROR(AH58/AH73,"")</f>
        <v>0.357254771031244</v>
      </c>
      <c r="AI170" s="35" t="n">
        <f aca="false">IFERROR(AI58/AI73,"")</f>
        <v>0.358940230863536</v>
      </c>
      <c r="AJ170" s="35" t="n">
        <f aca="false">IFERROR(AJ58/AJ73,"")</f>
        <v>0.358101791397358</v>
      </c>
      <c r="AK170" s="35" t="n">
        <f aca="false">IFERROR(AK58/AK73,"")</f>
        <v>0.399967488435012</v>
      </c>
      <c r="AL170" s="35" t="n">
        <f aca="false">IFERROR(AL58/AL73,"")</f>
        <v>0.38604492523991</v>
      </c>
      <c r="AM170" s="35" t="n">
        <f aca="false">IFERROR(AM58/AM73,"")</f>
        <v>0.376216351618052</v>
      </c>
      <c r="AN170" s="35" t="n">
        <f aca="false">IFERROR(AN58/AN73,"")</f>
        <v>0.333878749501949</v>
      </c>
      <c r="AO170" s="35" t="n">
        <f aca="false">IFERROR(AO58/AO73,"")</f>
        <v>0.367936935684832</v>
      </c>
      <c r="AP170" s="35" t="n">
        <f aca="false">IFERROR(AP58/AP73,"")</f>
        <v>0.351682211321015</v>
      </c>
      <c r="AQ170" s="35" t="n">
        <f aca="false">IFERROR(AQ58/AQ73,"")</f>
        <v>0.400598634359459</v>
      </c>
      <c r="AR170" s="35" t="n">
        <f aca="false">IFERROR(AR58/AR73,"")</f>
        <v>0.389975092152267</v>
      </c>
      <c r="AS170" s="35" t="n">
        <f aca="false">IFERROR(AS58/AS73,"")</f>
        <v>0.374202632181962</v>
      </c>
      <c r="AT170" s="35" t="n">
        <f aca="false">IFERROR(AT58/AT73,"")</f>
        <v>0.376892198852109</v>
      </c>
      <c r="AU170" s="35" t="n">
        <f aca="false">IFERROR(AU58/AU73,"")</f>
        <v>0.387121965169307</v>
      </c>
      <c r="AV170" s="35" t="n">
        <f aca="false">IFERROR(AV58/AV73,"")</f>
        <v>0.382134269504206</v>
      </c>
      <c r="AW170" s="35" t="n">
        <f aca="false">IFERROR(AW58/AW73,"")</f>
        <v>0.419761858272044</v>
      </c>
      <c r="AX170" s="35" t="n">
        <f aca="false">IFERROR(AX58/AX73,"")</f>
        <v>0.394798875731466</v>
      </c>
      <c r="AY170" s="35" t="n">
        <f aca="false">IFERROR(AY58/AY73,"")</f>
        <v>0.395693771546936</v>
      </c>
      <c r="AZ170" s="35" t="n">
        <f aca="false">IFERROR(AZ58/AZ73,"")</f>
        <v>0.419523685843326</v>
      </c>
      <c r="BA170" s="35" t="n">
        <f aca="false">IFERROR(BA58/BA73,"")</f>
        <v>0.405580090644597</v>
      </c>
      <c r="BB170" s="35" t="n">
        <f aca="false">IFERROR(BB58/BB73,"")</f>
        <v>0.412424026733619</v>
      </c>
      <c r="BC170" s="35" t="n">
        <f aca="false">IFERROR(BC58/BC73,"")</f>
        <v>0.405988201661942</v>
      </c>
      <c r="BD170" s="35" t="n">
        <f aca="false">IFERROR(BD58/BD73,"")</f>
        <v>0.444599382235759</v>
      </c>
      <c r="BE170" s="35" t="n">
        <f aca="false">IFERROR(BE58/BE73,"")</f>
        <v>0.418487084820657</v>
      </c>
      <c r="BF170" s="35" t="n">
        <f aca="false">IFERROR(BF58/BF73,"")</f>
        <v>0.473565622154012</v>
      </c>
      <c r="BG170" s="35" t="n">
        <f aca="false">IFERROR(BG58/BG73,"")</f>
        <v>0.467874385565717</v>
      </c>
      <c r="BH170" s="35" t="n">
        <f aca="false">IFERROR(BH58/BH73,"")</f>
        <v>0.470663346476899</v>
      </c>
      <c r="BI170" s="35" t="n">
        <f aca="false">IFERROR(BI58/BI73,"")</f>
        <v>0.491677453638729</v>
      </c>
      <c r="BJ170" s="35" t="n">
        <f aca="false">IFERROR(BJ58/BJ73,"")</f>
        <v>0.450616904656951</v>
      </c>
      <c r="BK170" s="35" t="n">
        <f aca="false">IFERROR(BK58/BK73,"")</f>
        <v>0.470817513218454</v>
      </c>
      <c r="BL170" s="35" t="n">
        <f aca="false">IFERROR(BL58/BL73,"")</f>
        <v>0.44769617790681</v>
      </c>
      <c r="BM170" s="35" t="n">
        <f aca="false">IFERROR(BM58/BM73,"")</f>
        <v>0.437819611278906</v>
      </c>
      <c r="BN170" s="35" t="n">
        <f aca="false">IFERROR(BN58/BN73,"")</f>
        <v>0.442589139671625</v>
      </c>
      <c r="BO170" s="35" t="n">
        <f aca="false">IFERROR(BO58/BO73,"")</f>
        <v>0.444139933605762</v>
      </c>
      <c r="BP170" s="35" t="n">
        <f aca="false">IFERROR(BP58/BP73,"")</f>
        <v>0.406634457339244</v>
      </c>
      <c r="BQ170" s="35" t="n">
        <f aca="false">IFERROR(BQ58/BQ73,"")</f>
        <v>0.43393590810342</v>
      </c>
      <c r="BR170" s="35" t="n">
        <f aca="false">IFERROR(BR58/BR73,"")</f>
        <v>0.389243226785706</v>
      </c>
      <c r="BS170" s="35" t="n">
        <f aca="false">IFERROR(BS58/BS73,"")</f>
        <v>0.419177317596297</v>
      </c>
      <c r="BT170" s="35" t="n">
        <f aca="false">IFERROR(BT58/BT73,"")</f>
        <v>0.404722781952937</v>
      </c>
      <c r="BU170" s="35" t="n">
        <f aca="false">IFERROR(BU58/BU73,"")</f>
        <v>0.450096933837396</v>
      </c>
      <c r="BV170" s="35" t="n">
        <f aca="false">IFERROR(BV58/BV73,"")</f>
        <v>0.440239537044741</v>
      </c>
      <c r="BW170" s="35" t="n">
        <f aca="false">IFERROR(BW58/BW73,"")</f>
        <v>0.42586130882451</v>
      </c>
      <c r="BX170" s="35" t="n">
        <f aca="false">IFERROR(BX58/BX73,"")</f>
        <v>0.425775370045158</v>
      </c>
      <c r="BY170" s="35" t="n">
        <f aca="false">IFERROR(BY58/BY73,"")</f>
        <v>0.413722897341467</v>
      </c>
      <c r="BZ170" s="35" t="n">
        <f aca="false">IFERROR(BZ58/BZ73,"")</f>
        <v>0.419749922202919</v>
      </c>
      <c r="CA170" s="35" t="n">
        <f aca="false">IFERROR(CA58/CA73,"")</f>
        <v>0.431690498811719</v>
      </c>
      <c r="CB170" s="35" t="n">
        <f aca="false">IFERROR(CB58/CB73,"")</f>
        <v>0.388715050247942</v>
      </c>
      <c r="CC170" s="35" t="n">
        <f aca="false">IFERROR(CC58/CC73,"")</f>
        <v>0.415096169936766</v>
      </c>
      <c r="CD170" s="35" t="n">
        <f aca="false">IFERROR(CD58/CD73,"")</f>
        <v>0.400581080527263</v>
      </c>
      <c r="CE170" s="35" t="n">
        <f aca="false">IFERROR(CE58/CE73,"")</f>
        <v>0.409607535699672</v>
      </c>
      <c r="CF170" s="35" t="n">
        <f aca="false">IFERROR(CF58/CF73,"")</f>
        <v>0.405126518032418</v>
      </c>
      <c r="CG170" s="35" t="n">
        <f aca="false">IFERROR(CG58/CG73,"")</f>
        <v>0.424558229816228</v>
      </c>
      <c r="CH170" s="35" t="n">
        <f aca="false">IFERROR(CH58/CH73,"")</f>
        <v>0.428563937153863</v>
      </c>
      <c r="CI170" s="35" t="n">
        <f aca="false">IFERROR(CI58/CI73,"")</f>
        <v>0.415867972122838</v>
      </c>
      <c r="CJ170" s="35" t="n">
        <f aca="false">IFERROR(CJ58/CJ73,"")</f>
        <v>0.422205483840247</v>
      </c>
      <c r="CK170" s="35" t="n">
        <f aca="false">IFERROR(CK58/CK73,"")</f>
        <v>0.398020280402327</v>
      </c>
      <c r="CL170" s="35" t="n">
        <f aca="false">IFERROR(CL58/CL73,"")</f>
        <v>0.410290050880571</v>
      </c>
      <c r="CM170" s="35" t="n">
        <f aca="false">IFERROR(CM58/CM73,"")</f>
        <v>0.422179576514107</v>
      </c>
      <c r="CN170" s="35" t="n">
        <f aca="false">IFERROR(CN58/CN73,"")</f>
        <v>0.36969765861794</v>
      </c>
      <c r="CO170" s="35" t="n">
        <f aca="false">IFERROR(CO58/CO73,"")</f>
        <v>0.403416777945437</v>
      </c>
      <c r="CP170" s="45" t="n">
        <f aca="false">IFERROR(CP58/CP73,"")</f>
        <v>0.4</v>
      </c>
      <c r="CQ170" s="45" t="n">
        <f aca="false">IFERROR(CQ58/CQ73,"")</f>
        <v>0.405</v>
      </c>
      <c r="CR170" s="45" t="n">
        <f aca="false">IFERROR(CR58/CR73,"")</f>
        <v>0.41</v>
      </c>
      <c r="CS170" s="45" t="n">
        <f aca="false">IFERROR(CS58/CS73,"")</f>
        <v>0.415</v>
      </c>
      <c r="CT170" s="45" t="n">
        <f aca="false">IFERROR(CT58/CT73,"")</f>
        <v>0.42</v>
      </c>
      <c r="CU170" s="24"/>
      <c r="CW170" s="6"/>
      <c r="CX170" s="6"/>
      <c r="CY170" s="6"/>
      <c r="CZ170" s="6"/>
    </row>
    <row r="171" customFormat="false" ht="15" hidden="false" customHeight="false" outlineLevel="0" collapsed="false">
      <c r="B171" s="28" t="s">
        <v>298</v>
      </c>
      <c r="C171" s="35" t="n">
        <f aca="false">IFERROR(C81/C73,"")</f>
        <v>0.324577019927313</v>
      </c>
      <c r="D171" s="35" t="n">
        <f aca="false">IFERROR(D81/D73,"")</f>
        <v>0.362318969822358</v>
      </c>
      <c r="E171" s="35" t="n">
        <f aca="false">IFERROR(E81/E73,"")</f>
        <v>0.303137677614009</v>
      </c>
      <c r="F171" s="35" t="n">
        <f aca="false">IFERROR(F81/F73,"")</f>
        <v>0.303230329896297</v>
      </c>
      <c r="G171" s="35" t="n">
        <f aca="false">IFERROR(G81/G73,"")</f>
        <v>0.309323969211222</v>
      </c>
      <c r="H171" s="35" t="n">
        <f aca="false">IFERROR(H81/H73,"")</f>
        <v>0.304145848762849</v>
      </c>
      <c r="I171" s="35" t="n">
        <f aca="false">IFERROR(I81/I73,"")</f>
        <v>0.309841796771447</v>
      </c>
      <c r="J171" s="35" t="n">
        <f aca="false">IFERROR(J81/J73,"")</f>
        <v>0.311291686552293</v>
      </c>
      <c r="K171" s="35" t="n">
        <f aca="false">IFERROR(K81/K73,"")</f>
        <v>0.235813438022428</v>
      </c>
      <c r="L171" s="35" t="n">
        <f aca="false">IFERROR(L81/L73,"")</f>
        <v>0.27151119391903</v>
      </c>
      <c r="M171" s="35" t="n">
        <f aca="false">IFERROR(M81/M73,"")</f>
        <v>0.298276892932524</v>
      </c>
      <c r="N171" s="35" t="n">
        <f aca="false">IFERROR(N81/N73,"")</f>
        <v>0.239107763835008</v>
      </c>
      <c r="O171" s="35" t="n">
        <f aca="false">IFERROR(O81/O73,"")</f>
        <v>0.270447043442859</v>
      </c>
      <c r="P171" s="35" t="n">
        <f aca="false">IFERROR(P81/P73,"")</f>
        <v>0.2320934104608</v>
      </c>
      <c r="Q171" s="35" t="n">
        <f aca="false">IFERROR(Q81/Q73,"")</f>
        <v>0.249565344896206</v>
      </c>
      <c r="R171" s="35" t="n">
        <f aca="false">IFERROR(R81/R73,"")</f>
        <v>0.240930432955394</v>
      </c>
      <c r="S171" s="35" t="n">
        <f aca="false">IFERROR(S81/S73,"")</f>
        <v>0.202223284106392</v>
      </c>
      <c r="T171" s="35" t="n">
        <f aca="false">IFERROR(T81/T73,"")</f>
        <v>0.263899808662376</v>
      </c>
      <c r="U171" s="35" t="n">
        <f aca="false">IFERROR(U81/U73,"")</f>
        <v>0.236301331598322</v>
      </c>
      <c r="V171" s="35" t="n">
        <f aca="false">IFERROR(V81/V73,"")</f>
        <v>0.283763680067221</v>
      </c>
      <c r="W171" s="35" t="n">
        <f aca="false">IFERROR(W81/W73,"")</f>
        <v>0.291278442615237</v>
      </c>
      <c r="X171" s="35" t="n">
        <f aca="false">IFERROR(X81/X73,"")</f>
        <v>0.287427379448119</v>
      </c>
      <c r="Y171" s="35" t="n">
        <f aca="false">IFERROR(Y81/Y73,"")</f>
        <v>0.318928323831703</v>
      </c>
      <c r="Z171" s="35" t="n">
        <f aca="false">IFERROR(Z81/Z73,"")</f>
        <v>0.307357957866472</v>
      </c>
      <c r="AA171" s="35" t="n">
        <f aca="false">IFERROR(AA81/AA73,"")</f>
        <v>0.300503717457523</v>
      </c>
      <c r="AB171" s="35" t="n">
        <f aca="false">IFERROR(AB81/AB73,"")</f>
        <v>0.298596445066093</v>
      </c>
      <c r="AC171" s="35" t="n">
        <f aca="false">IFERROR(AC81/AC73,"")</f>
        <v>0.307251106083962</v>
      </c>
      <c r="AD171" s="35" t="n">
        <f aca="false">IFERROR(AD81/AD73,"")</f>
        <v>0.303003683666812</v>
      </c>
      <c r="AE171" s="35" t="n">
        <f aca="false">IFERROR(AE81/AE73,"")</f>
        <v>0.351186190769656</v>
      </c>
      <c r="AF171" s="35" t="n">
        <f aca="false">IFERROR(AF81/AF73,"")</f>
        <v>0.319218779591113</v>
      </c>
      <c r="AG171" s="35" t="n">
        <f aca="false">IFERROR(AG81/AG73,"")</f>
        <v>0.320446466511464</v>
      </c>
      <c r="AH171" s="35" t="n">
        <f aca="false">IFERROR(AH81/AH73,"")</f>
        <v>0.302967418227642</v>
      </c>
      <c r="AI171" s="35" t="n">
        <f aca="false">IFERROR(AI81/AI73,"")</f>
        <v>0.311502237277274</v>
      </c>
      <c r="AJ171" s="35" t="n">
        <f aca="false">IFERROR(AJ81/AJ73,"")</f>
        <v>0.307256553701315</v>
      </c>
      <c r="AK171" s="35" t="n">
        <f aca="false">IFERROR(AK81/AK73,"")</f>
        <v>0.36587831873793</v>
      </c>
      <c r="AL171" s="35" t="n">
        <f aca="false">IFERROR(AL81/AL73,"")</f>
        <v>0.292678739342201</v>
      </c>
      <c r="AM171" s="35" t="n">
        <f aca="false">IFERROR(AM81/AM73,"")</f>
        <v>0.318580837731987</v>
      </c>
      <c r="AN171" s="35" t="n">
        <f aca="false">IFERROR(AN81/AN73,"")</f>
        <v>0.295685739369418</v>
      </c>
      <c r="AO171" s="35" t="n">
        <f aca="false">IFERROR(AO81/AO73,"")</f>
        <v>0.328784637970316</v>
      </c>
      <c r="AP171" s="35" t="n">
        <f aca="false">IFERROR(AP81/AP73,"")</f>
        <v>0.312987746420821</v>
      </c>
      <c r="AQ171" s="35" t="n">
        <f aca="false">IFERROR(AQ81/AQ73,"")</f>
        <v>0.365160456547288</v>
      </c>
      <c r="AR171" s="35" t="n">
        <f aca="false">IFERROR(AR81/AR73,"")</f>
        <v>0.30015604721931</v>
      </c>
      <c r="AS171" s="35" t="n">
        <f aca="false">IFERROR(AS81/AS73,"")</f>
        <v>0.323612237947162</v>
      </c>
      <c r="AT171" s="35" t="n">
        <f aca="false">IFERROR(AT81/AT73,"")</f>
        <v>0.328241230427771</v>
      </c>
      <c r="AU171" s="35" t="n">
        <f aca="false">IFERROR(AU81/AU73,"")</f>
        <v>0.33973949160442</v>
      </c>
      <c r="AV171" s="35" t="n">
        <f aca="false">IFERROR(AV81/AV73,"")</f>
        <v>0.334133319806482</v>
      </c>
      <c r="AW171" s="35" t="n">
        <f aca="false">IFERROR(AW81/AW73,"")</f>
        <v>0.375136499396148</v>
      </c>
      <c r="AX171" s="35" t="n">
        <f aca="false">IFERROR(AX81/AX73,"")</f>
        <v>0.35534626549325</v>
      </c>
      <c r="AY171" s="35" t="n">
        <f aca="false">IFERROR(AY81/AY73,"")</f>
        <v>0.350876634522666</v>
      </c>
      <c r="AZ171" s="35" t="n">
        <f aca="false">IFERROR(AZ81/AZ73,"")</f>
        <v>0.370458349566397</v>
      </c>
      <c r="BA171" s="35" t="n">
        <f aca="false">IFERROR(BA81/BA73,"")</f>
        <v>0.364940710087979</v>
      </c>
      <c r="BB171" s="35" t="n">
        <f aca="false">IFERROR(BB81/BB73,"")</f>
        <v>0.367648933570829</v>
      </c>
      <c r="BC171" s="35" t="n">
        <f aca="false">IFERROR(BC81/BC73,"")</f>
        <v>0.354497056472127</v>
      </c>
      <c r="BD171" s="35" t="n">
        <f aca="false">IFERROR(BD81/BD73,"")</f>
        <v>0.391346861748776</v>
      </c>
      <c r="BE171" s="35" t="n">
        <f aca="false">IFERROR(BE81/BE73,"")</f>
        <v>0.370015093514957</v>
      </c>
      <c r="BF171" s="35" t="n">
        <f aca="false">IFERROR(BF81/BF73,"")</f>
        <v>0.419256585826559</v>
      </c>
      <c r="BG171" s="35" t="n">
        <f aca="false">IFERROR(BG81/BG73,"")</f>
        <v>0.418489508630847</v>
      </c>
      <c r="BH171" s="35" t="n">
        <f aca="false">IFERROR(BH81/BH73,"")</f>
        <v>0.418865410823896</v>
      </c>
      <c r="BI171" s="35" t="n">
        <f aca="false">IFERROR(BI81/BI73,"")</f>
        <v>0.447072529329209</v>
      </c>
      <c r="BJ171" s="35" t="n">
        <f aca="false">IFERROR(BJ81/BJ73,"")</f>
        <v>0.402735663812564</v>
      </c>
      <c r="BK171" s="35" t="n">
        <f aca="false">IFERROR(BK81/BK73,"")</f>
        <v>0.422069213459109</v>
      </c>
      <c r="BL171" s="35" t="n">
        <f aca="false">IFERROR(BL81/BL73,"")</f>
        <v>0.407490384283055</v>
      </c>
      <c r="BM171" s="35" t="n">
        <f aca="false">IFERROR(BM81/BM73,"")</f>
        <v>0.400396560071934</v>
      </c>
      <c r="BN171" s="35" t="n">
        <f aca="false">IFERROR(BN81/BN73,"")</f>
        <v>0.403822264293106</v>
      </c>
      <c r="BO171" s="35" t="n">
        <f aca="false">IFERROR(BO81/BO73,"")</f>
        <v>0.396572763609631</v>
      </c>
      <c r="BP171" s="35" t="n">
        <f aca="false">IFERROR(BP81/BP73,"")</f>
        <v>0.367667434921009</v>
      </c>
      <c r="BQ171" s="35" t="n">
        <f aca="false">IFERROR(BQ81/BQ73,"")</f>
        <v>0.392752935584665</v>
      </c>
      <c r="BR171" s="35" t="n">
        <f aca="false">IFERROR(BR81/BR73,"")</f>
        <v>0.348682295840926</v>
      </c>
      <c r="BS171" s="35" t="n">
        <f aca="false">IFERROR(BS81/BS73,"")</f>
        <v>0.382058984618343</v>
      </c>
      <c r="BT171" s="35" t="n">
        <f aca="false">IFERROR(BT81/BT73,"")</f>
        <v>0.365942091653622</v>
      </c>
      <c r="BU171" s="35" t="n">
        <f aca="false">IFERROR(BU81/BU73,"")</f>
        <v>0.409973860648189</v>
      </c>
      <c r="BV171" s="35" t="n">
        <f aca="false">IFERROR(BV81/BV73,"")</f>
        <v>0.391560268687268</v>
      </c>
      <c r="BW171" s="35" t="n">
        <f aca="false">IFERROR(BW81/BW73,"")</f>
        <v>0.384174204642542</v>
      </c>
      <c r="BX171" s="35" t="n">
        <f aca="false">IFERROR(BX81/BX73,"")</f>
        <v>0.387465504264927</v>
      </c>
      <c r="BY171" s="35" t="n">
        <f aca="false">IFERROR(BY81/BY73,"")</f>
        <v>0.372396581283715</v>
      </c>
      <c r="BZ171" s="35" t="n">
        <f aca="false">IFERROR(BZ81/BZ73,"")</f>
        <v>0.379932028629326</v>
      </c>
      <c r="CA171" s="35" t="n">
        <f aca="false">IFERROR(CA81/CA73,"")</f>
        <v>0.387846093932273</v>
      </c>
      <c r="CB171" s="35" t="n">
        <f aca="false">IFERROR(CB81/CB73,"")</f>
        <v>0.336337077957977</v>
      </c>
      <c r="CC171" s="35" t="n">
        <f aca="false">IFERROR(CC81/CC73,"")</f>
        <v>0.371038157600636</v>
      </c>
      <c r="CD171" s="35" t="n">
        <f aca="false">IFERROR(CD81/CD73,"")</f>
        <v>0.354339661797879</v>
      </c>
      <c r="CE171" s="35" t="n">
        <f aca="false">IFERROR(CE81/CE73,"")</f>
        <v>0.366375946002634</v>
      </c>
      <c r="CF171" s="35" t="n">
        <f aca="false">IFERROR(CF81/CF73,"")</f>
        <v>0.360400754065221</v>
      </c>
      <c r="CG171" s="35" t="n">
        <f aca="false">IFERROR(CG81/CG73,"")</f>
        <v>0.372649201628104</v>
      </c>
      <c r="CH171" s="35" t="n">
        <f aca="false">IFERROR(CH81/CH73,"")</f>
        <v>0.366715936492587</v>
      </c>
      <c r="CI171" s="35" t="n">
        <f aca="false">IFERROR(CI81/CI73,"")</f>
        <v>0.365123592681492</v>
      </c>
      <c r="CJ171" s="35" t="n">
        <f aca="false">IFERROR(CJ81/CJ73,"")</f>
        <v>0.372885552756206</v>
      </c>
      <c r="CK171" s="35" t="n">
        <f aca="false">IFERROR(CK81/CK73,"")</f>
        <v>0.346544539679087</v>
      </c>
      <c r="CL171" s="35" t="n">
        <f aca="false">IFERROR(CL81/CL73,"")</f>
        <v>0.359908007365033</v>
      </c>
      <c r="CM171" s="35" t="n">
        <f aca="false">IFERROR(CM81/CM73,"")</f>
        <v>0.375308997256411</v>
      </c>
      <c r="CN171" s="35" t="n">
        <f aca="false">IFERROR(CN81/CN73,"")</f>
        <v>0.32010718137793</v>
      </c>
      <c r="CO171" s="35" t="n">
        <f aca="false">IFERROR(CO81/CO73,"")</f>
        <v>0.354161161662497</v>
      </c>
      <c r="CP171" s="45" t="n">
        <f aca="false">IFERROR(CP81/CP73,"")</f>
        <v>0.35</v>
      </c>
      <c r="CQ171" s="45" t="n">
        <f aca="false">IFERROR(CQ81/CQ73,"")</f>
        <v>0.355</v>
      </c>
      <c r="CR171" s="45" t="n">
        <f aca="false">IFERROR(CR81/CR73,"")</f>
        <v>0.36</v>
      </c>
      <c r="CS171" s="45" t="n">
        <f aca="false">IFERROR(CS81/CS73,"")</f>
        <v>0.365</v>
      </c>
      <c r="CT171" s="45" t="n">
        <f aca="false">IFERROR(CT81/CT73,"")</f>
        <v>0.37</v>
      </c>
      <c r="CU171" s="24"/>
      <c r="CW171" s="6"/>
      <c r="CX171" s="6"/>
      <c r="CY171" s="6"/>
      <c r="CZ171" s="6"/>
    </row>
    <row r="172" customFormat="false" ht="15" hidden="false" customHeight="false" outlineLevel="0" collapsed="false">
      <c r="B172" s="28" t="s">
        <v>299</v>
      </c>
      <c r="C172" s="35" t="n">
        <f aca="false">IFERROR(C93/C73,"")</f>
        <v>0.183413391956804</v>
      </c>
      <c r="D172" s="35" t="n">
        <f aca="false">IFERROR(D93/D73,"")</f>
        <v>0.24316544196333</v>
      </c>
      <c r="E172" s="35" t="n">
        <f aca="false">IFERROR(E93/E73,"")</f>
        <v>0.199952092634497</v>
      </c>
      <c r="F172" s="35" t="n">
        <f aca="false">IFERROR(F93/F73,"")</f>
        <v>0.189888868254109</v>
      </c>
      <c r="G172" s="35" t="n">
        <f aca="false">IFERROR(G93/G73,"")</f>
        <v>0.196184655036558</v>
      </c>
      <c r="H172" s="35" t="n">
        <f aca="false">IFERROR(H93/H73,"")</f>
        <v>0.190743207764782</v>
      </c>
      <c r="I172" s="35" t="n">
        <f aca="false">IFERROR(I93/I73,"")</f>
        <v>0.197057751049296</v>
      </c>
      <c r="J172" s="35" t="n">
        <f aca="false">IFERROR(J93/J73,"")</f>
        <v>0.191927691676505</v>
      </c>
      <c r="K172" s="35" t="n">
        <f aca="false">IFERROR(K93/K73,"")</f>
        <v>0.148918984916506</v>
      </c>
      <c r="L172" s="35" t="n">
        <f aca="false">IFERROR(L93/L73,"")</f>
        <v>0.169260134125069</v>
      </c>
      <c r="M172" s="35" t="n">
        <f aca="false">IFERROR(M93/M73,"")</f>
        <v>0.191746086630793</v>
      </c>
      <c r="N172" s="35" t="n">
        <f aca="false">IFERROR(N93/N73,"")</f>
        <v>0.156634318934231</v>
      </c>
      <c r="O172" s="35" t="n">
        <f aca="false">IFERROR(O93/O73,"")</f>
        <v>0.172044541880339</v>
      </c>
      <c r="P172" s="35" t="n">
        <f aca="false">IFERROR(P93/P73,"")</f>
        <v>0.147997556121665</v>
      </c>
      <c r="Q172" s="35" t="n">
        <f aca="false">IFERROR(Q93/Q73,"")</f>
        <v>0.15830872033348</v>
      </c>
      <c r="R172" s="35" t="n">
        <f aca="false">IFERROR(R93/R73,"")</f>
        <v>0.15321277658979</v>
      </c>
      <c r="S172" s="35" t="n">
        <f aca="false">IFERROR(S93/S73,"")</f>
        <v>0.131979646263423</v>
      </c>
      <c r="T172" s="35" t="n">
        <f aca="false">IFERROR(T93/T73,"")</f>
        <v>0.177571751608975</v>
      </c>
      <c r="U172" s="35" t="n">
        <f aca="false">IFERROR(U93/U73,"")</f>
        <v>0.153578589913613</v>
      </c>
      <c r="V172" s="35" t="n">
        <f aca="false">IFERROR(V93/V73,"")</f>
        <v>0.181189864525149</v>
      </c>
      <c r="W172" s="35" t="n">
        <f aca="false">IFERROR(W93/W73,"")</f>
        <v>0.188928465420006</v>
      </c>
      <c r="X172" s="35" t="n">
        <f aca="false">IFERROR(X93/X73,"")</f>
        <v>0.184962692625352</v>
      </c>
      <c r="Y172" s="35" t="n">
        <f aca="false">IFERROR(Y93/Y73,"")</f>
        <v>0.193722193429404</v>
      </c>
      <c r="Z172" s="35" t="n">
        <f aca="false">IFERROR(Z93/Z73,"")</f>
        <v>0.203377341981558</v>
      </c>
      <c r="AA172" s="35" t="n">
        <f aca="false">IFERROR(AA93/AA73,"")</f>
        <v>0.191769502800418</v>
      </c>
      <c r="AB172" s="35" t="n">
        <f aca="false">IFERROR(AB93/AB73,"")</f>
        <v>0.182143623761417</v>
      </c>
      <c r="AC172" s="35" t="n">
        <f aca="false">IFERROR(AC93/AC73,"")</f>
        <v>0.196882945286381</v>
      </c>
      <c r="AD172" s="35" t="n">
        <f aca="false">IFERROR(AD93/AD73,"")</f>
        <v>0.189649372009569</v>
      </c>
      <c r="AE172" s="35" t="n">
        <f aca="false">IFERROR(AE93/AE73,"")</f>
        <v>0.214899523680618</v>
      </c>
      <c r="AF172" s="35" t="n">
        <f aca="false">IFERROR(AF93/AF73,"")</f>
        <v>0.252871559164189</v>
      </c>
      <c r="AG172" s="35" t="n">
        <f aca="false">IFERROR(AG93/AG73,"")</f>
        <v>0.213142191763327</v>
      </c>
      <c r="AH172" s="35" t="n">
        <f aca="false">IFERROR(AH93/AH73,"")</f>
        <v>0.483480784182248</v>
      </c>
      <c r="AI172" s="35" t="n">
        <f aca="false">IFERROR(AI93/AI73,"")</f>
        <v>0.18901273703123</v>
      </c>
      <c r="AJ172" s="35" t="n">
        <f aca="false">IFERROR(AJ93/AJ73,"")</f>
        <v>0.335497172631243</v>
      </c>
      <c r="AK172" s="35" t="n">
        <f aca="false">IFERROR(AK93/AK73,"")</f>
        <v>0.242190968860168</v>
      </c>
      <c r="AL172" s="35" t="n">
        <f aca="false">IFERROR(AL93/AL73,"")</f>
        <v>0.185778507960993</v>
      </c>
      <c r="AM172" s="35" t="n">
        <f aca="false">IFERROR(AM93/AM73,"")</f>
        <v>0.272259787939206</v>
      </c>
      <c r="AN172" s="35" t="n">
        <f aca="false">IFERROR(AN93/AN73,"")</f>
        <v>0.184925853118559</v>
      </c>
      <c r="AO172" s="35" t="n">
        <f aca="false">IFERROR(AO93/AO73,"")</f>
        <v>0.224906666434331</v>
      </c>
      <c r="AP172" s="35" t="n">
        <f aca="false">IFERROR(AP93/AP73,"")</f>
        <v>0.205825289146667</v>
      </c>
      <c r="AQ172" s="35" t="n">
        <f aca="false">IFERROR(AQ93/AQ73,"")</f>
        <v>0.266308098319106</v>
      </c>
      <c r="AR172" s="35" t="n">
        <f aca="false">IFERROR(AR93/AR73,"")</f>
        <v>0.244306279954499</v>
      </c>
      <c r="AS172" s="35" t="n">
        <f aca="false">IFERROR(AS93/AS73,"")</f>
        <v>0.231416158321311</v>
      </c>
      <c r="AT172" s="35" t="n">
        <f aca="false">IFERROR(AT93/AT73,"")</f>
        <v>0.247271158814656</v>
      </c>
      <c r="AU172" s="35" t="n">
        <f aca="false">IFERROR(AU93/AU73,"")</f>
        <v>0.270929143861183</v>
      </c>
      <c r="AV172" s="35" t="n">
        <f aca="false">IFERROR(AV93/AV73,"")</f>
        <v>0.259394292936658</v>
      </c>
      <c r="AW172" s="35" t="n">
        <f aca="false">IFERROR(AW93/AW73,"")</f>
        <v>0.348463975007051</v>
      </c>
      <c r="AX172" s="35" t="n">
        <f aca="false">IFERROR(AX93/AX73,"")</f>
        <v>0.28290282449431</v>
      </c>
      <c r="AY172" s="35" t="n">
        <f aca="false">IFERROR(AY93/AY73,"")</f>
        <v>0.289767610189637</v>
      </c>
      <c r="AZ172" s="35" t="n">
        <f aca="false">IFERROR(AZ93/AZ73,"")</f>
        <v>0.393525532805218</v>
      </c>
      <c r="BA172" s="35" t="n">
        <f aca="false">IFERROR(BA93/BA73,"")</f>
        <v>0.293332058281462</v>
      </c>
      <c r="BB172" s="35" t="n">
        <f aca="false">IFERROR(BB93/BB73,"")</f>
        <v>0.342510030418816</v>
      </c>
      <c r="BC172" s="35" t="n">
        <f aca="false">IFERROR(BC93/BC73,"")</f>
        <v>0.267982774910967</v>
      </c>
      <c r="BD172" s="35" t="n">
        <f aca="false">IFERROR(BD93/BD73,"")</f>
        <v>0.314905670786575</v>
      </c>
      <c r="BE172" s="35" t="n">
        <f aca="false">IFERROR(BE93/BE73,"")</f>
        <v>0.317334237704952</v>
      </c>
      <c r="BF172" s="35" t="n">
        <f aca="false">IFERROR(BF93/BF73,"")</f>
        <v>0.337782912267683</v>
      </c>
      <c r="BG172" s="35" t="n">
        <f aca="false">IFERROR(BG93/BG73,"")</f>
        <v>0.313501266549006</v>
      </c>
      <c r="BH172" s="35" t="n">
        <f aca="false">IFERROR(BH93/BH73,"")</f>
        <v>0.325400360835094</v>
      </c>
      <c r="BI172" s="35" t="n">
        <f aca="false">IFERROR(BI93/BI73,"")</f>
        <v>0.390778160809909</v>
      </c>
      <c r="BJ172" s="35" t="n">
        <f aca="false">IFERROR(BJ93/BJ73,"")</f>
        <v>0.34192324646354</v>
      </c>
      <c r="BK172" s="35" t="n">
        <f aca="false">IFERROR(BK93/BK73,"")</f>
        <v>0.347814735018724</v>
      </c>
      <c r="BL172" s="35" t="n">
        <f aca="false">IFERROR(BL93/BL73,"")</f>
        <v>0.321383428873319</v>
      </c>
      <c r="BM172" s="35" t="n">
        <f aca="false">IFERROR(BM93/BM73,"")</f>
        <v>0.331325940100985</v>
      </c>
      <c r="BN172" s="35" t="n">
        <f aca="false">IFERROR(BN93/BN73,"")</f>
        <v>0.326524566163883</v>
      </c>
      <c r="BO172" s="35" t="n">
        <f aca="false">IFERROR(BO93/BO73,"")</f>
        <v>0.296422860583803</v>
      </c>
      <c r="BP172" s="35" t="n">
        <f aca="false">IFERROR(BP93/BP73,"")</f>
        <v>0.29854944826056</v>
      </c>
      <c r="BQ172" s="35" t="n">
        <f aca="false">IFERROR(BQ93/BQ73,"")</f>
        <v>0.311383775869264</v>
      </c>
      <c r="BR172" s="35" t="n">
        <f aca="false">IFERROR(BR93/BR73,"")</f>
        <v>0.275191073819193</v>
      </c>
      <c r="BS172" s="35" t="n">
        <f aca="false">IFERROR(BS93/BS73,"")</f>
        <v>0.30696104623695</v>
      </c>
      <c r="BT172" s="35" t="n">
        <f aca="false">IFERROR(BT93/BT73,"")</f>
        <v>0.291620002421496</v>
      </c>
      <c r="BU172" s="35" t="n">
        <f aca="false">IFERROR(BU93/BU73,"")</f>
        <v>0.342944185486641</v>
      </c>
      <c r="BV172" s="35" t="n">
        <f aca="false">IFERROR(BV93/BV73,"")</f>
        <v>0.348624837232894</v>
      </c>
      <c r="BW172" s="35" t="n">
        <f aca="false">IFERROR(BW93/BW73,"")</f>
        <v>0.31986955481277</v>
      </c>
      <c r="BX172" s="35" t="n">
        <f aca="false">IFERROR(BX93/BX73,"")</f>
        <v>0.325873957288008</v>
      </c>
      <c r="BY172" s="35" t="n">
        <f aca="false">IFERROR(BY93/BY73,"")</f>
        <v>0.319203371272236</v>
      </c>
      <c r="BZ172" s="35" t="n">
        <f aca="false">IFERROR(BZ93/BZ73,"")</f>
        <v>0.32253910069025</v>
      </c>
      <c r="CA172" s="35" t="n">
        <f aca="false">IFERROR(CA93/CA73,"")</f>
        <v>0.339133242670939</v>
      </c>
      <c r="CB172" s="35" t="n">
        <f aca="false">IFERROR(CB93/CB73,"")</f>
        <v>0.301746774318779</v>
      </c>
      <c r="CC172" s="35" t="n">
        <f aca="false">IFERROR(CC93/CC73,"")</f>
        <v>0.321708034534367</v>
      </c>
      <c r="CD172" s="35" t="n">
        <f aca="false">IFERROR(CD93/CD73,"")</f>
        <v>0.315727976882343</v>
      </c>
      <c r="CE172" s="35" t="n">
        <f aca="false">IFERROR(CE93/CE73,"")</f>
        <v>0.333013557795131</v>
      </c>
      <c r="CF172" s="35" t="n">
        <f aca="false">IFERROR(CF93/CF73,"")</f>
        <v>0.324432449045406</v>
      </c>
      <c r="CG172" s="35" t="n">
        <f aca="false">IFERROR(CG93/CG73,"")</f>
        <v>0.3355646042472</v>
      </c>
      <c r="CH172" s="35" t="n">
        <f aca="false">IFERROR(CH93/CH73,"")</f>
        <v>0.352284291932162</v>
      </c>
      <c r="CI172" s="35" t="n">
        <f aca="false">IFERROR(CI93/CI73,"")</f>
        <v>0.334078552033395</v>
      </c>
      <c r="CJ172" s="35" t="n">
        <f aca="false">IFERROR(CJ93/CJ73,"")</f>
        <v>0.349526852116395</v>
      </c>
      <c r="CK172" s="35" t="n">
        <f aca="false">IFERROR(CK93/CK73,"")</f>
        <v>0.312686217207495</v>
      </c>
      <c r="CL172" s="35" t="n">
        <f aca="false">IFERROR(CL93/CL73,"")</f>
        <v>0.331376410811419</v>
      </c>
      <c r="CM172" s="35" t="n">
        <f aca="false">IFERROR(CM93/CM73,"")</f>
        <v>0.325286605565103</v>
      </c>
      <c r="CN172" s="35" t="n">
        <f aca="false">IFERROR(CN93/CN73,"")</f>
        <v>0.284113085378055</v>
      </c>
      <c r="CO172" s="35" t="n">
        <f aca="false">IFERROR(CO93/CO73,"")</f>
        <v>0.318089052590658</v>
      </c>
      <c r="CP172" s="45" t="n">
        <f aca="false">IFERROR(CP93/CP73,"")</f>
        <v>0.303814753099732</v>
      </c>
      <c r="CQ172" s="45" t="n">
        <f aca="false">IFERROR(CQ93/CQ73,"")</f>
        <v>0.301749247133955</v>
      </c>
      <c r="CR172" s="45" t="n">
        <f aca="false">IFERROR(CR93/CR73,"")</f>
        <v>0.305908936621812</v>
      </c>
      <c r="CS172" s="45" t="n">
        <f aca="false">IFERROR(CS93/CS73,"")</f>
        <v>0.310138168138563</v>
      </c>
      <c r="CT172" s="45" t="n">
        <f aca="false">IFERROR(CT93/CT73,"")</f>
        <v>0.314354783793138</v>
      </c>
      <c r="CU172" s="24"/>
      <c r="CW172" s="6"/>
      <c r="CX172" s="6"/>
      <c r="CY172" s="6"/>
      <c r="CZ172" s="6"/>
    </row>
    <row r="173" customFormat="false" ht="15" hidden="false" customHeight="false" outlineLevel="0" collapsed="false">
      <c r="B173" s="28" t="s">
        <v>300</v>
      </c>
      <c r="C173" s="35" t="n">
        <f aca="false">IFERROR(C78/C73,"")</f>
        <v>0.111595225617751</v>
      </c>
      <c r="D173" s="35" t="n">
        <f aca="false">IFERROR(D78/D73,"")</f>
        <v>0.113499678961261</v>
      </c>
      <c r="E173" s="35" t="n">
        <f aca="false">IFERROR(E78/E73,"")</f>
        <v>0.107462846309094</v>
      </c>
      <c r="F173" s="35" t="n">
        <f aca="false">IFERROR(F78/F73,"")</f>
        <v>0.116992471894084</v>
      </c>
      <c r="G173" s="35" t="n">
        <f aca="false">IFERROR(G78/G73,"")</f>
        <v>0.140932798018836</v>
      </c>
      <c r="H173" s="35" t="n">
        <f aca="false">IFERROR(H78/H73,"")</f>
        <v>0.123365426725947</v>
      </c>
      <c r="I173" s="35" t="n">
        <f aca="false">IFERROR(I78/I73,"")</f>
        <v>0.123883482959691</v>
      </c>
      <c r="J173" s="35" t="n">
        <f aca="false">IFERROR(J78/J73,"")</f>
        <v>0.13011060594643</v>
      </c>
      <c r="K173" s="35" t="n">
        <f aca="false">IFERROR(K78/K73,"")</f>
        <v>0.127907282529068</v>
      </c>
      <c r="L173" s="35" t="n">
        <f aca="false">IFERROR(L78/L73,"")</f>
        <v>0.128949353629633</v>
      </c>
      <c r="M173" s="35" t="n">
        <f aca="false">IFERROR(M78/M73,"")</f>
        <v>0.118081818771206</v>
      </c>
      <c r="N173" s="35" t="n">
        <f aca="false">IFERROR(N78/N73,"")</f>
        <v>0.151765094028374</v>
      </c>
      <c r="O173" s="35" t="n">
        <f aca="false">IFERROR(O78/O73,"")</f>
        <v>0.13181560150843</v>
      </c>
      <c r="P173" s="35" t="n">
        <f aca="false">IFERROR(P78/P73,"")</f>
        <v>0.153196156965589</v>
      </c>
      <c r="Q173" s="35" t="n">
        <f aca="false">IFERROR(Q78/Q73,"")</f>
        <v>0.139864680868891</v>
      </c>
      <c r="R173" s="35" t="n">
        <f aca="false">IFERROR(R78/R73,"")</f>
        <v>0.146453311484557</v>
      </c>
      <c r="S173" s="35" t="n">
        <f aca="false">IFERROR(S78/S73,"")</f>
        <v>0.130810856187161</v>
      </c>
      <c r="T173" s="35" t="n">
        <f aca="false">IFERROR(T78/T73,"")</f>
        <v>0.142915289615585</v>
      </c>
      <c r="U173" s="35" t="n">
        <f aca="false">IFERROR(U78/U73,"")</f>
        <v>0.141415174531087</v>
      </c>
      <c r="V173" s="35" t="n">
        <f aca="false">IFERROR(V78/V73,"")</f>
        <v>0.137427424187116</v>
      </c>
      <c r="W173" s="35" t="n">
        <f aca="false">IFERROR(W78/W73,"")</f>
        <v>0.124517661027011</v>
      </c>
      <c r="X173" s="35" t="n">
        <f aca="false">IFERROR(X78/X73,"")</f>
        <v>0.131133480633343</v>
      </c>
      <c r="Y173" s="35" t="n">
        <f aca="false">IFERROR(Y78/Y73,"")</f>
        <v>0.109880124654206</v>
      </c>
      <c r="Z173" s="35" t="n">
        <f aca="false">IFERROR(Z78/Z73,"")</f>
        <v>0.113424704119479</v>
      </c>
      <c r="AA173" s="35" t="n">
        <f aca="false">IFERROR(AA78/AA73,"")</f>
        <v>0.121261274310061</v>
      </c>
      <c r="AB173" s="35" t="n">
        <f aca="false">IFERROR(AB78/AB73,"")</f>
        <v>0.119842264521981</v>
      </c>
      <c r="AC173" s="35" t="n">
        <f aca="false">IFERROR(AC78/AC73,"")</f>
        <v>0.108536365638326</v>
      </c>
      <c r="AD173" s="35" t="n">
        <f aca="false">IFERROR(AD78/AD73,"")</f>
        <v>0.114084928229665</v>
      </c>
      <c r="AE173" s="35" t="n">
        <f aca="false">IFERROR(AE78/AE73,"")</f>
        <v>0.102806079839653</v>
      </c>
      <c r="AF173" s="35" t="n">
        <f aca="false">IFERROR(AF78/AF73,"")</f>
        <v>0.106033505782197</v>
      </c>
      <c r="AG173" s="35" t="n">
        <f aca="false">IFERROR(AG78/AG73,"")</f>
        <v>0.108885733679478</v>
      </c>
      <c r="AH173" s="35" t="n">
        <f aca="false">IFERROR(AH78/AH73,"")</f>
        <v>0.116965470200092</v>
      </c>
      <c r="AI173" s="35" t="n">
        <f aca="false">IFERROR(AI78/AI73,"")</f>
        <v>0.108387787098177</v>
      </c>
      <c r="AJ173" s="35" t="n">
        <f aca="false">IFERROR(AJ78/AJ73,"")</f>
        <v>0.112654793586984</v>
      </c>
      <c r="AK173" s="35" t="n">
        <f aca="false">IFERROR(AK78/AK73,"")</f>
        <v>0.0955352509749587</v>
      </c>
      <c r="AL173" s="35" t="n">
        <f aca="false">IFERROR(AL78/AL73,"")</f>
        <v>0.0985034178913671</v>
      </c>
      <c r="AM173" s="35" t="n">
        <f aca="false">IFERROR(AM78/AM73,"")</f>
        <v>0.104534520825895</v>
      </c>
      <c r="AN173" s="35" t="n">
        <f aca="false">IFERROR(AN78/AN73,"")</f>
        <v>0.0938096419574013</v>
      </c>
      <c r="AO173" s="35" t="n">
        <f aca="false">IFERROR(AO78/AO73,"")</f>
        <v>0.0885677817323233</v>
      </c>
      <c r="AP173" s="35" t="n">
        <f aca="false">IFERROR(AP78/AP73,"")</f>
        <v>0.0910695295545582</v>
      </c>
      <c r="AQ173" s="35" t="n">
        <f aca="false">IFERROR(AQ78/AQ73,"")</f>
        <v>0.0929510370181389</v>
      </c>
      <c r="AR173" s="35" t="n">
        <f aca="false">IFERROR(AR78/AR73,"")</f>
        <v>0.116772738706611</v>
      </c>
      <c r="AS173" s="35" t="n">
        <f aca="false">IFERROR(AS78/AS73,"")</f>
        <v>0.0979622804515713</v>
      </c>
      <c r="AT173" s="35" t="n">
        <f aca="false">IFERROR(AT78/AT73,"")</f>
        <v>0.0964046054342737</v>
      </c>
      <c r="AU173" s="35" t="n">
        <f aca="false">IFERROR(AU78/AU73,"")</f>
        <v>0.0896827786462308</v>
      </c>
      <c r="AV173" s="35" t="n">
        <f aca="false">IFERROR(AV78/AV73,"")</f>
        <v>0.0929601190362964</v>
      </c>
      <c r="AW173" s="35" t="n">
        <f aca="false">IFERROR(AW78/AW73,"")</f>
        <v>0.0797029917774933</v>
      </c>
      <c r="AX173" s="35" t="n">
        <f aca="false">IFERROR(AX78/AX73,"")</f>
        <v>0.0918158779892181</v>
      </c>
      <c r="AY173" s="35" t="n">
        <f aca="false">IFERROR(AY78/AY73,"")</f>
        <v>0.0890650488722339</v>
      </c>
      <c r="AZ173" s="35" t="n">
        <f aca="false">IFERROR(AZ78/AZ73,"")</f>
        <v>0.0892421684486963</v>
      </c>
      <c r="BA173" s="35" t="n">
        <f aca="false">IFERROR(BA78/BA73,"")</f>
        <v>0.0869301387488264</v>
      </c>
      <c r="BB173" s="35" t="n">
        <f aca="false">IFERROR(BB78/BB73,"")</f>
        <v>0.088064952494945</v>
      </c>
      <c r="BC173" s="35" t="n">
        <f aca="false">IFERROR(BC78/BC73,"")</f>
        <v>0.0863289483247329</v>
      </c>
      <c r="BD173" s="35" t="n">
        <f aca="false">IFERROR(BD78/BD73,"")</f>
        <v>0.0850665545534272</v>
      </c>
      <c r="BE173" s="35" t="n">
        <f aca="false">IFERROR(BE78/BE73,"")</f>
        <v>0.0869171552374134</v>
      </c>
      <c r="BF173" s="35" t="n">
        <f aca="false">IFERROR(BF78/BF73,"")</f>
        <v>0.0812476810469862</v>
      </c>
      <c r="BG173" s="35" t="n">
        <f aca="false">IFERROR(BG78/BG73,"")</f>
        <v>0.0798614656313864</v>
      </c>
      <c r="BH173" s="35" t="n">
        <f aca="false">IFERROR(BH78/BH73,"")</f>
        <v>0.0805407732912607</v>
      </c>
      <c r="BI173" s="35" t="n">
        <f aca="false">IFERROR(BI78/BI73,"")</f>
        <v>0.0725293292093036</v>
      </c>
      <c r="BJ173" s="35" t="n">
        <f aca="false">IFERROR(BJ78/BJ73,"")</f>
        <v>0.074780599227923</v>
      </c>
      <c r="BK173" s="35" t="n">
        <f aca="false">IFERROR(BK78/BK73,"")</f>
        <v>0.0767554895783155</v>
      </c>
      <c r="BL173" s="35" t="n">
        <f aca="false">IFERROR(BL78/BL73,"")</f>
        <v>0.0677778436106709</v>
      </c>
      <c r="BM173" s="35" t="n">
        <f aca="false">IFERROR(BM78/BM73,"")</f>
        <v>0.0645724298526733</v>
      </c>
      <c r="BN173" s="35" t="n">
        <f aca="false">IFERROR(BN78/BN73,"")</f>
        <v>0.0661203677652254</v>
      </c>
      <c r="BO173" s="35" t="n">
        <f aca="false">IFERROR(BO78/BO73,"")</f>
        <v>0.0675808375206529</v>
      </c>
      <c r="BP173" s="35" t="n">
        <f aca="false">IFERROR(BP78/BP73,"")</f>
        <v>0.0642741354874642</v>
      </c>
      <c r="BQ173" s="35" t="n">
        <f aca="false">IFERROR(BQ78/BQ73,"")</f>
        <v>0.0660466203036287</v>
      </c>
      <c r="BR173" s="35" t="n">
        <f aca="false">IFERROR(BR78/BR73,"")</f>
        <v>0.064900175962533</v>
      </c>
      <c r="BS173" s="35" t="n">
        <f aca="false">IFERROR(BS78/BS73,"")</f>
        <v>0.0637331142523863</v>
      </c>
      <c r="BT173" s="35" t="n">
        <f aca="false">IFERROR(BT78/BT73,"")</f>
        <v>0.0642966635244874</v>
      </c>
      <c r="BU173" s="35" t="n">
        <f aca="false">IFERROR(BU78/BU73,"")</f>
        <v>0.0631278557804569</v>
      </c>
      <c r="BV173" s="35" t="n">
        <f aca="false">IFERROR(BV78/BV73,"")</f>
        <v>0.0671226985808814</v>
      </c>
      <c r="BW173" s="35" t="n">
        <f aca="false">IFERROR(BW78/BW73,"")</f>
        <v>0.0647165874406063</v>
      </c>
      <c r="BX173" s="35" t="n">
        <f aca="false">IFERROR(BX78/BX73,"")</f>
        <v>0.0672696233692925</v>
      </c>
      <c r="BY173" s="35" t="n">
        <f aca="false">IFERROR(BY78/BY73,"")</f>
        <v>0.082587935683905</v>
      </c>
      <c r="BZ173" s="35" t="n">
        <f aca="false">IFERROR(BZ78/BZ73,"")</f>
        <v>0.0749277773557814</v>
      </c>
      <c r="CA173" s="35" t="n">
        <f aca="false">IFERROR(CA78/CA73,"")</f>
        <v>0.0783333732531743</v>
      </c>
      <c r="CB173" s="35" t="n">
        <f aca="false">IFERROR(CB78/CB73,"")</f>
        <v>0.0879626641371975</v>
      </c>
      <c r="CC173" s="35" t="n">
        <f aca="false">IFERROR(CC78/CC73,"")</f>
        <v>0.0791227294602583</v>
      </c>
      <c r="CD173" s="35" t="n">
        <f aca="false">IFERROR(CD78/CD73,"")</f>
        <v>0.0922003193152597</v>
      </c>
      <c r="CE173" s="35" t="n">
        <f aca="false">IFERROR(CE78/CE73,"")</f>
        <v>0.0853955417100771</v>
      </c>
      <c r="CF173" s="35" t="n">
        <f aca="false">IFERROR(CF78/CF73,"")</f>
        <v>0.0887736484073511</v>
      </c>
      <c r="CG173" s="35" t="n">
        <f aca="false">IFERROR(CG78/CG73,"")</f>
        <v>0.0831234381653787</v>
      </c>
      <c r="CH173" s="35" t="n">
        <f aca="false">IFERROR(CH78/CH73,"")</f>
        <v>0.0863276677477586</v>
      </c>
      <c r="CI173" s="35" t="n">
        <f aca="false">IFERROR(CI78/CI73,"")</f>
        <v>0.0867081217432996</v>
      </c>
      <c r="CJ173" s="35" t="n">
        <f aca="false">IFERROR(CJ78/CJ73,"")</f>
        <v>0.0920357047003108</v>
      </c>
      <c r="CK173" s="35" t="n">
        <f aca="false">IFERROR(CK78/CK73,"")</f>
        <v>0.0928094972335991</v>
      </c>
      <c r="CL173" s="35" t="n">
        <f aca="false">IFERROR(CL78/CL73,"")</f>
        <v>0.0924169325481046</v>
      </c>
      <c r="CM173" s="35" t="n">
        <f aca="false">IFERROR(CM78/CM73,"")</f>
        <v>0.0875595966585453</v>
      </c>
      <c r="CN173" s="35" t="n">
        <f aca="false">IFERROR(CN78/CN73,"")</f>
        <v>0.0976580973049333</v>
      </c>
      <c r="CO173" s="35" t="n">
        <f aca="false">IFERROR(CO78/CO73,"")</f>
        <v>0.0924236355465433</v>
      </c>
      <c r="CP173" s="45" t="n">
        <f aca="false">IFERROR(CP78/CP73,"")</f>
        <v>0.0969534309537333</v>
      </c>
      <c r="CQ173" s="45" t="n">
        <f aca="false">IFERROR(CQ78/CQ73,"")</f>
        <v>0.0927581477162214</v>
      </c>
      <c r="CR173" s="45" t="n">
        <f aca="false">IFERROR(CR78/CR73,"")</f>
        <v>0.0887199810295989</v>
      </c>
      <c r="CS173" s="45" t="n">
        <f aca="false">IFERROR(CS78/CS73,"")</f>
        <v>0.0846341699150763</v>
      </c>
      <c r="CT173" s="45" t="n">
        <f aca="false">IFERROR(CT78/CT73,"")</f>
        <v>0.0805372581147414</v>
      </c>
      <c r="CU173" s="24"/>
      <c r="CW173" s="6"/>
      <c r="CX173" s="6"/>
      <c r="CY173" s="6"/>
      <c r="CZ173" s="6"/>
    </row>
    <row r="174" customFormat="false" ht="15" hidden="false" customHeight="false" outlineLevel="0" collapsed="false">
      <c r="B174" s="28" t="s">
        <v>301</v>
      </c>
      <c r="C174" s="35" t="n">
        <f aca="false">IFERROR(C74/C71,"")</f>
        <v>0.563827754454936</v>
      </c>
      <c r="D174" s="35" t="n">
        <f aca="false">IFERROR(D74/D71,"")</f>
        <v>0.506767526325416</v>
      </c>
      <c r="E174" s="35" t="n">
        <f aca="false">IFERROR(E74/E71,"")</f>
        <v>0.530747360132187</v>
      </c>
      <c r="F174" s="35" t="n">
        <f aca="false">IFERROR(F74/F71,"")</f>
        <v>0.527816599279762</v>
      </c>
      <c r="G174" s="35" t="n">
        <f aca="false">IFERROR(G74/G71,"")</f>
        <v>0.504583946574725</v>
      </c>
      <c r="H174" s="35" t="n">
        <f aca="false">IFERROR(H74/H71,"")</f>
        <v>0.524684718543023</v>
      </c>
      <c r="I174" s="35" t="n">
        <f aca="false">IFERROR(I74/I71,"")</f>
        <v>0.498637213577156</v>
      </c>
      <c r="J174" s="35" t="n">
        <f aca="false">IFERROR(J74/J71,"")</f>
        <v>0.497589392301426</v>
      </c>
      <c r="K174" s="35" t="n">
        <f aca="false">IFERROR(K74/K71,"")</f>
        <v>0.586225336529596</v>
      </c>
      <c r="L174" s="35" t="n">
        <f aca="false">IFERROR(L74/L71,"")</f>
        <v>0.544245436169464</v>
      </c>
      <c r="M174" s="35" t="n">
        <f aca="false">IFERROR(M74/M71,"")</f>
        <v>0.51974086624966</v>
      </c>
      <c r="N174" s="35" t="n">
        <f aca="false">IFERROR(N74/N71,"")</f>
        <v>0.55028067662027</v>
      </c>
      <c r="O174" s="35" t="n">
        <f aca="false">IFERROR(O74/O71,"")</f>
        <v>0.539303044604533</v>
      </c>
      <c r="P174" s="35" t="n">
        <f aca="false">IFERROR(P74/P71,"")</f>
        <v>0.556433692785482</v>
      </c>
      <c r="Q174" s="35" t="n">
        <f aca="false">IFERROR(Q74/Q71,"")</f>
        <v>0.556759370810921</v>
      </c>
      <c r="R174" s="35" t="n">
        <f aca="false">IFERROR(R74/R71,"")</f>
        <v>0.556599833367598</v>
      </c>
      <c r="S174" s="35" t="n">
        <f aca="false">IFERROR(S74/S71,"")</f>
        <v>0.514446470230744</v>
      </c>
      <c r="T174" s="35" t="n">
        <f aca="false">IFERROR(T74/T71,"")</f>
        <v>0.547156126048087</v>
      </c>
      <c r="U174" s="35" t="n">
        <f aca="false">IFERROR(U74/U71,"")</f>
        <v>0.543004946719212</v>
      </c>
      <c r="V174" s="35" t="n">
        <f aca="false">IFERROR(V74/V71,"")</f>
        <v>0.531251393974785</v>
      </c>
      <c r="W174" s="35" t="n">
        <f aca="false">IFERROR(W74/W71,"")</f>
        <v>0.542006976705184</v>
      </c>
      <c r="X174" s="35" t="n">
        <f aca="false">IFERROR(X74/X71,"")</f>
        <v>0.536539512064398</v>
      </c>
      <c r="Y174" s="35" t="n">
        <f aca="false">IFERROR(Y74/Y71,"")</f>
        <v>0.527049780951342</v>
      </c>
      <c r="Z174" s="35" t="n">
        <f aca="false">IFERROR(Z74/Z71,"")</f>
        <v>0.53675242437549</v>
      </c>
      <c r="AA174" s="35" t="n">
        <f aca="false">IFERROR(AA74/AA71,"")</f>
        <v>0.534108749770389</v>
      </c>
      <c r="AB174" s="35" t="n">
        <f aca="false">IFERROR(AB74/AB71,"")</f>
        <v>0.541541318181275</v>
      </c>
      <c r="AC174" s="35" t="n">
        <f aca="false">IFERROR(AC74/AC71,"")</f>
        <v>0.541304907129719</v>
      </c>
      <c r="AD174" s="35" t="n">
        <f aca="false">IFERROR(AD74/AD71,"")</f>
        <v>0.541420928304366</v>
      </c>
      <c r="AE174" s="35" t="n">
        <f aca="false">IFERROR(AE74/AE71,"")</f>
        <v>0.500334423917735</v>
      </c>
      <c r="AF174" s="35" t="n">
        <f aca="false">IFERROR(AF74/AF71,"")</f>
        <v>0.532578207041397</v>
      </c>
      <c r="AG174" s="35" t="n">
        <f aca="false">IFERROR(AG74/AG71,"")</f>
        <v>0.527811557445406</v>
      </c>
      <c r="AH174" s="35" t="n">
        <f aca="false">IFERROR(AH74/AH71,"")</f>
        <v>0.545825490591967</v>
      </c>
      <c r="AI174" s="35" t="n">
        <f aca="false">IFERROR(AI74/AI71,"")</f>
        <v>0.545364525711779</v>
      </c>
      <c r="AJ174" s="35" t="n">
        <f aca="false">IFERROR(AJ74/AJ71,"")</f>
        <v>0.545593904500163</v>
      </c>
      <c r="AK174" s="35" t="n">
        <f aca="false">IFERROR(AK74/AK71,"")</f>
        <v>0.501200556047011</v>
      </c>
      <c r="AL174" s="35" t="n">
        <f aca="false">IFERROR(AL74/AL71,"")</f>
        <v>0.520010688994789</v>
      </c>
      <c r="AM174" s="35" t="n">
        <f aca="false">IFERROR(AM74/AM71,"")</f>
        <v>0.527424641516592</v>
      </c>
      <c r="AN174" s="35" t="n">
        <f aca="false">IFERROR(AN74/AN71,"")</f>
        <v>0.581642499164718</v>
      </c>
      <c r="AO174" s="35" t="n">
        <f aca="false">IFERROR(AO74/AO71,"")</f>
        <v>0.54032053419048</v>
      </c>
      <c r="AP174" s="35" t="n">
        <f aca="false">IFERROR(AP74/AP71,"")</f>
        <v>0.560240645604378</v>
      </c>
      <c r="AQ174" s="35" t="n">
        <f aca="false">IFERROR(AQ74/AQ71,"")</f>
        <v>0.490775680320964</v>
      </c>
      <c r="AR174" s="35" t="n">
        <f aca="false">IFERROR(AR74/AR71,"")</f>
        <v>0.537416286022862</v>
      </c>
      <c r="AS174" s="35" t="n">
        <f aca="false">IFERROR(AS74/AS71,"")</f>
        <v>0.536501062399668</v>
      </c>
      <c r="AT174" s="35" t="n">
        <f aca="false">IFERROR(AT74/AT71,"")</f>
        <v>0.526065966575989</v>
      </c>
      <c r="AU174" s="35" t="n">
        <f aca="false">IFERROR(AU74/AU71,"")</f>
        <v>0.51692989801035</v>
      </c>
      <c r="AV174" s="35" t="n">
        <f aca="false">IFERROR(AV74/AV71,"")</f>
        <v>0.521374103174789</v>
      </c>
      <c r="AW174" s="35" t="n">
        <f aca="false">IFERROR(AW74/AW71,"")</f>
        <v>0.4867252713846</v>
      </c>
      <c r="AX174" s="35" t="n">
        <f aca="false">IFERROR(AX74/AX71,"")</f>
        <v>0.498308882459359</v>
      </c>
      <c r="AY174" s="35" t="n">
        <f aca="false">IFERROR(AY74/AY71,"")</f>
        <v>0.505846121248919</v>
      </c>
      <c r="AZ174" s="35" t="n">
        <f aca="false">IFERROR(AZ74/AZ71,"")</f>
        <v>0.493569823882457</v>
      </c>
      <c r="BA174" s="35" t="n">
        <f aca="false">IFERROR(BA74/BA71,"")</f>
        <v>0.504576165510535</v>
      </c>
      <c r="BB174" s="35" t="n">
        <f aca="false">IFERROR(BB74/BB71,"")</f>
        <v>0.499195302087404</v>
      </c>
      <c r="BC174" s="35" t="n">
        <f aca="false">IFERROR(BC74/BC71,"")</f>
        <v>0.516210927169831</v>
      </c>
      <c r="BD174" s="35" t="n">
        <f aca="false">IFERROR(BD74/BD71,"")</f>
        <v>0.48197601754984</v>
      </c>
      <c r="BE174" s="35" t="n">
        <f aca="false">IFERROR(BE74/BE71,"")</f>
        <v>0.499443799624064</v>
      </c>
      <c r="BF174" s="35" t="n">
        <f aca="false">IFERROR(BF74/BF71,"")</f>
        <v>0.449793547185334</v>
      </c>
      <c r="BG174" s="35" t="n">
        <f aca="false">IFERROR(BG74/BG71,"")</f>
        <v>0.442928195778829</v>
      </c>
      <c r="BH174" s="35" t="n">
        <f aca="false">IFERROR(BH74/BH71,"")</f>
        <v>0.446304437232639</v>
      </c>
      <c r="BI174" s="35" t="n">
        <f aca="false">IFERROR(BI74/BI71,"")</f>
        <v>0.413677413977168</v>
      </c>
      <c r="BJ174" s="35" t="n">
        <f aca="false">IFERROR(BJ74/BJ71,"")</f>
        <v>0.447555673109179</v>
      </c>
      <c r="BK174" s="35" t="n">
        <f aca="false">IFERROR(BK74/BK71,"")</f>
        <v>0.437761877107179</v>
      </c>
      <c r="BL174" s="35" t="n">
        <f aca="false">IFERROR(BL74/BL71,"")</f>
        <v>0.447268567184472</v>
      </c>
      <c r="BM174" s="35" t="n">
        <f aca="false">IFERROR(BM74/BM71,"")</f>
        <v>0.455376956503396</v>
      </c>
      <c r="BN174" s="35" t="n">
        <f aca="false">IFERROR(BN74/BN71,"")</f>
        <v>0.451449987961488</v>
      </c>
      <c r="BO174" s="35" t="n">
        <f aca="false">IFERROR(BO74/BO71,"")</f>
        <v>0.452069381299621</v>
      </c>
      <c r="BP174" s="35" t="n">
        <f aca="false">IFERROR(BP74/BP71,"")</f>
        <v>0.481143404500605</v>
      </c>
      <c r="BQ174" s="35" t="n">
        <f aca="false">IFERROR(BQ74/BQ71,"")</f>
        <v>0.458983049659311</v>
      </c>
      <c r="BR174" s="35" t="n">
        <f aca="false">IFERROR(BR74/BR71,"")</f>
        <v>0.512873534753178</v>
      </c>
      <c r="BS174" s="35" t="n">
        <f aca="false">IFERROR(BS74/BS71,"")</f>
        <v>0.47543482692388</v>
      </c>
      <c r="BT174" s="35" t="n">
        <f aca="false">IFERROR(BT74/BT71,"")</f>
        <v>0.493377123200871</v>
      </c>
      <c r="BU174" s="35" t="n">
        <f aca="false">IFERROR(BU74/BU71,"")</f>
        <v>0.447280551526175</v>
      </c>
      <c r="BV174" s="35" t="n">
        <f aca="false">IFERROR(BV74/BV71,"")</f>
        <v>0.468445606910225</v>
      </c>
      <c r="BW174" s="35" t="n">
        <f aca="false">IFERROR(BW74/BW71,"")</f>
        <v>0.474661739617676</v>
      </c>
      <c r="BX174" s="35" t="n">
        <f aca="false">IFERROR(BX74/BX71,"")</f>
        <v>0.475257580834311</v>
      </c>
      <c r="BY174" s="35" t="n">
        <f aca="false">IFERROR(BY74/BY71,"")</f>
        <v>0.474824919204637</v>
      </c>
      <c r="BZ174" s="35" t="n">
        <f aca="false">IFERROR(BZ74/BZ71,"")</f>
        <v>0.475040972392073</v>
      </c>
      <c r="CA174" s="35" t="n">
        <f aca="false">IFERROR(CA74/CA71,"")</f>
        <v>0.463616196401973</v>
      </c>
      <c r="CB174" s="35" t="n">
        <f aca="false">IFERROR(CB74/CB71,"")</f>
        <v>0.507822831044093</v>
      </c>
      <c r="CC174" s="35" t="n">
        <f aca="false">IFERROR(CC74/CC71,"")</f>
        <v>0.480225509561635</v>
      </c>
      <c r="CD174" s="35" t="n">
        <f aca="false">IFERROR(CD74/CD71,"")</f>
        <v>0.503424796418259</v>
      </c>
      <c r="CE174" s="35" t="n">
        <f aca="false">IFERROR(CE74/CE71,"")</f>
        <v>0.49436638047133</v>
      </c>
      <c r="CF174" s="35" t="n">
        <f aca="false">IFERROR(CF74/CF71,"")</f>
        <v>0.498884263231961</v>
      </c>
      <c r="CG174" s="35" t="n">
        <f aca="false">IFERROR(CG74/CG71,"")</f>
        <v>0.473248901275178</v>
      </c>
      <c r="CH174" s="35" t="n">
        <f aca="false">IFERROR(CH74/CH71,"")</f>
        <v>0.489412879401888</v>
      </c>
      <c r="CI174" s="35" t="n">
        <f aca="false">IFERROR(CI74/CI71,"")</f>
        <v>0.489917760696174</v>
      </c>
      <c r="CJ174" s="35" t="n">
        <f aca="false">IFERROR(CJ74/CJ71,"")</f>
        <v>0.480406716775303</v>
      </c>
      <c r="CK174" s="35" t="n">
        <f aca="false">IFERROR(CK74/CK71,"")</f>
        <v>0.502525599994118</v>
      </c>
      <c r="CL174" s="35" t="n">
        <f aca="false">IFERROR(CL74/CL71,"")</f>
        <v>0.49123975768251</v>
      </c>
      <c r="CM174" s="35" t="n">
        <f aca="false">IFERROR(CM74/CM71,"")</f>
        <v>0.477416483599727</v>
      </c>
      <c r="CN174" s="35" t="n">
        <f aca="false">IFERROR(CN74/CN71,"")</f>
        <v>0.522698299406731</v>
      </c>
      <c r="CO174" s="35" t="n">
        <f aca="false">IFERROR(CO74/CO71,"")</f>
        <v>0.49524577278865</v>
      </c>
      <c r="CP174" s="45" t="n">
        <f aca="false">IFERROR(CP74/CP71,"")</f>
        <v>0.495</v>
      </c>
      <c r="CQ174" s="45" t="n">
        <f aca="false">IFERROR(CQ74/CQ71,"")</f>
        <v>0.495</v>
      </c>
      <c r="CR174" s="45" t="n">
        <f aca="false">IFERROR(CR74/CR71,"")</f>
        <v>0.495</v>
      </c>
      <c r="CS174" s="45" t="n">
        <f aca="false">IFERROR(CS74/CS71,"")</f>
        <v>0.495</v>
      </c>
      <c r="CT174" s="45" t="n">
        <f aca="false">IFERROR(CT74/CT71,"")</f>
        <v>0.495</v>
      </c>
      <c r="CU174" s="24"/>
      <c r="CW174" s="6"/>
      <c r="CX174" s="6"/>
      <c r="CY174" s="6"/>
      <c r="CZ174" s="6"/>
    </row>
    <row r="175" customFormat="false" ht="15" hidden="false" customHeight="false" outlineLevel="0" collapsed="false">
      <c r="B175" s="28" t="s">
        <v>302</v>
      </c>
      <c r="C175" s="35" t="n">
        <f aca="false">C61</f>
        <v>0</v>
      </c>
      <c r="D175" s="35" t="n">
        <f aca="false">D61</f>
        <v>1.33912610171603</v>
      </c>
      <c r="E175" s="35" t="n">
        <f aca="false">E61</f>
        <v>0.1964419542486</v>
      </c>
      <c r="F175" s="35" t="n">
        <f aca="false">F61</f>
        <v>0.412632284633438</v>
      </c>
      <c r="G175" s="35" t="n">
        <f aca="false">G61</f>
        <v>0.506091217236639</v>
      </c>
      <c r="H175" s="35" t="n">
        <f aca="false">H61</f>
        <v>0.306017088168104</v>
      </c>
      <c r="I175" s="35" t="n">
        <f aca="false">I61</f>
        <v>0.463008951775918</v>
      </c>
      <c r="J175" s="35" t="n">
        <f aca="false">J61</f>
        <v>0</v>
      </c>
      <c r="K175" s="35" t="n">
        <f aca="false">K61</f>
        <v>0</v>
      </c>
      <c r="L175" s="35" t="n">
        <f aca="false">L61</f>
        <v>0</v>
      </c>
      <c r="M175" s="35" t="n">
        <f aca="false">M61</f>
        <v>0</v>
      </c>
      <c r="N175" s="35" t="n">
        <f aca="false">N61</f>
        <v>0</v>
      </c>
      <c r="O175" s="35" t="n">
        <f aca="false">O61</f>
        <v>0.00219955148367992</v>
      </c>
      <c r="P175" s="35" t="n">
        <f aca="false">P61</f>
        <v>-0.146695272691811</v>
      </c>
      <c r="Q175" s="35" t="n">
        <f aca="false">Q61</f>
        <v>0.375524717269988</v>
      </c>
      <c r="R175" s="35" t="n">
        <f aca="false">R61</f>
        <v>0.0259034374693956</v>
      </c>
      <c r="S175" s="35" t="n">
        <f aca="false">S61</f>
        <v>0.366700717069304</v>
      </c>
      <c r="T175" s="35" t="n">
        <f aca="false">T61</f>
        <v>0.434218835515513</v>
      </c>
      <c r="U175" s="35" t="n">
        <f aca="false">U61</f>
        <v>0.202097519332994</v>
      </c>
      <c r="V175" s="35" t="n">
        <f aca="false">V61</f>
        <v>1.62572598305246</v>
      </c>
      <c r="W175" s="35" t="n">
        <f aca="false">W61</f>
        <v>-1.01012185534593</v>
      </c>
      <c r="X175" s="35" t="n">
        <f aca="false">X61</f>
        <v>83.6513761467894</v>
      </c>
      <c r="Y175" s="35" t="n">
        <f aca="false">Y61</f>
        <v>-0.0755166931637549</v>
      </c>
      <c r="Z175" s="35" t="n">
        <f aca="false">Z61</f>
        <v>-1.76396629698438</v>
      </c>
      <c r="AA175" s="35" t="n">
        <f aca="false">AA61</f>
        <v>-2.04855200014825</v>
      </c>
      <c r="AB175" s="35" t="n">
        <f aca="false">AB61</f>
        <v>-0.00464699508211982</v>
      </c>
      <c r="AC175" s="35" t="n">
        <f aca="false">AC61</f>
        <v>0.280252253442068</v>
      </c>
      <c r="AD175" s="35" t="n">
        <f aca="false">AD61</f>
        <v>0.300390337310353</v>
      </c>
      <c r="AE175" s="35" t="n">
        <f aca="false">AE61</f>
        <v>0.577483350759453</v>
      </c>
      <c r="AF175" s="35" t="n">
        <f aca="false">AF61</f>
        <v>0.42010867546335</v>
      </c>
      <c r="AG175" s="35" t="n">
        <f aca="false">AG61</f>
        <v>0.506892370310032</v>
      </c>
      <c r="AH175" s="35" t="n">
        <f aca="false">AH61</f>
        <v>0.448598357662482</v>
      </c>
      <c r="AI175" s="35" t="n">
        <f aca="false">AI61</f>
        <v>0.459212899600287</v>
      </c>
      <c r="AJ175" s="35" t="n">
        <f aca="false">AJ61</f>
        <v>0.453542133231455</v>
      </c>
      <c r="AK175" s="35" t="n">
        <f aca="false">AK61</f>
        <v>0.542321135964786</v>
      </c>
      <c r="AL175" s="35" t="n">
        <f aca="false">AL61</f>
        <v>0.57877303206987</v>
      </c>
      <c r="AM175" s="35" t="n">
        <f aca="false">AM61</f>
        <v>0.478568830931749</v>
      </c>
      <c r="AN175" s="35" t="n">
        <f aca="false">AN61</f>
        <v>0.223353679262089</v>
      </c>
      <c r="AO175" s="35" t="n">
        <f aca="false">AO61</f>
        <v>0.396635680182589</v>
      </c>
      <c r="AP175" s="35" t="n">
        <f aca="false">AP61</f>
        <v>0.327250248741123</v>
      </c>
      <c r="AQ175" s="35" t="n">
        <f aca="false">AQ61</f>
        <v>0.402860188162612</v>
      </c>
      <c r="AR175" s="35" t="n">
        <f aca="false">AR61</f>
        <v>0.411042750021788</v>
      </c>
      <c r="AS175" s="35" t="n">
        <f aca="false">AS61</f>
        <v>0.366051350759406</v>
      </c>
      <c r="AT175" s="35" t="n">
        <f aca="false">AT61</f>
        <v>0.80414010257742</v>
      </c>
      <c r="AU175" s="35" t="n">
        <f aca="false">AU61</f>
        <v>0.728621738219064</v>
      </c>
      <c r="AV175" s="35" t="n">
        <f aca="false">AV61</f>
        <v>0.775493060961779</v>
      </c>
      <c r="AW175" s="35" t="n">
        <f aca="false">AW61</f>
        <v>0.542079797199276</v>
      </c>
      <c r="AX175" s="35" t="n">
        <f aca="false">AX61</f>
        <v>0.41801160315882</v>
      </c>
      <c r="AY175" s="35" t="n">
        <f aca="false">AY61</f>
        <v>0.559945504350504</v>
      </c>
      <c r="AZ175" s="35" t="n">
        <f aca="false">AZ61</f>
        <v>0.630888927097662</v>
      </c>
      <c r="BA175" s="35" t="n">
        <f aca="false">BA61</f>
        <v>0.504761271543923</v>
      </c>
      <c r="BB175" s="35" t="n">
        <f aca="false">BB61</f>
        <v>0.568793258337061</v>
      </c>
      <c r="BC175" s="35" t="n">
        <f aca="false">BC61</f>
        <v>3.1702951136914</v>
      </c>
      <c r="BD175" s="35" t="n">
        <f aca="false">BD61</f>
        <v>-1.15273508315598</v>
      </c>
      <c r="BE175" s="35" t="n">
        <f aca="false">BE61</f>
        <v>0.702934333989301</v>
      </c>
      <c r="BF175" s="35" t="n">
        <f aca="false">BF61</f>
        <v>1.25147990445529</v>
      </c>
      <c r="BG175" s="35" t="n">
        <f aca="false">BG61</f>
        <v>1.32314021309271</v>
      </c>
      <c r="BH175" s="35" t="n">
        <f aca="false">BH61</f>
        <v>1.28881399214828</v>
      </c>
      <c r="BI175" s="35" t="n">
        <f aca="false">BI61</f>
        <v>0.748609824752565</v>
      </c>
      <c r="BJ175" s="35" t="n">
        <f aca="false">BJ61</f>
        <v>0.46480334512859</v>
      </c>
      <c r="BK175" s="35" t="n">
        <f aca="false">BK61</f>
        <v>0.707852769471736</v>
      </c>
      <c r="BL175" s="35" t="n">
        <f aca="false">BL61</f>
        <v>0.377071899517478</v>
      </c>
      <c r="BM175" s="35" t="n">
        <f aca="false">BM61</f>
        <v>0.36376777449896</v>
      </c>
      <c r="BN175" s="35" t="n">
        <f aca="false">BN61</f>
        <v>0.369947029752727</v>
      </c>
      <c r="BO175" s="35" t="n">
        <f aca="false">BO61</f>
        <v>0.274804924178077</v>
      </c>
      <c r="BP175" s="35" t="n">
        <f aca="false">BP61</f>
        <v>0.162295868643543</v>
      </c>
      <c r="BQ175" s="35" t="n">
        <f aca="false">BQ61</f>
        <v>0.311097091822219</v>
      </c>
      <c r="BR175" s="35" t="n">
        <f aca="false">BR61</f>
        <v>-0.179649207111964</v>
      </c>
      <c r="BS175" s="35" t="n">
        <f aca="false">BS61</f>
        <v>0.238013084782219</v>
      </c>
      <c r="BT175" s="35" t="n">
        <f aca="false">BT61</f>
        <v>0.0364745165329527</v>
      </c>
      <c r="BU175" s="35" t="n">
        <f aca="false">BU61</f>
        <v>0.518471933895061</v>
      </c>
      <c r="BV175" s="35" t="n">
        <f aca="false">BV61</f>
        <v>0.700183007451644</v>
      </c>
      <c r="BW175" s="35" t="n">
        <f aca="false">BW61</f>
        <v>0.349169056358751</v>
      </c>
      <c r="BX175" s="35" t="n">
        <f aca="false">BX61</f>
        <v>0.682668996568118</v>
      </c>
      <c r="BY175" s="35" t="n">
        <f aca="false">BY61</f>
        <v>0.331446590461176</v>
      </c>
      <c r="BZ175" s="35" t="n">
        <f aca="false">BZ61</f>
        <v>0.565714105707491</v>
      </c>
      <c r="CA175" s="35" t="n">
        <f aca="false">CA61</f>
        <v>0.253291345752552</v>
      </c>
      <c r="CB175" s="35" t="n">
        <f aca="false">CB61</f>
        <v>-0.331097356038538</v>
      </c>
      <c r="CC175" s="35" t="n">
        <f aca="false">CC61</f>
        <v>0.301686609221222</v>
      </c>
      <c r="CD175" s="35" t="n">
        <f aca="false">CD61</f>
        <v>0.197210729909107</v>
      </c>
      <c r="CE175" s="35" t="n">
        <f aca="false">CE61</f>
        <v>0.380283165813351</v>
      </c>
      <c r="CF175" s="35" t="n">
        <f aca="false">CF61</f>
        <v>0.294435789005118</v>
      </c>
      <c r="CG175" s="35" t="n">
        <f aca="false">CG61</f>
        <v>0.329362871046804</v>
      </c>
      <c r="CH175" s="35" t="n">
        <f aca="false">CH61</f>
        <v>1.18792113800849</v>
      </c>
      <c r="CI175" s="35" t="n">
        <f aca="false">CI61</f>
        <v>0.423840930425346</v>
      </c>
      <c r="CJ175" s="35" t="n">
        <f aca="false">CJ61</f>
        <v>3.44616510181685</v>
      </c>
      <c r="CK175" s="35" t="n">
        <f aca="false">CK61</f>
        <v>0.721723260170023</v>
      </c>
      <c r="CL175" s="35" t="n">
        <f aca="false">CL61</f>
        <v>0.0535869142669089</v>
      </c>
      <c r="CM175" s="35" t="n">
        <f aca="false">CM61</f>
        <v>0.308481262327415</v>
      </c>
      <c r="CN175" s="35" t="n">
        <f aca="false">CN61</f>
        <v>-2.05259308024284</v>
      </c>
      <c r="CO175" s="35" t="n">
        <f aca="false">CO61</f>
        <v>-2.60215053763436</v>
      </c>
      <c r="CP175" s="45" t="n">
        <f aca="false">CP61</f>
        <v>0.327710125173989</v>
      </c>
      <c r="CQ175" s="45" t="n">
        <f aca="false">CQ61</f>
        <v>0.49020269821078</v>
      </c>
      <c r="CR175" s="45" t="n">
        <f aca="false">CR61</f>
        <v>0.490811531662228</v>
      </c>
      <c r="CS175" s="45" t="n">
        <f aca="false">CS61</f>
        <v>0.496576757419065</v>
      </c>
      <c r="CT175" s="45" t="n">
        <f aca="false">CT61</f>
        <v>0.501448490469205</v>
      </c>
      <c r="CU175" s="24"/>
      <c r="CW175" s="6"/>
      <c r="CX175" s="6"/>
      <c r="CY175" s="6"/>
      <c r="CZ175" s="6"/>
    </row>
    <row r="176" customFormat="false" ht="15" hidden="false" customHeight="false" outlineLevel="0" collapsed="false">
      <c r="B176" s="15"/>
      <c r="CP176" s="6"/>
      <c r="CQ176" s="6"/>
      <c r="CR176" s="6"/>
      <c r="CS176" s="6"/>
      <c r="CT176" s="6"/>
      <c r="CU176" s="6"/>
    </row>
    <row r="177" customFormat="false" ht="15" hidden="false" customHeight="false" outlineLevel="0" collapsed="false">
      <c r="B177" s="11" t="s">
        <v>303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 t="s">
        <v>304</v>
      </c>
    </row>
    <row r="178" customFormat="false" ht="15" hidden="false" customHeight="false" outlineLevel="0" collapsed="false">
      <c r="B178" s="15"/>
      <c r="CP178" s="6"/>
      <c r="CQ178" s="6"/>
      <c r="CR178" s="6"/>
      <c r="CS178" s="6"/>
      <c r="CT178" s="6"/>
      <c r="CU178" s="6"/>
    </row>
    <row r="179" customFormat="false" ht="15" hidden="false" customHeight="false" outlineLevel="0" collapsed="false">
      <c r="B179" s="15" t="s">
        <v>207</v>
      </c>
      <c r="C179" s="50" t="n">
        <v>96.947</v>
      </c>
      <c r="D179" s="50" t="n">
        <v>136.338</v>
      </c>
      <c r="E179" s="50" t="n">
        <v>156.932</v>
      </c>
      <c r="F179" s="50" t="n">
        <v>141.103</v>
      </c>
      <c r="G179" s="50" t="n">
        <v>151.627</v>
      </c>
      <c r="H179" s="50" t="n">
        <v>166.375</v>
      </c>
      <c r="I179" s="50" t="n">
        <v>182.119</v>
      </c>
      <c r="J179" s="50"/>
      <c r="K179" s="50"/>
      <c r="L179" s="39"/>
      <c r="M179" s="50"/>
      <c r="N179" s="50"/>
      <c r="O179" s="50" t="n">
        <v>180.025</v>
      </c>
      <c r="P179" s="50"/>
      <c r="Q179" s="50"/>
      <c r="R179" s="39"/>
      <c r="S179" s="50"/>
      <c r="T179" s="50"/>
      <c r="U179" s="50" t="n">
        <v>178.687</v>
      </c>
      <c r="V179" s="50"/>
      <c r="W179" s="50"/>
      <c r="X179" s="39"/>
      <c r="Y179" s="50"/>
      <c r="Z179" s="50"/>
      <c r="AA179" s="50" t="n">
        <v>219.783</v>
      </c>
      <c r="AB179" s="50"/>
      <c r="AC179" s="50"/>
      <c r="AD179" s="39"/>
      <c r="AE179" s="50"/>
      <c r="AF179" s="50"/>
      <c r="AG179" s="50" t="n">
        <v>270.36</v>
      </c>
      <c r="AH179" s="50"/>
      <c r="AI179" s="50"/>
      <c r="AJ179" s="39"/>
      <c r="AK179" s="50"/>
      <c r="AL179" s="50"/>
      <c r="AM179" s="50" t="n">
        <v>394.261</v>
      </c>
      <c r="AN179" s="50"/>
      <c r="AO179" s="50"/>
      <c r="AP179" s="39"/>
      <c r="AQ179" s="50"/>
      <c r="AR179" s="50"/>
      <c r="AS179" s="50" t="n">
        <v>418.007</v>
      </c>
      <c r="AT179" s="50"/>
      <c r="AU179" s="50"/>
      <c r="AV179" s="39"/>
      <c r="AW179" s="50"/>
      <c r="AX179" s="50"/>
      <c r="AY179" s="50" t="n">
        <v>591.693</v>
      </c>
      <c r="AZ179" s="50"/>
      <c r="BA179" s="50"/>
      <c r="BB179" s="39"/>
      <c r="BC179" s="50"/>
      <c r="BD179" s="50"/>
      <c r="BE179" s="50" t="n">
        <v>699.907</v>
      </c>
      <c r="BF179" s="50"/>
      <c r="BG179" s="50"/>
      <c r="BH179" s="39"/>
      <c r="BI179" s="50"/>
      <c r="BJ179" s="50"/>
      <c r="BK179" s="50" t="n">
        <v>936.495</v>
      </c>
      <c r="BL179" s="50"/>
      <c r="BM179" s="50"/>
      <c r="BN179" s="39"/>
      <c r="BO179" s="50"/>
      <c r="BP179" s="50"/>
      <c r="BQ179" s="50" t="n">
        <v>1090.13</v>
      </c>
      <c r="BR179" s="50"/>
      <c r="BS179" s="50"/>
      <c r="BT179" s="39"/>
      <c r="BU179" s="50"/>
      <c r="BV179" s="50"/>
      <c r="BW179" s="50" t="n">
        <v>1237.741</v>
      </c>
      <c r="BX179" s="50"/>
      <c r="BY179" s="50"/>
      <c r="BZ179" s="39"/>
      <c r="CA179" s="50"/>
      <c r="CB179" s="50"/>
      <c r="CC179" s="50" t="n">
        <v>1362.347</v>
      </c>
      <c r="CD179" s="50"/>
      <c r="CE179" s="50"/>
      <c r="CF179" s="39"/>
      <c r="CG179" s="50"/>
      <c r="CH179" s="50"/>
      <c r="CI179" s="50" t="n">
        <v>1548.363</v>
      </c>
      <c r="CJ179" s="50"/>
      <c r="CK179" s="50"/>
      <c r="CL179" s="39"/>
      <c r="CM179" s="50"/>
      <c r="CN179" s="50"/>
      <c r="CO179" s="50" t="n">
        <v>1480.397</v>
      </c>
      <c r="CP179" s="40" t="n">
        <f aca="false">CP91</f>
        <v>1484.66892473288</v>
      </c>
      <c r="CQ179" s="40" t="n">
        <f aca="false">CQ91</f>
        <v>1561.1086672709</v>
      </c>
      <c r="CR179" s="40" t="n">
        <f aca="false">CR91</f>
        <v>1680.54992830152</v>
      </c>
      <c r="CS179" s="40" t="n">
        <f aca="false">CS91</f>
        <v>1808.2120125569</v>
      </c>
      <c r="CT179" s="40" t="n">
        <f aca="false">CT91</f>
        <v>1945.30893238154</v>
      </c>
      <c r="CU179" s="24"/>
      <c r="CW179" s="25"/>
      <c r="CX179" s="25"/>
      <c r="CY179" s="25"/>
      <c r="CZ179" s="25"/>
    </row>
    <row r="180" customFormat="false" ht="15" hidden="false" customHeight="false" outlineLevel="0" collapsed="false">
      <c r="B180" s="15" t="s">
        <v>305</v>
      </c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40"/>
      <c r="CQ180" s="40"/>
      <c r="CR180" s="40"/>
      <c r="CS180" s="40"/>
      <c r="CT180" s="40"/>
      <c r="CU180" s="24"/>
      <c r="CW180" s="6"/>
      <c r="CX180" s="6"/>
      <c r="CY180" s="6"/>
      <c r="CZ180" s="6"/>
    </row>
    <row r="181" customFormat="false" ht="15" hidden="false" customHeight="false" outlineLevel="0" collapsed="false">
      <c r="B181" s="15" t="s">
        <v>306</v>
      </c>
      <c r="C181" s="50" t="n">
        <v>31.456</v>
      </c>
      <c r="D181" s="50" t="n">
        <v>37.089</v>
      </c>
      <c r="E181" s="50" t="n">
        <v>42.804</v>
      </c>
      <c r="F181" s="50" t="n">
        <v>41.354</v>
      </c>
      <c r="G181" s="50" t="n">
        <v>43.242</v>
      </c>
      <c r="H181" s="50" t="n">
        <v>45.694</v>
      </c>
      <c r="I181" s="50" t="n">
        <v>48.167</v>
      </c>
      <c r="J181" s="50"/>
      <c r="K181" s="50"/>
      <c r="L181" s="39"/>
      <c r="M181" s="50"/>
      <c r="N181" s="50"/>
      <c r="O181" s="50" t="n">
        <v>56.728</v>
      </c>
      <c r="P181" s="50"/>
      <c r="Q181" s="50"/>
      <c r="R181" s="39"/>
      <c r="S181" s="50"/>
      <c r="T181" s="50"/>
      <c r="U181" s="50" t="n">
        <v>53.726</v>
      </c>
      <c r="V181" s="50"/>
      <c r="W181" s="50"/>
      <c r="X181" s="39"/>
      <c r="Y181" s="50"/>
      <c r="Z181" s="50"/>
      <c r="AA181" s="50" t="n">
        <v>48.893</v>
      </c>
      <c r="AB181" s="50"/>
      <c r="AC181" s="50"/>
      <c r="AD181" s="39"/>
      <c r="AE181" s="50"/>
      <c r="AF181" s="50"/>
      <c r="AG181" s="50" t="n">
        <v>49.643</v>
      </c>
      <c r="AH181" s="50"/>
      <c r="AI181" s="50"/>
      <c r="AJ181" s="39"/>
      <c r="AK181" s="50"/>
      <c r="AL181" s="50"/>
      <c r="AM181" s="50" t="n">
        <v>57.441</v>
      </c>
      <c r="AN181" s="50"/>
      <c r="AO181" s="50"/>
      <c r="AP181" s="39"/>
      <c r="AQ181" s="50"/>
      <c r="AR181" s="50"/>
      <c r="AS181" s="50" t="n">
        <v>79.04</v>
      </c>
      <c r="AT181" s="50"/>
      <c r="AU181" s="50"/>
      <c r="AV181" s="39"/>
      <c r="AW181" s="50"/>
      <c r="AX181" s="50"/>
      <c r="AY181" s="50" t="n">
        <v>85.334</v>
      </c>
      <c r="AZ181" s="50"/>
      <c r="BA181" s="50"/>
      <c r="BB181" s="39"/>
      <c r="BC181" s="50"/>
      <c r="BD181" s="50"/>
      <c r="BE181" s="50" t="n">
        <v>104.257</v>
      </c>
      <c r="BF181" s="50"/>
      <c r="BG181" s="50"/>
      <c r="BH181" s="39"/>
      <c r="BI181" s="50"/>
      <c r="BJ181" s="50"/>
      <c r="BK181" s="50" t="n">
        <v>123.084</v>
      </c>
      <c r="BL181" s="50"/>
      <c r="BM181" s="50"/>
      <c r="BN181" s="39"/>
      <c r="BO181" s="50"/>
      <c r="BP181" s="50"/>
      <c r="BQ181" s="50" t="n">
        <v>138.605</v>
      </c>
      <c r="BR181" s="50"/>
      <c r="BS181" s="50"/>
      <c r="BT181" s="39"/>
      <c r="BU181" s="50"/>
      <c r="BV181" s="50"/>
      <c r="BW181" s="50" t="n">
        <v>159.684</v>
      </c>
      <c r="BX181" s="50"/>
      <c r="BY181" s="50"/>
      <c r="BZ181" s="39"/>
      <c r="CA181" s="50"/>
      <c r="CB181" s="50"/>
      <c r="CC181" s="50" t="n">
        <v>190.256</v>
      </c>
      <c r="CD181" s="50"/>
      <c r="CE181" s="50"/>
      <c r="CF181" s="39"/>
      <c r="CG181" s="50"/>
      <c r="CH181" s="50"/>
      <c r="CI181" s="50" t="n">
        <v>217.784</v>
      </c>
      <c r="CJ181" s="50"/>
      <c r="CK181" s="50"/>
      <c r="CL181" s="39"/>
      <c r="CM181" s="50"/>
      <c r="CN181" s="50"/>
      <c r="CO181" s="50" t="n">
        <v>238.466</v>
      </c>
      <c r="CP181" s="40" t="n">
        <f aca="false">CP102</f>
        <v>244.337858775</v>
      </c>
      <c r="CQ181" s="40" t="n">
        <f aca="false">CQ102</f>
        <v>258.67648090235</v>
      </c>
      <c r="CR181" s="40" t="n">
        <f aca="false">CR102</f>
        <v>274.681404678795</v>
      </c>
      <c r="CS181" s="40" t="n">
        <f aca="false">CS102</f>
        <v>291.517168526808</v>
      </c>
      <c r="CT181" s="40" t="n">
        <f aca="false">CT102</f>
        <v>309.412967874803</v>
      </c>
      <c r="CU181" s="24"/>
      <c r="CW181" s="25"/>
      <c r="CX181" s="25"/>
      <c r="CY181" s="25"/>
      <c r="CZ181" s="25"/>
    </row>
    <row r="182" customFormat="false" ht="15" hidden="false" customHeight="false" outlineLevel="0" collapsed="false">
      <c r="B182" s="15" t="s">
        <v>307</v>
      </c>
      <c r="C182" s="50" t="n">
        <v>3.53</v>
      </c>
      <c r="D182" s="50" t="n">
        <v>3.424</v>
      </c>
      <c r="E182" s="50" t="n">
        <v>6.356</v>
      </c>
      <c r="F182" s="50" t="n">
        <v>9.413</v>
      </c>
      <c r="G182" s="50" t="n">
        <v>17.955</v>
      </c>
      <c r="H182" s="50" t="n">
        <v>19.007</v>
      </c>
      <c r="I182" s="50" t="n">
        <v>21.791</v>
      </c>
      <c r="J182" s="50"/>
      <c r="K182" s="50"/>
      <c r="L182" s="39"/>
      <c r="M182" s="50"/>
      <c r="N182" s="50"/>
      <c r="O182" s="50" t="n">
        <v>19.557</v>
      </c>
      <c r="P182" s="50"/>
      <c r="Q182" s="50"/>
      <c r="R182" s="39"/>
      <c r="S182" s="50"/>
      <c r="T182" s="50"/>
      <c r="U182" s="50" t="n">
        <v>22.099</v>
      </c>
      <c r="V182" s="50"/>
      <c r="W182" s="50"/>
      <c r="X182" s="39"/>
      <c r="Y182" s="50"/>
      <c r="Z182" s="50"/>
      <c r="AA182" s="50" t="n">
        <v>18.154</v>
      </c>
      <c r="AB182" s="50"/>
      <c r="AC182" s="50"/>
      <c r="AD182" s="39"/>
      <c r="AE182" s="50"/>
      <c r="AF182" s="50"/>
      <c r="AG182" s="50" t="n">
        <v>20.864</v>
      </c>
      <c r="AH182" s="50"/>
      <c r="AI182" s="50"/>
      <c r="AJ182" s="39"/>
      <c r="AK182" s="50"/>
      <c r="AL182" s="50"/>
      <c r="AM182" s="50" t="n">
        <v>20.84</v>
      </c>
      <c r="AN182" s="50"/>
      <c r="AO182" s="50"/>
      <c r="AP182" s="39"/>
      <c r="AQ182" s="50"/>
      <c r="AR182" s="50"/>
      <c r="AS182" s="50" t="n">
        <v>23.221</v>
      </c>
      <c r="AT182" s="50"/>
      <c r="AU182" s="50"/>
      <c r="AV182" s="39"/>
      <c r="AW182" s="50"/>
      <c r="AX182" s="50"/>
      <c r="AY182" s="50" t="n">
        <v>23.445</v>
      </c>
      <c r="AZ182" s="50"/>
      <c r="BA182" s="50"/>
      <c r="BB182" s="39"/>
      <c r="BC182" s="50"/>
      <c r="BD182" s="50"/>
      <c r="BE182" s="50" t="n">
        <v>23.322</v>
      </c>
      <c r="BF182" s="50"/>
      <c r="BG182" s="50"/>
      <c r="BH182" s="39"/>
      <c r="BI182" s="50"/>
      <c r="BJ182" s="50"/>
      <c r="BK182" s="50" t="n">
        <v>40.922</v>
      </c>
      <c r="BL182" s="50"/>
      <c r="BM182" s="50"/>
      <c r="BN182" s="39"/>
      <c r="BO182" s="50"/>
      <c r="BP182" s="50"/>
      <c r="BQ182" s="50" t="n">
        <v>38.965</v>
      </c>
      <c r="BR182" s="50"/>
      <c r="BS182" s="50"/>
      <c r="BT182" s="39"/>
      <c r="BU182" s="50"/>
      <c r="BV182" s="50"/>
      <c r="BW182" s="50" t="n">
        <v>39.673</v>
      </c>
      <c r="BX182" s="50"/>
      <c r="BY182" s="50"/>
      <c r="BZ182" s="39"/>
      <c r="CA182" s="50"/>
      <c r="CB182" s="50"/>
      <c r="CC182" s="50" t="n">
        <v>35.234</v>
      </c>
      <c r="CD182" s="50"/>
      <c r="CE182" s="50"/>
      <c r="CF182" s="39"/>
      <c r="CG182" s="50"/>
      <c r="CH182" s="50"/>
      <c r="CI182" s="50" t="n">
        <v>38.004</v>
      </c>
      <c r="CJ182" s="50"/>
      <c r="CK182" s="50"/>
      <c r="CL182" s="39"/>
      <c r="CM182" s="50"/>
      <c r="CN182" s="50"/>
      <c r="CO182" s="50" t="n">
        <v>38.818</v>
      </c>
      <c r="CP182" s="40" t="n">
        <f aca="false">CP103</f>
        <v>39.094057404</v>
      </c>
      <c r="CQ182" s="40" t="n">
        <f aca="false">CQ103</f>
        <v>41.388236944376</v>
      </c>
      <c r="CR182" s="40" t="n">
        <f aca="false">CR103</f>
        <v>43.9490247486072</v>
      </c>
      <c r="CS182" s="40" t="n">
        <f aca="false">CS103</f>
        <v>46.6427469642892</v>
      </c>
      <c r="CT182" s="40" t="n">
        <f aca="false">CT103</f>
        <v>49.5060748599685</v>
      </c>
      <c r="CU182" s="24"/>
      <c r="CW182" s="25"/>
      <c r="CX182" s="25"/>
      <c r="CY182" s="25"/>
      <c r="CZ182" s="25"/>
    </row>
    <row r="183" customFormat="false" ht="15" hidden="false" customHeight="false" outlineLevel="0" collapsed="false">
      <c r="B183" s="15" t="s">
        <v>308</v>
      </c>
      <c r="C183" s="50" t="n">
        <v>0.655</v>
      </c>
      <c r="D183" s="50" t="n">
        <v>0.219</v>
      </c>
      <c r="E183" s="50" t="n">
        <v>0.123</v>
      </c>
      <c r="F183" s="50" t="n">
        <v>0.647</v>
      </c>
      <c r="G183" s="50" t="n">
        <v>0.659</v>
      </c>
      <c r="H183" s="50" t="n">
        <v>1.882</v>
      </c>
      <c r="I183" s="50" t="n">
        <v>-0.143</v>
      </c>
      <c r="J183" s="50"/>
      <c r="K183" s="50"/>
      <c r="L183" s="39"/>
      <c r="M183" s="50"/>
      <c r="N183" s="50"/>
      <c r="O183" s="50" t="n">
        <v>0.962</v>
      </c>
      <c r="P183" s="50"/>
      <c r="Q183" s="50"/>
      <c r="R183" s="39"/>
      <c r="S183" s="50"/>
      <c r="T183" s="50"/>
      <c r="U183" s="50" t="n">
        <v>1.461</v>
      </c>
      <c r="V183" s="50"/>
      <c r="W183" s="50"/>
      <c r="X183" s="39"/>
      <c r="Y183" s="50"/>
      <c r="Z183" s="50"/>
      <c r="AA183" s="50" t="n">
        <v>0.918</v>
      </c>
      <c r="AB183" s="50"/>
      <c r="AC183" s="50"/>
      <c r="AD183" s="39"/>
      <c r="AE183" s="50"/>
      <c r="AF183" s="50"/>
      <c r="AG183" s="50" t="n">
        <v>0.054</v>
      </c>
      <c r="AH183" s="50"/>
      <c r="AI183" s="50"/>
      <c r="AJ183" s="39"/>
      <c r="AK183" s="50"/>
      <c r="AL183" s="50"/>
      <c r="AM183" s="50" t="n">
        <v>-0.184</v>
      </c>
      <c r="AN183" s="50"/>
      <c r="AO183" s="50"/>
      <c r="AP183" s="39"/>
      <c r="AQ183" s="50"/>
      <c r="AR183" s="50"/>
      <c r="AS183" s="50" t="n">
        <v>-3.24</v>
      </c>
      <c r="AT183" s="50"/>
      <c r="AU183" s="50"/>
      <c r="AV183" s="39"/>
      <c r="AW183" s="50"/>
      <c r="AX183" s="50"/>
      <c r="AY183" s="50" t="n">
        <v>3.073</v>
      </c>
      <c r="AZ183" s="50"/>
      <c r="BA183" s="50"/>
      <c r="BB183" s="39"/>
      <c r="BC183" s="50"/>
      <c r="BD183" s="50"/>
      <c r="BE183" s="50" t="n">
        <v>1.913</v>
      </c>
      <c r="BF183" s="50"/>
      <c r="BG183" s="50"/>
      <c r="BH183" s="39"/>
      <c r="BI183" s="50"/>
      <c r="BJ183" s="50"/>
      <c r="BK183" s="50" t="n">
        <v>1.48</v>
      </c>
      <c r="BL183" s="50"/>
      <c r="BM183" s="50"/>
      <c r="BN183" s="39"/>
      <c r="BO183" s="50"/>
      <c r="BP183" s="50"/>
      <c r="BQ183" s="50" t="n">
        <v>0.939</v>
      </c>
      <c r="BR183" s="50"/>
      <c r="BS183" s="50"/>
      <c r="BT183" s="39"/>
      <c r="BU183" s="50"/>
      <c r="BV183" s="50"/>
      <c r="BW183" s="50" t="n">
        <v>1.846</v>
      </c>
      <c r="BX183" s="50"/>
      <c r="BY183" s="50"/>
      <c r="BZ183" s="39"/>
      <c r="CA183" s="50"/>
      <c r="CB183" s="50"/>
      <c r="CC183" s="50" t="n">
        <v>2.386</v>
      </c>
      <c r="CD183" s="50"/>
      <c r="CE183" s="50"/>
      <c r="CF183" s="39"/>
      <c r="CG183" s="50"/>
      <c r="CH183" s="50"/>
      <c r="CI183" s="50" t="n">
        <v>13.726</v>
      </c>
      <c r="CJ183" s="50"/>
      <c r="CK183" s="50"/>
      <c r="CL183" s="39"/>
      <c r="CM183" s="50"/>
      <c r="CN183" s="50"/>
      <c r="CO183" s="50" t="n">
        <v>-1.13</v>
      </c>
      <c r="CP183" s="51" t="n">
        <v>0</v>
      </c>
      <c r="CQ183" s="51" t="n">
        <v>0</v>
      </c>
      <c r="CR183" s="51" t="n">
        <v>0</v>
      </c>
      <c r="CS183" s="51" t="n">
        <v>0</v>
      </c>
      <c r="CT183" s="51" t="n">
        <v>0</v>
      </c>
      <c r="CU183" s="24"/>
      <c r="CW183" s="25"/>
      <c r="CX183" s="25"/>
      <c r="CY183" s="25"/>
      <c r="CZ183" s="25"/>
    </row>
    <row r="184" customFormat="false" ht="15" hidden="false" customHeight="false" outlineLevel="0" collapsed="false">
      <c r="B184" s="15" t="s">
        <v>309</v>
      </c>
      <c r="C184" s="50" t="n">
        <v>-4.12</v>
      </c>
      <c r="D184" s="50" t="n">
        <v>-8.948</v>
      </c>
      <c r="E184" s="50" t="n">
        <v>5.69</v>
      </c>
      <c r="F184" s="50" t="n">
        <v>-2.393</v>
      </c>
      <c r="G184" s="50" t="n">
        <v>-4.512</v>
      </c>
      <c r="H184" s="50" t="n">
        <v>-2.099</v>
      </c>
      <c r="I184" s="50" t="n">
        <v>-17.579</v>
      </c>
      <c r="J184" s="50"/>
      <c r="K184" s="50"/>
      <c r="L184" s="39"/>
      <c r="M184" s="50"/>
      <c r="N184" s="50"/>
      <c r="O184" s="50" t="n">
        <v>-3.605</v>
      </c>
      <c r="P184" s="50"/>
      <c r="Q184" s="50"/>
      <c r="R184" s="39"/>
      <c r="S184" s="50"/>
      <c r="T184" s="50"/>
      <c r="U184" s="50" t="n">
        <v>-10.838</v>
      </c>
      <c r="V184" s="50"/>
      <c r="W184" s="50"/>
      <c r="X184" s="39"/>
      <c r="Y184" s="50"/>
      <c r="Z184" s="50"/>
      <c r="AA184" s="50" t="n">
        <v>4.365</v>
      </c>
      <c r="AB184" s="50"/>
      <c r="AC184" s="50"/>
      <c r="AD184" s="39"/>
      <c r="AE184" s="50"/>
      <c r="AF184" s="50"/>
      <c r="AG184" s="50" t="n">
        <v>5.74</v>
      </c>
      <c r="AH184" s="50"/>
      <c r="AI184" s="50"/>
      <c r="AJ184" s="39"/>
      <c r="AK184" s="50"/>
      <c r="AL184" s="50"/>
      <c r="AM184" s="50" t="n">
        <v>19.901</v>
      </c>
      <c r="AN184" s="50"/>
      <c r="AO184" s="50"/>
      <c r="AP184" s="39"/>
      <c r="AQ184" s="50"/>
      <c r="AR184" s="50"/>
      <c r="AS184" s="50" t="n">
        <v>16.717</v>
      </c>
      <c r="AT184" s="50"/>
      <c r="AU184" s="50"/>
      <c r="AV184" s="39"/>
      <c r="AW184" s="50"/>
      <c r="AX184" s="50"/>
      <c r="AY184" s="50" t="n">
        <v>23.167</v>
      </c>
      <c r="AZ184" s="50"/>
      <c r="BA184" s="50"/>
      <c r="BB184" s="39"/>
      <c r="BC184" s="50"/>
      <c r="BD184" s="50"/>
      <c r="BE184" s="50" t="n">
        <v>23.082</v>
      </c>
      <c r="BF184" s="50"/>
      <c r="BG184" s="50"/>
      <c r="BH184" s="39"/>
      <c r="BI184" s="50"/>
      <c r="BJ184" s="50"/>
      <c r="BK184" s="50" t="n">
        <v>-7.951</v>
      </c>
      <c r="BL184" s="50"/>
      <c r="BM184" s="50"/>
      <c r="BN184" s="39"/>
      <c r="BO184" s="50"/>
      <c r="BP184" s="50"/>
      <c r="BQ184" s="50" t="n">
        <v>17.017</v>
      </c>
      <c r="BR184" s="50"/>
      <c r="BS184" s="50"/>
      <c r="BT184" s="39"/>
      <c r="BU184" s="50"/>
      <c r="BV184" s="50"/>
      <c r="BW184" s="50" t="n">
        <v>9.946</v>
      </c>
      <c r="BX184" s="50"/>
      <c r="BY184" s="50"/>
      <c r="BZ184" s="39"/>
      <c r="CA184" s="50"/>
      <c r="CB184" s="50"/>
      <c r="CC184" s="50" t="n">
        <v>-0.847</v>
      </c>
      <c r="CD184" s="50"/>
      <c r="CE184" s="50"/>
      <c r="CF184" s="39"/>
      <c r="CG184" s="50"/>
      <c r="CH184" s="50"/>
      <c r="CI184" s="50" t="n">
        <v>-13.44</v>
      </c>
      <c r="CJ184" s="50"/>
      <c r="CK184" s="50"/>
      <c r="CL184" s="39"/>
      <c r="CM184" s="50"/>
      <c r="CN184" s="50"/>
      <c r="CO184" s="50" t="n">
        <v>47.359</v>
      </c>
      <c r="CP184" s="51" t="n">
        <v>10</v>
      </c>
      <c r="CQ184" s="51" t="n">
        <v>10</v>
      </c>
      <c r="CR184" s="51" t="n">
        <v>10</v>
      </c>
      <c r="CS184" s="51" t="n">
        <v>10</v>
      </c>
      <c r="CT184" s="51" t="n">
        <v>10</v>
      </c>
      <c r="CU184" s="24" t="s">
        <v>310</v>
      </c>
      <c r="CW184" s="25"/>
      <c r="CX184" s="25"/>
      <c r="CY184" s="25"/>
      <c r="CZ184" s="25"/>
    </row>
    <row r="185" customFormat="false" ht="15" hidden="false" customHeight="false" outlineLevel="0" collapsed="false">
      <c r="B185" s="15" t="s">
        <v>311</v>
      </c>
      <c r="C185" s="50" t="n">
        <v>0</v>
      </c>
      <c r="D185" s="50" t="n">
        <v>0</v>
      </c>
      <c r="E185" s="50" t="n">
        <v>0</v>
      </c>
      <c r="F185" s="50" t="n">
        <v>0</v>
      </c>
      <c r="G185" s="50" t="n">
        <v>0</v>
      </c>
      <c r="H185" s="50" t="n">
        <v>0</v>
      </c>
      <c r="I185" s="50" t="n">
        <v>8.771</v>
      </c>
      <c r="J185" s="50"/>
      <c r="K185" s="50"/>
      <c r="L185" s="39"/>
      <c r="M185" s="50"/>
      <c r="N185" s="50"/>
      <c r="O185" s="50" t="n">
        <v>0</v>
      </c>
      <c r="P185" s="50"/>
      <c r="Q185" s="50"/>
      <c r="R185" s="39"/>
      <c r="S185" s="50"/>
      <c r="T185" s="50"/>
      <c r="U185" s="50" t="n">
        <v>29.104</v>
      </c>
      <c r="V185" s="50"/>
      <c r="W185" s="50"/>
      <c r="X185" s="39"/>
      <c r="Y185" s="50"/>
      <c r="Z185" s="50"/>
      <c r="AA185" s="50" t="n">
        <v>0</v>
      </c>
      <c r="AB185" s="50"/>
      <c r="AC185" s="50"/>
      <c r="AD185" s="39"/>
      <c r="AE185" s="50"/>
      <c r="AF185" s="50"/>
      <c r="AG185" s="50" t="n">
        <v>0</v>
      </c>
      <c r="AH185" s="50"/>
      <c r="AI185" s="50"/>
      <c r="AJ185" s="39"/>
      <c r="AK185" s="50"/>
      <c r="AL185" s="50"/>
      <c r="AM185" s="50" t="n">
        <v>19.365</v>
      </c>
      <c r="AN185" s="50"/>
      <c r="AO185" s="50"/>
      <c r="AP185" s="39"/>
      <c r="AQ185" s="50"/>
      <c r="AR185" s="50"/>
      <c r="AS185" s="50" t="n">
        <v>1.131</v>
      </c>
      <c r="AT185" s="50"/>
      <c r="AU185" s="50"/>
      <c r="AV185" s="39"/>
      <c r="AW185" s="50"/>
      <c r="AX185" s="50"/>
      <c r="AY185" s="50" t="n">
        <v>0</v>
      </c>
      <c r="AZ185" s="50"/>
      <c r="BA185" s="50"/>
      <c r="BB185" s="39"/>
      <c r="BC185" s="50"/>
      <c r="BD185" s="50"/>
      <c r="BE185" s="50" t="n">
        <v>0</v>
      </c>
      <c r="BF185" s="50"/>
      <c r="BG185" s="50"/>
      <c r="BH185" s="39"/>
      <c r="BI185" s="50"/>
      <c r="BJ185" s="50"/>
      <c r="BK185" s="50" t="n">
        <v>0</v>
      </c>
      <c r="BL185" s="50"/>
      <c r="BM185" s="50"/>
      <c r="BN185" s="39"/>
      <c r="BO185" s="50"/>
      <c r="BP185" s="50"/>
      <c r="BQ185" s="50" t="n">
        <v>0</v>
      </c>
      <c r="BR185" s="50"/>
      <c r="BS185" s="50"/>
      <c r="BT185" s="39"/>
      <c r="BU185" s="50"/>
      <c r="BV185" s="50"/>
      <c r="BW185" s="50" t="n">
        <v>0</v>
      </c>
      <c r="BX185" s="50"/>
      <c r="BY185" s="50"/>
      <c r="BZ185" s="39"/>
      <c r="CA185" s="50"/>
      <c r="CB185" s="50"/>
      <c r="CC185" s="50" t="n">
        <v>0</v>
      </c>
      <c r="CD185" s="50"/>
      <c r="CE185" s="50"/>
      <c r="CF185" s="39"/>
      <c r="CG185" s="50"/>
      <c r="CH185" s="50"/>
      <c r="CI185" s="50" t="n">
        <v>0</v>
      </c>
      <c r="CJ185" s="50"/>
      <c r="CK185" s="50"/>
      <c r="CL185" s="39"/>
      <c r="CM185" s="50"/>
      <c r="CN185" s="50"/>
      <c r="CO185" s="50" t="n">
        <v>0</v>
      </c>
      <c r="CP185" s="40" t="n">
        <f aca="false">CP79</f>
        <v>0</v>
      </c>
      <c r="CQ185" s="40" t="n">
        <f aca="false">CQ79</f>
        <v>0</v>
      </c>
      <c r="CR185" s="40" t="n">
        <f aca="false">CR79</f>
        <v>0</v>
      </c>
      <c r="CS185" s="40" t="n">
        <f aca="false">CS79</f>
        <v>0</v>
      </c>
      <c r="CT185" s="40" t="n">
        <f aca="false">CT79</f>
        <v>0</v>
      </c>
      <c r="CU185" s="24"/>
      <c r="CW185" s="25"/>
      <c r="CX185" s="25"/>
      <c r="CY185" s="25"/>
      <c r="CZ185" s="25"/>
    </row>
    <row r="186" customFormat="false" ht="15" hidden="false" customHeight="false" outlineLevel="0" collapsed="false">
      <c r="B186" s="15" t="s">
        <v>312</v>
      </c>
      <c r="C186" s="50" t="n">
        <v>0</v>
      </c>
      <c r="D186" s="50" t="n">
        <v>0</v>
      </c>
      <c r="E186" s="50" t="n">
        <v>0</v>
      </c>
      <c r="F186" s="50" t="n">
        <v>0</v>
      </c>
      <c r="G186" s="50" t="n">
        <v>0</v>
      </c>
      <c r="H186" s="50" t="n">
        <v>0</v>
      </c>
      <c r="I186" s="50" t="n">
        <v>0</v>
      </c>
      <c r="J186" s="50"/>
      <c r="K186" s="50"/>
      <c r="L186" s="39"/>
      <c r="M186" s="50"/>
      <c r="N186" s="50"/>
      <c r="O186" s="50" t="n">
        <v>0</v>
      </c>
      <c r="P186" s="50"/>
      <c r="Q186" s="50"/>
      <c r="R186" s="39"/>
      <c r="S186" s="50"/>
      <c r="T186" s="50"/>
      <c r="U186" s="50" t="n">
        <v>0</v>
      </c>
      <c r="V186" s="50"/>
      <c r="W186" s="50"/>
      <c r="X186" s="39"/>
      <c r="Y186" s="50"/>
      <c r="Z186" s="50"/>
      <c r="AA186" s="50" t="n">
        <v>0</v>
      </c>
      <c r="AB186" s="50"/>
      <c r="AC186" s="50"/>
      <c r="AD186" s="39"/>
      <c r="AE186" s="50"/>
      <c r="AF186" s="50"/>
      <c r="AG186" s="50" t="n">
        <v>0</v>
      </c>
      <c r="AH186" s="50"/>
      <c r="AI186" s="50"/>
      <c r="AJ186" s="39"/>
      <c r="AK186" s="50"/>
      <c r="AL186" s="50"/>
      <c r="AM186" s="50" t="n">
        <v>0</v>
      </c>
      <c r="AN186" s="50"/>
      <c r="AO186" s="50"/>
      <c r="AP186" s="39"/>
      <c r="AQ186" s="50"/>
      <c r="AR186" s="50"/>
      <c r="AS186" s="50" t="n">
        <v>0</v>
      </c>
      <c r="AT186" s="50"/>
      <c r="AU186" s="50"/>
      <c r="AV186" s="39"/>
      <c r="AW186" s="50"/>
      <c r="AX186" s="50"/>
      <c r="AY186" s="50" t="n">
        <v>0</v>
      </c>
      <c r="AZ186" s="50"/>
      <c r="BA186" s="50"/>
      <c r="BB186" s="39"/>
      <c r="BC186" s="50"/>
      <c r="BD186" s="50"/>
      <c r="BE186" s="50" t="n">
        <v>0</v>
      </c>
      <c r="BF186" s="50"/>
      <c r="BG186" s="50"/>
      <c r="BH186" s="39"/>
      <c r="BI186" s="50"/>
      <c r="BJ186" s="50"/>
      <c r="BK186" s="50" t="n">
        <v>0</v>
      </c>
      <c r="BL186" s="50"/>
      <c r="BM186" s="50"/>
      <c r="BN186" s="39"/>
      <c r="BO186" s="50"/>
      <c r="BP186" s="50"/>
      <c r="BQ186" s="50" t="n">
        <v>16.759</v>
      </c>
      <c r="BR186" s="50"/>
      <c r="BS186" s="50"/>
      <c r="BT186" s="39"/>
      <c r="BU186" s="50"/>
      <c r="BV186" s="50"/>
      <c r="BW186" s="50" t="n">
        <v>0</v>
      </c>
      <c r="BX186" s="50"/>
      <c r="BY186" s="50"/>
      <c r="BZ186" s="39"/>
      <c r="CA186" s="50"/>
      <c r="CB186" s="50"/>
      <c r="CC186" s="50" t="n">
        <v>0</v>
      </c>
      <c r="CD186" s="50"/>
      <c r="CE186" s="50"/>
      <c r="CF186" s="39"/>
      <c r="CG186" s="50"/>
      <c r="CH186" s="50"/>
      <c r="CI186" s="50" t="n">
        <v>0</v>
      </c>
      <c r="CJ186" s="50"/>
      <c r="CK186" s="50"/>
      <c r="CL186" s="39"/>
      <c r="CM186" s="50"/>
      <c r="CN186" s="50"/>
      <c r="CO186" s="50" t="n">
        <v>0</v>
      </c>
      <c r="CP186" s="40" t="n">
        <f aca="false">-CP85</f>
        <v>-0</v>
      </c>
      <c r="CQ186" s="40" t="n">
        <f aca="false">-CQ85</f>
        <v>-0</v>
      </c>
      <c r="CR186" s="40" t="n">
        <f aca="false">-CR85</f>
        <v>-0</v>
      </c>
      <c r="CS186" s="40" t="n">
        <f aca="false">-CS85</f>
        <v>-0</v>
      </c>
      <c r="CT186" s="40" t="n">
        <f aca="false">-CT85</f>
        <v>-0</v>
      </c>
      <c r="CU186" s="24"/>
      <c r="CW186" s="25"/>
      <c r="CX186" s="25"/>
      <c r="CY186" s="25"/>
      <c r="CZ186" s="25"/>
    </row>
    <row r="187" customFormat="false" ht="15" hidden="false" customHeight="false" outlineLevel="0" collapsed="false">
      <c r="B187" s="15" t="s">
        <v>313</v>
      </c>
      <c r="C187" s="50" t="n">
        <v>25.793</v>
      </c>
      <c r="D187" s="50" t="n">
        <v>-1.027</v>
      </c>
      <c r="E187" s="50" t="n">
        <v>-17.098</v>
      </c>
      <c r="F187" s="50" t="n">
        <v>-8.355</v>
      </c>
      <c r="G187" s="50" t="n">
        <v>-18.709</v>
      </c>
      <c r="H187" s="50" t="n">
        <v>22.741</v>
      </c>
      <c r="I187" s="50" t="n">
        <v>-12.405</v>
      </c>
      <c r="J187" s="50"/>
      <c r="K187" s="50"/>
      <c r="L187" s="39"/>
      <c r="M187" s="50"/>
      <c r="N187" s="50"/>
      <c r="O187" s="50" t="n">
        <v>-8.377</v>
      </c>
      <c r="P187" s="50"/>
      <c r="Q187" s="50"/>
      <c r="R187" s="39"/>
      <c r="S187" s="50"/>
      <c r="T187" s="50"/>
      <c r="U187" s="50" t="n">
        <v>-4.124</v>
      </c>
      <c r="V187" s="50"/>
      <c r="W187" s="50"/>
      <c r="X187" s="39"/>
      <c r="Y187" s="50"/>
      <c r="Z187" s="50"/>
      <c r="AA187" s="50" t="n">
        <v>-5.385</v>
      </c>
      <c r="AB187" s="50"/>
      <c r="AC187" s="50"/>
      <c r="AD187" s="39"/>
      <c r="AE187" s="50"/>
      <c r="AF187" s="50"/>
      <c r="AG187" s="50" t="n">
        <v>1.962</v>
      </c>
      <c r="AH187" s="50"/>
      <c r="AI187" s="50"/>
      <c r="AJ187" s="39"/>
      <c r="AK187" s="50"/>
      <c r="AL187" s="50"/>
      <c r="AM187" s="50" t="n">
        <v>1.226</v>
      </c>
      <c r="AN187" s="50"/>
      <c r="AO187" s="50"/>
      <c r="AP187" s="39"/>
      <c r="AQ187" s="50"/>
      <c r="AR187" s="50"/>
      <c r="AS187" s="50" t="n">
        <v>8.398</v>
      </c>
      <c r="AT187" s="50"/>
      <c r="AU187" s="50"/>
      <c r="AV187" s="39"/>
      <c r="AW187" s="50"/>
      <c r="AX187" s="50"/>
      <c r="AY187" s="50" t="n">
        <v>-6.156</v>
      </c>
      <c r="AZ187" s="50"/>
      <c r="BA187" s="50"/>
      <c r="BB187" s="39"/>
      <c r="BC187" s="50"/>
      <c r="BD187" s="50"/>
      <c r="BE187" s="50" t="n">
        <v>-0.755</v>
      </c>
      <c r="BF187" s="50"/>
      <c r="BG187" s="50"/>
      <c r="BH187" s="39"/>
      <c r="BI187" s="50"/>
      <c r="BJ187" s="50"/>
      <c r="BK187" s="50" t="n">
        <v>-7.321</v>
      </c>
      <c r="BL187" s="50"/>
      <c r="BM187" s="50"/>
      <c r="BN187" s="39"/>
      <c r="BO187" s="50"/>
      <c r="BP187" s="50"/>
      <c r="BQ187" s="50" t="n">
        <v>-0.245</v>
      </c>
      <c r="BR187" s="50"/>
      <c r="BS187" s="50"/>
      <c r="BT187" s="39"/>
      <c r="BU187" s="50"/>
      <c r="BV187" s="50"/>
      <c r="BW187" s="50" t="n">
        <v>3.601</v>
      </c>
      <c r="BX187" s="50"/>
      <c r="BY187" s="50"/>
      <c r="BZ187" s="39"/>
      <c r="CA187" s="50"/>
      <c r="CB187" s="50"/>
      <c r="CC187" s="50" t="n">
        <v>-2.675</v>
      </c>
      <c r="CD187" s="50"/>
      <c r="CE187" s="50"/>
      <c r="CF187" s="39"/>
      <c r="CG187" s="50"/>
      <c r="CH187" s="50"/>
      <c r="CI187" s="50" t="n">
        <v>-27.247</v>
      </c>
      <c r="CJ187" s="50"/>
      <c r="CK187" s="50"/>
      <c r="CL187" s="39"/>
      <c r="CM187" s="50"/>
      <c r="CN187" s="50"/>
      <c r="CO187" s="50" t="n">
        <v>8.185</v>
      </c>
      <c r="CP187" s="51" t="n">
        <v>0</v>
      </c>
      <c r="CQ187" s="51" t="n">
        <v>0</v>
      </c>
      <c r="CR187" s="51" t="n">
        <v>0</v>
      </c>
      <c r="CS187" s="51" t="n">
        <v>0</v>
      </c>
      <c r="CT187" s="51" t="n">
        <v>0</v>
      </c>
      <c r="CU187" s="24"/>
      <c r="CW187" s="25"/>
      <c r="CX187" s="25"/>
      <c r="CY187" s="25"/>
      <c r="CZ187" s="25"/>
    </row>
    <row r="188" customFormat="false" ht="15" hidden="false" customHeight="false" outlineLevel="0" collapsed="false">
      <c r="B188" s="15" t="s">
        <v>314</v>
      </c>
      <c r="C188" s="50" t="n">
        <v>-13.057</v>
      </c>
      <c r="D188" s="50" t="n">
        <v>14.958</v>
      </c>
      <c r="E188" s="50" t="n">
        <v>-0.744</v>
      </c>
      <c r="F188" s="50" t="n">
        <v>21.57</v>
      </c>
      <c r="G188" s="50" t="n">
        <v>9.145</v>
      </c>
      <c r="H188" s="50" t="n">
        <v>-10.668</v>
      </c>
      <c r="I188" s="50" t="n">
        <v>-1.048</v>
      </c>
      <c r="J188" s="50"/>
      <c r="K188" s="50"/>
      <c r="L188" s="39"/>
      <c r="M188" s="50"/>
      <c r="N188" s="50"/>
      <c r="O188" s="50" t="n">
        <v>-45.964</v>
      </c>
      <c r="P188" s="50"/>
      <c r="Q188" s="50"/>
      <c r="R188" s="39"/>
      <c r="S188" s="50"/>
      <c r="T188" s="50"/>
      <c r="U188" s="50" t="n">
        <v>-7.521</v>
      </c>
      <c r="V188" s="50"/>
      <c r="W188" s="50"/>
      <c r="X188" s="39"/>
      <c r="Y188" s="50"/>
      <c r="Z188" s="50"/>
      <c r="AA188" s="50" t="n">
        <v>-21.652</v>
      </c>
      <c r="AB188" s="50"/>
      <c r="AC188" s="50"/>
      <c r="AD188" s="39"/>
      <c r="AE188" s="50"/>
      <c r="AF188" s="50"/>
      <c r="AG188" s="50" t="n">
        <v>-16.125</v>
      </c>
      <c r="AH188" s="50"/>
      <c r="AI188" s="50"/>
      <c r="AJ188" s="39"/>
      <c r="AK188" s="50"/>
      <c r="AL188" s="50"/>
      <c r="AM188" s="50" t="n">
        <v>-20.792</v>
      </c>
      <c r="AN188" s="50"/>
      <c r="AO188" s="50"/>
      <c r="AP188" s="39"/>
      <c r="AQ188" s="50"/>
      <c r="AR188" s="50"/>
      <c r="AS188" s="50" t="n">
        <v>-8.205</v>
      </c>
      <c r="AT188" s="50"/>
      <c r="AU188" s="50"/>
      <c r="AV188" s="39"/>
      <c r="AW188" s="50"/>
      <c r="AX188" s="50"/>
      <c r="AY188" s="50" t="n">
        <v>-73.91</v>
      </c>
      <c r="AZ188" s="50"/>
      <c r="BA188" s="50"/>
      <c r="BB188" s="39"/>
      <c r="BC188" s="50"/>
      <c r="BD188" s="50"/>
      <c r="BE188" s="50" t="n">
        <v>66.159</v>
      </c>
      <c r="BF188" s="50"/>
      <c r="BG188" s="50"/>
      <c r="BH188" s="39"/>
      <c r="BI188" s="50"/>
      <c r="BJ188" s="50"/>
      <c r="BK188" s="50" t="n">
        <v>-95.818</v>
      </c>
      <c r="BL188" s="50"/>
      <c r="BM188" s="50"/>
      <c r="BN188" s="39"/>
      <c r="BO188" s="50"/>
      <c r="BP188" s="50"/>
      <c r="BQ188" s="50" t="n">
        <v>-125.487</v>
      </c>
      <c r="BR188" s="50"/>
      <c r="BS188" s="50"/>
      <c r="BT188" s="39"/>
      <c r="BU188" s="50"/>
      <c r="BV188" s="50"/>
      <c r="BW188" s="50" t="n">
        <v>-88.281</v>
      </c>
      <c r="BX188" s="50"/>
      <c r="BY188" s="50"/>
      <c r="BZ188" s="39"/>
      <c r="CA188" s="50"/>
      <c r="CB188" s="50"/>
      <c r="CC188" s="50" t="n">
        <v>-114.137</v>
      </c>
      <c r="CD188" s="50"/>
      <c r="CE188" s="50"/>
      <c r="CF188" s="39"/>
      <c r="CG188" s="50"/>
      <c r="CH188" s="50"/>
      <c r="CI188" s="50" t="n">
        <v>22.56</v>
      </c>
      <c r="CJ188" s="50"/>
      <c r="CK188" s="50"/>
      <c r="CL188" s="39"/>
      <c r="CM188" s="50"/>
      <c r="CN188" s="50"/>
      <c r="CO188" s="50" t="n">
        <v>-207.603</v>
      </c>
      <c r="CP188" s="40" t="n">
        <f aca="false">-(CP245-CO245)-(CP246-CO246)-(CP247-CO247)-(CP248-CO248)-(CP249-CO249)+(CP260-CO260)+(CP261-CO261)+(CP262-CO262)+(CP270-CO270)</f>
        <v>-1.7786898896215</v>
      </c>
      <c r="CQ188" s="40" t="n">
        <f aca="false">-(CQ245-CP245)-(CQ246-CP246)-(CQ247-CP247)-(CQ248-CP248)-(CQ249-CP249)+(CQ260-CP260)+(CQ261-CP261)+(CQ262-CP262)+(CQ270-CP270)</f>
        <v>-18.2284106067607</v>
      </c>
      <c r="CR188" s="40" t="n">
        <f aca="false">-(CR245-CQ245)-(CR246-CQ246)-(CR247-CQ247)-(CR248-CQ248)-(CR249-CQ249)+(CR260-CQ260)+(CR261-CQ261)+(CR262-CQ262)+(CR270-CQ270)</f>
        <v>-20.2510129807234</v>
      </c>
      <c r="CS188" s="40" t="n">
        <f aca="false">-(CS245-CR245)-(CS246-CR246)-(CS247-CR247)-(CS248-CR248)-(CS249-CR249)+(CS260-CR260)+(CS261-CR261)+(CS262-CR262)+(CS270-CR270)</f>
        <v>-21.2920374861799</v>
      </c>
      <c r="CT188" s="40" t="n">
        <f aca="false">-(CT245-CS245)-(CT246-CS246)-(CT247-CS247)-(CT248-CS248)-(CT249-CS249)+(CT260-CS260)+(CT261-CS261)+(CT262-CS262)+(CT270-CS270)</f>
        <v>-22.6058862003006</v>
      </c>
      <c r="CU188" s="24" t="s">
        <v>315</v>
      </c>
      <c r="CW188" s="25"/>
      <c r="CX188" s="25"/>
      <c r="CY188" s="25"/>
      <c r="CZ188" s="25"/>
    </row>
    <row r="189" customFormat="false" ht="15" hidden="false" customHeight="false" outlineLevel="0" collapsed="false">
      <c r="B189" s="20" t="s">
        <v>316</v>
      </c>
      <c r="C189" s="21" t="n">
        <f aca="false">SUM(C179:C188)</f>
        <v>141.204</v>
      </c>
      <c r="D189" s="21" t="n">
        <f aca="false">SUM(D179:D188)</f>
        <v>182.053</v>
      </c>
      <c r="E189" s="21" t="n">
        <f aca="false">SUM(E179:E188)</f>
        <v>194.063</v>
      </c>
      <c r="F189" s="21" t="n">
        <f aca="false">SUM(F179:F188)</f>
        <v>203.339</v>
      </c>
      <c r="G189" s="21" t="n">
        <f aca="false">SUM(G179:G188)</f>
        <v>199.407</v>
      </c>
      <c r="H189" s="21" t="n">
        <f aca="false">SUM(H179:H188)</f>
        <v>242.932</v>
      </c>
      <c r="I189" s="21" t="n">
        <f aca="false">SUM(I179:I188)</f>
        <v>229.673</v>
      </c>
      <c r="J189" s="21"/>
      <c r="K189" s="21"/>
      <c r="L189" s="21"/>
      <c r="M189" s="21"/>
      <c r="N189" s="21"/>
      <c r="O189" s="21" t="n">
        <f aca="false">SUM(O179:O188)</f>
        <v>199.326</v>
      </c>
      <c r="P189" s="21"/>
      <c r="Q189" s="21"/>
      <c r="R189" s="21"/>
      <c r="S189" s="21"/>
      <c r="T189" s="21"/>
      <c r="U189" s="21" t="n">
        <f aca="false">SUM(U179:U188)</f>
        <v>262.594</v>
      </c>
      <c r="V189" s="21"/>
      <c r="W189" s="21"/>
      <c r="X189" s="21"/>
      <c r="Y189" s="21"/>
      <c r="Z189" s="21"/>
      <c r="AA189" s="21" t="n">
        <f aca="false">SUM(AA179:AA188)</f>
        <v>265.076</v>
      </c>
      <c r="AB189" s="21"/>
      <c r="AC189" s="21"/>
      <c r="AD189" s="21"/>
      <c r="AE189" s="21"/>
      <c r="AF189" s="21"/>
      <c r="AG189" s="21" t="n">
        <f aca="false">SUM(AG179:AG188)</f>
        <v>332.498</v>
      </c>
      <c r="AH189" s="21"/>
      <c r="AI189" s="21"/>
      <c r="AJ189" s="21"/>
      <c r="AK189" s="21"/>
      <c r="AL189" s="21"/>
      <c r="AM189" s="21" t="n">
        <f aca="false">SUM(AM179:AM188)</f>
        <v>492.058</v>
      </c>
      <c r="AN189" s="21"/>
      <c r="AO189" s="21"/>
      <c r="AP189" s="21"/>
      <c r="AQ189" s="21"/>
      <c r="AR189" s="21"/>
      <c r="AS189" s="21" t="n">
        <f aca="false">SUM(AS179:AS188)</f>
        <v>535.069</v>
      </c>
      <c r="AT189" s="21"/>
      <c r="AU189" s="21"/>
      <c r="AV189" s="21"/>
      <c r="AW189" s="21"/>
      <c r="AX189" s="21"/>
      <c r="AY189" s="21" t="n">
        <f aca="false">SUM(AY179:AY188)</f>
        <v>646.646</v>
      </c>
      <c r="AZ189" s="21"/>
      <c r="BA189" s="21"/>
      <c r="BB189" s="21"/>
      <c r="BC189" s="21"/>
      <c r="BD189" s="21"/>
      <c r="BE189" s="21" t="n">
        <f aca="false">SUM(BE179:BE188)</f>
        <v>917.885</v>
      </c>
      <c r="BF189" s="21"/>
      <c r="BG189" s="21"/>
      <c r="BH189" s="21"/>
      <c r="BI189" s="21"/>
      <c r="BJ189" s="21"/>
      <c r="BK189" s="21" t="n">
        <f aca="false">SUM(BK179:BK188)</f>
        <v>990.891</v>
      </c>
      <c r="BL189" s="21"/>
      <c r="BM189" s="21"/>
      <c r="BN189" s="21"/>
      <c r="BO189" s="21"/>
      <c r="BP189" s="21"/>
      <c r="BQ189" s="21" t="n">
        <f aca="false">SUM(BQ179:BQ188)</f>
        <v>1176.683</v>
      </c>
      <c r="BR189" s="21"/>
      <c r="BS189" s="21"/>
      <c r="BT189" s="21"/>
      <c r="BU189" s="21"/>
      <c r="BV189" s="21"/>
      <c r="BW189" s="21" t="n">
        <f aca="false">SUM(BW179:BW188)</f>
        <v>1364.21</v>
      </c>
      <c r="BX189" s="21"/>
      <c r="BY189" s="21"/>
      <c r="BZ189" s="21"/>
      <c r="CA189" s="21"/>
      <c r="CB189" s="21"/>
      <c r="CC189" s="21" t="n">
        <f aca="false">SUM(CC179:CC188)</f>
        <v>1472.564</v>
      </c>
      <c r="CD189" s="21"/>
      <c r="CE189" s="21"/>
      <c r="CF189" s="21"/>
      <c r="CG189" s="21"/>
      <c r="CH189" s="21"/>
      <c r="CI189" s="21" t="n">
        <f aca="false">SUM(CI179:CI188)</f>
        <v>1799.75</v>
      </c>
      <c r="CJ189" s="21"/>
      <c r="CK189" s="21"/>
      <c r="CL189" s="21"/>
      <c r="CM189" s="21"/>
      <c r="CN189" s="21"/>
      <c r="CO189" s="21" t="n">
        <f aca="false">SUM(CO179:CO188)</f>
        <v>1604.492</v>
      </c>
      <c r="CP189" s="23" t="n">
        <f aca="false">SUM(CP179:CP188)</f>
        <v>1776.32215102225</v>
      </c>
      <c r="CQ189" s="23" t="n">
        <f aca="false">SUM(CQ179:CQ188)</f>
        <v>1852.94497451086</v>
      </c>
      <c r="CR189" s="23" t="n">
        <f aca="false">SUM(CR179:CR188)</f>
        <v>1988.9293447482</v>
      </c>
      <c r="CS189" s="23" t="n">
        <f aca="false">SUM(CS179:CS188)</f>
        <v>2135.07989056181</v>
      </c>
      <c r="CT189" s="23" t="n">
        <f aca="false">SUM(CT179:CT188)</f>
        <v>2291.62208891601</v>
      </c>
      <c r="CU189" s="24"/>
      <c r="CW189" s="6"/>
      <c r="CX189" s="6"/>
      <c r="CY189" s="6"/>
      <c r="CZ189" s="6"/>
    </row>
    <row r="190" customFormat="false" ht="15" hidden="false" customHeight="false" outlineLevel="0" collapsed="false">
      <c r="B190" s="15" t="s">
        <v>317</v>
      </c>
      <c r="C190" s="50" t="n">
        <v>-97.036</v>
      </c>
      <c r="D190" s="50" t="n">
        <v>-76.847</v>
      </c>
      <c r="E190" s="50" t="n">
        <v>-113.364</v>
      </c>
      <c r="F190" s="50" t="n">
        <v>-78.912</v>
      </c>
      <c r="G190" s="50" t="n">
        <v>-75.84</v>
      </c>
      <c r="H190" s="50" t="n">
        <v>-70.17</v>
      </c>
      <c r="I190" s="50" t="n">
        <v>-54.832</v>
      </c>
      <c r="J190" s="50"/>
      <c r="K190" s="50"/>
      <c r="L190" s="39"/>
      <c r="M190" s="50"/>
      <c r="N190" s="50"/>
      <c r="O190" s="50" t="n">
        <v>-130.265</v>
      </c>
      <c r="P190" s="50"/>
      <c r="Q190" s="50"/>
      <c r="R190" s="39"/>
      <c r="S190" s="50"/>
      <c r="T190" s="50"/>
      <c r="U190" s="50" t="n">
        <v>-81.51</v>
      </c>
      <c r="V190" s="50"/>
      <c r="W190" s="50"/>
      <c r="X190" s="39"/>
      <c r="Y190" s="50"/>
      <c r="Z190" s="50"/>
      <c r="AA190" s="50" t="n">
        <v>-79.153</v>
      </c>
      <c r="AB190" s="50"/>
      <c r="AC190" s="50"/>
      <c r="AD190" s="39"/>
      <c r="AE190" s="50"/>
      <c r="AF190" s="50"/>
      <c r="AG190" s="50" t="n">
        <v>-173.917</v>
      </c>
      <c r="AH190" s="50"/>
      <c r="AI190" s="50"/>
      <c r="AJ190" s="39"/>
      <c r="AK190" s="50"/>
      <c r="AL190" s="50"/>
      <c r="AM190" s="50" t="n">
        <v>-172.178</v>
      </c>
      <c r="AN190" s="50"/>
      <c r="AO190" s="50"/>
      <c r="AP190" s="39"/>
      <c r="AQ190" s="50"/>
      <c r="AR190" s="50"/>
      <c r="AS190" s="50" t="n">
        <v>-287.91</v>
      </c>
      <c r="AT190" s="50"/>
      <c r="AU190" s="50"/>
      <c r="AV190" s="39"/>
      <c r="AW190" s="50"/>
      <c r="AX190" s="50"/>
      <c r="AY190" s="50" t="n">
        <v>-373.883</v>
      </c>
      <c r="AZ190" s="50"/>
      <c r="BA190" s="50"/>
      <c r="BB190" s="39"/>
      <c r="BC190" s="50"/>
      <c r="BD190" s="50"/>
      <c r="BE190" s="50" t="n">
        <v>-591.972</v>
      </c>
      <c r="BF190" s="50"/>
      <c r="BG190" s="50"/>
      <c r="BH190" s="39"/>
      <c r="BI190" s="50"/>
      <c r="BJ190" s="50"/>
      <c r="BK190" s="50" t="n">
        <v>-462.996</v>
      </c>
      <c r="BL190" s="50"/>
      <c r="BM190" s="50"/>
      <c r="BN190" s="39"/>
      <c r="BO190" s="50"/>
      <c r="BP190" s="50"/>
      <c r="BQ190" s="50" t="n">
        <v>-337.448</v>
      </c>
      <c r="BR190" s="50"/>
      <c r="BS190" s="50"/>
      <c r="BT190" s="39"/>
      <c r="BU190" s="50"/>
      <c r="BV190" s="50"/>
      <c r="BW190" s="50" t="n">
        <v>-516.636</v>
      </c>
      <c r="BX190" s="50"/>
      <c r="BY190" s="50"/>
      <c r="BZ190" s="39"/>
      <c r="CA190" s="50"/>
      <c r="CB190" s="50"/>
      <c r="CC190" s="50" t="n">
        <v>-510.99</v>
      </c>
      <c r="CD190" s="50"/>
      <c r="CE190" s="50"/>
      <c r="CF190" s="39"/>
      <c r="CG190" s="50"/>
      <c r="CH190" s="50"/>
      <c r="CI190" s="50" t="n">
        <v>-568.99</v>
      </c>
      <c r="CJ190" s="50"/>
      <c r="CK190" s="50"/>
      <c r="CL190" s="39"/>
      <c r="CM190" s="50"/>
      <c r="CN190" s="50"/>
      <c r="CO190" s="50" t="n">
        <v>-337.363</v>
      </c>
      <c r="CP190" s="40" t="n">
        <f aca="false">-CP73*CP219</f>
        <v>-464.2419316725</v>
      </c>
      <c r="CQ190" s="40" t="n">
        <f aca="false">-CQ73*CQ219</f>
        <v>-491.485313714465</v>
      </c>
      <c r="CR190" s="40" t="n">
        <f aca="false">-CR73*CR219</f>
        <v>-521.894668889711</v>
      </c>
      <c r="CS190" s="40" t="n">
        <f aca="false">-CS73*CS219</f>
        <v>-553.882620200934</v>
      </c>
      <c r="CT190" s="40" t="n">
        <f aca="false">-CT73*CT219</f>
        <v>-587.884638962126</v>
      </c>
      <c r="CU190" s="24" t="s">
        <v>318</v>
      </c>
      <c r="CW190" s="25"/>
      <c r="CX190" s="25"/>
      <c r="CY190" s="25"/>
      <c r="CZ190" s="25"/>
    </row>
    <row r="191" customFormat="false" ht="15" hidden="false" customHeight="false" outlineLevel="0" collapsed="false">
      <c r="B191" s="15" t="s">
        <v>319</v>
      </c>
      <c r="C191" s="50" t="n">
        <v>9.556</v>
      </c>
      <c r="D191" s="50" t="n">
        <v>26.598</v>
      </c>
      <c r="E191" s="50" t="n">
        <v>7.22</v>
      </c>
      <c r="F191" s="50" t="n">
        <v>7.008</v>
      </c>
      <c r="G191" s="50" t="n">
        <v>2.477</v>
      </c>
      <c r="H191" s="50" t="n">
        <v>20.602</v>
      </c>
      <c r="I191" s="50" t="n">
        <v>1.268</v>
      </c>
      <c r="J191" s="50"/>
      <c r="K191" s="50"/>
      <c r="L191" s="39"/>
      <c r="M191" s="50"/>
      <c r="N191" s="50"/>
      <c r="O191" s="50" t="n">
        <v>3.077</v>
      </c>
      <c r="P191" s="50"/>
      <c r="Q191" s="50"/>
      <c r="R191" s="39"/>
      <c r="S191" s="50"/>
      <c r="T191" s="50"/>
      <c r="U191" s="50" t="n">
        <v>2.849</v>
      </c>
      <c r="V191" s="50"/>
      <c r="W191" s="50"/>
      <c r="X191" s="39"/>
      <c r="Y191" s="50"/>
      <c r="Z191" s="50"/>
      <c r="AA191" s="50" t="n">
        <v>1.521</v>
      </c>
      <c r="AB191" s="50"/>
      <c r="AC191" s="50"/>
      <c r="AD191" s="39"/>
      <c r="AE191" s="50"/>
      <c r="AF191" s="50"/>
      <c r="AG191" s="50" t="n">
        <v>0.662</v>
      </c>
      <c r="AH191" s="50"/>
      <c r="AI191" s="50"/>
      <c r="AJ191" s="39"/>
      <c r="AK191" s="50"/>
      <c r="AL191" s="50"/>
      <c r="AM191" s="50" t="n">
        <v>0.765</v>
      </c>
      <c r="AN191" s="50"/>
      <c r="AO191" s="50"/>
      <c r="AP191" s="39"/>
      <c r="AQ191" s="50"/>
      <c r="AR191" s="50"/>
      <c r="AS191" s="50" t="n">
        <v>6.425</v>
      </c>
      <c r="AT191" s="50"/>
      <c r="AU191" s="50"/>
      <c r="AV191" s="39"/>
      <c r="AW191" s="50"/>
      <c r="AX191" s="50"/>
      <c r="AY191" s="50" t="n">
        <v>18.361</v>
      </c>
      <c r="AZ191" s="50"/>
      <c r="BA191" s="50"/>
      <c r="BB191" s="39"/>
      <c r="BC191" s="50"/>
      <c r="BD191" s="50"/>
      <c r="BE191" s="50" t="n">
        <v>2.466</v>
      </c>
      <c r="BF191" s="50"/>
      <c r="BG191" s="50"/>
      <c r="BH191" s="39"/>
      <c r="BI191" s="50"/>
      <c r="BJ191" s="50"/>
      <c r="BK191" s="50" t="n">
        <v>2.53</v>
      </c>
      <c r="BL191" s="50"/>
      <c r="BM191" s="50"/>
      <c r="BN191" s="39"/>
      <c r="BO191" s="50"/>
      <c r="BP191" s="50"/>
      <c r="BQ191" s="50" t="n">
        <v>4.333</v>
      </c>
      <c r="BR191" s="50"/>
      <c r="BS191" s="50"/>
      <c r="BT191" s="39"/>
      <c r="BU191" s="50"/>
      <c r="BV191" s="50"/>
      <c r="BW191" s="50" t="n">
        <v>33.919</v>
      </c>
      <c r="BX191" s="50"/>
      <c r="BY191" s="50"/>
      <c r="BZ191" s="39"/>
      <c r="CA191" s="50"/>
      <c r="CB191" s="50"/>
      <c r="CC191" s="50" t="n">
        <v>4.166</v>
      </c>
      <c r="CD191" s="50"/>
      <c r="CE191" s="50"/>
      <c r="CF191" s="39"/>
      <c r="CG191" s="50"/>
      <c r="CH191" s="50"/>
      <c r="CI191" s="50" t="n">
        <v>31.831</v>
      </c>
      <c r="CJ191" s="50"/>
      <c r="CK191" s="50"/>
      <c r="CL191" s="39"/>
      <c r="CM191" s="50"/>
      <c r="CN191" s="50"/>
      <c r="CO191" s="50" t="n">
        <v>12.575</v>
      </c>
      <c r="CP191" s="51" t="n">
        <v>0</v>
      </c>
      <c r="CQ191" s="51" t="n">
        <v>0</v>
      </c>
      <c r="CR191" s="51" t="n">
        <v>0</v>
      </c>
      <c r="CS191" s="51" t="n">
        <v>0</v>
      </c>
      <c r="CT191" s="51" t="n">
        <v>0</v>
      </c>
      <c r="CU191" s="24"/>
      <c r="CW191" s="25"/>
      <c r="CX191" s="25"/>
      <c r="CY191" s="25"/>
      <c r="CZ191" s="25"/>
    </row>
    <row r="192" customFormat="false" ht="15" hidden="false" customHeight="false" outlineLevel="0" collapsed="false">
      <c r="B192" s="15" t="s">
        <v>320</v>
      </c>
      <c r="C192" s="50" t="n">
        <v>-22.976</v>
      </c>
      <c r="D192" s="50" t="n">
        <v>-120.014</v>
      </c>
      <c r="E192" s="50" t="n">
        <v>-38.229</v>
      </c>
      <c r="F192" s="50" t="n">
        <v>0</v>
      </c>
      <c r="G192" s="50" t="n">
        <v>-21.362</v>
      </c>
      <c r="H192" s="50" t="n">
        <v>-34.912</v>
      </c>
      <c r="I192" s="50" t="n">
        <v>-2.564</v>
      </c>
      <c r="J192" s="50"/>
      <c r="K192" s="50"/>
      <c r="L192" s="39"/>
      <c r="M192" s="50"/>
      <c r="N192" s="50"/>
      <c r="O192" s="50" t="n">
        <v>-84.022</v>
      </c>
      <c r="P192" s="50"/>
      <c r="Q192" s="50"/>
      <c r="R192" s="39"/>
      <c r="S192" s="50"/>
      <c r="T192" s="50"/>
      <c r="U192" s="50" t="n">
        <v>-14.3</v>
      </c>
      <c r="V192" s="50"/>
      <c r="W192" s="50"/>
      <c r="X192" s="39"/>
      <c r="Y192" s="50"/>
      <c r="Z192" s="50"/>
      <c r="AA192" s="50" t="n">
        <v>0</v>
      </c>
      <c r="AB192" s="50"/>
      <c r="AC192" s="50"/>
      <c r="AD192" s="39"/>
      <c r="AE192" s="50"/>
      <c r="AF192" s="50"/>
      <c r="AG192" s="50" t="n">
        <v>0</v>
      </c>
      <c r="AH192" s="50"/>
      <c r="AI192" s="50"/>
      <c r="AJ192" s="39"/>
      <c r="AK192" s="50"/>
      <c r="AL192" s="50"/>
      <c r="AM192" s="50" t="n">
        <v>-160.812</v>
      </c>
      <c r="AN192" s="50"/>
      <c r="AO192" s="50"/>
      <c r="AP192" s="39"/>
      <c r="AQ192" s="50"/>
      <c r="AR192" s="50"/>
      <c r="AS192" s="50" t="n">
        <v>-8.787</v>
      </c>
      <c r="AT192" s="50"/>
      <c r="AU192" s="50"/>
      <c r="AV192" s="39"/>
      <c r="AW192" s="50"/>
      <c r="AX192" s="50"/>
      <c r="AY192" s="50" t="n">
        <v>-0.745</v>
      </c>
      <c r="AZ192" s="50"/>
      <c r="BA192" s="50"/>
      <c r="BB192" s="39"/>
      <c r="BC192" s="50"/>
      <c r="BD192" s="50"/>
      <c r="BE192" s="50" t="n">
        <v>-11.702</v>
      </c>
      <c r="BF192" s="50"/>
      <c r="BG192" s="50"/>
      <c r="BH192" s="39"/>
      <c r="BI192" s="50"/>
      <c r="BJ192" s="50"/>
      <c r="BK192" s="50" t="n">
        <v>-5</v>
      </c>
      <c r="BL192" s="50"/>
      <c r="BM192" s="50"/>
      <c r="BN192" s="39"/>
      <c r="BO192" s="50"/>
      <c r="BP192" s="50"/>
      <c r="BQ192" s="50" t="n">
        <v>-106.604</v>
      </c>
      <c r="BR192" s="50"/>
      <c r="BS192" s="50"/>
      <c r="BT192" s="39"/>
      <c r="BU192" s="50"/>
      <c r="BV192" s="50"/>
      <c r="BW192" s="50" t="n">
        <v>0</v>
      </c>
      <c r="BX192" s="50"/>
      <c r="BY192" s="50"/>
      <c r="BZ192" s="39"/>
      <c r="CA192" s="50"/>
      <c r="CB192" s="50"/>
      <c r="CC192" s="50" t="n">
        <v>17.662</v>
      </c>
      <c r="CD192" s="50"/>
      <c r="CE192" s="50"/>
      <c r="CF192" s="39"/>
      <c r="CG192" s="50"/>
      <c r="CH192" s="50"/>
      <c r="CI192" s="50" t="n">
        <v>-1.223</v>
      </c>
      <c r="CJ192" s="50"/>
      <c r="CK192" s="50"/>
      <c r="CL192" s="39"/>
      <c r="CM192" s="50"/>
      <c r="CN192" s="50"/>
      <c r="CO192" s="50" t="n">
        <v>-5.004</v>
      </c>
      <c r="CP192" s="51" t="n">
        <v>0</v>
      </c>
      <c r="CQ192" s="51" t="n">
        <v>0</v>
      </c>
      <c r="CR192" s="51" t="n">
        <v>0</v>
      </c>
      <c r="CS192" s="51" t="n">
        <v>0</v>
      </c>
      <c r="CT192" s="51" t="n">
        <v>0</v>
      </c>
      <c r="CU192" s="24" t="s">
        <v>321</v>
      </c>
      <c r="CW192" s="25"/>
      <c r="CX192" s="25"/>
      <c r="CY192" s="25"/>
      <c r="CZ192" s="25"/>
    </row>
    <row r="193" customFormat="false" ht="15" hidden="false" customHeight="false" outlineLevel="0" collapsed="false">
      <c r="B193" s="15" t="s">
        <v>322</v>
      </c>
      <c r="C193" s="50" t="n">
        <v>-717.12</v>
      </c>
      <c r="D193" s="50" t="n">
        <v>-921.75</v>
      </c>
      <c r="E193" s="50" t="n">
        <v>-154.36</v>
      </c>
      <c r="F193" s="50" t="n">
        <v>0</v>
      </c>
      <c r="G193" s="50" t="n">
        <v>0</v>
      </c>
      <c r="H193" s="50" t="n">
        <v>0</v>
      </c>
      <c r="I193" s="50" t="n">
        <v>0</v>
      </c>
      <c r="J193" s="50"/>
      <c r="K193" s="50"/>
      <c r="L193" s="39"/>
      <c r="M193" s="50"/>
      <c r="N193" s="50"/>
      <c r="O193" s="50" t="n">
        <v>0</v>
      </c>
      <c r="P193" s="50"/>
      <c r="Q193" s="50"/>
      <c r="R193" s="39"/>
      <c r="S193" s="50"/>
      <c r="T193" s="50"/>
      <c r="U193" s="50" t="n">
        <v>0</v>
      </c>
      <c r="V193" s="50"/>
      <c r="W193" s="50"/>
      <c r="X193" s="39"/>
      <c r="Y193" s="50"/>
      <c r="Z193" s="50"/>
      <c r="AA193" s="50" t="n">
        <v>0</v>
      </c>
      <c r="AB193" s="50"/>
      <c r="AC193" s="50"/>
      <c r="AD193" s="39"/>
      <c r="AE193" s="50"/>
      <c r="AF193" s="50"/>
      <c r="AG193" s="50" t="n">
        <v>0</v>
      </c>
      <c r="AH193" s="50"/>
      <c r="AI193" s="50"/>
      <c r="AJ193" s="39"/>
      <c r="AK193" s="50"/>
      <c r="AL193" s="50"/>
      <c r="AM193" s="50" t="n">
        <v>0</v>
      </c>
      <c r="AN193" s="50"/>
      <c r="AO193" s="50"/>
      <c r="AP193" s="39"/>
      <c r="AQ193" s="50"/>
      <c r="AR193" s="50"/>
      <c r="AS193" s="50" t="n">
        <v>0</v>
      </c>
      <c r="AT193" s="50"/>
      <c r="AU193" s="50"/>
      <c r="AV193" s="39"/>
      <c r="AW193" s="50"/>
      <c r="AX193" s="50"/>
      <c r="AY193" s="50" t="n">
        <v>0</v>
      </c>
      <c r="AZ193" s="50"/>
      <c r="BA193" s="50"/>
      <c r="BB193" s="39"/>
      <c r="BC193" s="50"/>
      <c r="BD193" s="50"/>
      <c r="BE193" s="50" t="n">
        <v>0</v>
      </c>
      <c r="BF193" s="50"/>
      <c r="BG193" s="50"/>
      <c r="BH193" s="39"/>
      <c r="BI193" s="50"/>
      <c r="BJ193" s="50"/>
      <c r="BK193" s="50" t="n">
        <v>0</v>
      </c>
      <c r="BL193" s="50"/>
      <c r="BM193" s="50"/>
      <c r="BN193" s="39"/>
      <c r="BO193" s="50"/>
      <c r="BP193" s="50"/>
      <c r="BQ193" s="50" t="n">
        <v>-374.866</v>
      </c>
      <c r="BR193" s="50"/>
      <c r="BS193" s="50"/>
      <c r="BT193" s="39"/>
      <c r="BU193" s="50"/>
      <c r="BV193" s="50"/>
      <c r="BW193" s="50" t="n">
        <v>-1406.588</v>
      </c>
      <c r="BX193" s="50"/>
      <c r="BY193" s="50"/>
      <c r="BZ193" s="39"/>
      <c r="CA193" s="50"/>
      <c r="CB193" s="50"/>
      <c r="CC193" s="50" t="n">
        <v>-4087.162</v>
      </c>
      <c r="CD193" s="50"/>
      <c r="CE193" s="50"/>
      <c r="CF193" s="39"/>
      <c r="CG193" s="50"/>
      <c r="CH193" s="50"/>
      <c r="CI193" s="50" t="n">
        <v>-4001.918</v>
      </c>
      <c r="CJ193" s="50"/>
      <c r="CK193" s="50"/>
      <c r="CL193" s="39"/>
      <c r="CM193" s="50"/>
      <c r="CN193" s="50"/>
      <c r="CO193" s="50" t="n">
        <v>-2889.072</v>
      </c>
      <c r="CP193" s="51" t="n">
        <v>0</v>
      </c>
      <c r="CQ193" s="51" t="n">
        <v>0</v>
      </c>
      <c r="CR193" s="51" t="n">
        <v>0</v>
      </c>
      <c r="CS193" s="51" t="n">
        <v>0</v>
      </c>
      <c r="CT193" s="51" t="n">
        <v>0</v>
      </c>
      <c r="CU193" s="24"/>
      <c r="CW193" s="25"/>
      <c r="CX193" s="25"/>
      <c r="CY193" s="25"/>
      <c r="CZ193" s="25"/>
    </row>
    <row r="194" customFormat="false" ht="15" hidden="false" customHeight="false" outlineLevel="0" collapsed="false">
      <c r="B194" s="15" t="s">
        <v>323</v>
      </c>
      <c r="C194" s="50" t="n">
        <v>568.395</v>
      </c>
      <c r="D194" s="50" t="n">
        <v>967.85</v>
      </c>
      <c r="E194" s="50" t="n">
        <v>256.985</v>
      </c>
      <c r="F194" s="50" t="n">
        <v>0</v>
      </c>
      <c r="G194" s="50" t="n">
        <v>0</v>
      </c>
      <c r="H194" s="50" t="n">
        <v>0</v>
      </c>
      <c r="I194" s="50" t="n">
        <v>0</v>
      </c>
      <c r="J194" s="50"/>
      <c r="K194" s="50"/>
      <c r="L194" s="39"/>
      <c r="M194" s="50"/>
      <c r="N194" s="50"/>
      <c r="O194" s="50" t="n">
        <v>0</v>
      </c>
      <c r="P194" s="50"/>
      <c r="Q194" s="50"/>
      <c r="R194" s="39"/>
      <c r="S194" s="50"/>
      <c r="T194" s="50"/>
      <c r="U194" s="50" t="n">
        <v>0</v>
      </c>
      <c r="V194" s="50"/>
      <c r="W194" s="50"/>
      <c r="X194" s="39"/>
      <c r="Y194" s="50"/>
      <c r="Z194" s="50"/>
      <c r="AA194" s="50" t="n">
        <v>0</v>
      </c>
      <c r="AB194" s="50"/>
      <c r="AC194" s="50"/>
      <c r="AD194" s="39"/>
      <c r="AE194" s="50"/>
      <c r="AF194" s="50"/>
      <c r="AG194" s="50" t="n">
        <v>0</v>
      </c>
      <c r="AH194" s="50"/>
      <c r="AI194" s="50"/>
      <c r="AJ194" s="39"/>
      <c r="AK194" s="50"/>
      <c r="AL194" s="50"/>
      <c r="AM194" s="50" t="n">
        <v>0</v>
      </c>
      <c r="AN194" s="50"/>
      <c r="AO194" s="50"/>
      <c r="AP194" s="39"/>
      <c r="AQ194" s="50"/>
      <c r="AR194" s="50"/>
      <c r="AS194" s="50" t="n">
        <v>0</v>
      </c>
      <c r="AT194" s="50"/>
      <c r="AU194" s="50"/>
      <c r="AV194" s="39"/>
      <c r="AW194" s="50"/>
      <c r="AX194" s="50"/>
      <c r="AY194" s="50" t="n">
        <v>0</v>
      </c>
      <c r="AZ194" s="50"/>
      <c r="BA194" s="50"/>
      <c r="BB194" s="39"/>
      <c r="BC194" s="50"/>
      <c r="BD194" s="50"/>
      <c r="BE194" s="50" t="n">
        <v>0</v>
      </c>
      <c r="BF194" s="50"/>
      <c r="BG194" s="50"/>
      <c r="BH194" s="39"/>
      <c r="BI194" s="50"/>
      <c r="BJ194" s="50"/>
      <c r="BK194" s="50" t="n">
        <v>0</v>
      </c>
      <c r="BL194" s="50"/>
      <c r="BM194" s="50"/>
      <c r="BN194" s="39"/>
      <c r="BO194" s="50"/>
      <c r="BP194" s="50"/>
      <c r="BQ194" s="50" t="n">
        <v>374.866</v>
      </c>
      <c r="BR194" s="50"/>
      <c r="BS194" s="50"/>
      <c r="BT194" s="39"/>
      <c r="BU194" s="50"/>
      <c r="BV194" s="50"/>
      <c r="BW194" s="50" t="n">
        <v>0</v>
      </c>
      <c r="BX194" s="50"/>
      <c r="BY194" s="50"/>
      <c r="BZ194" s="39"/>
      <c r="CA194" s="50"/>
      <c r="CB194" s="50"/>
      <c r="CC194" s="50" t="n">
        <v>3645</v>
      </c>
      <c r="CD194" s="50"/>
      <c r="CE194" s="50"/>
      <c r="CF194" s="39"/>
      <c r="CG194" s="50"/>
      <c r="CH194" s="50"/>
      <c r="CI194" s="50" t="n">
        <v>3960</v>
      </c>
      <c r="CJ194" s="50"/>
      <c r="CK194" s="50"/>
      <c r="CL194" s="39"/>
      <c r="CM194" s="50"/>
      <c r="CN194" s="50"/>
      <c r="CO194" s="50" t="n">
        <v>2345</v>
      </c>
      <c r="CP194" s="51" t="n">
        <v>0</v>
      </c>
      <c r="CQ194" s="51" t="n">
        <v>0</v>
      </c>
      <c r="CR194" s="51" t="n">
        <v>0</v>
      </c>
      <c r="CS194" s="51" t="n">
        <v>0</v>
      </c>
      <c r="CT194" s="51" t="n">
        <v>0</v>
      </c>
      <c r="CU194" s="24" t="s">
        <v>324</v>
      </c>
      <c r="CW194" s="25"/>
      <c r="CX194" s="25"/>
      <c r="CY194" s="25"/>
      <c r="CZ194" s="25"/>
    </row>
    <row r="195" customFormat="false" ht="15" hidden="false" customHeight="false" outlineLevel="0" collapsed="false">
      <c r="B195" s="15" t="s">
        <v>325</v>
      </c>
      <c r="C195" s="50" t="n">
        <v>-8.734</v>
      </c>
      <c r="D195" s="50" t="n">
        <v>-11.398</v>
      </c>
      <c r="E195" s="50" t="n">
        <v>9.148</v>
      </c>
      <c r="F195" s="50" t="n">
        <v>12</v>
      </c>
      <c r="G195" s="50" t="n">
        <v>-1.3</v>
      </c>
      <c r="H195" s="50" t="n">
        <v>0</v>
      </c>
      <c r="I195" s="50" t="n">
        <v>8.041</v>
      </c>
      <c r="J195" s="50"/>
      <c r="K195" s="50"/>
      <c r="L195" s="39"/>
      <c r="M195" s="50"/>
      <c r="N195" s="50"/>
      <c r="O195" s="50" t="n">
        <v>3.189</v>
      </c>
      <c r="P195" s="50"/>
      <c r="Q195" s="50"/>
      <c r="R195" s="39"/>
      <c r="S195" s="50"/>
      <c r="T195" s="50"/>
      <c r="U195" s="50" t="n">
        <v>0.858</v>
      </c>
      <c r="V195" s="50"/>
      <c r="W195" s="50"/>
      <c r="X195" s="39"/>
      <c r="Y195" s="50"/>
      <c r="Z195" s="50"/>
      <c r="AA195" s="50" t="n">
        <v>-4.283</v>
      </c>
      <c r="AB195" s="50"/>
      <c r="AC195" s="50"/>
      <c r="AD195" s="39"/>
      <c r="AE195" s="50"/>
      <c r="AF195" s="50"/>
      <c r="AG195" s="50" t="n">
        <v>0.379</v>
      </c>
      <c r="AH195" s="50"/>
      <c r="AI195" s="50"/>
      <c r="AJ195" s="39"/>
      <c r="AK195" s="50"/>
      <c r="AL195" s="50"/>
      <c r="AM195" s="50" t="n">
        <v>-3.566</v>
      </c>
      <c r="AN195" s="50"/>
      <c r="AO195" s="50"/>
      <c r="AP195" s="39"/>
      <c r="AQ195" s="50"/>
      <c r="AR195" s="50"/>
      <c r="AS195" s="50" t="n">
        <v>1.796</v>
      </c>
      <c r="AT195" s="50"/>
      <c r="AU195" s="50"/>
      <c r="AV195" s="39"/>
      <c r="AW195" s="50"/>
      <c r="AX195" s="50"/>
      <c r="AY195" s="50" t="n">
        <v>0</v>
      </c>
      <c r="AZ195" s="50"/>
      <c r="BA195" s="50"/>
      <c r="BB195" s="39"/>
      <c r="BC195" s="50"/>
      <c r="BD195" s="50"/>
      <c r="BE195" s="50" t="n">
        <v>0</v>
      </c>
      <c r="BF195" s="50"/>
      <c r="BG195" s="50"/>
      <c r="BH195" s="39"/>
      <c r="BI195" s="50"/>
      <c r="BJ195" s="50"/>
      <c r="BK195" s="50" t="n">
        <v>0</v>
      </c>
      <c r="BL195" s="50"/>
      <c r="BM195" s="50"/>
      <c r="BN195" s="39"/>
      <c r="BO195" s="50"/>
      <c r="BP195" s="50"/>
      <c r="BQ195" s="50" t="n">
        <v>-2.591</v>
      </c>
      <c r="BR195" s="50"/>
      <c r="BS195" s="50"/>
      <c r="BT195" s="39"/>
      <c r="BU195" s="50"/>
      <c r="BV195" s="50"/>
      <c r="BW195" s="50" t="n">
        <v>-2.744</v>
      </c>
      <c r="BX195" s="50"/>
      <c r="BY195" s="50"/>
      <c r="BZ195" s="39"/>
      <c r="CA195" s="50"/>
      <c r="CB195" s="50"/>
      <c r="CC195" s="50" t="n">
        <v>-8.755</v>
      </c>
      <c r="CD195" s="50"/>
      <c r="CE195" s="50"/>
      <c r="CF195" s="39"/>
      <c r="CG195" s="50"/>
      <c r="CH195" s="50"/>
      <c r="CI195" s="50" t="n">
        <v>-7.148</v>
      </c>
      <c r="CJ195" s="50"/>
      <c r="CK195" s="50"/>
      <c r="CL195" s="39"/>
      <c r="CM195" s="50"/>
      <c r="CN195" s="50"/>
      <c r="CO195" s="50" t="n">
        <v>-3.737</v>
      </c>
      <c r="CP195" s="51" t="n">
        <v>0</v>
      </c>
      <c r="CQ195" s="51" t="n">
        <v>0</v>
      </c>
      <c r="CR195" s="51" t="n">
        <v>0</v>
      </c>
      <c r="CS195" s="51" t="n">
        <v>0</v>
      </c>
      <c r="CT195" s="51" t="n">
        <v>0</v>
      </c>
      <c r="CU195" s="24"/>
      <c r="CW195" s="25"/>
      <c r="CX195" s="25"/>
      <c r="CY195" s="25"/>
      <c r="CZ195" s="25"/>
    </row>
    <row r="196" customFormat="false" ht="15" hidden="false" customHeight="false" outlineLevel="0" collapsed="false">
      <c r="B196" s="20" t="s">
        <v>326</v>
      </c>
      <c r="C196" s="21" t="n">
        <f aca="false">SUM(C190:C195)</f>
        <v>-267.915</v>
      </c>
      <c r="D196" s="21" t="n">
        <f aca="false">SUM(D190:D195)</f>
        <v>-135.561</v>
      </c>
      <c r="E196" s="21" t="n">
        <f aca="false">SUM(E190:E195)</f>
        <v>-32.6</v>
      </c>
      <c r="F196" s="21" t="n">
        <f aca="false">SUM(F190:F195)</f>
        <v>-59.904</v>
      </c>
      <c r="G196" s="21" t="n">
        <f aca="false">SUM(G190:G195)</f>
        <v>-96.025</v>
      </c>
      <c r="H196" s="21" t="n">
        <f aca="false">SUM(H190:H195)</f>
        <v>-84.48</v>
      </c>
      <c r="I196" s="21" t="n">
        <f aca="false">SUM(I190:I195)</f>
        <v>-48.087</v>
      </c>
      <c r="J196" s="21"/>
      <c r="K196" s="21"/>
      <c r="L196" s="21"/>
      <c r="M196" s="21"/>
      <c r="N196" s="21"/>
      <c r="O196" s="21" t="n">
        <f aca="false">SUM(O190:O195)</f>
        <v>-208.021</v>
      </c>
      <c r="P196" s="21"/>
      <c r="Q196" s="21"/>
      <c r="R196" s="21"/>
      <c r="S196" s="21"/>
      <c r="T196" s="21"/>
      <c r="U196" s="21" t="n">
        <f aca="false">SUM(U190:U195)</f>
        <v>-92.103</v>
      </c>
      <c r="V196" s="21"/>
      <c r="W196" s="21"/>
      <c r="X196" s="21"/>
      <c r="Y196" s="21"/>
      <c r="Z196" s="21"/>
      <c r="AA196" s="21" t="n">
        <f aca="false">SUM(AA190:AA195)</f>
        <v>-81.915</v>
      </c>
      <c r="AB196" s="21"/>
      <c r="AC196" s="21"/>
      <c r="AD196" s="21"/>
      <c r="AE196" s="21"/>
      <c r="AF196" s="21"/>
      <c r="AG196" s="21" t="n">
        <f aca="false">SUM(AG190:AG195)</f>
        <v>-172.876</v>
      </c>
      <c r="AH196" s="21"/>
      <c r="AI196" s="21"/>
      <c r="AJ196" s="21"/>
      <c r="AK196" s="21"/>
      <c r="AL196" s="21"/>
      <c r="AM196" s="21" t="n">
        <f aca="false">SUM(AM190:AM195)</f>
        <v>-335.791</v>
      </c>
      <c r="AN196" s="21"/>
      <c r="AO196" s="21"/>
      <c r="AP196" s="21"/>
      <c r="AQ196" s="21"/>
      <c r="AR196" s="21"/>
      <c r="AS196" s="21" t="n">
        <f aca="false">SUM(AS190:AS195)</f>
        <v>-288.476</v>
      </c>
      <c r="AT196" s="21"/>
      <c r="AU196" s="21"/>
      <c r="AV196" s="21"/>
      <c r="AW196" s="21"/>
      <c r="AX196" s="21"/>
      <c r="AY196" s="21" t="n">
        <f aca="false">SUM(AY190:AY195)</f>
        <v>-356.267</v>
      </c>
      <c r="AZ196" s="21"/>
      <c r="BA196" s="21"/>
      <c r="BB196" s="21"/>
      <c r="BC196" s="21"/>
      <c r="BD196" s="21"/>
      <c r="BE196" s="21" t="n">
        <f aca="false">SUM(BE190:BE195)</f>
        <v>-601.208</v>
      </c>
      <c r="BF196" s="21"/>
      <c r="BG196" s="21"/>
      <c r="BH196" s="21"/>
      <c r="BI196" s="21"/>
      <c r="BJ196" s="21"/>
      <c r="BK196" s="21" t="n">
        <f aca="false">SUM(BK190:BK195)</f>
        <v>-465.466</v>
      </c>
      <c r="BL196" s="21"/>
      <c r="BM196" s="21"/>
      <c r="BN196" s="21"/>
      <c r="BO196" s="21"/>
      <c r="BP196" s="21"/>
      <c r="BQ196" s="21" t="n">
        <f aca="false">SUM(BQ190:BQ195)</f>
        <v>-442.31</v>
      </c>
      <c r="BR196" s="21"/>
      <c r="BS196" s="21"/>
      <c r="BT196" s="21"/>
      <c r="BU196" s="21"/>
      <c r="BV196" s="21"/>
      <c r="BW196" s="21" t="n">
        <f aca="false">SUM(BW190:BW195)</f>
        <v>-1892.049</v>
      </c>
      <c r="BX196" s="21"/>
      <c r="BY196" s="21"/>
      <c r="BZ196" s="21"/>
      <c r="CA196" s="21"/>
      <c r="CB196" s="21"/>
      <c r="CC196" s="21" t="n">
        <f aca="false">SUM(CC190:CC195)</f>
        <v>-940.079</v>
      </c>
      <c r="CD196" s="21"/>
      <c r="CE196" s="21"/>
      <c r="CF196" s="21"/>
      <c r="CG196" s="21"/>
      <c r="CH196" s="21"/>
      <c r="CI196" s="21" t="n">
        <f aca="false">SUM(CI190:CI195)</f>
        <v>-587.448</v>
      </c>
      <c r="CJ196" s="21"/>
      <c r="CK196" s="21"/>
      <c r="CL196" s="21"/>
      <c r="CM196" s="21"/>
      <c r="CN196" s="21"/>
      <c r="CO196" s="21" t="n">
        <f aca="false">SUM(CO190:CO195)</f>
        <v>-877.601</v>
      </c>
      <c r="CP196" s="23" t="n">
        <f aca="false">SUM(CP190:CP195)</f>
        <v>-464.2419316725</v>
      </c>
      <c r="CQ196" s="23" t="n">
        <f aca="false">SUM(CQ190:CQ195)</f>
        <v>-491.485313714465</v>
      </c>
      <c r="CR196" s="23" t="n">
        <f aca="false">SUM(CR190:CR195)</f>
        <v>-521.894668889711</v>
      </c>
      <c r="CS196" s="23" t="n">
        <f aca="false">SUM(CS190:CS195)</f>
        <v>-553.882620200934</v>
      </c>
      <c r="CT196" s="23" t="n">
        <f aca="false">SUM(CT190:CT195)</f>
        <v>-587.884638962126</v>
      </c>
      <c r="CU196" s="24"/>
      <c r="CW196" s="6"/>
      <c r="CX196" s="6"/>
      <c r="CY196" s="6"/>
      <c r="CZ196" s="6"/>
    </row>
    <row r="197" customFormat="false" ht="15" hidden="false" customHeight="false" outlineLevel="0" collapsed="false">
      <c r="B197" s="15"/>
      <c r="CP197" s="6"/>
      <c r="CQ197" s="6"/>
      <c r="CR197" s="6"/>
      <c r="CS197" s="6"/>
      <c r="CT197" s="6"/>
      <c r="CU197" s="6"/>
    </row>
    <row r="198" customFormat="false" ht="15" hidden="false" customHeight="false" outlineLevel="0" collapsed="false">
      <c r="B198" s="15" t="s">
        <v>327</v>
      </c>
      <c r="C198" s="50" t="n">
        <v>0</v>
      </c>
      <c r="D198" s="50" t="n">
        <v>0</v>
      </c>
      <c r="E198" s="50" t="n">
        <v>0</v>
      </c>
      <c r="F198" s="50" t="n">
        <v>0</v>
      </c>
      <c r="G198" s="50" t="n">
        <v>0</v>
      </c>
      <c r="H198" s="50" t="n">
        <v>400</v>
      </c>
      <c r="I198" s="50" t="n">
        <v>125</v>
      </c>
      <c r="J198" s="50"/>
      <c r="K198" s="50"/>
      <c r="L198" s="39"/>
      <c r="M198" s="50"/>
      <c r="N198" s="50"/>
      <c r="O198" s="50" t="n">
        <v>0</v>
      </c>
      <c r="P198" s="50"/>
      <c r="Q198" s="50"/>
      <c r="R198" s="39"/>
      <c r="S198" s="50"/>
      <c r="T198" s="50"/>
      <c r="U198" s="50" t="n">
        <v>0</v>
      </c>
      <c r="V198" s="50"/>
      <c r="W198" s="50"/>
      <c r="X198" s="39"/>
      <c r="Y198" s="50"/>
      <c r="Z198" s="50"/>
      <c r="AA198" s="50" t="n">
        <v>698.939</v>
      </c>
      <c r="AB198" s="50"/>
      <c r="AC198" s="50"/>
      <c r="AD198" s="39"/>
      <c r="AE198" s="50"/>
      <c r="AF198" s="50"/>
      <c r="AG198" s="50" t="n">
        <v>331.468</v>
      </c>
      <c r="AH198" s="50"/>
      <c r="AI198" s="50"/>
      <c r="AJ198" s="39"/>
      <c r="AK198" s="50"/>
      <c r="AL198" s="50"/>
      <c r="AM198" s="50" t="n">
        <v>0</v>
      </c>
      <c r="AN198" s="50"/>
      <c r="AO198" s="50"/>
      <c r="AP198" s="39"/>
      <c r="AQ198" s="50"/>
      <c r="AR198" s="50"/>
      <c r="AS198" s="50" t="n">
        <v>0</v>
      </c>
      <c r="AT198" s="50"/>
      <c r="AU198" s="50"/>
      <c r="AV198" s="39"/>
      <c r="AW198" s="50"/>
      <c r="AX198" s="50"/>
      <c r="AY198" s="50" t="n">
        <v>0</v>
      </c>
      <c r="AZ198" s="50"/>
      <c r="BA198" s="50"/>
      <c r="BB198" s="39"/>
      <c r="BC198" s="50"/>
      <c r="BD198" s="50"/>
      <c r="BE198" s="50" t="n">
        <v>0</v>
      </c>
      <c r="BF198" s="50"/>
      <c r="BG198" s="50"/>
      <c r="BH198" s="39"/>
      <c r="BI198" s="50"/>
      <c r="BJ198" s="50"/>
      <c r="BK198" s="50" t="n">
        <v>0</v>
      </c>
      <c r="BL198" s="50"/>
      <c r="BM198" s="50"/>
      <c r="BN198" s="39"/>
      <c r="BO198" s="50"/>
      <c r="BP198" s="50"/>
      <c r="BQ198" s="50" t="n">
        <v>0</v>
      </c>
      <c r="BR198" s="50"/>
      <c r="BS198" s="50"/>
      <c r="BT198" s="39"/>
      <c r="BU198" s="50"/>
      <c r="BV198" s="50"/>
      <c r="BW198" s="50" t="n">
        <v>44.494</v>
      </c>
      <c r="BX198" s="50"/>
      <c r="BY198" s="50"/>
      <c r="BZ198" s="39"/>
      <c r="CA198" s="50"/>
      <c r="CB198" s="50"/>
      <c r="CC198" s="50" t="n">
        <v>0</v>
      </c>
      <c r="CD198" s="50"/>
      <c r="CE198" s="50"/>
      <c r="CF198" s="39"/>
      <c r="CG198" s="50"/>
      <c r="CH198" s="50"/>
      <c r="CI198" s="50" t="n">
        <v>0</v>
      </c>
      <c r="CJ198" s="50"/>
      <c r="CK198" s="50"/>
      <c r="CL198" s="39"/>
      <c r="CM198" s="50"/>
      <c r="CN198" s="50"/>
      <c r="CO198" s="50" t="n">
        <v>0</v>
      </c>
      <c r="CP198" s="40" t="n">
        <f aca="false">MAX(0,CP302-CO302)</f>
        <v>0</v>
      </c>
      <c r="CQ198" s="40" t="n">
        <f aca="false">MAX(0,CQ302-CP302)</f>
        <v>0</v>
      </c>
      <c r="CR198" s="40" t="n">
        <f aca="false">MAX(0,CR302-CQ302)</f>
        <v>0</v>
      </c>
      <c r="CS198" s="40" t="n">
        <f aca="false">MAX(0,CS302-CR302)</f>
        <v>0</v>
      </c>
      <c r="CT198" s="40" t="n">
        <f aca="false">MAX(0,CT302-CS302)</f>
        <v>0</v>
      </c>
      <c r="CU198" s="24"/>
      <c r="CW198" s="25"/>
      <c r="CX198" s="25"/>
      <c r="CY198" s="25"/>
      <c r="CZ198" s="25"/>
    </row>
    <row r="199" customFormat="false" ht="15" hidden="false" customHeight="false" outlineLevel="0" collapsed="false">
      <c r="B199" s="15" t="s">
        <v>328</v>
      </c>
      <c r="C199" s="50" t="n">
        <v>0</v>
      </c>
      <c r="D199" s="50" t="n">
        <v>-2.033</v>
      </c>
      <c r="E199" s="50" t="n">
        <v>0</v>
      </c>
      <c r="F199" s="50" t="n">
        <v>0</v>
      </c>
      <c r="G199" s="50" t="n">
        <v>0</v>
      </c>
      <c r="H199" s="50" t="n">
        <v>-25</v>
      </c>
      <c r="I199" s="50" t="n">
        <v>-56.25</v>
      </c>
      <c r="J199" s="50"/>
      <c r="K199" s="50"/>
      <c r="L199" s="39"/>
      <c r="M199" s="50"/>
      <c r="N199" s="50"/>
      <c r="O199" s="50" t="n">
        <v>-96.66</v>
      </c>
      <c r="P199" s="50"/>
      <c r="Q199" s="50"/>
      <c r="R199" s="39"/>
      <c r="S199" s="50"/>
      <c r="T199" s="50"/>
      <c r="U199" s="50" t="n">
        <v>-75</v>
      </c>
      <c r="V199" s="50"/>
      <c r="W199" s="50"/>
      <c r="X199" s="39"/>
      <c r="Y199" s="50"/>
      <c r="Z199" s="50"/>
      <c r="AA199" s="50" t="n">
        <v>-350</v>
      </c>
      <c r="AB199" s="50"/>
      <c r="AC199" s="50"/>
      <c r="AD199" s="39"/>
      <c r="AE199" s="50"/>
      <c r="AF199" s="50"/>
      <c r="AG199" s="50" t="n">
        <v>-337.5</v>
      </c>
      <c r="AH199" s="50"/>
      <c r="AI199" s="50"/>
      <c r="AJ199" s="39"/>
      <c r="AK199" s="50"/>
      <c r="AL199" s="50"/>
      <c r="AM199" s="50" t="n">
        <v>-7</v>
      </c>
      <c r="AN199" s="50"/>
      <c r="AO199" s="50"/>
      <c r="AP199" s="39"/>
      <c r="AQ199" s="50"/>
      <c r="AR199" s="50"/>
      <c r="AS199" s="50" t="n">
        <v>-231</v>
      </c>
      <c r="AT199" s="50"/>
      <c r="AU199" s="50"/>
      <c r="AV199" s="39"/>
      <c r="AW199" s="50"/>
      <c r="AX199" s="50"/>
      <c r="AY199" s="50" t="n">
        <v>0</v>
      </c>
      <c r="AZ199" s="50"/>
      <c r="BA199" s="50"/>
      <c r="BB199" s="39"/>
      <c r="BC199" s="50"/>
      <c r="BD199" s="50"/>
      <c r="BE199" s="50" t="n">
        <v>0</v>
      </c>
      <c r="BF199" s="50"/>
      <c r="BG199" s="50"/>
      <c r="BH199" s="39"/>
      <c r="BI199" s="50"/>
      <c r="BJ199" s="50"/>
      <c r="BK199" s="50" t="n">
        <v>0</v>
      </c>
      <c r="BL199" s="50"/>
      <c r="BM199" s="50"/>
      <c r="BN199" s="39"/>
      <c r="BO199" s="50"/>
      <c r="BP199" s="50"/>
      <c r="BQ199" s="50" t="n">
        <v>-416.759</v>
      </c>
      <c r="BR199" s="50"/>
      <c r="BS199" s="50"/>
      <c r="BT199" s="39"/>
      <c r="BU199" s="50"/>
      <c r="BV199" s="50"/>
      <c r="BW199" s="50" t="n">
        <v>-33.924</v>
      </c>
      <c r="BX199" s="50"/>
      <c r="BY199" s="50"/>
      <c r="BZ199" s="39"/>
      <c r="CA199" s="50"/>
      <c r="CB199" s="50"/>
      <c r="CC199" s="50" t="n">
        <v>-10.821</v>
      </c>
      <c r="CD199" s="50"/>
      <c r="CE199" s="50"/>
      <c r="CF199" s="39"/>
      <c r="CG199" s="50"/>
      <c r="CH199" s="50"/>
      <c r="CI199" s="50" t="n">
        <v>0</v>
      </c>
      <c r="CJ199" s="50"/>
      <c r="CK199" s="50"/>
      <c r="CL199" s="39"/>
      <c r="CM199" s="50"/>
      <c r="CN199" s="50"/>
      <c r="CO199" s="50" t="n">
        <v>0</v>
      </c>
      <c r="CP199" s="40" t="n">
        <f aca="false">MIN(0,CP302-CO302)</f>
        <v>0</v>
      </c>
      <c r="CQ199" s="40" t="n">
        <f aca="false">MIN(0,CQ302-CP302)</f>
        <v>0</v>
      </c>
      <c r="CR199" s="40" t="n">
        <f aca="false">MIN(0,CR302-CQ302)</f>
        <v>0</v>
      </c>
      <c r="CS199" s="40" t="n">
        <f aca="false">MIN(0,CS302-CR302)</f>
        <v>0</v>
      </c>
      <c r="CT199" s="40" t="n">
        <f aca="false">MIN(0,CT302-CS302)</f>
        <v>0</v>
      </c>
      <c r="CU199" s="24" t="s">
        <v>329</v>
      </c>
      <c r="CW199" s="25"/>
      <c r="CX199" s="25"/>
      <c r="CY199" s="25"/>
      <c r="CZ199" s="25"/>
    </row>
    <row r="200" customFormat="false" ht="15" hidden="false" customHeight="false" outlineLevel="0" collapsed="false">
      <c r="B200" s="15" t="s">
        <v>330</v>
      </c>
      <c r="C200" s="50" t="n">
        <v>7.061</v>
      </c>
      <c r="D200" s="50" t="n">
        <v>12.407</v>
      </c>
      <c r="E200" s="50" t="n">
        <v>14.386</v>
      </c>
      <c r="F200" s="50" t="n">
        <v>5.061</v>
      </c>
      <c r="G200" s="50" t="n">
        <v>8.329</v>
      </c>
      <c r="H200" s="50" t="n">
        <v>9.039</v>
      </c>
      <c r="I200" s="50" t="n">
        <v>15.608</v>
      </c>
      <c r="J200" s="50"/>
      <c r="K200" s="50"/>
      <c r="L200" s="39"/>
      <c r="M200" s="50"/>
      <c r="N200" s="50"/>
      <c r="O200" s="50" t="n">
        <v>23.39</v>
      </c>
      <c r="P200" s="50"/>
      <c r="Q200" s="50"/>
      <c r="R200" s="39"/>
      <c r="S200" s="50"/>
      <c r="T200" s="50"/>
      <c r="U200" s="50" t="n">
        <v>12.751</v>
      </c>
      <c r="V200" s="50"/>
      <c r="W200" s="50"/>
      <c r="X200" s="39"/>
      <c r="Y200" s="50"/>
      <c r="Z200" s="50"/>
      <c r="AA200" s="50" t="n">
        <v>6.713</v>
      </c>
      <c r="AB200" s="50"/>
      <c r="AC200" s="50"/>
      <c r="AD200" s="39"/>
      <c r="AE200" s="50"/>
      <c r="AF200" s="50"/>
      <c r="AG200" s="50" t="n">
        <v>16.609</v>
      </c>
      <c r="AH200" s="50"/>
      <c r="AI200" s="50"/>
      <c r="AJ200" s="39"/>
      <c r="AK200" s="50"/>
      <c r="AL200" s="50"/>
      <c r="AM200" s="50" t="n">
        <v>35.47</v>
      </c>
      <c r="AN200" s="50"/>
      <c r="AO200" s="50"/>
      <c r="AP200" s="39"/>
      <c r="AQ200" s="50"/>
      <c r="AR200" s="50"/>
      <c r="AS200" s="50" t="n">
        <v>50.353</v>
      </c>
      <c r="AT200" s="50"/>
      <c r="AU200" s="50"/>
      <c r="AV200" s="39"/>
      <c r="AW200" s="50"/>
      <c r="AX200" s="50"/>
      <c r="AY200" s="50" t="n">
        <v>41.583</v>
      </c>
      <c r="AZ200" s="50"/>
      <c r="BA200" s="50"/>
      <c r="BB200" s="39"/>
      <c r="BC200" s="50"/>
      <c r="BD200" s="50"/>
      <c r="BE200" s="50" t="n">
        <v>79.876</v>
      </c>
      <c r="BF200" s="50"/>
      <c r="BG200" s="50"/>
      <c r="BH200" s="39"/>
      <c r="BI200" s="50"/>
      <c r="BJ200" s="50"/>
      <c r="BK200" s="50" t="n">
        <v>48.136</v>
      </c>
      <c r="BL200" s="50"/>
      <c r="BM200" s="50"/>
      <c r="BN200" s="39"/>
      <c r="BO200" s="50"/>
      <c r="BP200" s="50"/>
      <c r="BQ200" s="50" t="n">
        <v>37.725</v>
      </c>
      <c r="BR200" s="50"/>
      <c r="BS200" s="50"/>
      <c r="BT200" s="39"/>
      <c r="BU200" s="50"/>
      <c r="BV200" s="50"/>
      <c r="BW200" s="50" t="n">
        <v>60.798</v>
      </c>
      <c r="BX200" s="50"/>
      <c r="BY200" s="50"/>
      <c r="BZ200" s="39"/>
      <c r="CA200" s="50"/>
      <c r="CB200" s="50"/>
      <c r="CC200" s="50" t="n">
        <v>36.706</v>
      </c>
      <c r="CD200" s="50"/>
      <c r="CE200" s="50"/>
      <c r="CF200" s="39"/>
      <c r="CG200" s="50"/>
      <c r="CH200" s="50"/>
      <c r="CI200" s="50" t="n">
        <v>57.479</v>
      </c>
      <c r="CJ200" s="50"/>
      <c r="CK200" s="50"/>
      <c r="CL200" s="39"/>
      <c r="CM200" s="50"/>
      <c r="CN200" s="50"/>
      <c r="CO200" s="50" t="n">
        <v>31.012</v>
      </c>
      <c r="CP200" s="51" t="n">
        <v>30</v>
      </c>
      <c r="CQ200" s="51" t="n">
        <v>30</v>
      </c>
      <c r="CR200" s="51" t="n">
        <v>30</v>
      </c>
      <c r="CS200" s="51" t="n">
        <v>30</v>
      </c>
      <c r="CT200" s="51" t="n">
        <v>30</v>
      </c>
      <c r="CU200" s="24"/>
      <c r="CW200" s="25"/>
      <c r="CX200" s="25"/>
      <c r="CY200" s="25"/>
      <c r="CZ200" s="25"/>
    </row>
    <row r="201" customFormat="false" ht="15" hidden="false" customHeight="false" outlineLevel="0" collapsed="false">
      <c r="B201" s="15" t="s">
        <v>331</v>
      </c>
      <c r="C201" s="50" t="n">
        <v>-8.873</v>
      </c>
      <c r="D201" s="50" t="n">
        <v>-89.579</v>
      </c>
      <c r="E201" s="50" t="n">
        <v>-269.251</v>
      </c>
      <c r="F201" s="50" t="n">
        <v>-9.769</v>
      </c>
      <c r="G201" s="50" t="n">
        <v>-12.706</v>
      </c>
      <c r="H201" s="50" t="n">
        <v>-739.638</v>
      </c>
      <c r="I201" s="50" t="n">
        <v>-203.285</v>
      </c>
      <c r="J201" s="50"/>
      <c r="K201" s="50"/>
      <c r="L201" s="39"/>
      <c r="M201" s="50"/>
      <c r="N201" s="50"/>
      <c r="O201" s="50" t="n">
        <v>-15.009</v>
      </c>
      <c r="P201" s="50"/>
      <c r="Q201" s="50"/>
      <c r="R201" s="39"/>
      <c r="S201" s="50"/>
      <c r="T201" s="50"/>
      <c r="U201" s="50" t="n">
        <v>-0.572</v>
      </c>
      <c r="V201" s="50"/>
      <c r="W201" s="50"/>
      <c r="X201" s="39"/>
      <c r="Y201" s="50"/>
      <c r="Z201" s="50"/>
      <c r="AA201" s="50" t="n">
        <v>-233.484</v>
      </c>
      <c r="AB201" s="50"/>
      <c r="AC201" s="50"/>
      <c r="AD201" s="39"/>
      <c r="AE201" s="50"/>
      <c r="AF201" s="50"/>
      <c r="AG201" s="50" t="n">
        <v>-442.855</v>
      </c>
      <c r="AH201" s="50"/>
      <c r="AI201" s="50"/>
      <c r="AJ201" s="39"/>
      <c r="AK201" s="50"/>
      <c r="AL201" s="50"/>
      <c r="AM201" s="50" t="n">
        <v>0</v>
      </c>
      <c r="AN201" s="50"/>
      <c r="AO201" s="50"/>
      <c r="AP201" s="39"/>
      <c r="AQ201" s="50"/>
      <c r="AR201" s="50"/>
      <c r="AS201" s="50" t="n">
        <v>0</v>
      </c>
      <c r="AT201" s="50"/>
      <c r="AU201" s="50"/>
      <c r="AV201" s="39"/>
      <c r="AW201" s="50"/>
      <c r="AX201" s="50"/>
      <c r="AY201" s="50" t="n">
        <v>-364.997</v>
      </c>
      <c r="AZ201" s="50"/>
      <c r="BA201" s="50"/>
      <c r="BB201" s="39"/>
      <c r="BC201" s="50"/>
      <c r="BD201" s="50"/>
      <c r="BE201" s="50" t="n">
        <v>0</v>
      </c>
      <c r="BF201" s="50"/>
      <c r="BG201" s="50"/>
      <c r="BH201" s="39"/>
      <c r="BI201" s="50"/>
      <c r="BJ201" s="50"/>
      <c r="BK201" s="50" t="n">
        <v>0</v>
      </c>
      <c r="BL201" s="50"/>
      <c r="BM201" s="50"/>
      <c r="BN201" s="39"/>
      <c r="BO201" s="50"/>
      <c r="BP201" s="50"/>
      <c r="BQ201" s="50" t="n">
        <v>0</v>
      </c>
      <c r="BR201" s="50"/>
      <c r="BS201" s="50"/>
      <c r="BT201" s="39"/>
      <c r="BU201" s="50"/>
      <c r="BV201" s="50"/>
      <c r="BW201" s="50" t="n">
        <v>0</v>
      </c>
      <c r="BX201" s="50"/>
      <c r="BY201" s="50"/>
      <c r="BZ201" s="39"/>
      <c r="CA201" s="50"/>
      <c r="CB201" s="50"/>
      <c r="CC201" s="50" t="n">
        <v>0</v>
      </c>
      <c r="CD201" s="50"/>
      <c r="CE201" s="50"/>
      <c r="CF201" s="39"/>
      <c r="CG201" s="50"/>
      <c r="CH201" s="50"/>
      <c r="CI201" s="50" t="n">
        <v>0</v>
      </c>
      <c r="CJ201" s="50"/>
      <c r="CK201" s="50"/>
      <c r="CL201" s="39"/>
      <c r="CM201" s="50"/>
      <c r="CN201" s="50"/>
      <c r="CO201" s="50" t="n">
        <v>-1632.538</v>
      </c>
      <c r="CP201" s="40" t="n">
        <f aca="false">-MAX(CP231,N(CP237))</f>
        <v>-1917.47647894975</v>
      </c>
      <c r="CQ201" s="40" t="n">
        <f aca="false">-MAX(CQ231,N(CQ237))</f>
        <v>-1105.30641057833</v>
      </c>
      <c r="CR201" s="40" t="n">
        <f aca="false">-MAX(CR231,N(CR237))</f>
        <v>-1177.81862974431</v>
      </c>
      <c r="CS201" s="40" t="n">
        <f aca="false">-MAX(CS231,N(CS237))</f>
        <v>-1271.78730954811</v>
      </c>
      <c r="CT201" s="40" t="n">
        <f aca="false">-MAX(CT231,N(CT237))</f>
        <v>-1369.78458720219</v>
      </c>
      <c r="CU201" s="24" t="s">
        <v>332</v>
      </c>
      <c r="CW201" s="25"/>
      <c r="CX201" s="25"/>
      <c r="CY201" s="25"/>
      <c r="CZ201" s="25"/>
    </row>
    <row r="202" customFormat="false" ht="15" hidden="false" customHeight="false" outlineLevel="0" collapsed="false">
      <c r="B202" s="15" t="s">
        <v>333</v>
      </c>
      <c r="C202" s="50" t="n">
        <v>0</v>
      </c>
      <c r="D202" s="50" t="n">
        <v>0</v>
      </c>
      <c r="E202" s="50" t="n">
        <v>0</v>
      </c>
      <c r="F202" s="50" t="n">
        <v>0</v>
      </c>
      <c r="G202" s="50" t="n">
        <v>0</v>
      </c>
      <c r="H202" s="50" t="n">
        <v>0</v>
      </c>
      <c r="I202" s="50" t="n">
        <v>0</v>
      </c>
      <c r="J202" s="50"/>
      <c r="K202" s="50"/>
      <c r="L202" s="39"/>
      <c r="M202" s="50"/>
      <c r="N202" s="50"/>
      <c r="O202" s="50" t="n">
        <v>0</v>
      </c>
      <c r="P202" s="50"/>
      <c r="Q202" s="50"/>
      <c r="R202" s="39"/>
      <c r="S202" s="50"/>
      <c r="T202" s="50"/>
      <c r="U202" s="50" t="n">
        <v>0</v>
      </c>
      <c r="V202" s="50"/>
      <c r="W202" s="50"/>
      <c r="X202" s="39"/>
      <c r="Y202" s="50"/>
      <c r="Z202" s="50"/>
      <c r="AA202" s="50" t="n">
        <v>-3.822</v>
      </c>
      <c r="AB202" s="50"/>
      <c r="AC202" s="50"/>
      <c r="AD202" s="39"/>
      <c r="AE202" s="50"/>
      <c r="AF202" s="50"/>
      <c r="AG202" s="50" t="n">
        <v>-15.039</v>
      </c>
      <c r="AH202" s="50"/>
      <c r="AI202" s="50"/>
      <c r="AJ202" s="39"/>
      <c r="AK202" s="50"/>
      <c r="AL202" s="50"/>
      <c r="AM202" s="50" t="n">
        <v>-135.433</v>
      </c>
      <c r="AN202" s="50"/>
      <c r="AO202" s="50"/>
      <c r="AP202" s="39"/>
      <c r="AQ202" s="50"/>
      <c r="AR202" s="50"/>
      <c r="AS202" s="50" t="n">
        <v>-1.115</v>
      </c>
      <c r="AT202" s="50"/>
      <c r="AU202" s="50"/>
      <c r="AV202" s="39"/>
      <c r="AW202" s="50"/>
      <c r="AX202" s="50"/>
      <c r="AY202" s="50" t="n">
        <v>-46.888</v>
      </c>
      <c r="AZ202" s="50"/>
      <c r="BA202" s="50"/>
      <c r="BB202" s="39"/>
      <c r="BC202" s="50"/>
      <c r="BD202" s="50"/>
      <c r="BE202" s="50" t="n">
        <v>-103.451</v>
      </c>
      <c r="BF202" s="50"/>
      <c r="BG202" s="50"/>
      <c r="BH202" s="39"/>
      <c r="BI202" s="50"/>
      <c r="BJ202" s="50"/>
      <c r="BK202" s="50" t="n">
        <v>-6.145</v>
      </c>
      <c r="BL202" s="50"/>
      <c r="BM202" s="50"/>
      <c r="BN202" s="39"/>
      <c r="BO202" s="50"/>
      <c r="BP202" s="50"/>
      <c r="BQ202" s="50" t="n">
        <v>-1.925</v>
      </c>
      <c r="BR202" s="50"/>
      <c r="BS202" s="50"/>
      <c r="BT202" s="39"/>
      <c r="BU202" s="50"/>
      <c r="BV202" s="50"/>
      <c r="BW202" s="50" t="n">
        <v>-4.709</v>
      </c>
      <c r="BX202" s="50"/>
      <c r="BY202" s="50"/>
      <c r="BZ202" s="39"/>
      <c r="CA202" s="50"/>
      <c r="CB202" s="50"/>
      <c r="CC202" s="50" t="n">
        <v>-6.558</v>
      </c>
      <c r="CD202" s="50"/>
      <c r="CE202" s="50"/>
      <c r="CF202" s="39"/>
      <c r="CG202" s="50"/>
      <c r="CH202" s="50"/>
      <c r="CI202" s="50" t="n">
        <v>-5.282</v>
      </c>
      <c r="CJ202" s="50"/>
      <c r="CK202" s="50"/>
      <c r="CL202" s="39"/>
      <c r="CM202" s="50"/>
      <c r="CN202" s="50"/>
      <c r="CO202" s="50" t="n">
        <v>-3.736</v>
      </c>
      <c r="CP202" s="51" t="n">
        <v>-5</v>
      </c>
      <c r="CQ202" s="51" t="n">
        <v>-5</v>
      </c>
      <c r="CR202" s="51" t="n">
        <v>-5</v>
      </c>
      <c r="CS202" s="51" t="n">
        <v>-5</v>
      </c>
      <c r="CT202" s="51" t="n">
        <v>-5</v>
      </c>
      <c r="CU202" s="24"/>
      <c r="CW202" s="25"/>
      <c r="CX202" s="25"/>
      <c r="CY202" s="25"/>
      <c r="CZ202" s="25"/>
    </row>
    <row r="203" customFormat="false" ht="15" hidden="false" customHeight="false" outlineLevel="0" collapsed="false">
      <c r="B203" s="15" t="s">
        <v>334</v>
      </c>
      <c r="C203" s="50" t="n">
        <v>6.497</v>
      </c>
      <c r="D203" s="50" t="n">
        <v>8.541</v>
      </c>
      <c r="E203" s="50" t="n">
        <v>25.188</v>
      </c>
      <c r="F203" s="50" t="n">
        <v>-12.932</v>
      </c>
      <c r="G203" s="50" t="n">
        <v>5.643</v>
      </c>
      <c r="H203" s="50" t="n">
        <v>1.524</v>
      </c>
      <c r="I203" s="50" t="n">
        <v>4.054</v>
      </c>
      <c r="J203" s="50"/>
      <c r="K203" s="50"/>
      <c r="L203" s="39"/>
      <c r="M203" s="50"/>
      <c r="N203" s="50"/>
      <c r="O203" s="50" t="n">
        <v>22.388</v>
      </c>
      <c r="P203" s="50"/>
      <c r="Q203" s="50"/>
      <c r="R203" s="39"/>
      <c r="S203" s="50"/>
      <c r="T203" s="50"/>
      <c r="U203" s="50" t="n">
        <v>-14.002</v>
      </c>
      <c r="V203" s="50"/>
      <c r="W203" s="50"/>
      <c r="X203" s="39"/>
      <c r="Y203" s="50"/>
      <c r="Z203" s="50"/>
      <c r="AA203" s="50" t="n">
        <v>2.016</v>
      </c>
      <c r="AB203" s="50"/>
      <c r="AC203" s="50"/>
      <c r="AD203" s="39"/>
      <c r="AE203" s="50"/>
      <c r="AF203" s="50"/>
      <c r="AG203" s="50" t="n">
        <v>-1.179</v>
      </c>
      <c r="AH203" s="50"/>
      <c r="AI203" s="50"/>
      <c r="AJ203" s="39"/>
      <c r="AK203" s="50"/>
      <c r="AL203" s="50"/>
      <c r="AM203" s="50" t="n">
        <v>-0.012</v>
      </c>
      <c r="AN203" s="50"/>
      <c r="AO203" s="50"/>
      <c r="AP203" s="39"/>
      <c r="AQ203" s="50"/>
      <c r="AR203" s="50"/>
      <c r="AS203" s="50" t="n">
        <v>-0.276</v>
      </c>
      <c r="AT203" s="50"/>
      <c r="AU203" s="50"/>
      <c r="AV203" s="39"/>
      <c r="AW203" s="50"/>
      <c r="AX203" s="50"/>
      <c r="AY203" s="50" t="n">
        <v>-0.002</v>
      </c>
      <c r="AZ203" s="50"/>
      <c r="BA203" s="50"/>
      <c r="BB203" s="39"/>
      <c r="BC203" s="50"/>
      <c r="BD203" s="50"/>
      <c r="BE203" s="50" t="n">
        <v>-3.839</v>
      </c>
      <c r="BF203" s="50"/>
      <c r="BG203" s="50"/>
      <c r="BH203" s="39"/>
      <c r="BI203" s="50"/>
      <c r="BJ203" s="50"/>
      <c r="BK203" s="50" t="n">
        <v>-1.069</v>
      </c>
      <c r="BL203" s="50"/>
      <c r="BM203" s="50"/>
      <c r="BN203" s="39"/>
      <c r="BO203" s="50"/>
      <c r="BP203" s="50"/>
      <c r="BQ203" s="50" t="n">
        <v>-1.734</v>
      </c>
      <c r="BR203" s="50"/>
      <c r="BS203" s="50"/>
      <c r="BT203" s="39"/>
      <c r="BU203" s="50"/>
      <c r="BV203" s="50"/>
      <c r="BW203" s="50" t="n">
        <v>-0.044</v>
      </c>
      <c r="BX203" s="50"/>
      <c r="BY203" s="50"/>
      <c r="BZ203" s="39"/>
      <c r="CA203" s="50"/>
      <c r="CB203" s="50"/>
      <c r="CC203" s="50" t="n">
        <v>-0.054</v>
      </c>
      <c r="CD203" s="50"/>
      <c r="CE203" s="50"/>
      <c r="CF203" s="39"/>
      <c r="CG203" s="50"/>
      <c r="CH203" s="50"/>
      <c r="CI203" s="50" t="n">
        <v>-0.09</v>
      </c>
      <c r="CJ203" s="50"/>
      <c r="CK203" s="50"/>
      <c r="CL203" s="39"/>
      <c r="CM203" s="50"/>
      <c r="CN203" s="50"/>
      <c r="CO203" s="50" t="n">
        <v>-1.592</v>
      </c>
      <c r="CP203" s="51" t="n">
        <v>0</v>
      </c>
      <c r="CQ203" s="51" t="n">
        <v>0</v>
      </c>
      <c r="CR203" s="51" t="n">
        <v>0</v>
      </c>
      <c r="CS203" s="51" t="n">
        <v>0</v>
      </c>
      <c r="CT203" s="51" t="n">
        <v>0</v>
      </c>
      <c r="CU203" s="24"/>
      <c r="CW203" s="25"/>
      <c r="CX203" s="25"/>
      <c r="CY203" s="25"/>
      <c r="CZ203" s="25"/>
    </row>
    <row r="204" customFormat="false" ht="15" hidden="false" customHeight="false" outlineLevel="0" collapsed="false">
      <c r="B204" s="20" t="s">
        <v>335</v>
      </c>
      <c r="C204" s="21" t="n">
        <f aca="false">SUM(C198:C203)</f>
        <v>4.685</v>
      </c>
      <c r="D204" s="21" t="n">
        <f aca="false">SUM(D198:D203)</f>
        <v>-70.664</v>
      </c>
      <c r="E204" s="21" t="n">
        <f aca="false">SUM(E198:E203)</f>
        <v>-229.677</v>
      </c>
      <c r="F204" s="21" t="n">
        <f aca="false">SUM(F198:F203)</f>
        <v>-17.64</v>
      </c>
      <c r="G204" s="21" t="n">
        <f aca="false">SUM(G198:G203)</f>
        <v>1.266</v>
      </c>
      <c r="H204" s="21" t="n">
        <f aca="false">SUM(H198:H203)</f>
        <v>-354.075</v>
      </c>
      <c r="I204" s="21" t="n">
        <f aca="false">SUM(I198:I203)</f>
        <v>-114.873</v>
      </c>
      <c r="J204" s="21"/>
      <c r="K204" s="21"/>
      <c r="L204" s="21"/>
      <c r="M204" s="21"/>
      <c r="N204" s="21"/>
      <c r="O204" s="21" t="n">
        <f aca="false">SUM(O198:O203)</f>
        <v>-65.891</v>
      </c>
      <c r="P204" s="21"/>
      <c r="Q204" s="21"/>
      <c r="R204" s="21"/>
      <c r="S204" s="21"/>
      <c r="T204" s="21"/>
      <c r="U204" s="21" t="n">
        <f aca="false">SUM(U198:U203)</f>
        <v>-76.823</v>
      </c>
      <c r="V204" s="21"/>
      <c r="W204" s="21"/>
      <c r="X204" s="21"/>
      <c r="Y204" s="21"/>
      <c r="Z204" s="21"/>
      <c r="AA204" s="21" t="n">
        <f aca="false">SUM(AA198:AA203)</f>
        <v>120.362</v>
      </c>
      <c r="AB204" s="21"/>
      <c r="AC204" s="21"/>
      <c r="AD204" s="21"/>
      <c r="AE204" s="21"/>
      <c r="AF204" s="21"/>
      <c r="AG204" s="21" t="n">
        <f aca="false">SUM(AG198:AG203)</f>
        <v>-448.496</v>
      </c>
      <c r="AH204" s="21"/>
      <c r="AI204" s="21"/>
      <c r="AJ204" s="21"/>
      <c r="AK204" s="21"/>
      <c r="AL204" s="21"/>
      <c r="AM204" s="21" t="n">
        <f aca="false">SUM(AM198:AM203)</f>
        <v>-106.975</v>
      </c>
      <c r="AN204" s="21"/>
      <c r="AO204" s="21"/>
      <c r="AP204" s="21"/>
      <c r="AQ204" s="21"/>
      <c r="AR204" s="21"/>
      <c r="AS204" s="21" t="n">
        <f aca="false">SUM(AS198:AS203)</f>
        <v>-182.038</v>
      </c>
      <c r="AT204" s="21"/>
      <c r="AU204" s="21"/>
      <c r="AV204" s="21"/>
      <c r="AW204" s="21"/>
      <c r="AX204" s="21"/>
      <c r="AY204" s="21" t="n">
        <f aca="false">SUM(AY198:AY203)</f>
        <v>-370.304</v>
      </c>
      <c r="AZ204" s="21"/>
      <c r="BA204" s="21"/>
      <c r="BB204" s="21"/>
      <c r="BC204" s="21"/>
      <c r="BD204" s="21"/>
      <c r="BE204" s="21" t="n">
        <f aca="false">SUM(BE198:BE203)</f>
        <v>-27.414</v>
      </c>
      <c r="BF204" s="21"/>
      <c r="BG204" s="21"/>
      <c r="BH204" s="21"/>
      <c r="BI204" s="21"/>
      <c r="BJ204" s="21"/>
      <c r="BK204" s="21" t="n">
        <f aca="false">SUM(BK198:BK203)</f>
        <v>40.922</v>
      </c>
      <c r="BL204" s="21"/>
      <c r="BM204" s="21"/>
      <c r="BN204" s="21"/>
      <c r="BO204" s="21"/>
      <c r="BP204" s="21"/>
      <c r="BQ204" s="21" t="n">
        <f aca="false">SUM(BQ198:BQ203)</f>
        <v>-382.693</v>
      </c>
      <c r="BR204" s="21"/>
      <c r="BS204" s="21"/>
      <c r="BT204" s="21"/>
      <c r="BU204" s="21"/>
      <c r="BV204" s="21"/>
      <c r="BW204" s="21" t="n">
        <f aca="false">SUM(BW198:BW203)</f>
        <v>66.615</v>
      </c>
      <c r="BX204" s="21"/>
      <c r="BY204" s="21"/>
      <c r="BZ204" s="21"/>
      <c r="CA204" s="21"/>
      <c r="CB204" s="21"/>
      <c r="CC204" s="21" t="n">
        <f aca="false">SUM(CC198:CC203)</f>
        <v>19.273</v>
      </c>
      <c r="CD204" s="21"/>
      <c r="CE204" s="21"/>
      <c r="CF204" s="21"/>
      <c r="CG204" s="21"/>
      <c r="CH204" s="21"/>
      <c r="CI204" s="21" t="n">
        <f aca="false">SUM(CI198:CI203)</f>
        <v>52.107</v>
      </c>
      <c r="CJ204" s="21"/>
      <c r="CK204" s="21"/>
      <c r="CL204" s="21"/>
      <c r="CM204" s="21"/>
      <c r="CN204" s="21"/>
      <c r="CO204" s="21" t="n">
        <f aca="false">SUM(CO198:CO203)</f>
        <v>-1606.854</v>
      </c>
      <c r="CP204" s="23" t="n">
        <f aca="false">SUM(CP198:CP203)</f>
        <v>-1892.47647894975</v>
      </c>
      <c r="CQ204" s="23" t="n">
        <f aca="false">SUM(CQ198:CQ203)</f>
        <v>-1080.30641057833</v>
      </c>
      <c r="CR204" s="23" t="n">
        <f aca="false">SUM(CR198:CR203)</f>
        <v>-1152.81862974431</v>
      </c>
      <c r="CS204" s="23" t="n">
        <f aca="false">SUM(CS198:CS203)</f>
        <v>-1246.78730954811</v>
      </c>
      <c r="CT204" s="23" t="n">
        <f aca="false">SUM(CT198:CT203)</f>
        <v>-1344.78458720219</v>
      </c>
      <c r="CU204" s="24"/>
      <c r="CW204" s="6"/>
      <c r="CX204" s="6"/>
      <c r="CY204" s="6"/>
      <c r="CZ204" s="6"/>
    </row>
    <row r="205" customFormat="false" ht="15" hidden="false" customHeight="false" outlineLevel="0" collapsed="false">
      <c r="B205" s="15" t="s">
        <v>336</v>
      </c>
      <c r="C205" s="50" t="n">
        <v>-0.492</v>
      </c>
      <c r="D205" s="50" t="n">
        <v>0.668</v>
      </c>
      <c r="E205" s="50" t="n">
        <v>-0.453</v>
      </c>
      <c r="F205" s="50" t="n">
        <v>-2.058</v>
      </c>
      <c r="G205" s="50" t="n">
        <v>0.849</v>
      </c>
      <c r="H205" s="50" t="n">
        <v>1.444</v>
      </c>
      <c r="I205" s="50" t="n">
        <v>-0.61</v>
      </c>
      <c r="J205" s="50"/>
      <c r="K205" s="50"/>
      <c r="L205" s="39"/>
      <c r="M205" s="50"/>
      <c r="N205" s="50"/>
      <c r="O205" s="50" t="n">
        <v>-1.895</v>
      </c>
      <c r="P205" s="50"/>
      <c r="Q205" s="50"/>
      <c r="R205" s="39"/>
      <c r="S205" s="50"/>
      <c r="T205" s="50"/>
      <c r="U205" s="50" t="n">
        <v>1.369</v>
      </c>
      <c r="V205" s="50"/>
      <c r="W205" s="50"/>
      <c r="X205" s="39"/>
      <c r="Y205" s="50"/>
      <c r="Z205" s="50"/>
      <c r="AA205" s="50" t="n">
        <v>-6.179</v>
      </c>
      <c r="AB205" s="50"/>
      <c r="AC205" s="50"/>
      <c r="AD205" s="39"/>
      <c r="AE205" s="50"/>
      <c r="AF205" s="50"/>
      <c r="AG205" s="50" t="n">
        <v>-11.289</v>
      </c>
      <c r="AH205" s="50"/>
      <c r="AI205" s="50"/>
      <c r="AJ205" s="39"/>
      <c r="AK205" s="50"/>
      <c r="AL205" s="50"/>
      <c r="AM205" s="50" t="n">
        <v>4.959</v>
      </c>
      <c r="AN205" s="50"/>
      <c r="AO205" s="50"/>
      <c r="AP205" s="39"/>
      <c r="AQ205" s="50"/>
      <c r="AR205" s="50"/>
      <c r="AS205" s="50" t="n">
        <v>-0.135</v>
      </c>
      <c r="AT205" s="50"/>
      <c r="AU205" s="50"/>
      <c r="AV205" s="39"/>
      <c r="AW205" s="50"/>
      <c r="AX205" s="50"/>
      <c r="AY205" s="50" t="n">
        <v>-8.276</v>
      </c>
      <c r="AZ205" s="50"/>
      <c r="BA205" s="50"/>
      <c r="BB205" s="39"/>
      <c r="BC205" s="50"/>
      <c r="BD205" s="50"/>
      <c r="BE205" s="50" t="n">
        <v>2.136</v>
      </c>
      <c r="BF205" s="50"/>
      <c r="BG205" s="50"/>
      <c r="BH205" s="39"/>
      <c r="BI205" s="50"/>
      <c r="BJ205" s="50"/>
      <c r="BK205" s="50" t="n">
        <v>4.195</v>
      </c>
      <c r="BL205" s="50"/>
      <c r="BM205" s="50"/>
      <c r="BN205" s="39"/>
      <c r="BO205" s="50"/>
      <c r="BP205" s="50"/>
      <c r="BQ205" s="50" t="n">
        <v>-15.704</v>
      </c>
      <c r="BR205" s="50"/>
      <c r="BS205" s="50"/>
      <c r="BT205" s="39"/>
      <c r="BU205" s="50"/>
      <c r="BV205" s="50"/>
      <c r="BW205" s="50" t="n">
        <v>34.383</v>
      </c>
      <c r="BX205" s="50"/>
      <c r="BY205" s="50"/>
      <c r="BZ205" s="39"/>
      <c r="CA205" s="50"/>
      <c r="CB205" s="50"/>
      <c r="CC205" s="50" t="n">
        <v>4.958</v>
      </c>
      <c r="CD205" s="50"/>
      <c r="CE205" s="50"/>
      <c r="CF205" s="39"/>
      <c r="CG205" s="50"/>
      <c r="CH205" s="50"/>
      <c r="CI205" s="50" t="n">
        <v>2.011</v>
      </c>
      <c r="CJ205" s="50"/>
      <c r="CK205" s="50"/>
      <c r="CL205" s="39"/>
      <c r="CM205" s="50"/>
      <c r="CN205" s="50"/>
      <c r="CO205" s="50" t="n">
        <v>7.333</v>
      </c>
      <c r="CP205" s="51" t="n">
        <v>0</v>
      </c>
      <c r="CQ205" s="51" t="n">
        <v>0</v>
      </c>
      <c r="CR205" s="51" t="n">
        <v>0</v>
      </c>
      <c r="CS205" s="51" t="n">
        <v>0</v>
      </c>
      <c r="CT205" s="51" t="n">
        <v>0</v>
      </c>
      <c r="CU205" s="24"/>
      <c r="CW205" s="25"/>
      <c r="CX205" s="25"/>
      <c r="CY205" s="25"/>
      <c r="CZ205" s="25"/>
    </row>
    <row r="206" customFormat="false" ht="15" hidden="false" customHeight="false" outlineLevel="0" collapsed="false">
      <c r="B206" s="20" t="s">
        <v>337</v>
      </c>
      <c r="C206" s="21" t="n">
        <f aca="false">C189+C196+C204+C205</f>
        <v>-122.518</v>
      </c>
      <c r="D206" s="21" t="n">
        <f aca="false">D189+D196+D204+D205</f>
        <v>-23.504</v>
      </c>
      <c r="E206" s="21" t="n">
        <f aca="false">E189+E196+E204+E205</f>
        <v>-68.667</v>
      </c>
      <c r="F206" s="21" t="n">
        <f aca="false">F189+F196+F204+F205</f>
        <v>123.737</v>
      </c>
      <c r="G206" s="21" t="n">
        <f aca="false">G189+G196+G204+G205</f>
        <v>105.497</v>
      </c>
      <c r="H206" s="21" t="n">
        <f aca="false">H189+H196+H204+H205</f>
        <v>-194.179</v>
      </c>
      <c r="I206" s="21" t="n">
        <f aca="false">I189+I196+I204+I205</f>
        <v>66.103</v>
      </c>
      <c r="J206" s="21"/>
      <c r="K206" s="21"/>
      <c r="L206" s="21"/>
      <c r="M206" s="21"/>
      <c r="N206" s="21"/>
      <c r="O206" s="21" t="n">
        <f aca="false">O189+O196+O204+O205</f>
        <v>-76.481</v>
      </c>
      <c r="P206" s="21"/>
      <c r="Q206" s="21"/>
      <c r="R206" s="21"/>
      <c r="S206" s="21"/>
      <c r="T206" s="21"/>
      <c r="U206" s="21" t="n">
        <f aca="false">U189+U196+U204+U205</f>
        <v>95.037</v>
      </c>
      <c r="V206" s="21"/>
      <c r="W206" s="21"/>
      <c r="X206" s="21"/>
      <c r="Y206" s="21"/>
      <c r="Z206" s="21"/>
      <c r="AA206" s="21" t="n">
        <f aca="false">AA189+AA196+AA204+AA205</f>
        <v>297.344</v>
      </c>
      <c r="AB206" s="21"/>
      <c r="AC206" s="21"/>
      <c r="AD206" s="21"/>
      <c r="AE206" s="21"/>
      <c r="AF206" s="21"/>
      <c r="AG206" s="21" t="n">
        <f aca="false">AG189+AG196+AG204+AG205</f>
        <v>-300.163</v>
      </c>
      <c r="AH206" s="21"/>
      <c r="AI206" s="21"/>
      <c r="AJ206" s="21"/>
      <c r="AK206" s="21"/>
      <c r="AL206" s="21"/>
      <c r="AM206" s="21" t="n">
        <f aca="false">AM189+AM196+AM204+AM205</f>
        <v>54.251</v>
      </c>
      <c r="AN206" s="21"/>
      <c r="AO206" s="21"/>
      <c r="AP206" s="21"/>
      <c r="AQ206" s="21"/>
      <c r="AR206" s="21"/>
      <c r="AS206" s="21" t="n">
        <f aca="false">AS189+AS196+AS204+AS205</f>
        <v>64.4199999999999</v>
      </c>
      <c r="AT206" s="21"/>
      <c r="AU206" s="21"/>
      <c r="AV206" s="21"/>
      <c r="AW206" s="21"/>
      <c r="AX206" s="21"/>
      <c r="AY206" s="21" t="n">
        <f aca="false">AY189+AY196+AY204+AY205</f>
        <v>-88.2010000000001</v>
      </c>
      <c r="AZ206" s="21"/>
      <c r="BA206" s="21"/>
      <c r="BB206" s="21"/>
      <c r="BC206" s="21"/>
      <c r="BD206" s="21"/>
      <c r="BE206" s="21" t="n">
        <f aca="false">BE189+BE196+BE204+BE205</f>
        <v>291.399</v>
      </c>
      <c r="BF206" s="21"/>
      <c r="BG206" s="21"/>
      <c r="BH206" s="21"/>
      <c r="BI206" s="21"/>
      <c r="BJ206" s="21"/>
      <c r="BK206" s="21" t="n">
        <f aca="false">BK189+BK196+BK204+BK205</f>
        <v>570.542</v>
      </c>
      <c r="BL206" s="21"/>
      <c r="BM206" s="21"/>
      <c r="BN206" s="21"/>
      <c r="BO206" s="21"/>
      <c r="BP206" s="21"/>
      <c r="BQ206" s="21" t="n">
        <f aca="false">BQ189+BQ196+BQ204+BQ205</f>
        <v>335.976</v>
      </c>
      <c r="BR206" s="21"/>
      <c r="BS206" s="21"/>
      <c r="BT206" s="21"/>
      <c r="BU206" s="21"/>
      <c r="BV206" s="21"/>
      <c r="BW206" s="21" t="n">
        <f aca="false">BW189+BW196+BW204+BW205</f>
        <v>-426.841</v>
      </c>
      <c r="BX206" s="21"/>
      <c r="BY206" s="21"/>
      <c r="BZ206" s="21"/>
      <c r="CA206" s="21"/>
      <c r="CB206" s="21"/>
      <c r="CC206" s="21" t="n">
        <f aca="false">CC189+CC196+CC204+CC205</f>
        <v>556.716</v>
      </c>
      <c r="CD206" s="21"/>
      <c r="CE206" s="21"/>
      <c r="CF206" s="21"/>
      <c r="CG206" s="21"/>
      <c r="CH206" s="21"/>
      <c r="CI206" s="21" t="n">
        <f aca="false">CI189+CI196+CI204+CI205</f>
        <v>1266.42</v>
      </c>
      <c r="CJ206" s="21"/>
      <c r="CK206" s="21"/>
      <c r="CL206" s="21"/>
      <c r="CM206" s="21"/>
      <c r="CN206" s="21"/>
      <c r="CO206" s="21" t="n">
        <f aca="false">CO189+CO196+CO204+CO205</f>
        <v>-872.63</v>
      </c>
      <c r="CP206" s="23" t="n">
        <f aca="false">CP189+CP196+CP204+CP205</f>
        <v>-580.3962596</v>
      </c>
      <c r="CQ206" s="23" t="n">
        <f aca="false">CQ189+CQ196+CQ204+CQ205</f>
        <v>281.153250218066</v>
      </c>
      <c r="CR206" s="23" t="n">
        <f aca="false">CR189+CR196+CR204+CR205</f>
        <v>314.216046114172</v>
      </c>
      <c r="CS206" s="23" t="n">
        <f aca="false">CS189+CS196+CS204+CS205</f>
        <v>334.409960812767</v>
      </c>
      <c r="CT206" s="23" t="n">
        <f aca="false">CT189+CT196+CT204+CT205</f>
        <v>358.952862751691</v>
      </c>
      <c r="CU206" s="24"/>
      <c r="CW206" s="6"/>
      <c r="CX206" s="6"/>
      <c r="CY206" s="6"/>
      <c r="CZ206" s="6"/>
    </row>
    <row r="207" customFormat="false" ht="15" hidden="false" customHeight="false" outlineLevel="0" collapsed="false">
      <c r="B207" s="20" t="s">
        <v>338</v>
      </c>
      <c r="C207" s="21" t="n">
        <f aca="false">C208-C206</f>
        <v>253.643</v>
      </c>
      <c r="D207" s="21" t="n">
        <f aca="false">D208-D206</f>
        <v>131.125</v>
      </c>
      <c r="E207" s="21" t="n">
        <f aca="false">E208-E206</f>
        <v>107.621</v>
      </c>
      <c r="F207" s="21" t="n">
        <f aca="false">F208-F206</f>
        <v>38.954</v>
      </c>
      <c r="G207" s="21" t="n">
        <f aca="false">G208-G206</f>
        <v>162.691</v>
      </c>
      <c r="H207" s="21" t="n">
        <f aca="false">H208-H206</f>
        <v>268.188</v>
      </c>
      <c r="I207" s="21" t="n">
        <f aca="false">I208-I206</f>
        <v>74.009</v>
      </c>
      <c r="J207" s="21"/>
      <c r="K207" s="21"/>
      <c r="L207" s="21"/>
      <c r="M207" s="21"/>
      <c r="N207" s="21"/>
      <c r="O207" s="21" t="n">
        <f aca="false">O208-O206</f>
        <v>140.112</v>
      </c>
      <c r="P207" s="21"/>
      <c r="Q207" s="21"/>
      <c r="R207" s="21"/>
      <c r="S207" s="21"/>
      <c r="T207" s="21"/>
      <c r="U207" s="21" t="n">
        <f aca="false">U208-U206</f>
        <v>63.631</v>
      </c>
      <c r="V207" s="21"/>
      <c r="W207" s="21"/>
      <c r="X207" s="21"/>
      <c r="Y207" s="21"/>
      <c r="Z207" s="21"/>
      <c r="AA207" s="21" t="n">
        <f aca="false">AA208-AA206</f>
        <v>158.668</v>
      </c>
      <c r="AB207" s="21"/>
      <c r="AC207" s="21"/>
      <c r="AD207" s="21"/>
      <c r="AE207" s="21"/>
      <c r="AF207" s="21"/>
      <c r="AG207" s="21" t="n">
        <f aca="false">AG208-AG206</f>
        <v>456.012</v>
      </c>
      <c r="AH207" s="21"/>
      <c r="AI207" s="21"/>
      <c r="AJ207" s="21"/>
      <c r="AK207" s="21"/>
      <c r="AL207" s="21"/>
      <c r="AM207" s="21" t="n">
        <f aca="false">AM208-AM206</f>
        <v>155.849</v>
      </c>
      <c r="AN207" s="21"/>
      <c r="AO207" s="21"/>
      <c r="AP207" s="21"/>
      <c r="AQ207" s="21"/>
      <c r="AR207" s="21"/>
      <c r="AS207" s="21" t="n">
        <f aca="false">AS208-AS206</f>
        <v>210.1</v>
      </c>
      <c r="AT207" s="21"/>
      <c r="AU207" s="21"/>
      <c r="AV207" s="21"/>
      <c r="AW207" s="21"/>
      <c r="AX207" s="21"/>
      <c r="AY207" s="21" t="n">
        <f aca="false">AY208-AY206</f>
        <v>274.52</v>
      </c>
      <c r="AZ207" s="21"/>
      <c r="BA207" s="21"/>
      <c r="BB207" s="21"/>
      <c r="BC207" s="21"/>
      <c r="BD207" s="21"/>
      <c r="BE207" s="21" t="n">
        <f aca="false">BE208-BE206</f>
        <v>186.319</v>
      </c>
      <c r="BF207" s="21"/>
      <c r="BG207" s="21"/>
      <c r="BH207" s="21"/>
      <c r="BI207" s="21"/>
      <c r="BJ207" s="21"/>
      <c r="BK207" s="21" t="n">
        <f aca="false">BK208-BK206</f>
        <v>477.718</v>
      </c>
      <c r="BL207" s="21"/>
      <c r="BM207" s="21"/>
      <c r="BN207" s="21"/>
      <c r="BO207" s="21"/>
      <c r="BP207" s="21"/>
      <c r="BQ207" s="21" t="n">
        <f aca="false">BQ208-BQ206</f>
        <v>1048.26</v>
      </c>
      <c r="BR207" s="21"/>
      <c r="BS207" s="21"/>
      <c r="BT207" s="21"/>
      <c r="BU207" s="21"/>
      <c r="BV207" s="21"/>
      <c r="BW207" s="21" t="n">
        <f aca="false">BW208-BW206</f>
        <v>1384.236</v>
      </c>
      <c r="BX207" s="21"/>
      <c r="BY207" s="21"/>
      <c r="BZ207" s="21"/>
      <c r="CA207" s="21"/>
      <c r="CB207" s="21"/>
      <c r="CC207" s="21" t="n">
        <f aca="false">CC208-CC206</f>
        <v>957.395</v>
      </c>
      <c r="CD207" s="21"/>
      <c r="CE207" s="21"/>
      <c r="CF207" s="21"/>
      <c r="CG207" s="21"/>
      <c r="CH207" s="21"/>
      <c r="CI207" s="21" t="n">
        <f aca="false">CI208-CI206</f>
        <v>1514.111</v>
      </c>
      <c r="CJ207" s="21"/>
      <c r="CK207" s="21"/>
      <c r="CL207" s="21"/>
      <c r="CM207" s="21"/>
      <c r="CN207" s="21"/>
      <c r="CO207" s="21" t="n">
        <f aca="false">CO208-CO206</f>
        <v>2780.531</v>
      </c>
      <c r="CP207" s="23" t="n">
        <f aca="false">CO208</f>
        <v>1907.901</v>
      </c>
      <c r="CQ207" s="23" t="n">
        <f aca="false">CP208</f>
        <v>1327.5047404</v>
      </c>
      <c r="CR207" s="23" t="n">
        <f aca="false">CQ208</f>
        <v>1608.65799061807</v>
      </c>
      <c r="CS207" s="23" t="n">
        <f aca="false">CR208</f>
        <v>1922.87403673224</v>
      </c>
      <c r="CT207" s="23" t="n">
        <f aca="false">CS208</f>
        <v>2257.28399754501</v>
      </c>
      <c r="CU207" s="24"/>
      <c r="CW207" s="6"/>
      <c r="CX207" s="6"/>
      <c r="CY207" s="6"/>
      <c r="CZ207" s="6"/>
    </row>
    <row r="208" customFormat="false" ht="15" hidden="false" customHeight="false" outlineLevel="0" collapsed="false">
      <c r="B208" s="20" t="s">
        <v>339</v>
      </c>
      <c r="C208" s="21" t="n">
        <f aca="false">C243</f>
        <v>131.125</v>
      </c>
      <c r="D208" s="21" t="n">
        <f aca="false">D243</f>
        <v>107.621</v>
      </c>
      <c r="E208" s="21" t="n">
        <f aca="false">E243</f>
        <v>38.954</v>
      </c>
      <c r="F208" s="21" t="n">
        <f aca="false">F243</f>
        <v>162.691</v>
      </c>
      <c r="G208" s="21" t="n">
        <f aca="false">G243</f>
        <v>268.188</v>
      </c>
      <c r="H208" s="21" t="n">
        <f aca="false">H243</f>
        <v>74.009</v>
      </c>
      <c r="I208" s="21" t="n">
        <f aca="false">I243</f>
        <v>140.112</v>
      </c>
      <c r="J208" s="21"/>
      <c r="K208" s="21"/>
      <c r="L208" s="21"/>
      <c r="M208" s="21"/>
      <c r="N208" s="21"/>
      <c r="O208" s="21" t="n">
        <f aca="false">O243</f>
        <v>63.631</v>
      </c>
      <c r="P208" s="21"/>
      <c r="Q208" s="21"/>
      <c r="R208" s="21"/>
      <c r="S208" s="21"/>
      <c r="T208" s="21"/>
      <c r="U208" s="21" t="n">
        <f aca="false">U243</f>
        <v>158.668</v>
      </c>
      <c r="V208" s="21"/>
      <c r="W208" s="21"/>
      <c r="X208" s="21"/>
      <c r="Y208" s="21"/>
      <c r="Z208" s="21"/>
      <c r="AA208" s="21" t="n">
        <f aca="false">AA243</f>
        <v>456.012</v>
      </c>
      <c r="AB208" s="21"/>
      <c r="AC208" s="21"/>
      <c r="AD208" s="21"/>
      <c r="AE208" s="21"/>
      <c r="AF208" s="21"/>
      <c r="AG208" s="21" t="n">
        <f aca="false">AG243</f>
        <v>155.849</v>
      </c>
      <c r="AH208" s="21"/>
      <c r="AI208" s="21"/>
      <c r="AJ208" s="21"/>
      <c r="AK208" s="21"/>
      <c r="AL208" s="21"/>
      <c r="AM208" s="21" t="n">
        <f aca="false">AM243</f>
        <v>210.1</v>
      </c>
      <c r="AN208" s="21"/>
      <c r="AO208" s="21"/>
      <c r="AP208" s="21"/>
      <c r="AQ208" s="21"/>
      <c r="AR208" s="21"/>
      <c r="AS208" s="21" t="n">
        <f aca="false">AS243</f>
        <v>274.52</v>
      </c>
      <c r="AT208" s="21"/>
      <c r="AU208" s="21"/>
      <c r="AV208" s="21"/>
      <c r="AW208" s="21"/>
      <c r="AX208" s="21"/>
      <c r="AY208" s="21" t="n">
        <f aca="false">AY243</f>
        <v>186.319</v>
      </c>
      <c r="AZ208" s="21"/>
      <c r="BA208" s="21"/>
      <c r="BB208" s="21"/>
      <c r="BC208" s="21"/>
      <c r="BD208" s="21"/>
      <c r="BE208" s="21" t="n">
        <f aca="false">BE243</f>
        <v>477.718</v>
      </c>
      <c r="BF208" s="21"/>
      <c r="BG208" s="21"/>
      <c r="BH208" s="21"/>
      <c r="BI208" s="21"/>
      <c r="BJ208" s="21"/>
      <c r="BK208" s="21" t="n">
        <f aca="false">BK243</f>
        <v>1048.26</v>
      </c>
      <c r="BL208" s="21"/>
      <c r="BM208" s="21"/>
      <c r="BN208" s="21"/>
      <c r="BO208" s="21"/>
      <c r="BP208" s="21"/>
      <c r="BQ208" s="21" t="n">
        <f aca="false">BQ243</f>
        <v>1384.236</v>
      </c>
      <c r="BR208" s="21"/>
      <c r="BS208" s="21"/>
      <c r="BT208" s="21"/>
      <c r="BU208" s="21"/>
      <c r="BV208" s="21"/>
      <c r="BW208" s="21" t="n">
        <f aca="false">BW243</f>
        <v>957.395</v>
      </c>
      <c r="BX208" s="21"/>
      <c r="BY208" s="21"/>
      <c r="BZ208" s="21"/>
      <c r="CA208" s="21"/>
      <c r="CB208" s="21"/>
      <c r="CC208" s="21" t="n">
        <f aca="false">CC243</f>
        <v>1514.111</v>
      </c>
      <c r="CD208" s="21"/>
      <c r="CE208" s="21"/>
      <c r="CF208" s="21"/>
      <c r="CG208" s="21"/>
      <c r="CH208" s="21"/>
      <c r="CI208" s="21" t="n">
        <f aca="false">CI243</f>
        <v>2780.531</v>
      </c>
      <c r="CJ208" s="21"/>
      <c r="CK208" s="21"/>
      <c r="CL208" s="21"/>
      <c r="CM208" s="21"/>
      <c r="CN208" s="21"/>
      <c r="CO208" s="21" t="n">
        <f aca="false">CO243</f>
        <v>1907.901</v>
      </c>
      <c r="CP208" s="23" t="n">
        <f aca="false">CP207+CP206</f>
        <v>1327.5047404</v>
      </c>
      <c r="CQ208" s="23" t="n">
        <f aca="false">CQ207+CQ206</f>
        <v>1608.65799061807</v>
      </c>
      <c r="CR208" s="23" t="n">
        <f aca="false">CR207+CR206</f>
        <v>1922.87403673224</v>
      </c>
      <c r="CS208" s="23" t="n">
        <f aca="false">CS207+CS206</f>
        <v>2257.28399754501</v>
      </c>
      <c r="CT208" s="23" t="n">
        <f aca="false">CT207+CT206</f>
        <v>2616.2368602967</v>
      </c>
      <c r="CU208" s="24"/>
      <c r="CW208" s="6"/>
      <c r="CX208" s="6"/>
      <c r="CY208" s="6"/>
      <c r="CZ208" s="6"/>
    </row>
    <row r="209" customFormat="false" ht="15" hidden="false" customHeight="false" outlineLevel="0" collapsed="false">
      <c r="B209" s="43" t="s">
        <v>340</v>
      </c>
      <c r="C209" s="39"/>
      <c r="D209" s="39" t="n">
        <f aca="false">IF(ISNUMBER(C208),ROUND(D207-C208,1),"")</f>
        <v>0</v>
      </c>
      <c r="E209" s="39" t="n">
        <f aca="false">IF(ISNUMBER(D208),ROUND(E207-D208,1),"")</f>
        <v>0</v>
      </c>
      <c r="F209" s="39" t="n">
        <f aca="false">IF(ISNUMBER(E208),ROUND(F207-E208,1),"")</f>
        <v>0</v>
      </c>
      <c r="G209" s="39" t="n">
        <f aca="false">IF(ISNUMBER(F208),ROUND(G207-F208,1),"")</f>
        <v>0</v>
      </c>
      <c r="H209" s="39" t="n">
        <f aca="false">IF(ISNUMBER(G208),ROUND(H207-G208,1),"")</f>
        <v>0</v>
      </c>
      <c r="I209" s="39" t="n">
        <f aca="false">IF(ISNUMBER(H208),ROUND(I207-H208,1),"")</f>
        <v>0</v>
      </c>
      <c r="J209" s="39"/>
      <c r="K209" s="39"/>
      <c r="L209" s="39"/>
      <c r="M209" s="39"/>
      <c r="N209" s="39"/>
      <c r="O209" s="39" t="n">
        <f aca="false">IF(ISNUMBER(I208),ROUND(O207-I208,1),"")</f>
        <v>0</v>
      </c>
      <c r="P209" s="39"/>
      <c r="Q209" s="39"/>
      <c r="R209" s="39"/>
      <c r="S209" s="39"/>
      <c r="T209" s="39"/>
      <c r="U209" s="39" t="n">
        <f aca="false">IF(ISNUMBER(O208),ROUND(U207-O208,1),"")</f>
        <v>0</v>
      </c>
      <c r="V209" s="39"/>
      <c r="W209" s="39"/>
      <c r="X209" s="39"/>
      <c r="Y209" s="39"/>
      <c r="Z209" s="39"/>
      <c r="AA209" s="39" t="n">
        <f aca="false">IF(ISNUMBER(U208),ROUND(AA207-U208,1),"")</f>
        <v>0</v>
      </c>
      <c r="AB209" s="39"/>
      <c r="AC209" s="39"/>
      <c r="AD209" s="39"/>
      <c r="AE209" s="39"/>
      <c r="AF209" s="39"/>
      <c r="AG209" s="39" t="n">
        <f aca="false">IF(ISNUMBER(AA208),ROUND(AG207-AA208,1),"")</f>
        <v>0</v>
      </c>
      <c r="AH209" s="39"/>
      <c r="AI209" s="39"/>
      <c r="AJ209" s="39"/>
      <c r="AK209" s="39"/>
      <c r="AL209" s="39"/>
      <c r="AM209" s="39" t="n">
        <f aca="false">IF(ISNUMBER(AG208),ROUND(AM207-AG208,1),"")</f>
        <v>0</v>
      </c>
      <c r="AN209" s="39"/>
      <c r="AO209" s="39"/>
      <c r="AP209" s="39"/>
      <c r="AQ209" s="39"/>
      <c r="AR209" s="39"/>
      <c r="AS209" s="39" t="n">
        <f aca="false">IF(ISNUMBER(AM208),ROUND(AS207-AM208,1),"")</f>
        <v>0</v>
      </c>
      <c r="AT209" s="39"/>
      <c r="AU209" s="39"/>
      <c r="AV209" s="39"/>
      <c r="AW209" s="39"/>
      <c r="AX209" s="39"/>
      <c r="AY209" s="39" t="n">
        <f aca="false">IF(ISNUMBER(AS208),ROUND(AY207-AS208,1),"")</f>
        <v>0</v>
      </c>
      <c r="AZ209" s="39"/>
      <c r="BA209" s="39"/>
      <c r="BB209" s="39"/>
      <c r="BC209" s="39"/>
      <c r="BD209" s="39"/>
      <c r="BE209" s="39" t="n">
        <f aca="false">IF(ISNUMBER(AY208),ROUND(BE207-AY208,1),"")</f>
        <v>0</v>
      </c>
      <c r="BF209" s="39"/>
      <c r="BG209" s="39"/>
      <c r="BH209" s="39"/>
      <c r="BI209" s="39"/>
      <c r="BJ209" s="39"/>
      <c r="BK209" s="39" t="n">
        <f aca="false">IF(ISNUMBER(BE208),ROUND(BK207-BE208,1),"")</f>
        <v>0</v>
      </c>
      <c r="BL209" s="39"/>
      <c r="BM209" s="39"/>
      <c r="BN209" s="39"/>
      <c r="BO209" s="39"/>
      <c r="BP209" s="39"/>
      <c r="BQ209" s="39" t="n">
        <f aca="false">IF(ISNUMBER(BK208),ROUND(BQ207-BK208,1),"")</f>
        <v>0</v>
      </c>
      <c r="BR209" s="39"/>
      <c r="BS209" s="39"/>
      <c r="BT209" s="39"/>
      <c r="BU209" s="39"/>
      <c r="BV209" s="39"/>
      <c r="BW209" s="39" t="n">
        <f aca="false">IF(ISNUMBER(BQ208),ROUND(BW207-BQ208,1),"")</f>
        <v>0</v>
      </c>
      <c r="BX209" s="39"/>
      <c r="BY209" s="39"/>
      <c r="BZ209" s="39"/>
      <c r="CA209" s="39"/>
      <c r="CB209" s="39"/>
      <c r="CC209" s="39" t="n">
        <f aca="false">IF(ISNUMBER(BW208),ROUND(CC207-BW208,1),"")</f>
        <v>0</v>
      </c>
      <c r="CD209" s="39"/>
      <c r="CE209" s="39"/>
      <c r="CF209" s="39"/>
      <c r="CG209" s="39"/>
      <c r="CH209" s="39"/>
      <c r="CI209" s="39" t="n">
        <f aca="false">IF(ISNUMBER(CC208),ROUND(CI207-CC208,1),"")</f>
        <v>0</v>
      </c>
      <c r="CJ209" s="39"/>
      <c r="CK209" s="39"/>
      <c r="CL209" s="39"/>
      <c r="CM209" s="39"/>
      <c r="CN209" s="39"/>
      <c r="CO209" s="39" t="n">
        <f aca="false">IF(ISNUMBER(CI208),ROUND(CO207-CI208,1),"")</f>
        <v>0</v>
      </c>
      <c r="CP209" s="40" t="n">
        <f aca="false">ROUND(CP207-CO208,1)</f>
        <v>0</v>
      </c>
      <c r="CQ209" s="40" t="n">
        <f aca="false">ROUND(CQ207-CP208,1)</f>
        <v>0</v>
      </c>
      <c r="CR209" s="40" t="n">
        <f aca="false">ROUND(CR207-CQ208,1)</f>
        <v>0</v>
      </c>
      <c r="CS209" s="40" t="n">
        <f aca="false">ROUND(CS207-CR208,1)</f>
        <v>0</v>
      </c>
      <c r="CT209" s="40" t="n">
        <f aca="false">ROUND(CT207-CS208,1)</f>
        <v>0</v>
      </c>
      <c r="CU209" s="24"/>
      <c r="CW209" s="6"/>
      <c r="CX209" s="6"/>
      <c r="CY209" s="6"/>
      <c r="CZ209" s="6"/>
    </row>
    <row r="210" customFormat="false" ht="15" hidden="false" customHeight="false" outlineLevel="0" collapsed="false">
      <c r="B210" s="43" t="s">
        <v>341</v>
      </c>
      <c r="C210" s="39" t="n">
        <f aca="false">IF(ISNUMBER(C211),ROUND(C206-C211,1),"")</f>
        <v>0</v>
      </c>
      <c r="D210" s="39" t="n">
        <f aca="false">IF(ISNUMBER(D211),ROUND(D206-D211,1),"")</f>
        <v>0</v>
      </c>
      <c r="E210" s="39" t="n">
        <f aca="false">IF(ISNUMBER(E211),ROUND(E206-E211,1),"")</f>
        <v>0</v>
      </c>
      <c r="F210" s="39" t="n">
        <f aca="false">IF(ISNUMBER(F211),ROUND(F206-F211,1),"")</f>
        <v>0</v>
      </c>
      <c r="G210" s="39" t="n">
        <f aca="false">IF(ISNUMBER(G211),ROUND(G206-G211,1),"")</f>
        <v>0</v>
      </c>
      <c r="H210" s="39" t="n">
        <f aca="false">IF(ISNUMBER(H211),ROUND(H206-H211,1),"")</f>
        <v>0</v>
      </c>
      <c r="I210" s="39" t="n">
        <f aca="false">IF(ISNUMBER(I211),ROUND(I206-I211,1),"")</f>
        <v>0</v>
      </c>
      <c r="J210" s="39"/>
      <c r="K210" s="39"/>
      <c r="L210" s="39"/>
      <c r="M210" s="39"/>
      <c r="N210" s="39"/>
      <c r="O210" s="39" t="n">
        <f aca="false">IF(ISNUMBER(O211),ROUND(O206-O211,1),"")</f>
        <v>0</v>
      </c>
      <c r="P210" s="39"/>
      <c r="Q210" s="39"/>
      <c r="R210" s="39"/>
      <c r="S210" s="39"/>
      <c r="T210" s="39"/>
      <c r="U210" s="39" t="n">
        <f aca="false">IF(ISNUMBER(U211),ROUND(U206-U211,1),"")</f>
        <v>0</v>
      </c>
      <c r="V210" s="39"/>
      <c r="W210" s="39"/>
      <c r="X210" s="39"/>
      <c r="Y210" s="39"/>
      <c r="Z210" s="39"/>
      <c r="AA210" s="39" t="n">
        <f aca="false">IF(ISNUMBER(AA211),ROUND(AA206-AA211,1),"")</f>
        <v>0</v>
      </c>
      <c r="AB210" s="39"/>
      <c r="AC210" s="39"/>
      <c r="AD210" s="39"/>
      <c r="AE210" s="39"/>
      <c r="AF210" s="39"/>
      <c r="AG210" s="39" t="n">
        <f aca="false">IF(ISNUMBER(AG211),ROUND(AG206-AG211,1),"")</f>
        <v>0</v>
      </c>
      <c r="AH210" s="39"/>
      <c r="AI210" s="39"/>
      <c r="AJ210" s="39"/>
      <c r="AK210" s="39"/>
      <c r="AL210" s="39"/>
      <c r="AM210" s="39" t="n">
        <f aca="false">IF(ISNUMBER(AM211),ROUND(AM206-AM211,1),"")</f>
        <v>0</v>
      </c>
      <c r="AN210" s="39"/>
      <c r="AO210" s="39"/>
      <c r="AP210" s="39"/>
      <c r="AQ210" s="39"/>
      <c r="AR210" s="39"/>
      <c r="AS210" s="39" t="n">
        <f aca="false">IF(ISNUMBER(AS211),ROUND(AS206-AS211,1),"")</f>
        <v>0</v>
      </c>
      <c r="AT210" s="39"/>
      <c r="AU210" s="39"/>
      <c r="AV210" s="39"/>
      <c r="AW210" s="39"/>
      <c r="AX210" s="39"/>
      <c r="AY210" s="39" t="n">
        <f aca="false">IF(ISNUMBER(AY211),ROUND(AY206-AY211,1),"")</f>
        <v>0</v>
      </c>
      <c r="AZ210" s="39"/>
      <c r="BA210" s="39"/>
      <c r="BB210" s="39"/>
      <c r="BC210" s="39"/>
      <c r="BD210" s="39"/>
      <c r="BE210" s="39" t="n">
        <f aca="false">IF(ISNUMBER(BE211),ROUND(BE206-BE211,1),"")</f>
        <v>0</v>
      </c>
      <c r="BF210" s="39"/>
      <c r="BG210" s="39"/>
      <c r="BH210" s="39"/>
      <c r="BI210" s="39"/>
      <c r="BJ210" s="39"/>
      <c r="BK210" s="39" t="n">
        <f aca="false">IF(ISNUMBER(BK211),ROUND(BK206-BK211,1),"")</f>
        <v>0</v>
      </c>
      <c r="BL210" s="39"/>
      <c r="BM210" s="39"/>
      <c r="BN210" s="39"/>
      <c r="BO210" s="39"/>
      <c r="BP210" s="39"/>
      <c r="BQ210" s="39" t="n">
        <f aca="false">IF(ISNUMBER(BQ211),ROUND(BQ206-BQ211,1),"")</f>
        <v>0</v>
      </c>
      <c r="BR210" s="39"/>
      <c r="BS210" s="39"/>
      <c r="BT210" s="39"/>
      <c r="BU210" s="39"/>
      <c r="BV210" s="39"/>
      <c r="BW210" s="39" t="n">
        <f aca="false">IF(ISNUMBER(BW211),ROUND(BW206-BW211,1),"")</f>
        <v>0</v>
      </c>
      <c r="BX210" s="39"/>
      <c r="BY210" s="39"/>
      <c r="BZ210" s="39"/>
      <c r="CA210" s="39"/>
      <c r="CB210" s="39"/>
      <c r="CC210" s="39" t="n">
        <f aca="false">IF(ISNUMBER(CC211),ROUND(CC206-CC211,1),"")</f>
        <v>0</v>
      </c>
      <c r="CD210" s="39"/>
      <c r="CE210" s="39"/>
      <c r="CF210" s="39"/>
      <c r="CG210" s="39"/>
      <c r="CH210" s="39"/>
      <c r="CI210" s="39" t="n">
        <f aca="false">IF(ISNUMBER(CI211),ROUND(CI206-CI211,1),"")</f>
        <v>0</v>
      </c>
      <c r="CJ210" s="39"/>
      <c r="CK210" s="39"/>
      <c r="CL210" s="39"/>
      <c r="CM210" s="39"/>
      <c r="CN210" s="39"/>
      <c r="CO210" s="39" t="n">
        <f aca="false">IF(ISNUMBER(CO211),ROUND(CO206-CO211,1),"")</f>
        <v>0</v>
      </c>
      <c r="CP210" s="40"/>
      <c r="CQ210" s="40"/>
      <c r="CR210" s="40"/>
      <c r="CS210" s="40"/>
      <c r="CT210" s="40"/>
      <c r="CU210" s="24"/>
      <c r="CW210" s="6"/>
      <c r="CX210" s="6"/>
      <c r="CY210" s="6"/>
      <c r="CZ210" s="6"/>
    </row>
    <row r="211" customFormat="false" ht="15" hidden="false" customHeight="false" outlineLevel="0" collapsed="false">
      <c r="B211" s="52" t="s">
        <v>342</v>
      </c>
      <c r="C211" s="50" t="n">
        <v>-122.518</v>
      </c>
      <c r="D211" s="50" t="n">
        <v>-23.504</v>
      </c>
      <c r="E211" s="50" t="n">
        <v>-68.667</v>
      </c>
      <c r="F211" s="50" t="n">
        <v>123.737</v>
      </c>
      <c r="G211" s="50" t="n">
        <v>105.497</v>
      </c>
      <c r="H211" s="50" t="n">
        <v>-194.179</v>
      </c>
      <c r="I211" s="50" t="n">
        <v>66.103</v>
      </c>
      <c r="J211" s="50"/>
      <c r="K211" s="50"/>
      <c r="L211" s="39"/>
      <c r="M211" s="50"/>
      <c r="N211" s="50"/>
      <c r="O211" s="50" t="n">
        <v>-76.481</v>
      </c>
      <c r="P211" s="50"/>
      <c r="Q211" s="50"/>
      <c r="R211" s="39"/>
      <c r="S211" s="50"/>
      <c r="T211" s="50"/>
      <c r="U211" s="50" t="n">
        <v>95.037</v>
      </c>
      <c r="V211" s="50"/>
      <c r="W211" s="50"/>
      <c r="X211" s="39"/>
      <c r="Y211" s="50"/>
      <c r="Z211" s="50"/>
      <c r="AA211" s="50" t="n">
        <v>297.344</v>
      </c>
      <c r="AB211" s="50"/>
      <c r="AC211" s="50"/>
      <c r="AD211" s="39"/>
      <c r="AE211" s="50"/>
      <c r="AF211" s="50"/>
      <c r="AG211" s="50" t="n">
        <v>-300.163</v>
      </c>
      <c r="AH211" s="50"/>
      <c r="AI211" s="50"/>
      <c r="AJ211" s="39"/>
      <c r="AK211" s="50"/>
      <c r="AL211" s="50"/>
      <c r="AM211" s="50" t="n">
        <v>54.251</v>
      </c>
      <c r="AN211" s="50"/>
      <c r="AO211" s="50"/>
      <c r="AP211" s="39"/>
      <c r="AQ211" s="50"/>
      <c r="AR211" s="50"/>
      <c r="AS211" s="50" t="n">
        <v>64.42</v>
      </c>
      <c r="AT211" s="50"/>
      <c r="AU211" s="50"/>
      <c r="AV211" s="39"/>
      <c r="AW211" s="50"/>
      <c r="AX211" s="50"/>
      <c r="AY211" s="50" t="n">
        <v>-88.201</v>
      </c>
      <c r="AZ211" s="50"/>
      <c r="BA211" s="50"/>
      <c r="BB211" s="39"/>
      <c r="BC211" s="50"/>
      <c r="BD211" s="50"/>
      <c r="BE211" s="50" t="n">
        <v>291.399</v>
      </c>
      <c r="BF211" s="50"/>
      <c r="BG211" s="50"/>
      <c r="BH211" s="39"/>
      <c r="BI211" s="50"/>
      <c r="BJ211" s="50"/>
      <c r="BK211" s="50" t="n">
        <v>570.542</v>
      </c>
      <c r="BL211" s="50"/>
      <c r="BM211" s="50"/>
      <c r="BN211" s="39"/>
      <c r="BO211" s="50"/>
      <c r="BP211" s="50"/>
      <c r="BQ211" s="50" t="n">
        <v>335.976</v>
      </c>
      <c r="BR211" s="50"/>
      <c r="BS211" s="50"/>
      <c r="BT211" s="39"/>
      <c r="BU211" s="50"/>
      <c r="BV211" s="50"/>
      <c r="BW211" s="50" t="n">
        <v>-426.841</v>
      </c>
      <c r="BX211" s="50"/>
      <c r="BY211" s="50"/>
      <c r="BZ211" s="39"/>
      <c r="CA211" s="50"/>
      <c r="CB211" s="50"/>
      <c r="CC211" s="50" t="n">
        <v>556.716</v>
      </c>
      <c r="CD211" s="50"/>
      <c r="CE211" s="50"/>
      <c r="CF211" s="39"/>
      <c r="CG211" s="50"/>
      <c r="CH211" s="50"/>
      <c r="CI211" s="50" t="n">
        <v>1266.42</v>
      </c>
      <c r="CJ211" s="50"/>
      <c r="CK211" s="50"/>
      <c r="CL211" s="39"/>
      <c r="CM211" s="50"/>
      <c r="CN211" s="50"/>
      <c r="CO211" s="50" t="n">
        <v>-872.63</v>
      </c>
      <c r="CP211" s="40"/>
      <c r="CQ211" s="40"/>
      <c r="CR211" s="40"/>
      <c r="CS211" s="40"/>
      <c r="CT211" s="40"/>
      <c r="CU211" s="24"/>
      <c r="CW211" s="6"/>
      <c r="CX211" s="6"/>
      <c r="CY211" s="6"/>
      <c r="CZ211" s="6"/>
    </row>
    <row r="212" customFormat="false" ht="15" hidden="false" customHeight="false" outlineLevel="0" collapsed="false">
      <c r="B212" s="15" t="s">
        <v>343</v>
      </c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40"/>
      <c r="CQ212" s="40"/>
      <c r="CR212" s="40"/>
      <c r="CS212" s="40"/>
      <c r="CT212" s="40"/>
      <c r="CU212" s="24"/>
      <c r="CW212" s="6"/>
      <c r="CX212" s="6"/>
      <c r="CY212" s="6"/>
      <c r="CZ212" s="6"/>
    </row>
    <row r="213" customFormat="false" ht="15" hidden="false" customHeight="false" outlineLevel="0" collapsed="false">
      <c r="B213" s="41" t="s">
        <v>344</v>
      </c>
      <c r="C213" s="42" t="n">
        <f aca="false">IF(ISNUMBER(C189),C189+C190+C191,"")</f>
        <v>53.724</v>
      </c>
      <c r="D213" s="42" t="n">
        <f aca="false">IF(ISNUMBER(D189),D189+D190+D191,"")</f>
        <v>131.804</v>
      </c>
      <c r="E213" s="42" t="n">
        <f aca="false">IF(ISNUMBER(E189),E189+E190+E191,"")</f>
        <v>87.919</v>
      </c>
      <c r="F213" s="42" t="n">
        <f aca="false">IF(ISNUMBER(F189),F189+F190+F191,"")</f>
        <v>131.435</v>
      </c>
      <c r="G213" s="42" t="n">
        <f aca="false">IF(ISNUMBER(G189),G189+G190+G191,"")</f>
        <v>126.044</v>
      </c>
      <c r="H213" s="42" t="n">
        <f aca="false">IF(ISNUMBER(H189),H189+H190+H191,"")</f>
        <v>193.364</v>
      </c>
      <c r="I213" s="42" t="n">
        <f aca="false">IF(ISNUMBER(I189),I189+I190+I191,"")</f>
        <v>176.109</v>
      </c>
      <c r="J213" s="21"/>
      <c r="K213" s="21"/>
      <c r="L213" s="21"/>
      <c r="M213" s="21"/>
      <c r="N213" s="21"/>
      <c r="O213" s="42" t="n">
        <f aca="false">IF(ISNUMBER(O189),O189+O190+O191,"")</f>
        <v>72.138</v>
      </c>
      <c r="P213" s="21"/>
      <c r="Q213" s="21"/>
      <c r="R213" s="21"/>
      <c r="S213" s="21"/>
      <c r="T213" s="21"/>
      <c r="U213" s="42" t="n">
        <f aca="false">IF(ISNUMBER(U189),U189+U190+U191,"")</f>
        <v>183.933</v>
      </c>
      <c r="V213" s="21"/>
      <c r="W213" s="21"/>
      <c r="X213" s="21"/>
      <c r="Y213" s="21"/>
      <c r="Z213" s="21"/>
      <c r="AA213" s="42" t="n">
        <f aca="false">IF(ISNUMBER(AA189),AA189+AA190+AA191,"")</f>
        <v>187.444</v>
      </c>
      <c r="AB213" s="21"/>
      <c r="AC213" s="21"/>
      <c r="AD213" s="21"/>
      <c r="AE213" s="21"/>
      <c r="AF213" s="21"/>
      <c r="AG213" s="42" t="n">
        <f aca="false">IF(ISNUMBER(AG189),AG189+AG190+AG191,"")</f>
        <v>159.243</v>
      </c>
      <c r="AH213" s="21"/>
      <c r="AI213" s="21"/>
      <c r="AJ213" s="21"/>
      <c r="AK213" s="21"/>
      <c r="AL213" s="21"/>
      <c r="AM213" s="42" t="n">
        <f aca="false">IF(ISNUMBER(AM189),AM189+AM190+AM191,"")</f>
        <v>320.645</v>
      </c>
      <c r="AN213" s="21"/>
      <c r="AO213" s="21"/>
      <c r="AP213" s="21"/>
      <c r="AQ213" s="21"/>
      <c r="AR213" s="21"/>
      <c r="AS213" s="42" t="n">
        <f aca="false">IF(ISNUMBER(AS189),AS189+AS190+AS191,"")</f>
        <v>253.584</v>
      </c>
      <c r="AT213" s="21"/>
      <c r="AU213" s="21"/>
      <c r="AV213" s="21"/>
      <c r="AW213" s="21"/>
      <c r="AX213" s="21"/>
      <c r="AY213" s="42" t="n">
        <f aca="false">IF(ISNUMBER(AY189),AY189+AY190+AY191,"")</f>
        <v>291.124</v>
      </c>
      <c r="AZ213" s="21"/>
      <c r="BA213" s="21"/>
      <c r="BB213" s="21"/>
      <c r="BC213" s="21"/>
      <c r="BD213" s="21"/>
      <c r="BE213" s="42" t="n">
        <f aca="false">IF(ISNUMBER(BE189),BE189+BE190+BE191,"")</f>
        <v>328.379</v>
      </c>
      <c r="BF213" s="21"/>
      <c r="BG213" s="21"/>
      <c r="BH213" s="21"/>
      <c r="BI213" s="21"/>
      <c r="BJ213" s="21"/>
      <c r="BK213" s="42" t="n">
        <f aca="false">IF(ISNUMBER(BK189),BK189+BK190+BK191,"")</f>
        <v>530.425</v>
      </c>
      <c r="BL213" s="21"/>
      <c r="BM213" s="21"/>
      <c r="BN213" s="21"/>
      <c r="BO213" s="21"/>
      <c r="BP213" s="21"/>
      <c r="BQ213" s="42" t="n">
        <f aca="false">IF(ISNUMBER(BQ189),BQ189+BQ190+BQ191,"")</f>
        <v>843.568</v>
      </c>
      <c r="BR213" s="21"/>
      <c r="BS213" s="21"/>
      <c r="BT213" s="21"/>
      <c r="BU213" s="21"/>
      <c r="BV213" s="21"/>
      <c r="BW213" s="42" t="n">
        <f aca="false">IF(ISNUMBER(BW189),BW189+BW190+BW191,"")</f>
        <v>881.493</v>
      </c>
      <c r="BX213" s="21"/>
      <c r="BY213" s="21"/>
      <c r="BZ213" s="21"/>
      <c r="CA213" s="21"/>
      <c r="CB213" s="21"/>
      <c r="CC213" s="42" t="n">
        <f aca="false">IF(ISNUMBER(CC189),CC189+CC190+CC191,"")</f>
        <v>965.74</v>
      </c>
      <c r="CD213" s="21"/>
      <c r="CE213" s="21"/>
      <c r="CF213" s="21"/>
      <c r="CG213" s="21"/>
      <c r="CH213" s="21"/>
      <c r="CI213" s="42" t="n">
        <f aca="false">IF(ISNUMBER(CI189),CI189+CI190+CI191,"")</f>
        <v>1262.591</v>
      </c>
      <c r="CJ213" s="21"/>
      <c r="CK213" s="21"/>
      <c r="CL213" s="21"/>
      <c r="CM213" s="21"/>
      <c r="CN213" s="21"/>
      <c r="CO213" s="42" t="n">
        <f aca="false">IF(ISNUMBER(CO189),CO189+CO190+CO191,"")</f>
        <v>1279.704</v>
      </c>
      <c r="CP213" s="42" t="n">
        <f aca="false">CP189+CP190+CP191</f>
        <v>1312.08021934975</v>
      </c>
      <c r="CQ213" s="42" t="n">
        <f aca="false">CQ189+CQ190+CQ191</f>
        <v>1361.4596607964</v>
      </c>
      <c r="CR213" s="42" t="n">
        <f aca="false">CR189+CR190+CR191</f>
        <v>1467.03467585848</v>
      </c>
      <c r="CS213" s="42" t="n">
        <f aca="false">CS189+CS190+CS191</f>
        <v>1581.19727036088</v>
      </c>
      <c r="CT213" s="42" t="n">
        <f aca="false">CT189+CT190+CT191</f>
        <v>1703.73744995388</v>
      </c>
      <c r="CU213" s="24"/>
      <c r="CW213" s="25" t="n">
        <f aca="false">IFERROR((CT213/CO213)^(1/5)-1,"n/m")</f>
        <v>0.0589089730316139</v>
      </c>
      <c r="CX213" s="25" t="n">
        <f aca="false">IFERROR((CO213/BK213)^(1/5)-1,"n/m")</f>
        <v>0.192606325480768</v>
      </c>
      <c r="CY213" s="25" t="n">
        <f aca="false">IFERROR((CO213/AG213)^(1/10)-1,"n/m")</f>
        <v>0.231699932635375</v>
      </c>
      <c r="CZ213" s="25" t="n">
        <f aca="false">IFERROR((CO213/C213)^(1/20)-1,"n/m")</f>
        <v>0.171782639240949</v>
      </c>
    </row>
    <row r="214" customFormat="false" ht="15" hidden="false" customHeight="false" outlineLevel="0" collapsed="false">
      <c r="B214" s="28" t="s">
        <v>345</v>
      </c>
      <c r="C214" s="29"/>
      <c r="D214" s="29" t="n">
        <f aca="false">IFERROR(D213/C213-1,"")</f>
        <v>1.45335418062691</v>
      </c>
      <c r="E214" s="29" t="n">
        <f aca="false">IFERROR(E213/D213-1,"")</f>
        <v>-0.332956511183272</v>
      </c>
      <c r="F214" s="29" t="n">
        <f aca="false">IFERROR(F213/E213-1,"")</f>
        <v>0.494955584117199</v>
      </c>
      <c r="G214" s="29" t="n">
        <f aca="false">IFERROR(G213/F213-1,"")</f>
        <v>-0.0410164720203903</v>
      </c>
      <c r="H214" s="29" t="n">
        <f aca="false">IFERROR(H213/G213-1,"")</f>
        <v>0.534099203452763</v>
      </c>
      <c r="I214" s="29" t="n">
        <f aca="false">IFERROR(I213/H213-1,"")</f>
        <v>-0.0892358453486688</v>
      </c>
      <c r="J214" s="29"/>
      <c r="K214" s="29"/>
      <c r="L214" s="29"/>
      <c r="M214" s="29"/>
      <c r="N214" s="29"/>
      <c r="O214" s="29" t="n">
        <f aca="false">IFERROR(O213/I213-1,"")</f>
        <v>-0.590378685927465</v>
      </c>
      <c r="P214" s="29"/>
      <c r="Q214" s="29"/>
      <c r="R214" s="29"/>
      <c r="S214" s="29"/>
      <c r="T214" s="29"/>
      <c r="U214" s="29" t="n">
        <f aca="false">IFERROR(U213/O213-1,"")</f>
        <v>1.54973800216252</v>
      </c>
      <c r="V214" s="29"/>
      <c r="W214" s="29"/>
      <c r="X214" s="29"/>
      <c r="Y214" s="29"/>
      <c r="Z214" s="29"/>
      <c r="AA214" s="29" t="n">
        <f aca="false">IFERROR(AA213/U213-1,"")</f>
        <v>0.0190884724328964</v>
      </c>
      <c r="AB214" s="29"/>
      <c r="AC214" s="29"/>
      <c r="AD214" s="29"/>
      <c r="AE214" s="29"/>
      <c r="AF214" s="29"/>
      <c r="AG214" s="29" t="n">
        <f aca="false">IFERROR(AG213/AA213-1,"")</f>
        <v>-0.15045026781332</v>
      </c>
      <c r="AH214" s="29"/>
      <c r="AI214" s="29"/>
      <c r="AJ214" s="29"/>
      <c r="AK214" s="29"/>
      <c r="AL214" s="29"/>
      <c r="AM214" s="29" t="n">
        <f aca="false">IFERROR(AM213/AG213-1,"")</f>
        <v>1.01355789579448</v>
      </c>
      <c r="AN214" s="29"/>
      <c r="AO214" s="29"/>
      <c r="AP214" s="29"/>
      <c r="AQ214" s="29"/>
      <c r="AR214" s="29"/>
      <c r="AS214" s="29" t="n">
        <f aca="false">IFERROR(AS213/AM213-1,"")</f>
        <v>-0.20914406898595</v>
      </c>
      <c r="AT214" s="29"/>
      <c r="AU214" s="29"/>
      <c r="AV214" s="29"/>
      <c r="AW214" s="29"/>
      <c r="AX214" s="29"/>
      <c r="AY214" s="29" t="n">
        <f aca="false">IFERROR(AY213/AS213-1,"")</f>
        <v>0.148037731087135</v>
      </c>
      <c r="AZ214" s="29"/>
      <c r="BA214" s="29"/>
      <c r="BB214" s="29"/>
      <c r="BC214" s="29"/>
      <c r="BD214" s="29"/>
      <c r="BE214" s="29" t="n">
        <f aca="false">IFERROR(BE213/AY213-1,"")</f>
        <v>0.127969525013397</v>
      </c>
      <c r="BF214" s="29"/>
      <c r="BG214" s="29"/>
      <c r="BH214" s="29"/>
      <c r="BI214" s="29"/>
      <c r="BJ214" s="29"/>
      <c r="BK214" s="29" t="n">
        <f aca="false">IFERROR(BK213/BE213-1,"")</f>
        <v>0.61528295049318</v>
      </c>
      <c r="BL214" s="29"/>
      <c r="BM214" s="29"/>
      <c r="BN214" s="29"/>
      <c r="BO214" s="29"/>
      <c r="BP214" s="29"/>
      <c r="BQ214" s="29" t="n">
        <f aca="false">IFERROR(BQ213/BK213-1,"")</f>
        <v>0.590362445209031</v>
      </c>
      <c r="BR214" s="29"/>
      <c r="BS214" s="29"/>
      <c r="BT214" s="29"/>
      <c r="BU214" s="29"/>
      <c r="BV214" s="29"/>
      <c r="BW214" s="29" t="n">
        <f aca="false">IFERROR(BW213/BQ213-1,"")</f>
        <v>0.044957845721981</v>
      </c>
      <c r="BX214" s="29"/>
      <c r="BY214" s="29"/>
      <c r="BZ214" s="29"/>
      <c r="CA214" s="29"/>
      <c r="CB214" s="29"/>
      <c r="CC214" s="29" t="n">
        <f aca="false">IFERROR(CC213/BW213-1,"")</f>
        <v>0.0955730788559865</v>
      </c>
      <c r="CD214" s="29"/>
      <c r="CE214" s="29"/>
      <c r="CF214" s="29"/>
      <c r="CG214" s="29"/>
      <c r="CH214" s="29"/>
      <c r="CI214" s="29" t="n">
        <f aca="false">IFERROR(CI213/CC213-1,"")</f>
        <v>0.307381904032141</v>
      </c>
      <c r="CJ214" s="29"/>
      <c r="CK214" s="29"/>
      <c r="CL214" s="29"/>
      <c r="CM214" s="29"/>
      <c r="CN214" s="29"/>
      <c r="CO214" s="29" t="n">
        <f aca="false">IFERROR(CO213/CI213-1,"")</f>
        <v>0.013553874532608</v>
      </c>
      <c r="CP214" s="30" t="n">
        <f aca="false">IFERROR(CP213/CO213-1,"")</f>
        <v>0.0252997719392558</v>
      </c>
      <c r="CQ214" s="30" t="n">
        <f aca="false">IFERROR(CQ213/CP213-1,"")</f>
        <v>0.0376344683186496</v>
      </c>
      <c r="CR214" s="30" t="n">
        <f aca="false">IFERROR(CR213/CQ213-1,"")</f>
        <v>0.0775454595550256</v>
      </c>
      <c r="CS214" s="30" t="n">
        <f aca="false">IFERROR(CS213/CR213-1,"")</f>
        <v>0.0778186067316977</v>
      </c>
      <c r="CT214" s="30" t="n">
        <f aca="false">IFERROR(CT213/CS213-1,"")</f>
        <v>0.0774983500730653</v>
      </c>
      <c r="CU214" s="24"/>
      <c r="CW214" s="6"/>
      <c r="CX214" s="6"/>
      <c r="CY214" s="6"/>
      <c r="CZ214" s="6"/>
    </row>
    <row r="215" customFormat="false" ht="15" hidden="false" customHeight="false" outlineLevel="0" collapsed="false">
      <c r="B215" s="28" t="s">
        <v>346</v>
      </c>
      <c r="C215" s="35" t="n">
        <f aca="false">IFERROR(C213/C73,"")</f>
        <v>0.101640082410878</v>
      </c>
      <c r="D215" s="35" t="n">
        <f aca="false">IFERROR(D213/D73,"")</f>
        <v>0.23507883284583</v>
      </c>
      <c r="E215" s="35" t="n">
        <f aca="false">IFERROR(E213/E73,"")</f>
        <v>0.112020416692149</v>
      </c>
      <c r="F215" s="35" t="n">
        <f aca="false">IFERROR(F213/F73,"")</f>
        <v>0.176878191101386</v>
      </c>
      <c r="G215" s="35" t="n">
        <f aca="false">IFERROR(G213/G73,"")</f>
        <v>0.163083742733339</v>
      </c>
      <c r="H215" s="35" t="n">
        <f aca="false">IFERROR(H213/H73,"")</f>
        <v>0.221685166799275</v>
      </c>
      <c r="I215" s="35" t="n">
        <f aca="false">IFERROR(I213/I73,"")</f>
        <v>0.190554766276668</v>
      </c>
      <c r="J215" s="35"/>
      <c r="K215" s="35"/>
      <c r="L215" s="35"/>
      <c r="M215" s="35"/>
      <c r="N215" s="35"/>
      <c r="O215" s="35" t="n">
        <f aca="false">IFERROR(O213/O73,"")</f>
        <v>0.0689401425477788</v>
      </c>
      <c r="P215" s="35"/>
      <c r="Q215" s="35"/>
      <c r="R215" s="35"/>
      <c r="S215" s="35"/>
      <c r="T215" s="35"/>
      <c r="U215" s="35" t="n">
        <f aca="false">IFERROR(U213/U73,"")</f>
        <v>0.158087442167481</v>
      </c>
      <c r="V215" s="35"/>
      <c r="W215" s="35"/>
      <c r="X215" s="35"/>
      <c r="Y215" s="35"/>
      <c r="Z215" s="35"/>
      <c r="AA215" s="35" t="n">
        <f aca="false">IFERROR(AA213/AA73,"")</f>
        <v>0.163552425269113</v>
      </c>
      <c r="AB215" s="35"/>
      <c r="AC215" s="35"/>
      <c r="AD215" s="35"/>
      <c r="AE215" s="35"/>
      <c r="AF215" s="35"/>
      <c r="AG215" s="35" t="n">
        <f aca="false">IFERROR(AG213/AG73,"")</f>
        <v>0.125541507778397</v>
      </c>
      <c r="AH215" s="35"/>
      <c r="AI215" s="35"/>
      <c r="AJ215" s="35"/>
      <c r="AK215" s="35"/>
      <c r="AL215" s="35"/>
      <c r="AM215" s="35" t="n">
        <f aca="false">IFERROR(AM213/AM73,"")</f>
        <v>0.22144282279947</v>
      </c>
      <c r="AN215" s="35"/>
      <c r="AO215" s="35"/>
      <c r="AP215" s="35"/>
      <c r="AQ215" s="35"/>
      <c r="AR215" s="35"/>
      <c r="AS215" s="35" t="n">
        <f aca="false">IFERROR(AS213/AS73,"")</f>
        <v>0.140435677121552</v>
      </c>
      <c r="AT215" s="35"/>
      <c r="AU215" s="35"/>
      <c r="AV215" s="35"/>
      <c r="AW215" s="35"/>
      <c r="AX215" s="35"/>
      <c r="AY215" s="35" t="n">
        <f aca="false">IFERROR(AY213/AY73,"")</f>
        <v>0.142571072750308</v>
      </c>
      <c r="AZ215" s="35"/>
      <c r="BA215" s="35"/>
      <c r="BB215" s="35"/>
      <c r="BC215" s="35"/>
      <c r="BD215" s="35"/>
      <c r="BE215" s="35" t="n">
        <f aca="false">IFERROR(BE213/BE73,"")</f>
        <v>0.148885351401421</v>
      </c>
      <c r="BF215" s="35"/>
      <c r="BG215" s="35"/>
      <c r="BH215" s="35"/>
      <c r="BI215" s="35"/>
      <c r="BJ215" s="35"/>
      <c r="BK215" s="35" t="n">
        <f aca="false">IFERROR(BK213/BK73,"")</f>
        <v>0.197000123676375</v>
      </c>
      <c r="BL215" s="35"/>
      <c r="BM215" s="35"/>
      <c r="BN215" s="35"/>
      <c r="BO215" s="35"/>
      <c r="BP215" s="35"/>
      <c r="BQ215" s="35" t="n">
        <f aca="false">IFERROR(BQ213/BQ73,"")</f>
        <v>0.240956022715166</v>
      </c>
      <c r="BR215" s="35"/>
      <c r="BS215" s="35"/>
      <c r="BT215" s="35"/>
      <c r="BU215" s="35"/>
      <c r="BV215" s="35"/>
      <c r="BW215" s="35" t="n">
        <f aca="false">IFERROR(BW213/BW73,"")</f>
        <v>0.227804341522639</v>
      </c>
      <c r="BX215" s="35"/>
      <c r="BY215" s="35"/>
      <c r="BZ215" s="35"/>
      <c r="CA215" s="35"/>
      <c r="CB215" s="35"/>
      <c r="CC215" s="35" t="n">
        <f aca="false">IFERROR(CC213/CC73,"")</f>
        <v>0.22793966139251</v>
      </c>
      <c r="CD215" s="35"/>
      <c r="CE215" s="35"/>
      <c r="CF215" s="35"/>
      <c r="CG215" s="35"/>
      <c r="CH215" s="35"/>
      <c r="CI215" s="35" t="n">
        <f aca="false">IFERROR(CI213/CI73,"")</f>
        <v>0.271702692384997</v>
      </c>
      <c r="CJ215" s="35"/>
      <c r="CK215" s="35"/>
      <c r="CL215" s="35"/>
      <c r="CM215" s="35"/>
      <c r="CN215" s="35"/>
      <c r="CO215" s="35" t="n">
        <f aca="false">IFERROR(CO213/CO73,"")</f>
        <v>0.274249181723322</v>
      </c>
      <c r="CP215" s="45" t="n">
        <f aca="false">IFERROR(CP213/CP73,"")</f>
        <v>0.26849711827875</v>
      </c>
      <c r="CQ215" s="45" t="n">
        <f aca="false">IFERROR(CQ213/CQ73,"")</f>
        <v>0.263158764192085</v>
      </c>
      <c r="CR215" s="45" t="n">
        <f aca="false">IFERROR(CR213/CR73,"")</f>
        <v>0.267042954286257</v>
      </c>
      <c r="CS215" s="45" t="n">
        <f aca="false">IFERROR(CS213/CS73,"")</f>
        <v>0.271201397562881</v>
      </c>
      <c r="CT215" s="45" t="n">
        <f aca="false">IFERROR(CT213/CT73,"")</f>
        <v>0.275317718849337</v>
      </c>
      <c r="CU215" s="24"/>
      <c r="CW215" s="6"/>
      <c r="CX215" s="6"/>
      <c r="CY215" s="6"/>
      <c r="CZ215" s="6"/>
    </row>
    <row r="216" customFormat="false" ht="15" hidden="false" customHeight="false" outlineLevel="0" collapsed="false">
      <c r="B216" s="28" t="s">
        <v>347</v>
      </c>
      <c r="C216" s="35" t="n">
        <f aca="false">IFERROR(C213/C148,"")</f>
        <v>0.554158457714009</v>
      </c>
      <c r="D216" s="35" t="n">
        <f aca="false">IFERROR(D213/D148,"")</f>
        <v>0.966744414616615</v>
      </c>
      <c r="E216" s="35" t="n">
        <f aca="false">IFERROR(E213/E148,"")</f>
        <v>0.560236280682079</v>
      </c>
      <c r="F216" s="35" t="n">
        <f aca="false">IFERROR(F213/F148,"")</f>
        <v>0.931482675775852</v>
      </c>
      <c r="G216" s="35" t="n">
        <f aca="false">IFERROR(G213/G148,"")</f>
        <v>0.831276751502041</v>
      </c>
      <c r="H216" s="35" t="n">
        <f aca="false">IFERROR(H213/H148,"")</f>
        <v>1.16221788129226</v>
      </c>
      <c r="I216" s="35" t="n">
        <f aca="false">IFERROR(I213/I148,"")</f>
        <v>0.966999599163184</v>
      </c>
      <c r="J216" s="35"/>
      <c r="K216" s="35"/>
      <c r="L216" s="35"/>
      <c r="M216" s="35"/>
      <c r="N216" s="35"/>
      <c r="O216" s="35" t="n">
        <f aca="false">IFERROR(O213/O148,"")</f>
        <v>0.40881116186288</v>
      </c>
      <c r="P216" s="35"/>
      <c r="Q216" s="35"/>
      <c r="R216" s="35"/>
      <c r="S216" s="35"/>
      <c r="T216" s="35"/>
      <c r="U216" s="35" t="n">
        <f aca="false">IFERROR(U213/U148,"")</f>
        <v>0.928537172685005</v>
      </c>
      <c r="V216" s="35"/>
      <c r="W216" s="35"/>
      <c r="X216" s="35"/>
      <c r="Y216" s="35"/>
      <c r="Z216" s="35"/>
      <c r="AA216" s="35" t="n">
        <f aca="false">IFERROR(AA213/AA148,"")</f>
        <v>0.850792267505457</v>
      </c>
      <c r="AB216" s="35"/>
      <c r="AC216" s="35"/>
      <c r="AD216" s="35"/>
      <c r="AE216" s="35"/>
      <c r="AF216" s="35"/>
      <c r="AG216" s="35" t="n">
        <f aca="false">IFERROR(AG213/AG148,"")</f>
        <v>0.629150402199852</v>
      </c>
      <c r="AH216" s="35"/>
      <c r="AI216" s="35"/>
      <c r="AJ216" s="35"/>
      <c r="AK216" s="35"/>
      <c r="AL216" s="35"/>
      <c r="AM216" s="35" t="n">
        <f aca="false">IFERROR(AM213/AM148,"")</f>
        <v>1.05967870397605</v>
      </c>
      <c r="AN216" s="35"/>
      <c r="AO216" s="35"/>
      <c r="AP216" s="35"/>
      <c r="AQ216" s="35"/>
      <c r="AR216" s="35"/>
      <c r="AS216" s="35" t="n">
        <f aca="false">IFERROR(AS213/AS148,"")</f>
        <v>0.609367453014949</v>
      </c>
      <c r="AT216" s="35"/>
      <c r="AU216" s="35"/>
      <c r="AV216" s="35"/>
      <c r="AW216" s="35"/>
      <c r="AX216" s="35"/>
      <c r="AY216" s="35" t="n">
        <f aca="false">IFERROR(AY213/AY148,"")</f>
        <v>0.543304985266097</v>
      </c>
      <c r="AZ216" s="35"/>
      <c r="BA216" s="35"/>
      <c r="BB216" s="35"/>
      <c r="BC216" s="35"/>
      <c r="BD216" s="35"/>
      <c r="BE216" s="35" t="n">
        <f aca="false">IFERROR(BE213/BE148,"")</f>
        <v>0.537865957328319</v>
      </c>
      <c r="BF216" s="35"/>
      <c r="BG216" s="35"/>
      <c r="BH216" s="35"/>
      <c r="BI216" s="35"/>
      <c r="BJ216" s="35"/>
      <c r="BK216" s="35" t="n">
        <f aca="false">IFERROR(BK213/BK148,"")</f>
        <v>0.596229676990036</v>
      </c>
      <c r="BL216" s="35"/>
      <c r="BM216" s="35"/>
      <c r="BN216" s="35"/>
      <c r="BO216" s="35"/>
      <c r="BP216" s="35"/>
      <c r="BQ216" s="35" t="n">
        <f aca="false">IFERROR(BQ213/BQ148,"")</f>
        <v>0.783703259143784</v>
      </c>
      <c r="BR216" s="35"/>
      <c r="BS216" s="35"/>
      <c r="BT216" s="35"/>
      <c r="BU216" s="35"/>
      <c r="BV216" s="35"/>
      <c r="BW216" s="35" t="n">
        <f aca="false">IFERROR(BW213/BW148,"")</f>
        <v>0.725346259931933</v>
      </c>
      <c r="BX216" s="35"/>
      <c r="BY216" s="35"/>
      <c r="BZ216" s="35"/>
      <c r="CA216" s="35"/>
      <c r="CB216" s="35"/>
      <c r="CC216" s="35" t="n">
        <f aca="false">IFERROR(CC213/CC148,"")</f>
        <v>0.708529588707429</v>
      </c>
      <c r="CD216" s="35"/>
      <c r="CE216" s="35"/>
      <c r="CF216" s="35"/>
      <c r="CG216" s="35"/>
      <c r="CH216" s="35"/>
      <c r="CI216" s="35" t="n">
        <f aca="false">IFERROR(CI213/CI148,"")</f>
        <v>0.813289840761275</v>
      </c>
      <c r="CJ216" s="35"/>
      <c r="CK216" s="35"/>
      <c r="CL216" s="35"/>
      <c r="CM216" s="35"/>
      <c r="CN216" s="35"/>
      <c r="CO216" s="35" t="n">
        <f aca="false">IFERROR(CO213/CO148,"")</f>
        <v>0.86217736665162</v>
      </c>
      <c r="CP216" s="45" t="n">
        <f aca="false">IFERROR(CP213/CP148,"")</f>
        <v>0.88375273267461</v>
      </c>
      <c r="CQ216" s="45" t="n">
        <f aca="false">IFERROR(CQ213/CQ148,"")</f>
        <v>0.872110756502606</v>
      </c>
      <c r="CR216" s="45" t="n">
        <f aca="false">IFERROR(CR213/CR148,"")</f>
        <v>0.872949176428917</v>
      </c>
      <c r="CS216" s="45" t="n">
        <f aca="false">IFERROR(CS213/CS148,"")</f>
        <v>0.874453470821152</v>
      </c>
      <c r="CT216" s="45" t="n">
        <f aca="false">IFERROR(CT213/CT148,"")</f>
        <v>0.875818447956278</v>
      </c>
      <c r="CU216" s="24"/>
      <c r="CW216" s="6"/>
      <c r="CX216" s="6"/>
      <c r="CY216" s="6"/>
      <c r="CZ216" s="6"/>
    </row>
    <row r="217" customFormat="false" ht="15" hidden="false" customHeight="false" outlineLevel="0" collapsed="false">
      <c r="B217" s="52" t="s">
        <v>348</v>
      </c>
      <c r="C217" s="56" t="n">
        <f aca="false">IFERROR(C213/C98,"")</f>
        <v>0.036133979015335</v>
      </c>
      <c r="D217" s="56" t="n">
        <f aca="false">IFERROR(D213/D98,"")</f>
        <v>0.0881467016211011</v>
      </c>
      <c r="E217" s="56" t="n">
        <f aca="false">IFERROR(E213/E98,"")</f>
        <v>0.0611513443432972</v>
      </c>
      <c r="F217" s="56" t="n">
        <f aca="false">IFERROR(F213/F98,"")</f>
        <v>0.0967230366183916</v>
      </c>
      <c r="G217" s="56" t="n">
        <f aca="false">IFERROR(G213/G98,"")</f>
        <v>0.0926499817704964</v>
      </c>
      <c r="H217" s="56" t="n">
        <f aca="false">IFERROR(H213/H98,"")</f>
        <v>0.157614507799051</v>
      </c>
      <c r="I217" s="56" t="n">
        <f aca="false">IFERROR(I213/I98,"")</f>
        <v>0.167495701068266</v>
      </c>
      <c r="J217" s="55"/>
      <c r="K217" s="55"/>
      <c r="L217" s="56"/>
      <c r="M217" s="55"/>
      <c r="N217" s="55"/>
      <c r="O217" s="56" t="n">
        <f aca="false">IFERROR(O213/O98,"")</f>
        <v>0.0694805094736518</v>
      </c>
      <c r="P217" s="55"/>
      <c r="Q217" s="55"/>
      <c r="R217" s="56"/>
      <c r="S217" s="55"/>
      <c r="T217" s="55"/>
      <c r="U217" s="56" t="n">
        <f aca="false">IFERROR(U213/U98,"")</f>
        <v>0.175200983006934</v>
      </c>
      <c r="V217" s="55"/>
      <c r="W217" s="55"/>
      <c r="X217" s="56"/>
      <c r="Y217" s="55"/>
      <c r="Z217" s="55"/>
      <c r="AA217" s="56" t="n">
        <f aca="false">IFERROR(AA213/AA98,"")</f>
        <v>0.178279709797566</v>
      </c>
      <c r="AB217" s="55"/>
      <c r="AC217" s="55"/>
      <c r="AD217" s="56"/>
      <c r="AE217" s="55"/>
      <c r="AF217" s="55"/>
      <c r="AG217" s="56" t="n">
        <f aca="false">IFERROR(AG213/AG98,"")</f>
        <v>0.16296178800221</v>
      </c>
      <c r="AH217" s="55"/>
      <c r="AI217" s="55"/>
      <c r="AJ217" s="56"/>
      <c r="AK217" s="55"/>
      <c r="AL217" s="55"/>
      <c r="AM217" s="56" t="n">
        <f aca="false">IFERROR(AM213/AM98,"")</f>
        <v>0.338206008800982</v>
      </c>
      <c r="AN217" s="55"/>
      <c r="AO217" s="55"/>
      <c r="AP217" s="56"/>
      <c r="AQ217" s="55"/>
      <c r="AR217" s="55"/>
      <c r="AS217" s="56" t="n">
        <f aca="false">IFERROR(AS213/AS98,"")</f>
        <v>0.262100158344944</v>
      </c>
      <c r="AT217" s="55"/>
      <c r="AU217" s="55"/>
      <c r="AV217" s="56"/>
      <c r="AW217" s="55"/>
      <c r="AX217" s="55"/>
      <c r="AY217" s="56" t="n">
        <f aca="false">IFERROR(AY213/AY98,"")</f>
        <v>0.302682852782041</v>
      </c>
      <c r="AZ217" s="55"/>
      <c r="BA217" s="55"/>
      <c r="BB217" s="56"/>
      <c r="BC217" s="55"/>
      <c r="BD217" s="55"/>
      <c r="BE217" s="56" t="n">
        <f aca="false">IFERROR(BE213/BE98,"")</f>
        <v>0.343987789957093</v>
      </c>
      <c r="BF217" s="55"/>
      <c r="BG217" s="55"/>
      <c r="BH217" s="56"/>
      <c r="BI217" s="55"/>
      <c r="BJ217" s="55"/>
      <c r="BK217" s="56" t="n">
        <f aca="false">IFERROR(BK213/BK98,"")</f>
        <v>0.551859211785759</v>
      </c>
      <c r="BL217" s="55"/>
      <c r="BM217" s="55"/>
      <c r="BN217" s="56"/>
      <c r="BO217" s="55"/>
      <c r="BP217" s="55"/>
      <c r="BQ217" s="56" t="n">
        <f aca="false">IFERROR(BQ213/BQ98,"")</f>
        <v>0.87452260202114</v>
      </c>
      <c r="BR217" s="55"/>
      <c r="BS217" s="55"/>
      <c r="BT217" s="56"/>
      <c r="BU217" s="55"/>
      <c r="BV217" s="55"/>
      <c r="BW217" s="56" t="n">
        <f aca="false">IFERROR(BW213/BW98,"")</f>
        <v>0.911907862953074</v>
      </c>
      <c r="BX217" s="55"/>
      <c r="BY217" s="55"/>
      <c r="BZ217" s="56"/>
      <c r="CA217" s="55"/>
      <c r="CB217" s="55"/>
      <c r="CC217" s="56" t="n">
        <f aca="false">IFERROR(CC213/CC98,"")</f>
        <v>0.990707818440333</v>
      </c>
      <c r="CD217" s="55"/>
      <c r="CE217" s="55"/>
      <c r="CF217" s="56"/>
      <c r="CG217" s="55"/>
      <c r="CH217" s="55"/>
      <c r="CI217" s="56" t="n">
        <f aca="false">IFERROR(CI213/CI98,"")</f>
        <v>1.29156995508218</v>
      </c>
      <c r="CJ217" s="55"/>
      <c r="CK217" s="55"/>
      <c r="CL217" s="56"/>
      <c r="CM217" s="55"/>
      <c r="CN217" s="55"/>
      <c r="CO217" s="56" t="n">
        <f aca="false">IFERROR(CO213/CO98,"")</f>
        <v>1.33739941057208</v>
      </c>
      <c r="CP217" s="57" t="n">
        <f aca="false">IFERROR(CP213/CP98,"")</f>
        <v>1.45606708774669</v>
      </c>
      <c r="CQ217" s="57" t="n">
        <f aca="false">IFERROR(CQ213/CQ98,"")</f>
        <v>1.59599315382529</v>
      </c>
      <c r="CR217" s="57" t="n">
        <f aca="false">IFERROR(CR213/CR98,"")</f>
        <v>1.7882689056338</v>
      </c>
      <c r="CS217" s="57" t="n">
        <f aca="false">IFERROR(CS213/CS98,"")</f>
        <v>2.00763053927838</v>
      </c>
      <c r="CT217" s="57" t="n">
        <f aca="false">IFERROR(CT213/CT98,"")</f>
        <v>2.25798024828539</v>
      </c>
      <c r="CU217" s="24"/>
      <c r="CW217" s="6"/>
      <c r="CX217" s="6"/>
      <c r="CY217" s="6"/>
      <c r="CZ217" s="6"/>
    </row>
    <row r="218" customFormat="false" ht="15" hidden="false" customHeight="false" outlineLevel="0" collapsed="false">
      <c r="B218" s="15" t="s">
        <v>349</v>
      </c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40"/>
      <c r="CQ218" s="40"/>
      <c r="CR218" s="40"/>
      <c r="CS218" s="40"/>
      <c r="CT218" s="40"/>
      <c r="CU218" s="24"/>
      <c r="CW218" s="6"/>
      <c r="CX218" s="6"/>
      <c r="CY218" s="6"/>
      <c r="CZ218" s="6"/>
    </row>
    <row r="219" customFormat="false" ht="15" hidden="false" customHeight="false" outlineLevel="0" collapsed="false">
      <c r="B219" s="28" t="s">
        <v>350</v>
      </c>
      <c r="C219" s="29" t="n">
        <f aca="false">IFERROR(-C190/C73,"")</f>
        <v>0.183581770471706</v>
      </c>
      <c r="D219" s="29" t="n">
        <f aca="false">IFERROR(-D190/D73,"")</f>
        <v>0.137060355282871</v>
      </c>
      <c r="E219" s="29" t="n">
        <f aca="false">IFERROR(-E190/E73,"")</f>
        <v>0.144440706990398</v>
      </c>
      <c r="F219" s="29" t="n">
        <f aca="false">IFERROR(-F190/F73,"")</f>
        <v>0.106195547732283</v>
      </c>
      <c r="G219" s="29" t="n">
        <f aca="false">IFERROR(-G190/G73,"")</f>
        <v>0.0981266149034972</v>
      </c>
      <c r="H219" s="29" t="n">
        <f aca="false">IFERROR(-H190/H73,"")</f>
        <v>0.0804474884378948</v>
      </c>
      <c r="I219" s="29" t="n">
        <f aca="false">IFERROR(-I190/I73,"")</f>
        <v>0.0593297272966302</v>
      </c>
      <c r="J219" s="29"/>
      <c r="K219" s="29"/>
      <c r="L219" s="29"/>
      <c r="M219" s="29"/>
      <c r="N219" s="29"/>
      <c r="O219" s="29" t="n">
        <f aca="false">IFERROR(-O190/O73,"")</f>
        <v>0.124490388824009</v>
      </c>
      <c r="P219" s="29"/>
      <c r="Q219" s="29"/>
      <c r="R219" s="29"/>
      <c r="S219" s="29"/>
      <c r="T219" s="29"/>
      <c r="U219" s="29" t="n">
        <f aca="false">IFERROR(-U190/U73,"")</f>
        <v>0.0700565282525232</v>
      </c>
      <c r="V219" s="29"/>
      <c r="W219" s="29"/>
      <c r="X219" s="29"/>
      <c r="Y219" s="29"/>
      <c r="Z219" s="29"/>
      <c r="AA219" s="29" t="n">
        <f aca="false">IFERROR(-AA190/AA73,"")</f>
        <v>0.0690641744591778</v>
      </c>
      <c r="AB219" s="29"/>
      <c r="AC219" s="29"/>
      <c r="AD219" s="29"/>
      <c r="AE219" s="29"/>
      <c r="AF219" s="29"/>
      <c r="AG219" s="29" t="n">
        <f aca="false">IFERROR(-AG190/AG73,"")</f>
        <v>0.137109966581234</v>
      </c>
      <c r="AH219" s="29"/>
      <c r="AI219" s="29"/>
      <c r="AJ219" s="29"/>
      <c r="AK219" s="29"/>
      <c r="AL219" s="29"/>
      <c r="AM219" s="29" t="n">
        <f aca="false">IFERROR(-AM190/AM73,"")</f>
        <v>0.118909018833811</v>
      </c>
      <c r="AN219" s="29"/>
      <c r="AO219" s="29"/>
      <c r="AP219" s="29"/>
      <c r="AQ219" s="29"/>
      <c r="AR219" s="29"/>
      <c r="AS219" s="29" t="n">
        <f aca="false">IFERROR(-AS190/AS73,"")</f>
        <v>0.159445532052755</v>
      </c>
      <c r="AT219" s="29"/>
      <c r="AU219" s="29"/>
      <c r="AV219" s="29"/>
      <c r="AW219" s="29"/>
      <c r="AX219" s="29"/>
      <c r="AY219" s="29" t="n">
        <f aca="false">IFERROR(-AY190/AY73,"")</f>
        <v>0.183100329732703</v>
      </c>
      <c r="AZ219" s="29"/>
      <c r="BA219" s="29"/>
      <c r="BB219" s="29"/>
      <c r="BC219" s="29"/>
      <c r="BD219" s="29"/>
      <c r="BE219" s="29" t="n">
        <f aca="false">IFERROR(-BE190/BE73,"")</f>
        <v>0.2683970632708</v>
      </c>
      <c r="BF219" s="29"/>
      <c r="BG219" s="29"/>
      <c r="BH219" s="29"/>
      <c r="BI219" s="29"/>
      <c r="BJ219" s="29"/>
      <c r="BK219" s="29" t="n">
        <f aca="false">IFERROR(-BK190/BK73,"")</f>
        <v>0.171956957650312</v>
      </c>
      <c r="BL219" s="29"/>
      <c r="BM219" s="29"/>
      <c r="BN219" s="29"/>
      <c r="BO219" s="29"/>
      <c r="BP219" s="29"/>
      <c r="BQ219" s="29" t="n">
        <f aca="false">IFERROR(-BQ190/BQ73,"")</f>
        <v>0.0963883503798001</v>
      </c>
      <c r="BR219" s="29"/>
      <c r="BS219" s="29"/>
      <c r="BT219" s="29"/>
      <c r="BU219" s="29"/>
      <c r="BV219" s="29"/>
      <c r="BW219" s="29" t="n">
        <f aca="false">IFERROR(-BW190/BW73,"")</f>
        <v>0.133514303331836</v>
      </c>
      <c r="BX219" s="29"/>
      <c r="BY219" s="29"/>
      <c r="BZ219" s="29"/>
      <c r="CA219" s="29"/>
      <c r="CB219" s="29"/>
      <c r="CC219" s="29" t="n">
        <f aca="false">IFERROR(-CC190/CC73,"")</f>
        <v>0.12060687925835</v>
      </c>
      <c r="CD219" s="29"/>
      <c r="CE219" s="29"/>
      <c r="CF219" s="29"/>
      <c r="CG219" s="29"/>
      <c r="CH219" s="29"/>
      <c r="CI219" s="29" t="n">
        <f aca="false">IFERROR(-CI190/CI73,"")</f>
        <v>0.122443542635849</v>
      </c>
      <c r="CJ219" s="29"/>
      <c r="CK219" s="29"/>
      <c r="CL219" s="29"/>
      <c r="CM219" s="29"/>
      <c r="CN219" s="29"/>
      <c r="CO219" s="29" t="n">
        <f aca="false">IFERROR(-CO190/CO73,"")</f>
        <v>0.0722991619106645</v>
      </c>
      <c r="CP219" s="34" t="n">
        <v>0.095</v>
      </c>
      <c r="CQ219" s="34" t="n">
        <v>0.095</v>
      </c>
      <c r="CR219" s="34" t="n">
        <v>0.095</v>
      </c>
      <c r="CS219" s="34" t="n">
        <v>0.095</v>
      </c>
      <c r="CT219" s="34" t="n">
        <v>0.095</v>
      </c>
      <c r="CU219" s="24" t="s">
        <v>351</v>
      </c>
      <c r="CW219" s="6"/>
      <c r="CX219" s="6"/>
      <c r="CY219" s="6"/>
      <c r="CZ219" s="6"/>
    </row>
    <row r="220" customFormat="false" ht="15" hidden="false" customHeight="false" outlineLevel="0" collapsed="false">
      <c r="B220" s="15" t="s">
        <v>352</v>
      </c>
      <c r="C220" s="62" t="n">
        <f aca="false">IFERROR(-C190/C102,"")</f>
        <v>3.08481688708037</v>
      </c>
      <c r="D220" s="62" t="n">
        <f aca="false">IFERROR(-D190/D102,"")</f>
        <v>2.07196203726172</v>
      </c>
      <c r="E220" s="62" t="n">
        <f aca="false">IFERROR(-E190/E102,"")</f>
        <v>2.6484440706476</v>
      </c>
      <c r="F220" s="62" t="n">
        <f aca="false">IFERROR(-F190/F102,"")</f>
        <v>1.90820718672922</v>
      </c>
      <c r="G220" s="62" t="n">
        <f aca="false">IFERROR(-G190/G102,"")</f>
        <v>1.75385042319967</v>
      </c>
      <c r="H220" s="62" t="n">
        <f aca="false">IFERROR(-H190/H102,"")</f>
        <v>1.53565019477393</v>
      </c>
      <c r="I220" s="62" t="n">
        <f aca="false">IFERROR(-I190/I102,"")</f>
        <v>1.1383727448253</v>
      </c>
      <c r="J220" s="62"/>
      <c r="K220" s="62"/>
      <c r="L220" s="62"/>
      <c r="M220" s="62"/>
      <c r="N220" s="62"/>
      <c r="O220" s="62" t="n">
        <f aca="false">IFERROR(-O190/O102,"")</f>
        <v>2.2963087011705</v>
      </c>
      <c r="P220" s="62"/>
      <c r="Q220" s="62"/>
      <c r="R220" s="62"/>
      <c r="S220" s="62"/>
      <c r="T220" s="62"/>
      <c r="U220" s="62" t="n">
        <f aca="false">IFERROR(-U190/U102,"")</f>
        <v>1.51714253806351</v>
      </c>
      <c r="V220" s="62"/>
      <c r="W220" s="62"/>
      <c r="X220" s="62"/>
      <c r="Y220" s="62"/>
      <c r="Z220" s="62"/>
      <c r="AA220" s="62" t="n">
        <f aca="false">IFERROR(-AA190/AA102,"")</f>
        <v>1.69954694780237</v>
      </c>
      <c r="AB220" s="62"/>
      <c r="AC220" s="62"/>
      <c r="AD220" s="62"/>
      <c r="AE220" s="62"/>
      <c r="AF220" s="62"/>
      <c r="AG220" s="62" t="n">
        <f aca="false">IFERROR(-AG190/AG102,"")</f>
        <v>3.58038085434895</v>
      </c>
      <c r="AH220" s="62"/>
      <c r="AI220" s="62"/>
      <c r="AJ220" s="62"/>
      <c r="AK220" s="62"/>
      <c r="AL220" s="62"/>
      <c r="AM220" s="62" t="n">
        <f aca="false">IFERROR(-AM190/AM102,"")</f>
        <v>3.02066666666667</v>
      </c>
      <c r="AN220" s="62"/>
      <c r="AO220" s="62"/>
      <c r="AP220" s="62"/>
      <c r="AQ220" s="62"/>
      <c r="AR220" s="62"/>
      <c r="AS220" s="62" t="n">
        <f aca="false">IFERROR(-AS190/AS102,"")</f>
        <v>3.6630703071325</v>
      </c>
      <c r="AT220" s="62"/>
      <c r="AU220" s="62"/>
      <c r="AV220" s="62"/>
      <c r="AW220" s="62"/>
      <c r="AX220" s="62"/>
      <c r="AY220" s="62" t="n">
        <f aca="false">IFERROR(-AY190/AY102,"")</f>
        <v>4.40406384357147</v>
      </c>
      <c r="AZ220" s="62"/>
      <c r="BA220" s="62"/>
      <c r="BB220" s="62"/>
      <c r="BC220" s="62"/>
      <c r="BD220" s="62"/>
      <c r="BE220" s="62" t="n">
        <f aca="false">IFERROR(-BE190/BE102,"")</f>
        <v>5.83856396094289</v>
      </c>
      <c r="BF220" s="62"/>
      <c r="BG220" s="62"/>
      <c r="BH220" s="62"/>
      <c r="BI220" s="62"/>
      <c r="BJ220" s="62"/>
      <c r="BK220" s="62" t="n">
        <f aca="false">IFERROR(-BK190/BK102,"")</f>
        <v>3.79595149666724</v>
      </c>
      <c r="BL220" s="62"/>
      <c r="BM220" s="62"/>
      <c r="BN220" s="62"/>
      <c r="BO220" s="62"/>
      <c r="BP220" s="62"/>
      <c r="BQ220" s="62" t="n">
        <f aca="false">IFERROR(-BQ190/BQ102,"")</f>
        <v>2.44554118201254</v>
      </c>
      <c r="BR220" s="62"/>
      <c r="BS220" s="62"/>
      <c r="BT220" s="62"/>
      <c r="BU220" s="62"/>
      <c r="BV220" s="62"/>
      <c r="BW220" s="62" t="n">
        <f aca="false">IFERROR(-BW190/BW102,"")</f>
        <v>3.23954401234026</v>
      </c>
      <c r="BX220" s="62"/>
      <c r="BY220" s="62"/>
      <c r="BZ220" s="62"/>
      <c r="CA220" s="62"/>
      <c r="CB220" s="62"/>
      <c r="CC220" s="62" t="n">
        <f aca="false">IFERROR(-CC190/CC102,"")</f>
        <v>2.69280832204721</v>
      </c>
      <c r="CD220" s="62"/>
      <c r="CE220" s="62"/>
      <c r="CF220" s="62"/>
      <c r="CG220" s="62"/>
      <c r="CH220" s="62"/>
      <c r="CI220" s="62" t="n">
        <f aca="false">IFERROR(-CI190/CI102,"")</f>
        <v>2.63605576120343</v>
      </c>
      <c r="CJ220" s="62"/>
      <c r="CK220" s="62"/>
      <c r="CL220" s="62"/>
      <c r="CM220" s="62"/>
      <c r="CN220" s="62"/>
      <c r="CO220" s="62" t="n">
        <f aca="false">IFERROR(-CO190/CO102,"")</f>
        <v>1.47080519503167</v>
      </c>
      <c r="CP220" s="63" t="n">
        <f aca="false">IFERROR(-CP190/CP102,"")</f>
        <v>1.9</v>
      </c>
      <c r="CQ220" s="63" t="n">
        <f aca="false">IFERROR(-CQ190/CQ102,"")</f>
        <v>1.9</v>
      </c>
      <c r="CR220" s="63" t="n">
        <f aca="false">IFERROR(-CR190/CR102,"")</f>
        <v>1.9</v>
      </c>
      <c r="CS220" s="63" t="n">
        <f aca="false">IFERROR(-CS190/CS102,"")</f>
        <v>1.9</v>
      </c>
      <c r="CT220" s="63" t="n">
        <f aca="false">IFERROR(-CT190/CT102,"")</f>
        <v>1.9</v>
      </c>
      <c r="CU220" s="24"/>
      <c r="CW220" s="6"/>
      <c r="CX220" s="6"/>
      <c r="CY220" s="6"/>
      <c r="CZ220" s="6"/>
    </row>
    <row r="221" customFormat="false" ht="15" hidden="false" customHeight="false" outlineLevel="0" collapsed="false">
      <c r="B221" s="15"/>
      <c r="CP221" s="6"/>
      <c r="CQ221" s="6"/>
      <c r="CR221" s="6"/>
      <c r="CS221" s="6"/>
      <c r="CT221" s="6"/>
      <c r="CU221" s="6"/>
    </row>
    <row r="222" customFormat="false" ht="15" hidden="false" customHeight="false" outlineLevel="0" collapsed="false">
      <c r="B222" s="11" t="s">
        <v>353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</row>
    <row r="223" customFormat="false" ht="15" hidden="false" customHeight="false" outlineLevel="0" collapsed="false">
      <c r="B223" s="52" t="s">
        <v>354</v>
      </c>
      <c r="C223" s="55"/>
      <c r="D223" s="55"/>
      <c r="E223" s="55"/>
      <c r="F223" s="55"/>
      <c r="G223" s="55"/>
      <c r="H223" s="55"/>
      <c r="I223" s="55"/>
      <c r="J223" s="55"/>
      <c r="K223" s="55"/>
      <c r="L223" s="56"/>
      <c r="M223" s="55"/>
      <c r="N223" s="55"/>
      <c r="O223" s="55"/>
      <c r="P223" s="55"/>
      <c r="Q223" s="55"/>
      <c r="R223" s="56"/>
      <c r="S223" s="55"/>
      <c r="T223" s="55"/>
      <c r="U223" s="55"/>
      <c r="V223" s="55"/>
      <c r="W223" s="55"/>
      <c r="X223" s="56"/>
      <c r="Y223" s="55"/>
      <c r="Z223" s="55"/>
      <c r="AA223" s="55"/>
      <c r="AB223" s="55"/>
      <c r="AC223" s="55"/>
      <c r="AD223" s="56"/>
      <c r="AE223" s="55"/>
      <c r="AF223" s="55"/>
      <c r="AG223" s="55"/>
      <c r="AH223" s="55"/>
      <c r="AI223" s="55"/>
      <c r="AJ223" s="56"/>
      <c r="AK223" s="55"/>
      <c r="AL223" s="55"/>
      <c r="AM223" s="55"/>
      <c r="AN223" s="55"/>
      <c r="AO223" s="55"/>
      <c r="AP223" s="56"/>
      <c r="AQ223" s="55"/>
      <c r="AR223" s="55"/>
      <c r="AS223" s="55"/>
      <c r="AT223" s="55"/>
      <c r="AU223" s="55"/>
      <c r="AV223" s="56"/>
      <c r="AW223" s="55"/>
      <c r="AX223" s="55"/>
      <c r="AY223" s="55"/>
      <c r="AZ223" s="55"/>
      <c r="BA223" s="55"/>
      <c r="BB223" s="56"/>
      <c r="BC223" s="55"/>
      <c r="BD223" s="55"/>
      <c r="BE223" s="55"/>
      <c r="BF223" s="55"/>
      <c r="BG223" s="55"/>
      <c r="BH223" s="56"/>
      <c r="BI223" s="55"/>
      <c r="BJ223" s="55"/>
      <c r="BK223" s="55"/>
      <c r="BL223" s="55"/>
      <c r="BM223" s="55"/>
      <c r="BN223" s="56"/>
      <c r="BO223" s="55"/>
      <c r="BP223" s="55"/>
      <c r="BQ223" s="55"/>
      <c r="BR223" s="55"/>
      <c r="BS223" s="55"/>
      <c r="BT223" s="56"/>
      <c r="BU223" s="55"/>
      <c r="BV223" s="55"/>
      <c r="BW223" s="55"/>
      <c r="BX223" s="55"/>
      <c r="BY223" s="55"/>
      <c r="BZ223" s="56"/>
      <c r="CA223" s="55"/>
      <c r="CB223" s="55"/>
      <c r="CC223" s="55"/>
      <c r="CD223" s="55"/>
      <c r="CE223" s="55"/>
      <c r="CF223" s="56"/>
      <c r="CG223" s="55"/>
      <c r="CH223" s="55"/>
      <c r="CI223" s="55"/>
      <c r="CJ223" s="55"/>
      <c r="CK223" s="55"/>
      <c r="CL223" s="56"/>
      <c r="CM223" s="55"/>
      <c r="CN223" s="55"/>
      <c r="CO223" s="56" t="n">
        <f aca="false">CO344</f>
        <v>27</v>
      </c>
      <c r="CP223" s="57" t="n">
        <f aca="false">CO223*(1+CP300)</f>
        <v>28.89</v>
      </c>
      <c r="CQ223" s="57" t="n">
        <f aca="false">CP223*(1+CQ300)</f>
        <v>30.9123</v>
      </c>
      <c r="CR223" s="57" t="n">
        <f aca="false">CQ223*(1+CR300)</f>
        <v>33.076161</v>
      </c>
      <c r="CS223" s="57" t="n">
        <f aca="false">CR223*(1+CS300)</f>
        <v>35.39149227</v>
      </c>
      <c r="CT223" s="57" t="n">
        <f aca="false">CS223*(1+CT300)</f>
        <v>37.8688967289</v>
      </c>
      <c r="CU223" s="24" t="s">
        <v>355</v>
      </c>
      <c r="CW223" s="6"/>
      <c r="CX223" s="6"/>
      <c r="CY223" s="6"/>
      <c r="CZ223" s="6"/>
    </row>
    <row r="224" customFormat="false" ht="15" hidden="false" customHeight="false" outlineLevel="0" collapsed="false">
      <c r="B224" s="28" t="s">
        <v>356</v>
      </c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 t="n">
        <f aca="false">-CO201</f>
        <v>1632.538</v>
      </c>
      <c r="CP224" s="40" t="n">
        <f aca="false">-CP201</f>
        <v>1917.47647894975</v>
      </c>
      <c r="CQ224" s="40" t="n">
        <f aca="false">-CQ201</f>
        <v>1105.30641057833</v>
      </c>
      <c r="CR224" s="40" t="n">
        <f aca="false">-CR201</f>
        <v>1177.81862974431</v>
      </c>
      <c r="CS224" s="40" t="n">
        <f aca="false">-CS201</f>
        <v>1271.78730954811</v>
      </c>
      <c r="CT224" s="40" t="n">
        <f aca="false">-CT201</f>
        <v>1369.78458720219</v>
      </c>
      <c r="CU224" s="24"/>
      <c r="CW224" s="6"/>
      <c r="CX224" s="6"/>
      <c r="CY224" s="6"/>
      <c r="CZ224" s="6"/>
    </row>
    <row r="225" customFormat="false" ht="15" hidden="false" customHeight="false" outlineLevel="0" collapsed="false">
      <c r="B225" s="15" t="s">
        <v>357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1"/>
      <c r="M225" s="32"/>
      <c r="N225" s="32"/>
      <c r="O225" s="32"/>
      <c r="P225" s="32"/>
      <c r="Q225" s="32"/>
      <c r="R225" s="31"/>
      <c r="S225" s="32"/>
      <c r="T225" s="32"/>
      <c r="U225" s="32"/>
      <c r="V225" s="32"/>
      <c r="W225" s="32"/>
      <c r="X225" s="31"/>
      <c r="Y225" s="32"/>
      <c r="Z225" s="32"/>
      <c r="AA225" s="32"/>
      <c r="AB225" s="32"/>
      <c r="AC225" s="32"/>
      <c r="AD225" s="31"/>
      <c r="AE225" s="32"/>
      <c r="AF225" s="32"/>
      <c r="AG225" s="32"/>
      <c r="AH225" s="32"/>
      <c r="AI225" s="32"/>
      <c r="AJ225" s="31"/>
      <c r="AK225" s="32"/>
      <c r="AL225" s="32"/>
      <c r="AM225" s="32"/>
      <c r="AN225" s="32"/>
      <c r="AO225" s="32"/>
      <c r="AP225" s="31"/>
      <c r="AQ225" s="32"/>
      <c r="AR225" s="32"/>
      <c r="AS225" s="32"/>
      <c r="AT225" s="32"/>
      <c r="AU225" s="32"/>
      <c r="AV225" s="31"/>
      <c r="AW225" s="32"/>
      <c r="AX225" s="32"/>
      <c r="AY225" s="32"/>
      <c r="AZ225" s="32"/>
      <c r="BA225" s="32"/>
      <c r="BB225" s="31"/>
      <c r="BC225" s="32"/>
      <c r="BD225" s="32"/>
      <c r="BE225" s="32"/>
      <c r="BF225" s="32"/>
      <c r="BG225" s="32"/>
      <c r="BH225" s="31"/>
      <c r="BI225" s="32"/>
      <c r="BJ225" s="32"/>
      <c r="BK225" s="32"/>
      <c r="BL225" s="32"/>
      <c r="BM225" s="32"/>
      <c r="BN225" s="31"/>
      <c r="BO225" s="32"/>
      <c r="BP225" s="32"/>
      <c r="BQ225" s="32"/>
      <c r="BR225" s="32"/>
      <c r="BS225" s="32"/>
      <c r="BT225" s="31"/>
      <c r="BU225" s="32"/>
      <c r="BV225" s="32"/>
      <c r="BW225" s="32"/>
      <c r="BX225" s="32"/>
      <c r="BY225" s="32"/>
      <c r="BZ225" s="31"/>
      <c r="CA225" s="32"/>
      <c r="CB225" s="32"/>
      <c r="CC225" s="32"/>
      <c r="CD225" s="32"/>
      <c r="CE225" s="32"/>
      <c r="CF225" s="31"/>
      <c r="CG225" s="32"/>
      <c r="CH225" s="32"/>
      <c r="CI225" s="32"/>
      <c r="CJ225" s="32"/>
      <c r="CK225" s="32"/>
      <c r="CL225" s="31"/>
      <c r="CM225" s="32"/>
      <c r="CN225" s="32"/>
      <c r="CO225" s="32"/>
      <c r="CP225" s="33" t="n">
        <f aca="false">IFERROR(CP224/CP223,0)</f>
        <v>66.3716330546817</v>
      </c>
      <c r="CQ225" s="33" t="n">
        <f aca="false">IFERROR(CQ224/CQ223,0)</f>
        <v>35.7562009484358</v>
      </c>
      <c r="CR225" s="33" t="n">
        <f aca="false">IFERROR(CR224/CR223,0)</f>
        <v>35.6092906230657</v>
      </c>
      <c r="CS225" s="33" t="n">
        <f aca="false">IFERROR(CS224/CS223,0)</f>
        <v>35.9348314517429</v>
      </c>
      <c r="CT225" s="33" t="n">
        <f aca="false">IFERROR(CT224/CT223,0)</f>
        <v>36.1717585016631</v>
      </c>
      <c r="CU225" s="24"/>
      <c r="CW225" s="6"/>
      <c r="CX225" s="6"/>
      <c r="CY225" s="6"/>
      <c r="CZ225" s="6"/>
    </row>
    <row r="226" customFormat="false" ht="15" hidden="false" customHeight="false" outlineLevel="0" collapsed="false">
      <c r="B226" s="15" t="s">
        <v>358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1"/>
      <c r="M226" s="32"/>
      <c r="N226" s="32"/>
      <c r="O226" s="32"/>
      <c r="P226" s="32"/>
      <c r="Q226" s="32"/>
      <c r="R226" s="31"/>
      <c r="S226" s="32"/>
      <c r="T226" s="32"/>
      <c r="U226" s="32"/>
      <c r="V226" s="32"/>
      <c r="W226" s="32"/>
      <c r="X226" s="31"/>
      <c r="Y226" s="32"/>
      <c r="Z226" s="32"/>
      <c r="AA226" s="32"/>
      <c r="AB226" s="32"/>
      <c r="AC226" s="32"/>
      <c r="AD226" s="31"/>
      <c r="AE226" s="32"/>
      <c r="AF226" s="32"/>
      <c r="AG226" s="32"/>
      <c r="AH226" s="32"/>
      <c r="AI226" s="32"/>
      <c r="AJ226" s="31"/>
      <c r="AK226" s="32"/>
      <c r="AL226" s="32"/>
      <c r="AM226" s="32"/>
      <c r="AN226" s="32"/>
      <c r="AO226" s="32"/>
      <c r="AP226" s="31"/>
      <c r="AQ226" s="32"/>
      <c r="AR226" s="32"/>
      <c r="AS226" s="32"/>
      <c r="AT226" s="32"/>
      <c r="AU226" s="32"/>
      <c r="AV226" s="31"/>
      <c r="AW226" s="32"/>
      <c r="AX226" s="32"/>
      <c r="AY226" s="32"/>
      <c r="AZ226" s="32"/>
      <c r="BA226" s="32"/>
      <c r="BB226" s="31"/>
      <c r="BC226" s="32"/>
      <c r="BD226" s="32"/>
      <c r="BE226" s="32"/>
      <c r="BF226" s="32"/>
      <c r="BG226" s="32"/>
      <c r="BH226" s="31"/>
      <c r="BI226" s="32"/>
      <c r="BJ226" s="32"/>
      <c r="BK226" s="32"/>
      <c r="BL226" s="32"/>
      <c r="BM226" s="32"/>
      <c r="BN226" s="31"/>
      <c r="BO226" s="32"/>
      <c r="BP226" s="32"/>
      <c r="BQ226" s="32"/>
      <c r="BR226" s="32"/>
      <c r="BS226" s="32"/>
      <c r="BT226" s="31"/>
      <c r="BU226" s="32"/>
      <c r="BV226" s="32"/>
      <c r="BW226" s="32"/>
      <c r="BX226" s="32"/>
      <c r="BY226" s="32"/>
      <c r="BZ226" s="31"/>
      <c r="CA226" s="32"/>
      <c r="CB226" s="32"/>
      <c r="CC226" s="32"/>
      <c r="CD226" s="32"/>
      <c r="CE226" s="32"/>
      <c r="CF226" s="31"/>
      <c r="CG226" s="32"/>
      <c r="CH226" s="32"/>
      <c r="CI226" s="32"/>
      <c r="CJ226" s="32"/>
      <c r="CK226" s="32"/>
      <c r="CL226" s="31"/>
      <c r="CM226" s="32"/>
      <c r="CN226" s="32"/>
      <c r="CO226" s="32"/>
      <c r="CP226" s="61" t="n">
        <v>3</v>
      </c>
      <c r="CQ226" s="61" t="n">
        <v>3</v>
      </c>
      <c r="CR226" s="61" t="n">
        <v>3</v>
      </c>
      <c r="CS226" s="61" t="n">
        <v>3</v>
      </c>
      <c r="CT226" s="61" t="n">
        <v>3</v>
      </c>
      <c r="CU226" s="24"/>
      <c r="CW226" s="6"/>
      <c r="CX226" s="6"/>
      <c r="CY226" s="6"/>
      <c r="CZ226" s="6"/>
    </row>
    <row r="227" customFormat="false" ht="15" hidden="false" customHeight="false" outlineLevel="0" collapsed="false">
      <c r="B227" s="15" t="s">
        <v>359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1"/>
      <c r="M227" s="32"/>
      <c r="N227" s="32"/>
      <c r="O227" s="32"/>
      <c r="P227" s="32"/>
      <c r="Q227" s="32"/>
      <c r="R227" s="31"/>
      <c r="S227" s="32"/>
      <c r="T227" s="32"/>
      <c r="U227" s="32"/>
      <c r="V227" s="32"/>
      <c r="W227" s="32"/>
      <c r="X227" s="31"/>
      <c r="Y227" s="32"/>
      <c r="Z227" s="32"/>
      <c r="AA227" s="32"/>
      <c r="AB227" s="32"/>
      <c r="AC227" s="32"/>
      <c r="AD227" s="31"/>
      <c r="AE227" s="32"/>
      <c r="AF227" s="32"/>
      <c r="AG227" s="32"/>
      <c r="AH227" s="32"/>
      <c r="AI227" s="32"/>
      <c r="AJ227" s="31"/>
      <c r="AK227" s="32"/>
      <c r="AL227" s="32"/>
      <c r="AM227" s="32"/>
      <c r="AN227" s="32"/>
      <c r="AO227" s="32"/>
      <c r="AP227" s="31"/>
      <c r="AQ227" s="32"/>
      <c r="AR227" s="32"/>
      <c r="AS227" s="32"/>
      <c r="AT227" s="32"/>
      <c r="AU227" s="32"/>
      <c r="AV227" s="31"/>
      <c r="AW227" s="32"/>
      <c r="AX227" s="32"/>
      <c r="AY227" s="32"/>
      <c r="AZ227" s="32"/>
      <c r="BA227" s="32"/>
      <c r="BB227" s="31"/>
      <c r="BC227" s="32"/>
      <c r="BD227" s="32"/>
      <c r="BE227" s="32"/>
      <c r="BF227" s="32"/>
      <c r="BG227" s="32"/>
      <c r="BH227" s="31"/>
      <c r="BI227" s="32"/>
      <c r="BJ227" s="32"/>
      <c r="BK227" s="32"/>
      <c r="BL227" s="32"/>
      <c r="BM227" s="32"/>
      <c r="BN227" s="31"/>
      <c r="BO227" s="32"/>
      <c r="BP227" s="32"/>
      <c r="BQ227" s="32"/>
      <c r="BR227" s="32"/>
      <c r="BS227" s="32"/>
      <c r="BT227" s="31"/>
      <c r="BU227" s="32"/>
      <c r="BV227" s="32"/>
      <c r="BW227" s="32"/>
      <c r="BX227" s="32"/>
      <c r="BY227" s="32"/>
      <c r="BZ227" s="31"/>
      <c r="CA227" s="32"/>
      <c r="CB227" s="32"/>
      <c r="CC227" s="32"/>
      <c r="CD227" s="32"/>
      <c r="CE227" s="32"/>
      <c r="CF227" s="31"/>
      <c r="CG227" s="32"/>
      <c r="CH227" s="32"/>
      <c r="CI227" s="32"/>
      <c r="CJ227" s="32"/>
      <c r="CK227" s="32"/>
      <c r="CL227" s="31"/>
      <c r="CM227" s="32"/>
      <c r="CN227" s="32"/>
      <c r="CO227" s="32"/>
      <c r="CP227" s="33" t="n">
        <f aca="false">CO228</f>
        <v>926.298293</v>
      </c>
      <c r="CQ227" s="33" t="n">
        <f aca="false">CP228</f>
        <v>862.926659945318</v>
      </c>
      <c r="CR227" s="33" t="n">
        <f aca="false">CQ228</f>
        <v>830.170458996883</v>
      </c>
      <c r="CS227" s="33" t="n">
        <f aca="false">CR228</f>
        <v>797.561168373817</v>
      </c>
      <c r="CT227" s="33" t="n">
        <f aca="false">CS228</f>
        <v>764.626336922074</v>
      </c>
      <c r="CU227" s="24"/>
      <c r="CW227" s="6"/>
      <c r="CX227" s="6"/>
      <c r="CY227" s="6"/>
      <c r="CZ227" s="6"/>
    </row>
    <row r="228" customFormat="false" ht="15" hidden="false" customHeight="false" outlineLevel="0" collapsed="false">
      <c r="B228" s="15" t="s">
        <v>360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1"/>
      <c r="M228" s="32"/>
      <c r="N228" s="32"/>
      <c r="O228" s="32"/>
      <c r="P228" s="32"/>
      <c r="Q228" s="32"/>
      <c r="R228" s="31"/>
      <c r="S228" s="32"/>
      <c r="T228" s="32"/>
      <c r="U228" s="32"/>
      <c r="V228" s="32"/>
      <c r="W228" s="32"/>
      <c r="X228" s="31"/>
      <c r="Y228" s="32"/>
      <c r="Z228" s="32"/>
      <c r="AA228" s="32"/>
      <c r="AB228" s="32"/>
      <c r="AC228" s="32"/>
      <c r="AD228" s="31"/>
      <c r="AE228" s="32"/>
      <c r="AF228" s="32"/>
      <c r="AG228" s="32"/>
      <c r="AH228" s="32"/>
      <c r="AI228" s="32"/>
      <c r="AJ228" s="31"/>
      <c r="AK228" s="32"/>
      <c r="AL228" s="32"/>
      <c r="AM228" s="32"/>
      <c r="AN228" s="32"/>
      <c r="AO228" s="32"/>
      <c r="AP228" s="31"/>
      <c r="AQ228" s="32"/>
      <c r="AR228" s="32"/>
      <c r="AS228" s="32"/>
      <c r="AT228" s="32"/>
      <c r="AU228" s="32"/>
      <c r="AV228" s="31"/>
      <c r="AW228" s="32"/>
      <c r="AX228" s="32"/>
      <c r="AY228" s="32"/>
      <c r="AZ228" s="32"/>
      <c r="BA228" s="32"/>
      <c r="BB228" s="31"/>
      <c r="BC228" s="32"/>
      <c r="BD228" s="32"/>
      <c r="BE228" s="32"/>
      <c r="BF228" s="32"/>
      <c r="BG228" s="32"/>
      <c r="BH228" s="31"/>
      <c r="BI228" s="32"/>
      <c r="BJ228" s="32"/>
      <c r="BK228" s="32"/>
      <c r="BL228" s="32"/>
      <c r="BM228" s="32"/>
      <c r="BN228" s="31"/>
      <c r="BO228" s="32"/>
      <c r="BP228" s="32"/>
      <c r="BQ228" s="32"/>
      <c r="BR228" s="32"/>
      <c r="BS228" s="32"/>
      <c r="BT228" s="31"/>
      <c r="BU228" s="32"/>
      <c r="BV228" s="32"/>
      <c r="BW228" s="32"/>
      <c r="BX228" s="32"/>
      <c r="BY228" s="32"/>
      <c r="BZ228" s="31"/>
      <c r="CA228" s="32"/>
      <c r="CB228" s="32"/>
      <c r="CC228" s="32"/>
      <c r="CD228" s="32"/>
      <c r="CE228" s="32"/>
      <c r="CF228" s="31"/>
      <c r="CG228" s="32"/>
      <c r="CH228" s="32"/>
      <c r="CI228" s="32"/>
      <c r="CJ228" s="32"/>
      <c r="CK228" s="32"/>
      <c r="CL228" s="31"/>
      <c r="CM228" s="32"/>
      <c r="CN228" s="32"/>
      <c r="CO228" s="31" t="n">
        <f aca="false">CO286</f>
        <v>926.298293</v>
      </c>
      <c r="CP228" s="33" t="n">
        <f aca="false">CP227-CP225+CP226</f>
        <v>862.926659945318</v>
      </c>
      <c r="CQ228" s="33" t="n">
        <f aca="false">CQ227-CQ225+CQ226</f>
        <v>830.170458996883</v>
      </c>
      <c r="CR228" s="33" t="n">
        <f aca="false">CR227-CR225+CR226</f>
        <v>797.561168373817</v>
      </c>
      <c r="CS228" s="33" t="n">
        <f aca="false">CS227-CS225+CS226</f>
        <v>764.626336922074</v>
      </c>
      <c r="CT228" s="33" t="n">
        <f aca="false">CT227-CT225+CT226</f>
        <v>731.454578420411</v>
      </c>
      <c r="CU228" s="24"/>
      <c r="CW228" s="6"/>
      <c r="CX228" s="6"/>
      <c r="CY228" s="6"/>
      <c r="CZ228" s="6"/>
    </row>
    <row r="229" customFormat="false" ht="15" hidden="false" customHeight="false" outlineLevel="0" collapsed="false">
      <c r="B229" s="28" t="s">
        <v>361</v>
      </c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45" t="n">
        <f aca="false">IFERROR(CP225/CP227,"")</f>
        <v>0.0716525481653691</v>
      </c>
      <c r="CQ229" s="45" t="n">
        <f aca="false">IFERROR(CQ225/CQ227,"")</f>
        <v>0.0414359673980887</v>
      </c>
      <c r="CR229" s="45" t="n">
        <f aca="false">IFERROR(CR225/CR227,"")</f>
        <v>0.0428939505581702</v>
      </c>
      <c r="CS229" s="45" t="n">
        <f aca="false">IFERROR(CS225/CS227,"")</f>
        <v>0.0450558939886856</v>
      </c>
      <c r="CT229" s="45" t="n">
        <f aca="false">IFERROR(CT225/CT227,"")</f>
        <v>0.0473064512102328</v>
      </c>
      <c r="CU229" s="24"/>
      <c r="CW229" s="6"/>
      <c r="CX229" s="6"/>
      <c r="CY229" s="6"/>
      <c r="CZ229" s="6"/>
    </row>
    <row r="230" customFormat="false" ht="15" hidden="false" customHeight="false" outlineLevel="0" collapsed="false">
      <c r="B230" s="15" t="s">
        <v>362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1"/>
      <c r="M230" s="32"/>
      <c r="N230" s="32"/>
      <c r="O230" s="32"/>
      <c r="P230" s="32"/>
      <c r="Q230" s="32"/>
      <c r="R230" s="31"/>
      <c r="S230" s="32"/>
      <c r="T230" s="32"/>
      <c r="U230" s="32"/>
      <c r="V230" s="32"/>
      <c r="W230" s="32"/>
      <c r="X230" s="31"/>
      <c r="Y230" s="32"/>
      <c r="Z230" s="32"/>
      <c r="AA230" s="32"/>
      <c r="AB230" s="32"/>
      <c r="AC230" s="32"/>
      <c r="AD230" s="31"/>
      <c r="AE230" s="32"/>
      <c r="AF230" s="32"/>
      <c r="AG230" s="32"/>
      <c r="AH230" s="32"/>
      <c r="AI230" s="32"/>
      <c r="AJ230" s="31"/>
      <c r="AK230" s="32"/>
      <c r="AL230" s="32"/>
      <c r="AM230" s="32"/>
      <c r="AN230" s="32"/>
      <c r="AO230" s="32"/>
      <c r="AP230" s="31"/>
      <c r="AQ230" s="32"/>
      <c r="AR230" s="32"/>
      <c r="AS230" s="32"/>
      <c r="AT230" s="32"/>
      <c r="AU230" s="32"/>
      <c r="AV230" s="31"/>
      <c r="AW230" s="32"/>
      <c r="AX230" s="32"/>
      <c r="AY230" s="32"/>
      <c r="AZ230" s="32"/>
      <c r="BA230" s="32"/>
      <c r="BB230" s="31"/>
      <c r="BC230" s="32"/>
      <c r="BD230" s="32"/>
      <c r="BE230" s="32"/>
      <c r="BF230" s="32"/>
      <c r="BG230" s="32"/>
      <c r="BH230" s="31"/>
      <c r="BI230" s="32"/>
      <c r="BJ230" s="32"/>
      <c r="BK230" s="32"/>
      <c r="BL230" s="32"/>
      <c r="BM230" s="32"/>
      <c r="BN230" s="31"/>
      <c r="BO230" s="32"/>
      <c r="BP230" s="32"/>
      <c r="BQ230" s="32"/>
      <c r="BR230" s="32"/>
      <c r="BS230" s="32"/>
      <c r="BT230" s="31"/>
      <c r="BU230" s="32"/>
      <c r="BV230" s="32"/>
      <c r="BW230" s="32"/>
      <c r="BX230" s="32"/>
      <c r="BY230" s="32"/>
      <c r="BZ230" s="31"/>
      <c r="CA230" s="32"/>
      <c r="CB230" s="32"/>
      <c r="CC230" s="32"/>
      <c r="CD230" s="32"/>
      <c r="CE230" s="32"/>
      <c r="CF230" s="31"/>
      <c r="CG230" s="32"/>
      <c r="CH230" s="32"/>
      <c r="CI230" s="32"/>
      <c r="CJ230" s="32"/>
      <c r="CK230" s="32"/>
      <c r="CL230" s="31"/>
      <c r="CM230" s="32"/>
      <c r="CN230" s="32"/>
      <c r="CO230" s="32"/>
      <c r="CP230" s="33" t="n">
        <f aca="false">N(CO230)+CP225</f>
        <v>66.3716330546817</v>
      </c>
      <c r="CQ230" s="33" t="n">
        <f aca="false">N(CP230)+CQ225</f>
        <v>102.127834003117</v>
      </c>
      <c r="CR230" s="33" t="n">
        <f aca="false">N(CQ230)+CR225</f>
        <v>137.737124626183</v>
      </c>
      <c r="CS230" s="33" t="n">
        <f aca="false">N(CR230)+CS225</f>
        <v>173.671956077926</v>
      </c>
      <c r="CT230" s="33" t="n">
        <f aca="false">N(CS230)+CT225</f>
        <v>209.843714579589</v>
      </c>
      <c r="CU230" s="24"/>
      <c r="CW230" s="6"/>
      <c r="CX230" s="6"/>
      <c r="CY230" s="6"/>
      <c r="CZ230" s="6"/>
    </row>
    <row r="231" customFormat="false" ht="15" hidden="false" customHeight="false" outlineLevel="0" collapsed="false">
      <c r="B231" s="28" t="s">
        <v>363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40" t="n">
        <f aca="false">CHOOSE(MATCH($CU$2,{"Bull","Base","Bear"},0),$DD$40,$DE$40,$DF$40)</f>
        <v>1000</v>
      </c>
      <c r="CQ231" s="40" t="n">
        <f aca="false">CHOOSE(MATCH($CU$2,{"Bull","Base","Bear"},0),$DD$41,$DE$41,$DF$41)</f>
        <v>750</v>
      </c>
      <c r="CR231" s="40" t="n">
        <f aca="false">CHOOSE(MATCH($CU$2,{"Bull","Base","Bear"},0),$DD$42,$DE$42,$DF$42)</f>
        <v>750</v>
      </c>
      <c r="CS231" s="40" t="n">
        <f aca="false">CHOOSE(MATCH($CU$2,{"Bull","Base","Bear"},0),$DD$43,$DE$43,$DF$43)</f>
        <v>750</v>
      </c>
      <c r="CT231" s="40" t="n">
        <f aca="false">CHOOSE(MATCH($CU$2,{"Bull","Base","Bear"},0),$DD$44,$DE$44,$DF$44)</f>
        <v>750</v>
      </c>
      <c r="CU231" s="24"/>
      <c r="CW231" s="6"/>
      <c r="CX231" s="6"/>
      <c r="CY231" s="6"/>
      <c r="CZ231" s="6"/>
    </row>
    <row r="232" customFormat="false" ht="15" hidden="false" customHeight="false" outlineLevel="0" collapsed="false">
      <c r="B232" s="15" t="s">
        <v>364</v>
      </c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40"/>
      <c r="CQ232" s="40"/>
      <c r="CR232" s="40"/>
      <c r="CS232" s="40"/>
      <c r="CT232" s="40"/>
      <c r="CU232" s="24"/>
      <c r="CW232" s="6"/>
      <c r="CX232" s="6"/>
      <c r="CY232" s="6"/>
      <c r="CZ232" s="6"/>
    </row>
    <row r="233" customFormat="false" ht="15" hidden="false" customHeight="false" outlineLevel="0" collapsed="false">
      <c r="B233" s="15" t="s">
        <v>365</v>
      </c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3" t="n">
        <f aca="false">IF(INDEX($DD$46:$DF$46,MATCH($CU$2,{"Bull","Base","Bear"},0))="","",INDEX($DD$46:$DF$46,MATCH($CU$2,{"Bull","Base","Bear"},0)))</f>
        <v>-2</v>
      </c>
      <c r="CQ233" s="63" t="n">
        <f aca="false">IF(INDEX($DD$46:$DF$46,MATCH($CU$2,{"Bull","Base","Bear"},0))="","",INDEX($DD$46:$DF$46,MATCH($CU$2,{"Bull","Base","Bear"},0)))</f>
        <v>-2</v>
      </c>
      <c r="CR233" s="63" t="n">
        <f aca="false">IF(INDEX($DD$46:$DF$46,MATCH($CU$2,{"Bull","Base","Bear"},0))="","",INDEX($DD$46:$DF$46,MATCH($CU$2,{"Bull","Base","Bear"},0)))</f>
        <v>-2</v>
      </c>
      <c r="CS233" s="63" t="n">
        <f aca="false">IF(INDEX($DD$46:$DF$46,MATCH($CU$2,{"Bull","Base","Bear"},0))="","",INDEX($DD$46:$DF$46,MATCH($CU$2,{"Bull","Base","Bear"},0)))</f>
        <v>-2</v>
      </c>
      <c r="CT233" s="63" t="n">
        <f aca="false">IF(INDEX($DD$46:$DF$46,MATCH($CU$2,{"Bull","Base","Bear"},0))="","",INDEX($DD$46:$DF$46,MATCH($CU$2,{"Bull","Base","Bear"},0)))</f>
        <v>-2</v>
      </c>
      <c r="CU233" s="24"/>
      <c r="CW233" s="6"/>
      <c r="CX233" s="6"/>
      <c r="CY233" s="6"/>
      <c r="CZ233" s="6"/>
    </row>
    <row r="234" customFormat="false" ht="15" hidden="false" customHeight="false" outlineLevel="0" collapsed="false">
      <c r="B234" s="28" t="s">
        <v>366</v>
      </c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40" t="n">
        <f aca="false">IF(CP233="","",CP233*CP58)</f>
        <v>-3909.4057404</v>
      </c>
      <c r="CQ234" s="40" t="n">
        <f aca="false">IF(CQ233="","",CQ233*CQ58)</f>
        <v>-4190.55899061807</v>
      </c>
      <c r="CR234" s="40" t="n">
        <f aca="false">IF(CR233="","",CR233*CR58)</f>
        <v>-4504.77503673224</v>
      </c>
      <c r="CS234" s="40" t="n">
        <f aca="false">IF(CS233="","",CS233*CS58)</f>
        <v>-4839.18499754501</v>
      </c>
      <c r="CT234" s="40" t="n">
        <f aca="false">IF(CT233="","",CT233*CT58)</f>
        <v>-5198.1378602967</v>
      </c>
      <c r="CU234" s="24"/>
      <c r="CW234" s="6"/>
      <c r="CX234" s="6"/>
      <c r="CY234" s="6"/>
      <c r="CZ234" s="6"/>
    </row>
    <row r="235" customFormat="false" ht="15" hidden="false" customHeight="false" outlineLevel="0" collapsed="false">
      <c r="B235" s="28" t="s">
        <v>367</v>
      </c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40" t="n">
        <f aca="false">CP207+CP189+CP196+CP198+CP199+CP200+CP202+CP203+CP205+CP244</f>
        <v>5826.88221934975</v>
      </c>
      <c r="CQ235" s="40" t="n">
        <f aca="false">CQ207+CQ189+CQ196+CQ198+CQ199+CQ200+CQ202+CQ203+CQ205+CQ244</f>
        <v>5295.8654011964</v>
      </c>
      <c r="CR235" s="40" t="n">
        <f aca="false">CR207+CR189+CR196+CR198+CR199+CR200+CR202+CR203+CR205+CR244</f>
        <v>5682.59366647655</v>
      </c>
      <c r="CS235" s="40" t="n">
        <f aca="false">CS207+CS189+CS196+CS198+CS199+CS200+CS202+CS203+CS205+CS244</f>
        <v>6110.97230709312</v>
      </c>
      <c r="CT235" s="40" t="n">
        <f aca="false">CT207+CT189+CT196+CT198+CT199+CT200+CT202+CT203+CT205+CT244</f>
        <v>6567.92244749889</v>
      </c>
      <c r="CU235" s="24"/>
      <c r="CW235" s="6"/>
      <c r="CX235" s="6"/>
      <c r="CY235" s="6"/>
      <c r="CZ235" s="6"/>
    </row>
    <row r="236" customFormat="false" ht="15" hidden="false" customHeight="false" outlineLevel="0" collapsed="false">
      <c r="B236" s="28" t="s">
        <v>368</v>
      </c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40" t="n">
        <f aca="false">IF(CP233="","",CP235-(CP302-CP234))</f>
        <v>1917.47647894975</v>
      </c>
      <c r="CQ236" s="40" t="n">
        <f aca="false">IF(CQ233="","",CQ235-(CQ302-CQ234))</f>
        <v>1105.30641057833</v>
      </c>
      <c r="CR236" s="40" t="n">
        <f aca="false">IF(CR233="","",CR235-(CR302-CR234))</f>
        <v>1177.81862974431</v>
      </c>
      <c r="CS236" s="40" t="n">
        <f aca="false">IF(CS233="","",CS235-(CS302-CS234))</f>
        <v>1271.78730954811</v>
      </c>
      <c r="CT236" s="40" t="n">
        <f aca="false">IF(CT233="","",CT235-(CT302-CT234))</f>
        <v>1369.78458720219</v>
      </c>
      <c r="CU236" s="24"/>
      <c r="CW236" s="6"/>
      <c r="CX236" s="6"/>
      <c r="CY236" s="6"/>
      <c r="CZ236" s="6"/>
    </row>
    <row r="237" customFormat="false" ht="15" hidden="false" customHeight="false" outlineLevel="0" collapsed="false">
      <c r="B237" s="20" t="s">
        <v>369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3" t="n">
        <f aca="false">IF(CP233="","",MAX(0,CP236))</f>
        <v>1917.47647894975</v>
      </c>
      <c r="CQ237" s="23" t="n">
        <f aca="false">IF(CQ233="","",MAX(0,CQ236))</f>
        <v>1105.30641057833</v>
      </c>
      <c r="CR237" s="23" t="n">
        <f aca="false">IF(CR233="","",MAX(0,CR236))</f>
        <v>1177.81862974431</v>
      </c>
      <c r="CS237" s="23" t="n">
        <f aca="false">IF(CS233="","",MAX(0,CS236))</f>
        <v>1271.78730954811</v>
      </c>
      <c r="CT237" s="23" t="n">
        <f aca="false">IF(CT233="","",MAX(0,CT236))</f>
        <v>1369.78458720219</v>
      </c>
      <c r="CU237" s="24"/>
      <c r="CW237" s="6"/>
      <c r="CX237" s="6"/>
      <c r="CY237" s="6"/>
      <c r="CZ237" s="6"/>
    </row>
    <row r="238" customFormat="false" ht="15" hidden="false" customHeight="false" outlineLevel="0" collapsed="false">
      <c r="B238" s="15"/>
      <c r="CP238" s="6"/>
      <c r="CQ238" s="6"/>
      <c r="CR238" s="6"/>
      <c r="CS238" s="6"/>
      <c r="CT238" s="6"/>
      <c r="CU238" s="6"/>
    </row>
    <row r="239" customFormat="false" ht="15" hidden="false" customHeight="false" outlineLevel="0" collapsed="false">
      <c r="B239" s="11" t="s">
        <v>370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 t="s">
        <v>371</v>
      </c>
    </row>
    <row r="240" customFormat="false" ht="15" hidden="false" customHeight="false" outlineLevel="0" collapsed="false">
      <c r="B240" s="15"/>
      <c r="CP240" s="6"/>
      <c r="CQ240" s="6"/>
      <c r="CR240" s="6"/>
      <c r="CS240" s="6"/>
      <c r="CT240" s="6"/>
      <c r="CU240" s="6"/>
    </row>
    <row r="241" customFormat="false" ht="15" hidden="false" customHeight="false" outlineLevel="0" collapsed="false">
      <c r="B241" s="15" t="s">
        <v>372</v>
      </c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40"/>
      <c r="CQ241" s="40"/>
      <c r="CR241" s="40"/>
      <c r="CS241" s="40"/>
      <c r="CT241" s="40"/>
      <c r="CU241" s="24"/>
      <c r="CW241" s="6"/>
      <c r="CX241" s="6"/>
      <c r="CY241" s="6"/>
      <c r="CZ241" s="6"/>
    </row>
    <row r="242" customFormat="false" ht="15" hidden="false" customHeight="false" outlineLevel="0" collapsed="false">
      <c r="B242" s="15" t="s">
        <v>373</v>
      </c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40"/>
      <c r="CQ242" s="40"/>
      <c r="CR242" s="40"/>
      <c r="CS242" s="40"/>
      <c r="CT242" s="40"/>
      <c r="CU242" s="24"/>
      <c r="CW242" s="6"/>
      <c r="CX242" s="6"/>
      <c r="CY242" s="6"/>
      <c r="CZ242" s="6"/>
    </row>
    <row r="243" customFormat="false" ht="15" hidden="false" customHeight="false" outlineLevel="0" collapsed="false">
      <c r="B243" s="15" t="s">
        <v>374</v>
      </c>
      <c r="C243" s="50" t="n">
        <v>131.125</v>
      </c>
      <c r="D243" s="50" t="n">
        <v>107.621</v>
      </c>
      <c r="E243" s="50" t="n">
        <v>38.954</v>
      </c>
      <c r="F243" s="50" t="n">
        <v>162.691</v>
      </c>
      <c r="G243" s="50" t="n">
        <v>268.188</v>
      </c>
      <c r="H243" s="50" t="n">
        <v>74.009</v>
      </c>
      <c r="I243" s="50" t="n">
        <v>140.112</v>
      </c>
      <c r="J243" s="50"/>
      <c r="K243" s="50"/>
      <c r="L243" s="39"/>
      <c r="M243" s="50"/>
      <c r="N243" s="50"/>
      <c r="O243" s="50" t="n">
        <v>63.631</v>
      </c>
      <c r="P243" s="50"/>
      <c r="Q243" s="50"/>
      <c r="R243" s="39"/>
      <c r="S243" s="50"/>
      <c r="T243" s="50"/>
      <c r="U243" s="50" t="n">
        <v>158.668</v>
      </c>
      <c r="V243" s="50"/>
      <c r="W243" s="50"/>
      <c r="X243" s="39"/>
      <c r="Y243" s="50"/>
      <c r="Z243" s="50"/>
      <c r="AA243" s="50" t="n">
        <v>456.012</v>
      </c>
      <c r="AB243" s="50"/>
      <c r="AC243" s="50"/>
      <c r="AD243" s="39"/>
      <c r="AE243" s="50"/>
      <c r="AF243" s="50"/>
      <c r="AG243" s="50" t="n">
        <v>155.849</v>
      </c>
      <c r="AH243" s="50"/>
      <c r="AI243" s="50"/>
      <c r="AJ243" s="39"/>
      <c r="AK243" s="50"/>
      <c r="AL243" s="50"/>
      <c r="AM243" s="50" t="n">
        <v>210.1</v>
      </c>
      <c r="AN243" s="50"/>
      <c r="AO243" s="50"/>
      <c r="AP243" s="39"/>
      <c r="AQ243" s="50"/>
      <c r="AR243" s="50"/>
      <c r="AS243" s="50" t="n">
        <v>274.52</v>
      </c>
      <c r="AT243" s="50"/>
      <c r="AU243" s="50"/>
      <c r="AV243" s="39"/>
      <c r="AW243" s="50"/>
      <c r="AX243" s="50"/>
      <c r="AY243" s="50" t="n">
        <v>186.319</v>
      </c>
      <c r="AZ243" s="50"/>
      <c r="BA243" s="50"/>
      <c r="BB243" s="39"/>
      <c r="BC243" s="50"/>
      <c r="BD243" s="50"/>
      <c r="BE243" s="50" t="n">
        <v>477.718</v>
      </c>
      <c r="BF243" s="50"/>
      <c r="BG243" s="50"/>
      <c r="BH243" s="39"/>
      <c r="BI243" s="50"/>
      <c r="BJ243" s="50"/>
      <c r="BK243" s="50" t="n">
        <v>1048.26</v>
      </c>
      <c r="BL243" s="50"/>
      <c r="BM243" s="50"/>
      <c r="BN243" s="39"/>
      <c r="BO243" s="50"/>
      <c r="BP243" s="50"/>
      <c r="BQ243" s="50" t="n">
        <v>1384.236</v>
      </c>
      <c r="BR243" s="50"/>
      <c r="BS243" s="50"/>
      <c r="BT243" s="39"/>
      <c r="BU243" s="50"/>
      <c r="BV243" s="50"/>
      <c r="BW243" s="50" t="n">
        <v>957.395</v>
      </c>
      <c r="BX243" s="50"/>
      <c r="BY243" s="50"/>
      <c r="BZ243" s="39"/>
      <c r="CA243" s="50"/>
      <c r="CB243" s="50"/>
      <c r="CC243" s="50" t="n">
        <v>1514.111</v>
      </c>
      <c r="CD243" s="50"/>
      <c r="CE243" s="50"/>
      <c r="CF243" s="39"/>
      <c r="CG243" s="50"/>
      <c r="CH243" s="50"/>
      <c r="CI243" s="50" t="n">
        <v>2780.531</v>
      </c>
      <c r="CJ243" s="50"/>
      <c r="CK243" s="50"/>
      <c r="CL243" s="39"/>
      <c r="CM243" s="50"/>
      <c r="CN243" s="50"/>
      <c r="CO243" s="50" t="n">
        <v>1907.901</v>
      </c>
      <c r="CP243" s="40" t="n">
        <f aca="false">CP208</f>
        <v>1327.5047404</v>
      </c>
      <c r="CQ243" s="40" t="n">
        <f aca="false">CQ208</f>
        <v>1608.65799061807</v>
      </c>
      <c r="CR243" s="40" t="n">
        <f aca="false">CR208</f>
        <v>1922.87403673224</v>
      </c>
      <c r="CS243" s="40" t="n">
        <f aca="false">CS208</f>
        <v>2257.28399754501</v>
      </c>
      <c r="CT243" s="40" t="n">
        <f aca="false">CT208</f>
        <v>2616.2368602967</v>
      </c>
      <c r="CU243" s="24" t="s">
        <v>375</v>
      </c>
      <c r="CW243" s="25"/>
      <c r="CX243" s="25"/>
      <c r="CY243" s="25"/>
      <c r="CZ243" s="25"/>
    </row>
    <row r="244" customFormat="false" ht="15" hidden="false" customHeight="false" outlineLevel="0" collapsed="false">
      <c r="B244" s="15" t="s">
        <v>376</v>
      </c>
      <c r="C244" s="50" t="n">
        <v>148.725</v>
      </c>
      <c r="D244" s="50" t="n">
        <v>102.625</v>
      </c>
      <c r="E244" s="50" t="n">
        <v>0</v>
      </c>
      <c r="F244" s="50" t="n">
        <v>0</v>
      </c>
      <c r="G244" s="50" t="n">
        <v>0</v>
      </c>
      <c r="H244" s="50" t="n">
        <v>0</v>
      </c>
      <c r="I244" s="50" t="n">
        <v>0</v>
      </c>
      <c r="J244" s="50"/>
      <c r="K244" s="50"/>
      <c r="L244" s="39"/>
      <c r="M244" s="50"/>
      <c r="N244" s="50"/>
      <c r="O244" s="50" t="n">
        <v>0</v>
      </c>
      <c r="P244" s="50"/>
      <c r="Q244" s="50"/>
      <c r="R244" s="39"/>
      <c r="S244" s="50"/>
      <c r="T244" s="50"/>
      <c r="U244" s="50" t="n">
        <v>0</v>
      </c>
      <c r="V244" s="50"/>
      <c r="W244" s="50"/>
      <c r="X244" s="39"/>
      <c r="Y244" s="50"/>
      <c r="Z244" s="50"/>
      <c r="AA244" s="50" t="n">
        <v>0</v>
      </c>
      <c r="AB244" s="50"/>
      <c r="AC244" s="50"/>
      <c r="AD244" s="39"/>
      <c r="AE244" s="50"/>
      <c r="AF244" s="50"/>
      <c r="AG244" s="50" t="n">
        <v>0</v>
      </c>
      <c r="AH244" s="50"/>
      <c r="AI244" s="50"/>
      <c r="AJ244" s="39"/>
      <c r="AK244" s="50"/>
      <c r="AL244" s="50"/>
      <c r="AM244" s="50" t="n">
        <v>0</v>
      </c>
      <c r="AN244" s="50"/>
      <c r="AO244" s="50"/>
      <c r="AP244" s="39"/>
      <c r="AQ244" s="50"/>
      <c r="AR244" s="50"/>
      <c r="AS244" s="50" t="n">
        <v>0</v>
      </c>
      <c r="AT244" s="50"/>
      <c r="AU244" s="50"/>
      <c r="AV244" s="39"/>
      <c r="AW244" s="50"/>
      <c r="AX244" s="50"/>
      <c r="AY244" s="50" t="n">
        <v>0</v>
      </c>
      <c r="AZ244" s="50"/>
      <c r="BA244" s="50"/>
      <c r="BB244" s="39"/>
      <c r="BC244" s="50"/>
      <c r="BD244" s="50"/>
      <c r="BE244" s="50" t="n">
        <v>0</v>
      </c>
      <c r="BF244" s="50"/>
      <c r="BG244" s="50"/>
      <c r="BH244" s="39"/>
      <c r="BI244" s="50"/>
      <c r="BJ244" s="50"/>
      <c r="BK244" s="50" t="n">
        <v>0</v>
      </c>
      <c r="BL244" s="50"/>
      <c r="BM244" s="50"/>
      <c r="BN244" s="39"/>
      <c r="BO244" s="50"/>
      <c r="BP244" s="50"/>
      <c r="BQ244" s="50" t="n">
        <v>0</v>
      </c>
      <c r="BR244" s="50"/>
      <c r="BS244" s="50"/>
      <c r="BT244" s="39"/>
      <c r="BU244" s="50"/>
      <c r="BV244" s="50"/>
      <c r="BW244" s="50" t="n">
        <v>1406.589</v>
      </c>
      <c r="BX244" s="50"/>
      <c r="BY244" s="50"/>
      <c r="BZ244" s="39"/>
      <c r="CA244" s="50"/>
      <c r="CB244" s="50"/>
      <c r="CC244" s="50" t="n">
        <v>1908.047</v>
      </c>
      <c r="CD244" s="50"/>
      <c r="CE244" s="50"/>
      <c r="CF244" s="39"/>
      <c r="CG244" s="50"/>
      <c r="CH244" s="50"/>
      <c r="CI244" s="50" t="n">
        <v>2008.539</v>
      </c>
      <c r="CJ244" s="50"/>
      <c r="CK244" s="50"/>
      <c r="CL244" s="39"/>
      <c r="CM244" s="50"/>
      <c r="CN244" s="50"/>
      <c r="CO244" s="50" t="n">
        <v>2581.901</v>
      </c>
      <c r="CP244" s="40" t="n">
        <f aca="false">CO244-CP193-CP194</f>
        <v>2581.901</v>
      </c>
      <c r="CQ244" s="40" t="n">
        <f aca="false">CP244-CQ193-CQ194</f>
        <v>2581.901</v>
      </c>
      <c r="CR244" s="40" t="n">
        <f aca="false">CQ244-CR193-CR194</f>
        <v>2581.901</v>
      </c>
      <c r="CS244" s="40" t="n">
        <f aca="false">CR244-CS193-CS194</f>
        <v>2581.901</v>
      </c>
      <c r="CT244" s="40" t="n">
        <f aca="false">CS244-CT193-CT194</f>
        <v>2581.901</v>
      </c>
      <c r="CU244" s="24"/>
      <c r="CW244" s="25"/>
      <c r="CX244" s="25"/>
      <c r="CY244" s="25"/>
      <c r="CZ244" s="25"/>
    </row>
    <row r="245" customFormat="false" ht="15" hidden="false" customHeight="false" outlineLevel="0" collapsed="false">
      <c r="B245" s="15" t="s">
        <v>377</v>
      </c>
      <c r="C245" s="50" t="n">
        <v>99.959</v>
      </c>
      <c r="D245" s="50" t="n">
        <v>109.895</v>
      </c>
      <c r="E245" s="50" t="n">
        <v>111.705</v>
      </c>
      <c r="F245" s="50" t="n">
        <v>109.248</v>
      </c>
      <c r="G245" s="50" t="n">
        <v>109.061</v>
      </c>
      <c r="H245" s="50" t="n">
        <v>122.859</v>
      </c>
      <c r="I245" s="50" t="n">
        <v>137.9</v>
      </c>
      <c r="J245" s="50"/>
      <c r="K245" s="50"/>
      <c r="L245" s="39"/>
      <c r="M245" s="50"/>
      <c r="N245" s="50"/>
      <c r="O245" s="50" t="n">
        <v>182.714</v>
      </c>
      <c r="P245" s="50"/>
      <c r="Q245" s="50"/>
      <c r="R245" s="39"/>
      <c r="S245" s="50"/>
      <c r="T245" s="50"/>
      <c r="U245" s="50" t="n">
        <v>196.985</v>
      </c>
      <c r="V245" s="50"/>
      <c r="W245" s="50"/>
      <c r="X245" s="39"/>
      <c r="Y245" s="50"/>
      <c r="Z245" s="50"/>
      <c r="AA245" s="50" t="n">
        <v>215.696</v>
      </c>
      <c r="AB245" s="50"/>
      <c r="AC245" s="50"/>
      <c r="AD245" s="39"/>
      <c r="AE245" s="50"/>
      <c r="AF245" s="50"/>
      <c r="AG245" s="50" t="n">
        <v>266.27</v>
      </c>
      <c r="AH245" s="50"/>
      <c r="AI245" s="50"/>
      <c r="AJ245" s="39"/>
      <c r="AK245" s="50"/>
      <c r="AL245" s="50"/>
      <c r="AM245" s="50" t="n">
        <v>311.846</v>
      </c>
      <c r="AN245" s="50"/>
      <c r="AO245" s="50"/>
      <c r="AP245" s="39"/>
      <c r="AQ245" s="50"/>
      <c r="AR245" s="50"/>
      <c r="AS245" s="50" t="n">
        <v>351.601</v>
      </c>
      <c r="AT245" s="50"/>
      <c r="AU245" s="50"/>
      <c r="AV245" s="39"/>
      <c r="AW245" s="50"/>
      <c r="AX245" s="50"/>
      <c r="AY245" s="50" t="n">
        <v>367.265</v>
      </c>
      <c r="AZ245" s="50"/>
      <c r="BA245" s="50"/>
      <c r="BB245" s="39"/>
      <c r="BC245" s="50"/>
      <c r="BD245" s="50"/>
      <c r="BE245" s="50" t="n">
        <v>350.207</v>
      </c>
      <c r="BF245" s="50"/>
      <c r="BG245" s="50"/>
      <c r="BH245" s="39"/>
      <c r="BI245" s="50"/>
      <c r="BJ245" s="50"/>
      <c r="BK245" s="50" t="n">
        <v>480.628</v>
      </c>
      <c r="BL245" s="50"/>
      <c r="BM245" s="50"/>
      <c r="BN245" s="39"/>
      <c r="BO245" s="50"/>
      <c r="BP245" s="50"/>
      <c r="BQ245" s="50" t="n">
        <v>578.573</v>
      </c>
      <c r="BR245" s="50"/>
      <c r="BS245" s="50"/>
      <c r="BT245" s="39"/>
      <c r="BU245" s="50"/>
      <c r="BV245" s="50"/>
      <c r="BW245" s="50" t="n">
        <v>702.038</v>
      </c>
      <c r="BX245" s="50"/>
      <c r="BY245" s="50"/>
      <c r="BZ245" s="39"/>
      <c r="CA245" s="50"/>
      <c r="CB245" s="50"/>
      <c r="CC245" s="50" t="n">
        <v>785.877</v>
      </c>
      <c r="CD245" s="50"/>
      <c r="CE245" s="50"/>
      <c r="CF245" s="39"/>
      <c r="CG245" s="50"/>
      <c r="CH245" s="50"/>
      <c r="CI245" s="50" t="n">
        <v>762.811</v>
      </c>
      <c r="CJ245" s="50"/>
      <c r="CK245" s="50"/>
      <c r="CL245" s="39"/>
      <c r="CM245" s="50"/>
      <c r="CN245" s="50"/>
      <c r="CO245" s="50" t="n">
        <v>809.247</v>
      </c>
      <c r="CP245" s="40" t="n">
        <f aca="false">CP73*CP288/365</f>
        <v>830.079301043836</v>
      </c>
      <c r="CQ245" s="40" t="n">
        <f aca="false">CQ73*CQ288/365</f>
        <v>878.791332380586</v>
      </c>
      <c r="CR245" s="40" t="n">
        <f aca="false">CR73*CR288/365</f>
        <v>933.164224114262</v>
      </c>
      <c r="CS245" s="40" t="n">
        <f aca="false">CS73*CS288/365</f>
        <v>990.3596958171</v>
      </c>
      <c r="CT245" s="40" t="n">
        <f aca="false">CT73*CT288/365</f>
        <v>1051.15638401303</v>
      </c>
      <c r="CU245" s="24" t="s">
        <v>378</v>
      </c>
      <c r="CW245" s="25"/>
      <c r="CX245" s="25"/>
      <c r="CY245" s="25"/>
      <c r="CZ245" s="25"/>
    </row>
    <row r="246" customFormat="false" ht="15" hidden="false" customHeight="false" outlineLevel="0" collapsed="false">
      <c r="B246" s="15" t="s">
        <v>379</v>
      </c>
      <c r="C246" s="50" t="n">
        <v>28.177</v>
      </c>
      <c r="D246" s="50" t="n">
        <v>28.842</v>
      </c>
      <c r="E246" s="50" t="n">
        <v>30.787</v>
      </c>
      <c r="F246" s="50" t="n">
        <v>28.685</v>
      </c>
      <c r="G246" s="50" t="n">
        <v>0</v>
      </c>
      <c r="H246" s="50" t="n">
        <v>17.026</v>
      </c>
      <c r="I246" s="50" t="n">
        <v>15.728</v>
      </c>
      <c r="J246" s="50"/>
      <c r="K246" s="50"/>
      <c r="L246" s="39"/>
      <c r="M246" s="50"/>
      <c r="N246" s="50"/>
      <c r="O246" s="50" t="n">
        <v>20.466</v>
      </c>
      <c r="P246" s="50"/>
      <c r="Q246" s="50"/>
      <c r="R246" s="39"/>
      <c r="S246" s="50"/>
      <c r="T246" s="50"/>
      <c r="U246" s="50" t="n">
        <v>24.438</v>
      </c>
      <c r="V246" s="50"/>
      <c r="W246" s="50"/>
      <c r="X246" s="39"/>
      <c r="Y246" s="50"/>
      <c r="Z246" s="50"/>
      <c r="AA246" s="50" t="n">
        <v>24.949</v>
      </c>
      <c r="AB246" s="50"/>
      <c r="AC246" s="50"/>
      <c r="AD246" s="39"/>
      <c r="AE246" s="50"/>
      <c r="AF246" s="50"/>
      <c r="AG246" s="50" t="n">
        <v>28.599</v>
      </c>
      <c r="AH246" s="50"/>
      <c r="AI246" s="50"/>
      <c r="AJ246" s="39"/>
      <c r="AK246" s="50"/>
      <c r="AL246" s="50"/>
      <c r="AM246" s="50" t="n">
        <v>31.118</v>
      </c>
      <c r="AN246" s="50"/>
      <c r="AO246" s="50"/>
      <c r="AP246" s="39"/>
      <c r="AQ246" s="50"/>
      <c r="AR246" s="50"/>
      <c r="AS246" s="50" t="n">
        <v>34.284</v>
      </c>
      <c r="AT246" s="50"/>
      <c r="AU246" s="50"/>
      <c r="AV246" s="39"/>
      <c r="AW246" s="50"/>
      <c r="AX246" s="50"/>
      <c r="AY246" s="50" t="n">
        <v>76.548</v>
      </c>
      <c r="AZ246" s="50"/>
      <c r="BA246" s="50"/>
      <c r="BB246" s="39"/>
      <c r="BC246" s="50"/>
      <c r="BD246" s="50"/>
      <c r="BE246" s="50" t="n">
        <v>73.684</v>
      </c>
      <c r="BF246" s="50"/>
      <c r="BG246" s="50"/>
      <c r="BH246" s="39"/>
      <c r="BI246" s="50"/>
      <c r="BJ246" s="50"/>
      <c r="BK246" s="50" t="n">
        <v>94.449</v>
      </c>
      <c r="BL246" s="50"/>
      <c r="BM246" s="50"/>
      <c r="BN246" s="39"/>
      <c r="BO246" s="50"/>
      <c r="BP246" s="50"/>
      <c r="BQ246" s="50" t="n">
        <v>112.242</v>
      </c>
      <c r="BR246" s="50"/>
      <c r="BS246" s="50"/>
      <c r="BT246" s="39"/>
      <c r="BU246" s="50"/>
      <c r="BV246" s="50"/>
      <c r="BW246" s="50" t="n">
        <v>123.725</v>
      </c>
      <c r="BX246" s="50"/>
      <c r="BY246" s="50"/>
      <c r="BZ246" s="39"/>
      <c r="CA246" s="50"/>
      <c r="CB246" s="50"/>
      <c r="CC246" s="50" t="n">
        <v>132.638</v>
      </c>
      <c r="CD246" s="50"/>
      <c r="CE246" s="50"/>
      <c r="CF246" s="39"/>
      <c r="CG246" s="50"/>
      <c r="CH246" s="50"/>
      <c r="CI246" s="50" t="n">
        <v>116.145</v>
      </c>
      <c r="CJ246" s="50"/>
      <c r="CK246" s="50"/>
      <c r="CL246" s="39"/>
      <c r="CM246" s="50"/>
      <c r="CN246" s="50"/>
      <c r="CO246" s="50" t="n">
        <v>122.948</v>
      </c>
      <c r="CP246" s="40" t="n">
        <f aca="false">CP71*CP289</f>
        <v>128.9421798205</v>
      </c>
      <c r="CQ246" s="40" t="n">
        <f aca="false">CQ71*CQ289</f>
        <v>136.839892611657</v>
      </c>
      <c r="CR246" s="40" t="n">
        <f aca="false">CR71*CR289</f>
        <v>145.726506046991</v>
      </c>
      <c r="CS246" s="40" t="n">
        <f aca="false">CS71*CS289</f>
        <v>155.082039840247</v>
      </c>
      <c r="CT246" s="40" t="n">
        <f aca="false">CT71*CT289</f>
        <v>165.046509991874</v>
      </c>
      <c r="CU246" s="24"/>
      <c r="CW246" s="25"/>
      <c r="CX246" s="25"/>
      <c r="CY246" s="25"/>
      <c r="CZ246" s="25"/>
    </row>
    <row r="247" customFormat="false" ht="15" hidden="false" customHeight="false" outlineLevel="0" collapsed="false">
      <c r="B247" s="15" t="s">
        <v>380</v>
      </c>
      <c r="C247" s="50" t="n">
        <v>0</v>
      </c>
      <c r="D247" s="50" t="n">
        <v>5.999</v>
      </c>
      <c r="E247" s="50" t="n">
        <v>5.334</v>
      </c>
      <c r="F247" s="50" t="n">
        <v>4.667</v>
      </c>
      <c r="G247" s="50" t="n">
        <v>0</v>
      </c>
      <c r="H247" s="50" t="n">
        <v>8.016</v>
      </c>
      <c r="I247" s="50" t="n">
        <v>8.494</v>
      </c>
      <c r="J247" s="50"/>
      <c r="K247" s="50"/>
      <c r="L247" s="39"/>
      <c r="M247" s="50"/>
      <c r="N247" s="50"/>
      <c r="O247" s="50" t="n">
        <v>10.736</v>
      </c>
      <c r="P247" s="50"/>
      <c r="Q247" s="50"/>
      <c r="R247" s="39"/>
      <c r="S247" s="50"/>
      <c r="T247" s="50"/>
      <c r="U247" s="50" t="n">
        <v>7.259</v>
      </c>
      <c r="V247" s="50"/>
      <c r="W247" s="50"/>
      <c r="X247" s="39"/>
      <c r="Y247" s="50"/>
      <c r="Z247" s="50"/>
      <c r="AA247" s="50" t="n">
        <v>8.613</v>
      </c>
      <c r="AB247" s="50"/>
      <c r="AC247" s="50"/>
      <c r="AD247" s="39"/>
      <c r="AE247" s="50"/>
      <c r="AF247" s="50"/>
      <c r="AG247" s="50" t="n">
        <v>10.388</v>
      </c>
      <c r="AH247" s="50"/>
      <c r="AI247" s="50"/>
      <c r="AJ247" s="39"/>
      <c r="AK247" s="50"/>
      <c r="AL247" s="50"/>
      <c r="AM247" s="50" t="n">
        <v>10.163</v>
      </c>
      <c r="AN247" s="50"/>
      <c r="AO247" s="50"/>
      <c r="AP247" s="39"/>
      <c r="AQ247" s="50"/>
      <c r="AR247" s="50"/>
      <c r="AS247" s="50" t="n">
        <v>16.734</v>
      </c>
      <c r="AT247" s="50"/>
      <c r="AU247" s="50"/>
      <c r="AV247" s="39"/>
      <c r="AW247" s="50"/>
      <c r="AX247" s="50"/>
      <c r="AY247" s="50" t="n">
        <v>20.941</v>
      </c>
      <c r="AZ247" s="50"/>
      <c r="BA247" s="50"/>
      <c r="BB247" s="39"/>
      <c r="BC247" s="50"/>
      <c r="BD247" s="50"/>
      <c r="BE247" s="50" t="n">
        <v>20.08</v>
      </c>
      <c r="BF247" s="50"/>
      <c r="BG247" s="50"/>
      <c r="BH247" s="39"/>
      <c r="BI247" s="50"/>
      <c r="BJ247" s="50"/>
      <c r="BK247" s="50" t="n">
        <v>44.968</v>
      </c>
      <c r="BL247" s="50"/>
      <c r="BM247" s="50"/>
      <c r="BN247" s="39"/>
      <c r="BO247" s="50"/>
      <c r="BP247" s="50"/>
      <c r="BQ247" s="50" t="n">
        <v>58.791</v>
      </c>
      <c r="BR247" s="50"/>
      <c r="BS247" s="50"/>
      <c r="BT247" s="39"/>
      <c r="BU247" s="50"/>
      <c r="BV247" s="50"/>
      <c r="BW247" s="50" t="n">
        <v>39.973</v>
      </c>
      <c r="BX247" s="50"/>
      <c r="BY247" s="50"/>
      <c r="BZ247" s="39"/>
      <c r="CA247" s="50"/>
      <c r="CB247" s="50"/>
      <c r="CC247" s="50" t="n">
        <v>43.639</v>
      </c>
      <c r="CD247" s="50"/>
      <c r="CE247" s="50"/>
      <c r="CF247" s="39"/>
      <c r="CG247" s="50"/>
      <c r="CH247" s="50"/>
      <c r="CI247" s="50" t="n">
        <v>39.661</v>
      </c>
      <c r="CJ247" s="50"/>
      <c r="CK247" s="50"/>
      <c r="CL247" s="39"/>
      <c r="CM247" s="50"/>
      <c r="CN247" s="50"/>
      <c r="CO247" s="50" t="n">
        <v>51.382</v>
      </c>
      <c r="CP247" s="40" t="n">
        <f aca="false">CP75*CP290/365</f>
        <v>52.9059318657534</v>
      </c>
      <c r="CQ247" s="40" t="n">
        <f aca="false">CQ75*CQ290/365</f>
        <v>55.2341496503836</v>
      </c>
      <c r="CR247" s="40" t="n">
        <f aca="false">CR75*CR290/365</f>
        <v>57.6660951718989</v>
      </c>
      <c r="CS247" s="40" t="n">
        <f aca="false">CS75*CS290/365</f>
        <v>60.2064474910499</v>
      </c>
      <c r="CT247" s="40" t="n">
        <f aca="false">CT75*CT290/365</f>
        <v>62.8600993285806</v>
      </c>
      <c r="CU247" s="24"/>
      <c r="CW247" s="25"/>
      <c r="CX247" s="25"/>
      <c r="CY247" s="25"/>
      <c r="CZ247" s="25"/>
    </row>
    <row r="248" customFormat="false" ht="15" hidden="false" customHeight="false" outlineLevel="0" collapsed="false">
      <c r="B248" s="15" t="s">
        <v>381</v>
      </c>
      <c r="C248" s="50" t="n">
        <v>2.064</v>
      </c>
      <c r="D248" s="50" t="n">
        <v>3.208</v>
      </c>
      <c r="E248" s="50" t="n">
        <v>19.041</v>
      </c>
      <c r="F248" s="50" t="n">
        <v>5.426</v>
      </c>
      <c r="G248" s="50" t="n">
        <v>10.958</v>
      </c>
      <c r="H248" s="50" t="n">
        <v>5.145</v>
      </c>
      <c r="I248" s="50" t="n">
        <v>2.312</v>
      </c>
      <c r="J248" s="50"/>
      <c r="K248" s="50"/>
      <c r="L248" s="39"/>
      <c r="M248" s="50"/>
      <c r="N248" s="50"/>
      <c r="O248" s="50" t="n">
        <v>9.416</v>
      </c>
      <c r="P248" s="50"/>
      <c r="Q248" s="50"/>
      <c r="R248" s="39"/>
      <c r="S248" s="50"/>
      <c r="T248" s="50"/>
      <c r="U248" s="50" t="n">
        <v>2.288</v>
      </c>
      <c r="V248" s="50"/>
      <c r="W248" s="50"/>
      <c r="X248" s="39"/>
      <c r="Y248" s="50"/>
      <c r="Z248" s="50"/>
      <c r="AA248" s="50" t="n">
        <v>6.092</v>
      </c>
      <c r="AB248" s="50"/>
      <c r="AC248" s="50"/>
      <c r="AD248" s="39"/>
      <c r="AE248" s="50"/>
      <c r="AF248" s="50"/>
      <c r="AG248" s="50" t="n">
        <v>18.751</v>
      </c>
      <c r="AH248" s="50"/>
      <c r="AI248" s="50"/>
      <c r="AJ248" s="39"/>
      <c r="AK248" s="50"/>
      <c r="AL248" s="50"/>
      <c r="AM248" s="50" t="n">
        <v>6.418</v>
      </c>
      <c r="AN248" s="50"/>
      <c r="AO248" s="50"/>
      <c r="AP248" s="39"/>
      <c r="AQ248" s="50"/>
      <c r="AR248" s="50"/>
      <c r="AS248" s="50" t="n">
        <v>15.312</v>
      </c>
      <c r="AT248" s="50"/>
      <c r="AU248" s="50"/>
      <c r="AV248" s="39"/>
      <c r="AW248" s="50"/>
      <c r="AX248" s="50"/>
      <c r="AY248" s="50" t="n">
        <v>19.526</v>
      </c>
      <c r="AZ248" s="50"/>
      <c r="BA248" s="50"/>
      <c r="BB248" s="39"/>
      <c r="BC248" s="50"/>
      <c r="BD248" s="50"/>
      <c r="BE248" s="50" t="n">
        <v>26.74</v>
      </c>
      <c r="BF248" s="50"/>
      <c r="BG248" s="50"/>
      <c r="BH248" s="39"/>
      <c r="BI248" s="50"/>
      <c r="BJ248" s="50"/>
      <c r="BK248" s="50" t="n">
        <v>20.012</v>
      </c>
      <c r="BL248" s="50"/>
      <c r="BM248" s="50"/>
      <c r="BN248" s="39"/>
      <c r="BO248" s="50"/>
      <c r="BP248" s="50"/>
      <c r="BQ248" s="50" t="n">
        <v>49.882</v>
      </c>
      <c r="BR248" s="50"/>
      <c r="BS248" s="50"/>
      <c r="BT248" s="39"/>
      <c r="BU248" s="50"/>
      <c r="BV248" s="50"/>
      <c r="BW248" s="50" t="n">
        <v>6.574</v>
      </c>
      <c r="BX248" s="50"/>
      <c r="BY248" s="50"/>
      <c r="BZ248" s="39"/>
      <c r="CA248" s="50"/>
      <c r="CB248" s="50"/>
      <c r="CC248" s="50" t="n">
        <v>0</v>
      </c>
      <c r="CD248" s="50"/>
      <c r="CE248" s="50"/>
      <c r="CF248" s="39"/>
      <c r="CG248" s="50"/>
      <c r="CH248" s="50"/>
      <c r="CI248" s="50" t="n">
        <v>0.58</v>
      </c>
      <c r="CJ248" s="50"/>
      <c r="CK248" s="50"/>
      <c r="CL248" s="39"/>
      <c r="CM248" s="50"/>
      <c r="CN248" s="50"/>
      <c r="CO248" s="50" t="n">
        <v>49.856</v>
      </c>
      <c r="CP248" s="40" t="n">
        <f aca="false">CO248</f>
        <v>49.856</v>
      </c>
      <c r="CQ248" s="40" t="n">
        <f aca="false">CP248</f>
        <v>49.856</v>
      </c>
      <c r="CR248" s="40" t="n">
        <f aca="false">CQ248</f>
        <v>49.856</v>
      </c>
      <c r="CS248" s="40" t="n">
        <f aca="false">CR248</f>
        <v>49.856</v>
      </c>
      <c r="CT248" s="40" t="n">
        <f aca="false">CS248</f>
        <v>49.856</v>
      </c>
      <c r="CU248" s="24"/>
      <c r="CW248" s="25"/>
      <c r="CX248" s="25"/>
      <c r="CY248" s="25"/>
      <c r="CZ248" s="25"/>
    </row>
    <row r="249" customFormat="false" ht="15" hidden="false" customHeight="false" outlineLevel="0" collapsed="false">
      <c r="B249" s="15" t="s">
        <v>382</v>
      </c>
      <c r="C249" s="50" t="n">
        <v>5.835</v>
      </c>
      <c r="D249" s="50" t="n">
        <v>5.518</v>
      </c>
      <c r="E249" s="50" t="n">
        <v>6.932</v>
      </c>
      <c r="F249" s="50" t="n">
        <v>5.216</v>
      </c>
      <c r="G249" s="50" t="n">
        <v>49.208</v>
      </c>
      <c r="H249" s="50" t="n">
        <v>14.813</v>
      </c>
      <c r="I249" s="50" t="n">
        <v>16.681</v>
      </c>
      <c r="J249" s="50"/>
      <c r="K249" s="50"/>
      <c r="L249" s="39"/>
      <c r="M249" s="50"/>
      <c r="N249" s="50"/>
      <c r="O249" s="50" t="n">
        <v>19.489</v>
      </c>
      <c r="P249" s="50"/>
      <c r="Q249" s="50"/>
      <c r="R249" s="39"/>
      <c r="S249" s="50"/>
      <c r="T249" s="50"/>
      <c r="U249" s="50" t="n">
        <v>22.653</v>
      </c>
      <c r="V249" s="50"/>
      <c r="W249" s="50"/>
      <c r="X249" s="39"/>
      <c r="Y249" s="50"/>
      <c r="Z249" s="50"/>
      <c r="AA249" s="50" t="n">
        <v>23.22</v>
      </c>
      <c r="AB249" s="50"/>
      <c r="AC249" s="50"/>
      <c r="AD249" s="39"/>
      <c r="AE249" s="50"/>
      <c r="AF249" s="50"/>
      <c r="AG249" s="50" t="n">
        <v>19.449</v>
      </c>
      <c r="AH249" s="50"/>
      <c r="AI249" s="50"/>
      <c r="AJ249" s="39"/>
      <c r="AK249" s="50"/>
      <c r="AL249" s="50"/>
      <c r="AM249" s="50" t="n">
        <v>17.616</v>
      </c>
      <c r="AN249" s="50"/>
      <c r="AO249" s="50"/>
      <c r="AP249" s="39"/>
      <c r="AQ249" s="50"/>
      <c r="AR249" s="50"/>
      <c r="AS249" s="50" t="n">
        <v>16.665</v>
      </c>
      <c r="AT249" s="50"/>
      <c r="AU249" s="50"/>
      <c r="AV249" s="39"/>
      <c r="AW249" s="50"/>
      <c r="AX249" s="50"/>
      <c r="AY249" s="50" t="n">
        <v>16.568</v>
      </c>
      <c r="AZ249" s="50"/>
      <c r="BA249" s="50"/>
      <c r="BB249" s="39"/>
      <c r="BC249" s="50"/>
      <c r="BD249" s="50"/>
      <c r="BE249" s="50" t="n">
        <v>15.33</v>
      </c>
      <c r="BF249" s="50"/>
      <c r="BG249" s="50"/>
      <c r="BH249" s="39"/>
      <c r="BI249" s="50"/>
      <c r="BJ249" s="50"/>
      <c r="BK249" s="50" t="n">
        <v>14.294</v>
      </c>
      <c r="BL249" s="50"/>
      <c r="BM249" s="50"/>
      <c r="BN249" s="39"/>
      <c r="BO249" s="50"/>
      <c r="BP249" s="50"/>
      <c r="BQ249" s="50" t="n">
        <v>18.731</v>
      </c>
      <c r="BR249" s="50"/>
      <c r="BS249" s="50"/>
      <c r="BT249" s="39"/>
      <c r="BU249" s="50"/>
      <c r="BV249" s="50"/>
      <c r="BW249" s="50" t="n">
        <v>26.31</v>
      </c>
      <c r="BX249" s="50"/>
      <c r="BY249" s="50"/>
      <c r="BZ249" s="39"/>
      <c r="CA249" s="50"/>
      <c r="CB249" s="50"/>
      <c r="CC249" s="50" t="n">
        <v>33.872</v>
      </c>
      <c r="CD249" s="50"/>
      <c r="CE249" s="50"/>
      <c r="CF249" s="39"/>
      <c r="CG249" s="50"/>
      <c r="CH249" s="50"/>
      <c r="CI249" s="50" t="n">
        <v>46.361</v>
      </c>
      <c r="CJ249" s="50"/>
      <c r="CK249" s="50"/>
      <c r="CL249" s="39"/>
      <c r="CM249" s="50"/>
      <c r="CN249" s="50"/>
      <c r="CO249" s="50" t="n">
        <v>44.959</v>
      </c>
      <c r="CP249" s="40" t="n">
        <f aca="false">CO249</f>
        <v>44.959</v>
      </c>
      <c r="CQ249" s="40" t="n">
        <f aca="false">CP249</f>
        <v>44.959</v>
      </c>
      <c r="CR249" s="40" t="n">
        <f aca="false">CQ249</f>
        <v>44.959</v>
      </c>
      <c r="CS249" s="40" t="n">
        <f aca="false">CR249</f>
        <v>44.959</v>
      </c>
      <c r="CT249" s="40" t="n">
        <f aca="false">CS249</f>
        <v>44.959</v>
      </c>
      <c r="CU249" s="24"/>
      <c r="CW249" s="25"/>
      <c r="CX249" s="25"/>
      <c r="CY249" s="25"/>
      <c r="CZ249" s="25"/>
    </row>
    <row r="250" customFormat="false" ht="15" hidden="false" customHeight="false" outlineLevel="0" collapsed="false">
      <c r="B250" s="20" t="s">
        <v>383</v>
      </c>
      <c r="C250" s="21" t="n">
        <f aca="false">IF(ISNUMBER(C243),SUM(C243:C249),"")</f>
        <v>415.885</v>
      </c>
      <c r="D250" s="21" t="n">
        <f aca="false">IF(ISNUMBER(D243),SUM(D243:D249),"")</f>
        <v>363.708</v>
      </c>
      <c r="E250" s="21" t="n">
        <f aca="false">IF(ISNUMBER(E243),SUM(E243:E249),"")</f>
        <v>212.753</v>
      </c>
      <c r="F250" s="21" t="n">
        <f aca="false">IF(ISNUMBER(F243),SUM(F243:F249),"")</f>
        <v>315.933</v>
      </c>
      <c r="G250" s="21" t="n">
        <f aca="false">IF(ISNUMBER(G243),SUM(G243:G249),"")</f>
        <v>437.415</v>
      </c>
      <c r="H250" s="21" t="n">
        <f aca="false">IF(ISNUMBER(H243),SUM(H243:H249),"")</f>
        <v>241.868</v>
      </c>
      <c r="I250" s="21" t="n">
        <f aca="false">IF(ISNUMBER(I243),SUM(I243:I249),"")</f>
        <v>321.227</v>
      </c>
      <c r="J250" s="21"/>
      <c r="K250" s="21"/>
      <c r="L250" s="21"/>
      <c r="M250" s="21"/>
      <c r="N250" s="21"/>
      <c r="O250" s="21" t="n">
        <f aca="false">IF(ISNUMBER(O243),SUM(O243:O249),"")</f>
        <v>306.452</v>
      </c>
      <c r="P250" s="21"/>
      <c r="Q250" s="21"/>
      <c r="R250" s="21"/>
      <c r="S250" s="21"/>
      <c r="T250" s="21"/>
      <c r="U250" s="21" t="n">
        <f aca="false">IF(ISNUMBER(U243),SUM(U243:U249),"")</f>
        <v>412.291</v>
      </c>
      <c r="V250" s="21"/>
      <c r="W250" s="21"/>
      <c r="X250" s="21"/>
      <c r="Y250" s="21"/>
      <c r="Z250" s="21"/>
      <c r="AA250" s="21" t="n">
        <f aca="false">IF(ISNUMBER(AA243),SUM(AA243:AA249),"")</f>
        <v>734.582</v>
      </c>
      <c r="AB250" s="21"/>
      <c r="AC250" s="21"/>
      <c r="AD250" s="21"/>
      <c r="AE250" s="21"/>
      <c r="AF250" s="21"/>
      <c r="AG250" s="21" t="n">
        <f aca="false">IF(ISNUMBER(AG243),SUM(AG243:AG249),"")</f>
        <v>499.306</v>
      </c>
      <c r="AH250" s="21"/>
      <c r="AI250" s="21"/>
      <c r="AJ250" s="21"/>
      <c r="AK250" s="21"/>
      <c r="AL250" s="21"/>
      <c r="AM250" s="21" t="n">
        <f aca="false">IF(ISNUMBER(AM243),SUM(AM243:AM249),"")</f>
        <v>587.261</v>
      </c>
      <c r="AN250" s="21"/>
      <c r="AO250" s="21"/>
      <c r="AP250" s="21"/>
      <c r="AQ250" s="21"/>
      <c r="AR250" s="21"/>
      <c r="AS250" s="21" t="n">
        <f aca="false">IF(ISNUMBER(AS243),SUM(AS243:AS249),"")</f>
        <v>709.116</v>
      </c>
      <c r="AT250" s="21"/>
      <c r="AU250" s="21"/>
      <c r="AV250" s="21"/>
      <c r="AW250" s="21"/>
      <c r="AX250" s="21"/>
      <c r="AY250" s="21" t="n">
        <f aca="false">IF(ISNUMBER(AY243),SUM(AY243:AY249),"")</f>
        <v>687.167</v>
      </c>
      <c r="AZ250" s="21"/>
      <c r="BA250" s="21"/>
      <c r="BB250" s="21"/>
      <c r="BC250" s="21"/>
      <c r="BD250" s="21"/>
      <c r="BE250" s="21" t="n">
        <f aca="false">IF(ISNUMBER(BE243),SUM(BE243:BE249),"")</f>
        <v>963.759</v>
      </c>
      <c r="BF250" s="21"/>
      <c r="BG250" s="21"/>
      <c r="BH250" s="21"/>
      <c r="BI250" s="21"/>
      <c r="BJ250" s="21"/>
      <c r="BK250" s="21" t="n">
        <f aca="false">IF(ISNUMBER(BK243),SUM(BK243:BK249),"")</f>
        <v>1702.611</v>
      </c>
      <c r="BL250" s="21"/>
      <c r="BM250" s="21"/>
      <c r="BN250" s="21"/>
      <c r="BO250" s="21"/>
      <c r="BP250" s="21"/>
      <c r="BQ250" s="21" t="n">
        <f aca="false">IF(ISNUMBER(BQ243),SUM(BQ243:BQ249),"")</f>
        <v>2202.455</v>
      </c>
      <c r="BR250" s="21"/>
      <c r="BS250" s="21"/>
      <c r="BT250" s="21"/>
      <c r="BU250" s="21"/>
      <c r="BV250" s="21"/>
      <c r="BW250" s="21" t="n">
        <f aca="false">IF(ISNUMBER(BW243),SUM(BW243:BW249),"")</f>
        <v>3262.604</v>
      </c>
      <c r="BX250" s="21"/>
      <c r="BY250" s="21"/>
      <c r="BZ250" s="21"/>
      <c r="CA250" s="21"/>
      <c r="CB250" s="21"/>
      <c r="CC250" s="21" t="n">
        <f aca="false">IF(ISNUMBER(CC243),SUM(CC243:CC249),"")</f>
        <v>4418.184</v>
      </c>
      <c r="CD250" s="21"/>
      <c r="CE250" s="21"/>
      <c r="CF250" s="21"/>
      <c r="CG250" s="21"/>
      <c r="CH250" s="21"/>
      <c r="CI250" s="21" t="n">
        <f aca="false">IF(ISNUMBER(CI243),SUM(CI243:CI249),"")</f>
        <v>5754.628</v>
      </c>
      <c r="CJ250" s="21"/>
      <c r="CK250" s="21"/>
      <c r="CL250" s="21"/>
      <c r="CM250" s="21"/>
      <c r="CN250" s="21"/>
      <c r="CO250" s="21" t="n">
        <f aca="false">IF(ISNUMBER(CO243),SUM(CO243:CO249),"")</f>
        <v>5568.194</v>
      </c>
      <c r="CP250" s="23" t="n">
        <f aca="false">SUM(CP243:CP249)</f>
        <v>5016.14815313009</v>
      </c>
      <c r="CQ250" s="23" t="n">
        <f aca="false">SUM(CQ243:CQ249)</f>
        <v>5356.23936526069</v>
      </c>
      <c r="CR250" s="23" t="n">
        <f aca="false">SUM(CR243:CR249)</f>
        <v>5736.14686206539</v>
      </c>
      <c r="CS250" s="23" t="n">
        <f aca="false">SUM(CS243:CS249)</f>
        <v>6139.6481806934</v>
      </c>
      <c r="CT250" s="23" t="n">
        <f aca="false">SUM(CT243:CT249)</f>
        <v>6572.01585363018</v>
      </c>
      <c r="CU250" s="24"/>
      <c r="CW250" s="6"/>
      <c r="CX250" s="6"/>
      <c r="CY250" s="6"/>
      <c r="CZ250" s="6"/>
    </row>
    <row r="251" customFormat="false" ht="15" hidden="false" customHeight="false" outlineLevel="0" collapsed="false">
      <c r="B251" s="15" t="s">
        <v>384</v>
      </c>
      <c r="C251" s="50" t="n">
        <v>341.943</v>
      </c>
      <c r="D251" s="50" t="n">
        <v>420.664</v>
      </c>
      <c r="E251" s="50" t="n">
        <v>510.34</v>
      </c>
      <c r="F251" s="50" t="n">
        <v>530.886</v>
      </c>
      <c r="G251" s="50" t="n">
        <v>573.514</v>
      </c>
      <c r="H251" s="50" t="n">
        <v>600.388</v>
      </c>
      <c r="I251" s="50" t="n">
        <v>587.163</v>
      </c>
      <c r="J251" s="50"/>
      <c r="K251" s="50"/>
      <c r="L251" s="39"/>
      <c r="M251" s="50"/>
      <c r="N251" s="50"/>
      <c r="O251" s="50" t="n">
        <v>677.517</v>
      </c>
      <c r="P251" s="50"/>
      <c r="Q251" s="50"/>
      <c r="R251" s="39"/>
      <c r="S251" s="50"/>
      <c r="T251" s="50"/>
      <c r="U251" s="50" t="n">
        <v>692.383</v>
      </c>
      <c r="V251" s="50"/>
      <c r="W251" s="50"/>
      <c r="X251" s="39"/>
      <c r="Y251" s="50"/>
      <c r="Z251" s="50"/>
      <c r="AA251" s="50" t="n">
        <v>700.402</v>
      </c>
      <c r="AB251" s="50"/>
      <c r="AC251" s="50"/>
      <c r="AD251" s="39"/>
      <c r="AE251" s="50"/>
      <c r="AF251" s="50"/>
      <c r="AG251" s="50" t="n">
        <v>816.791</v>
      </c>
      <c r="AH251" s="50"/>
      <c r="AI251" s="50"/>
      <c r="AJ251" s="39"/>
      <c r="AK251" s="50"/>
      <c r="AL251" s="50"/>
      <c r="AM251" s="50" t="n">
        <v>944.056</v>
      </c>
      <c r="AN251" s="50"/>
      <c r="AO251" s="50"/>
      <c r="AP251" s="39"/>
      <c r="AQ251" s="50"/>
      <c r="AR251" s="50"/>
      <c r="AS251" s="50" t="n">
        <v>1163.425</v>
      </c>
      <c r="AT251" s="50"/>
      <c r="AU251" s="50"/>
      <c r="AV251" s="39"/>
      <c r="AW251" s="50"/>
      <c r="AX251" s="50"/>
      <c r="AY251" s="50" t="n">
        <v>1427.726</v>
      </c>
      <c r="AZ251" s="50"/>
      <c r="BA251" s="50"/>
      <c r="BB251" s="39"/>
      <c r="BC251" s="50"/>
      <c r="BD251" s="50"/>
      <c r="BE251" s="50" t="n">
        <v>1941.719</v>
      </c>
      <c r="BF251" s="50"/>
      <c r="BG251" s="50"/>
      <c r="BH251" s="39"/>
      <c r="BI251" s="50"/>
      <c r="BJ251" s="50"/>
      <c r="BK251" s="50" t="n">
        <v>2296.624</v>
      </c>
      <c r="BL251" s="50"/>
      <c r="BM251" s="50"/>
      <c r="BN251" s="39"/>
      <c r="BO251" s="50"/>
      <c r="BP251" s="50"/>
      <c r="BQ251" s="50" t="n">
        <v>2485.764</v>
      </c>
      <c r="BR251" s="50"/>
      <c r="BS251" s="50"/>
      <c r="BT251" s="39"/>
      <c r="BU251" s="50"/>
      <c r="BV251" s="50"/>
      <c r="BW251" s="50" t="n">
        <v>2844.339</v>
      </c>
      <c r="BX251" s="50"/>
      <c r="BY251" s="50"/>
      <c r="BZ251" s="39"/>
      <c r="CA251" s="50"/>
      <c r="CB251" s="50"/>
      <c r="CC251" s="50" t="n">
        <v>3175.838</v>
      </c>
      <c r="CD251" s="50"/>
      <c r="CE251" s="50"/>
      <c r="CF251" s="39"/>
      <c r="CG251" s="50"/>
      <c r="CH251" s="50"/>
      <c r="CI251" s="50" t="n">
        <v>3598.093</v>
      </c>
      <c r="CJ251" s="50"/>
      <c r="CK251" s="50"/>
      <c r="CL251" s="39"/>
      <c r="CM251" s="50"/>
      <c r="CN251" s="50"/>
      <c r="CO251" s="50" t="n">
        <v>3733.22</v>
      </c>
      <c r="CP251" s="40" t="n">
        <f aca="false">CO251-CP190-(CP191+CP183)-CP185-(CP102-CP104)</f>
        <v>3965.1240728975</v>
      </c>
      <c r="CQ251" s="40" t="n">
        <f aca="false">CP251-CQ190-(CQ191+CQ183)-CQ185-(CQ102-CQ104)</f>
        <v>4208.93290570962</v>
      </c>
      <c r="CR251" s="40" t="n">
        <f aca="false">CQ251-CR190-(CR191+CR183)-CR185-(CR102-CR104)</f>
        <v>4465.14616992053</v>
      </c>
      <c r="CS251" s="40" t="n">
        <f aca="false">CR251-CS190-(CS191+CS183)-CS185-(CS102-CS104)</f>
        <v>4734.51162159466</v>
      </c>
      <c r="CT251" s="40" t="n">
        <f aca="false">CS251-CT190-(CT191+CT183)-CT185-(CT102-CT104)</f>
        <v>5017.98329268198</v>
      </c>
      <c r="CU251" s="24" t="s">
        <v>385</v>
      </c>
      <c r="CW251" s="25"/>
      <c r="CX251" s="25"/>
      <c r="CY251" s="25"/>
      <c r="CZ251" s="25"/>
    </row>
    <row r="252" customFormat="false" ht="15" hidden="false" customHeight="false" outlineLevel="0" collapsed="false">
      <c r="B252" s="15" t="s">
        <v>386</v>
      </c>
      <c r="C252" s="50" t="n">
        <v>0</v>
      </c>
      <c r="D252" s="50" t="n">
        <v>0</v>
      </c>
      <c r="E252" s="50" t="n">
        <v>0</v>
      </c>
      <c r="F252" s="50" t="n">
        <v>0</v>
      </c>
      <c r="G252" s="50" t="n">
        <v>0</v>
      </c>
      <c r="H252" s="50" t="n">
        <v>0</v>
      </c>
      <c r="I252" s="50" t="n">
        <v>0</v>
      </c>
      <c r="J252" s="50"/>
      <c r="K252" s="50"/>
      <c r="L252" s="39"/>
      <c r="M252" s="50"/>
      <c r="N252" s="50"/>
      <c r="O252" s="50" t="n">
        <v>0</v>
      </c>
      <c r="P252" s="50"/>
      <c r="Q252" s="50"/>
      <c r="R252" s="39"/>
      <c r="S252" s="50"/>
      <c r="T252" s="50"/>
      <c r="U252" s="50" t="n">
        <v>0</v>
      </c>
      <c r="V252" s="50"/>
      <c r="W252" s="50"/>
      <c r="X252" s="39"/>
      <c r="Y252" s="50"/>
      <c r="Z252" s="50"/>
      <c r="AA252" s="50" t="n">
        <v>0</v>
      </c>
      <c r="AB252" s="50"/>
      <c r="AC252" s="50"/>
      <c r="AD252" s="39"/>
      <c r="AE252" s="50"/>
      <c r="AF252" s="50"/>
      <c r="AG252" s="50" t="n">
        <v>0</v>
      </c>
      <c r="AH252" s="50"/>
      <c r="AI252" s="50"/>
      <c r="AJ252" s="39"/>
      <c r="AK252" s="50"/>
      <c r="AL252" s="50"/>
      <c r="AM252" s="50" t="n">
        <v>0</v>
      </c>
      <c r="AN252" s="50"/>
      <c r="AO252" s="50"/>
      <c r="AP252" s="39"/>
      <c r="AQ252" s="50"/>
      <c r="AR252" s="50"/>
      <c r="AS252" s="50" t="n">
        <v>0</v>
      </c>
      <c r="AT252" s="50"/>
      <c r="AU252" s="50"/>
      <c r="AV252" s="39"/>
      <c r="AW252" s="50"/>
      <c r="AX252" s="50"/>
      <c r="AY252" s="50" t="n">
        <v>0</v>
      </c>
      <c r="AZ252" s="50"/>
      <c r="BA252" s="50"/>
      <c r="BB252" s="39"/>
      <c r="BC252" s="50"/>
      <c r="BD252" s="50"/>
      <c r="BE252" s="50" t="n">
        <v>118.455</v>
      </c>
      <c r="BF252" s="50"/>
      <c r="BG252" s="50"/>
      <c r="BH252" s="39"/>
      <c r="BI252" s="50"/>
      <c r="BJ252" s="50"/>
      <c r="BK252" s="50" t="n">
        <v>119.487</v>
      </c>
      <c r="BL252" s="50"/>
      <c r="BM252" s="50"/>
      <c r="BN252" s="39"/>
      <c r="BO252" s="50"/>
      <c r="BP252" s="50"/>
      <c r="BQ252" s="50" t="n">
        <v>116.303</v>
      </c>
      <c r="BR252" s="50"/>
      <c r="BS252" s="50"/>
      <c r="BT252" s="39"/>
      <c r="BU252" s="50"/>
      <c r="BV252" s="50"/>
      <c r="BW252" s="50" t="n">
        <v>108.139</v>
      </c>
      <c r="BX252" s="50"/>
      <c r="BY252" s="50"/>
      <c r="BZ252" s="39"/>
      <c r="CA252" s="50"/>
      <c r="CB252" s="50"/>
      <c r="CC252" s="50" t="n">
        <v>116.301</v>
      </c>
      <c r="CD252" s="50"/>
      <c r="CE252" s="50"/>
      <c r="CF252" s="39"/>
      <c r="CG252" s="50"/>
      <c r="CH252" s="50"/>
      <c r="CI252" s="50" t="n">
        <v>99.708</v>
      </c>
      <c r="CJ252" s="50"/>
      <c r="CK252" s="50"/>
      <c r="CL252" s="39"/>
      <c r="CM252" s="50"/>
      <c r="CN252" s="50"/>
      <c r="CO252" s="50" t="n">
        <v>83.728</v>
      </c>
      <c r="CP252" s="40" t="n">
        <f aca="false">CO252</f>
        <v>83.728</v>
      </c>
      <c r="CQ252" s="40" t="n">
        <f aca="false">CP252</f>
        <v>83.728</v>
      </c>
      <c r="CR252" s="40" t="n">
        <f aca="false">CQ252</f>
        <v>83.728</v>
      </c>
      <c r="CS252" s="40" t="n">
        <f aca="false">CR252</f>
        <v>83.728</v>
      </c>
      <c r="CT252" s="40" t="n">
        <f aca="false">CS252</f>
        <v>83.728</v>
      </c>
      <c r="CU252" s="24"/>
      <c r="CW252" s="25"/>
      <c r="CX252" s="25"/>
      <c r="CY252" s="25"/>
      <c r="CZ252" s="25"/>
    </row>
    <row r="253" customFormat="false" ht="15" hidden="false" customHeight="false" outlineLevel="0" collapsed="false">
      <c r="B253" s="15" t="s">
        <v>387</v>
      </c>
      <c r="C253" s="50" t="n">
        <v>1.874</v>
      </c>
      <c r="D253" s="50" t="n">
        <v>27.442</v>
      </c>
      <c r="E253" s="50" t="n">
        <v>21.901</v>
      </c>
      <c r="F253" s="50" t="n">
        <v>15.212</v>
      </c>
      <c r="G253" s="50" t="n">
        <v>13.016</v>
      </c>
      <c r="H253" s="50" t="n">
        <v>12.748</v>
      </c>
      <c r="I253" s="50" t="n">
        <v>7.985</v>
      </c>
      <c r="J253" s="50"/>
      <c r="K253" s="50"/>
      <c r="L253" s="39"/>
      <c r="M253" s="50"/>
      <c r="N253" s="50"/>
      <c r="O253" s="50" t="n">
        <v>17.706</v>
      </c>
      <c r="P253" s="50"/>
      <c r="Q253" s="50"/>
      <c r="R253" s="39"/>
      <c r="S253" s="50"/>
      <c r="T253" s="50"/>
      <c r="U253" s="50" t="n">
        <v>25.242</v>
      </c>
      <c r="V253" s="50"/>
      <c r="W253" s="50"/>
      <c r="X253" s="39"/>
      <c r="Y253" s="50"/>
      <c r="Z253" s="50"/>
      <c r="AA253" s="50" t="n">
        <v>17.857</v>
      </c>
      <c r="AB253" s="50"/>
      <c r="AC253" s="50"/>
      <c r="AD253" s="39"/>
      <c r="AE253" s="50"/>
      <c r="AF253" s="50"/>
      <c r="AG253" s="50" t="n">
        <v>11.761</v>
      </c>
      <c r="AH253" s="50"/>
      <c r="AI253" s="50"/>
      <c r="AJ253" s="39"/>
      <c r="AK253" s="50"/>
      <c r="AL253" s="50"/>
      <c r="AM253" s="50" t="n">
        <v>75.938</v>
      </c>
      <c r="AN253" s="50"/>
      <c r="AO253" s="50"/>
      <c r="AP253" s="39"/>
      <c r="AQ253" s="50"/>
      <c r="AR253" s="50"/>
      <c r="AS253" s="50" t="n">
        <v>64.892</v>
      </c>
      <c r="AT253" s="50"/>
      <c r="AU253" s="50"/>
      <c r="AV253" s="39"/>
      <c r="AW253" s="50"/>
      <c r="AX253" s="50"/>
      <c r="AY253" s="50" t="n">
        <v>55.156</v>
      </c>
      <c r="AZ253" s="50"/>
      <c r="BA253" s="50"/>
      <c r="BB253" s="39"/>
      <c r="BC253" s="50"/>
      <c r="BD253" s="50"/>
      <c r="BE253" s="50" t="n">
        <v>47.772</v>
      </c>
      <c r="BF253" s="50"/>
      <c r="BG253" s="50"/>
      <c r="BH253" s="39"/>
      <c r="BI253" s="50"/>
      <c r="BJ253" s="50"/>
      <c r="BK253" s="50" t="n">
        <v>45.873</v>
      </c>
      <c r="BL253" s="50"/>
      <c r="BM253" s="50"/>
      <c r="BN253" s="39"/>
      <c r="BO253" s="50"/>
      <c r="BP253" s="50"/>
      <c r="BQ253" s="50" t="n">
        <v>54.68</v>
      </c>
      <c r="BR253" s="50"/>
      <c r="BS253" s="50"/>
      <c r="BT253" s="39"/>
      <c r="BU253" s="50"/>
      <c r="BV253" s="50"/>
      <c r="BW253" s="50" t="n">
        <v>62.702</v>
      </c>
      <c r="BX253" s="50"/>
      <c r="BY253" s="50"/>
      <c r="BZ253" s="39"/>
      <c r="CA253" s="50"/>
      <c r="CB253" s="50"/>
      <c r="CC253" s="50" t="n">
        <v>74.088</v>
      </c>
      <c r="CD253" s="50"/>
      <c r="CE253" s="50"/>
      <c r="CF253" s="39"/>
      <c r="CG253" s="50"/>
      <c r="CH253" s="50"/>
      <c r="CI253" s="50" t="n">
        <v>62.832</v>
      </c>
      <c r="CJ253" s="50"/>
      <c r="CK253" s="50"/>
      <c r="CL253" s="39"/>
      <c r="CM253" s="50"/>
      <c r="CN253" s="50"/>
      <c r="CO253" s="50" t="n">
        <v>50.477</v>
      </c>
      <c r="CP253" s="40" t="n">
        <f aca="false">CO253-CP104</f>
        <v>38.477</v>
      </c>
      <c r="CQ253" s="40" t="n">
        <f aca="false">CP253-CQ104</f>
        <v>27.477</v>
      </c>
      <c r="CR253" s="40" t="n">
        <f aca="false">CQ253-CR104</f>
        <v>18.477</v>
      </c>
      <c r="CS253" s="40" t="n">
        <f aca="false">CR253-CS104</f>
        <v>11.477</v>
      </c>
      <c r="CT253" s="40" t="n">
        <f aca="false">CS253-CT104</f>
        <v>6.477</v>
      </c>
      <c r="CU253" s="24"/>
      <c r="CW253" s="25"/>
      <c r="CX253" s="25"/>
      <c r="CY253" s="25"/>
      <c r="CZ253" s="25"/>
    </row>
    <row r="254" customFormat="false" ht="15" hidden="false" customHeight="false" outlineLevel="0" collapsed="false">
      <c r="B254" s="15" t="s">
        <v>388</v>
      </c>
      <c r="C254" s="50" t="n">
        <v>112.291</v>
      </c>
      <c r="D254" s="50" t="n">
        <v>161.645</v>
      </c>
      <c r="E254" s="50" t="n">
        <v>177.164</v>
      </c>
      <c r="F254" s="50" t="n">
        <v>166.327</v>
      </c>
      <c r="G254" s="50" t="n">
        <v>175.87</v>
      </c>
      <c r="H254" s="50" t="n">
        <v>198.62</v>
      </c>
      <c r="I254" s="50" t="n">
        <v>196.438</v>
      </c>
      <c r="J254" s="50"/>
      <c r="K254" s="50"/>
      <c r="L254" s="39"/>
      <c r="M254" s="50"/>
      <c r="N254" s="50"/>
      <c r="O254" s="50" t="n">
        <v>267.463</v>
      </c>
      <c r="P254" s="50"/>
      <c r="Q254" s="50"/>
      <c r="R254" s="39"/>
      <c r="S254" s="50"/>
      <c r="T254" s="50"/>
      <c r="U254" s="50" t="n">
        <v>283.78</v>
      </c>
      <c r="V254" s="50"/>
      <c r="W254" s="50"/>
      <c r="X254" s="39"/>
      <c r="Y254" s="50"/>
      <c r="Z254" s="50"/>
      <c r="AA254" s="50" t="n">
        <v>271.85</v>
      </c>
      <c r="AB254" s="50"/>
      <c r="AC254" s="50"/>
      <c r="AD254" s="39"/>
      <c r="AE254" s="50"/>
      <c r="AF254" s="50"/>
      <c r="AG254" s="50" t="n">
        <v>260.198</v>
      </c>
      <c r="AH254" s="50"/>
      <c r="AI254" s="50"/>
      <c r="AJ254" s="39"/>
      <c r="AK254" s="50"/>
      <c r="AL254" s="50"/>
      <c r="AM254" s="50" t="n">
        <v>340.243</v>
      </c>
      <c r="AN254" s="50"/>
      <c r="AO254" s="50"/>
      <c r="AP254" s="39"/>
      <c r="AQ254" s="50"/>
      <c r="AR254" s="50"/>
      <c r="AS254" s="50" t="n">
        <v>337.235</v>
      </c>
      <c r="AT254" s="50"/>
      <c r="AU254" s="50"/>
      <c r="AV254" s="39"/>
      <c r="AW254" s="50"/>
      <c r="AX254" s="50"/>
      <c r="AY254" s="50" t="n">
        <v>333.321</v>
      </c>
      <c r="AZ254" s="50"/>
      <c r="BA254" s="50"/>
      <c r="BB254" s="39"/>
      <c r="BC254" s="50"/>
      <c r="BD254" s="50"/>
      <c r="BE254" s="50" t="n">
        <v>343.622</v>
      </c>
      <c r="BF254" s="50"/>
      <c r="BG254" s="50"/>
      <c r="BH254" s="39"/>
      <c r="BI254" s="50"/>
      <c r="BJ254" s="50"/>
      <c r="BK254" s="50" t="n">
        <v>355.717</v>
      </c>
      <c r="BL254" s="50"/>
      <c r="BM254" s="50"/>
      <c r="BN254" s="39"/>
      <c r="BO254" s="50"/>
      <c r="BP254" s="50"/>
      <c r="BQ254" s="50" t="n">
        <v>401.954</v>
      </c>
      <c r="BR254" s="50"/>
      <c r="BS254" s="50"/>
      <c r="BT254" s="39"/>
      <c r="BU254" s="50"/>
      <c r="BV254" s="50"/>
      <c r="BW254" s="50" t="n">
        <v>394.289</v>
      </c>
      <c r="BX254" s="50"/>
      <c r="BY254" s="50"/>
      <c r="BZ254" s="39"/>
      <c r="CA254" s="50"/>
      <c r="CB254" s="50"/>
      <c r="CC254" s="50" t="n">
        <v>513.909</v>
      </c>
      <c r="CD254" s="50"/>
      <c r="CE254" s="50"/>
      <c r="CF254" s="39"/>
      <c r="CG254" s="50"/>
      <c r="CH254" s="50"/>
      <c r="CI254" s="50" t="n">
        <v>517.779</v>
      </c>
      <c r="CJ254" s="50"/>
      <c r="CK254" s="50"/>
      <c r="CL254" s="39"/>
      <c r="CM254" s="50"/>
      <c r="CN254" s="50"/>
      <c r="CO254" s="50" t="n">
        <v>511.297</v>
      </c>
      <c r="CP254" s="40" t="n">
        <f aca="false">CO254-CP192</f>
        <v>511.297</v>
      </c>
      <c r="CQ254" s="40" t="n">
        <f aca="false">CP254-CQ192</f>
        <v>511.297</v>
      </c>
      <c r="CR254" s="40" t="n">
        <f aca="false">CQ254-CR192</f>
        <v>511.297</v>
      </c>
      <c r="CS254" s="40" t="n">
        <f aca="false">CR254-CS192</f>
        <v>511.297</v>
      </c>
      <c r="CT254" s="40" t="n">
        <f aca="false">CS254-CT192</f>
        <v>511.297</v>
      </c>
      <c r="CU254" s="24"/>
      <c r="CW254" s="25"/>
      <c r="CX254" s="25"/>
      <c r="CY254" s="25"/>
      <c r="CZ254" s="25"/>
    </row>
    <row r="255" customFormat="false" ht="15" hidden="false" customHeight="false" outlineLevel="0" collapsed="false">
      <c r="B255" s="15" t="s">
        <v>389</v>
      </c>
      <c r="C255" s="50" t="n">
        <v>27.247</v>
      </c>
      <c r="D255" s="50" t="n">
        <v>41.141</v>
      </c>
      <c r="E255" s="50" t="n">
        <v>34.089</v>
      </c>
      <c r="F255" s="50" t="n">
        <v>29.674</v>
      </c>
      <c r="G255" s="50" t="n">
        <v>28.997</v>
      </c>
      <c r="H255" s="50" t="n">
        <v>30.812</v>
      </c>
      <c r="I255" s="50" t="n">
        <v>41.187</v>
      </c>
      <c r="J255" s="50"/>
      <c r="K255" s="50"/>
      <c r="L255" s="39"/>
      <c r="M255" s="50"/>
      <c r="N255" s="50"/>
      <c r="O255" s="50" t="n">
        <v>65.343</v>
      </c>
      <c r="P255" s="50"/>
      <c r="Q255" s="50"/>
      <c r="R255" s="39"/>
      <c r="S255" s="50"/>
      <c r="T255" s="50"/>
      <c r="U255" s="50" t="n">
        <v>92.425</v>
      </c>
      <c r="V255" s="50"/>
      <c r="W255" s="50"/>
      <c r="X255" s="39"/>
      <c r="Y255" s="50"/>
      <c r="Z255" s="50"/>
      <c r="AA255" s="50" t="n">
        <v>73.969</v>
      </c>
      <c r="AB255" s="50"/>
      <c r="AC255" s="50"/>
      <c r="AD255" s="39"/>
      <c r="AE255" s="50"/>
      <c r="AF255" s="50"/>
      <c r="AG255" s="50" t="n">
        <v>61.764</v>
      </c>
      <c r="AH255" s="50"/>
      <c r="AI255" s="50"/>
      <c r="AJ255" s="39"/>
      <c r="AK255" s="50"/>
      <c r="AL255" s="50"/>
      <c r="AM255" s="50" t="n">
        <v>35.003</v>
      </c>
      <c r="AN255" s="50"/>
      <c r="AO255" s="50"/>
      <c r="AP255" s="39"/>
      <c r="AQ255" s="50"/>
      <c r="AR255" s="50"/>
      <c r="AS255" s="50" t="n">
        <v>33.03</v>
      </c>
      <c r="AT255" s="50"/>
      <c r="AU255" s="50"/>
      <c r="AV255" s="39"/>
      <c r="AW255" s="50"/>
      <c r="AX255" s="50"/>
      <c r="AY255" s="50" t="n">
        <v>44.247</v>
      </c>
      <c r="AZ255" s="50"/>
      <c r="BA255" s="50"/>
      <c r="BB255" s="39"/>
      <c r="BC255" s="50"/>
      <c r="BD255" s="50"/>
      <c r="BE255" s="50" t="n">
        <v>39.934</v>
      </c>
      <c r="BF255" s="50"/>
      <c r="BG255" s="50"/>
      <c r="BH255" s="39"/>
      <c r="BI255" s="50"/>
      <c r="BJ255" s="50"/>
      <c r="BK255" s="50" t="n">
        <v>41.831</v>
      </c>
      <c r="BL255" s="50"/>
      <c r="BM255" s="50"/>
      <c r="BN255" s="39"/>
      <c r="BO255" s="50"/>
      <c r="BP255" s="50"/>
      <c r="BQ255" s="50" t="n">
        <v>47.708</v>
      </c>
      <c r="BR255" s="50"/>
      <c r="BS255" s="50"/>
      <c r="BT255" s="39"/>
      <c r="BU255" s="50"/>
      <c r="BV255" s="50"/>
      <c r="BW255" s="50" t="n">
        <v>65.806</v>
      </c>
      <c r="BX255" s="50"/>
      <c r="BY255" s="50"/>
      <c r="BZ255" s="39"/>
      <c r="CA255" s="50"/>
      <c r="CB255" s="50"/>
      <c r="CC255" s="50" t="n">
        <v>129.444</v>
      </c>
      <c r="CD255" s="50"/>
      <c r="CE255" s="50"/>
      <c r="CF255" s="39"/>
      <c r="CG255" s="50"/>
      <c r="CH255" s="50"/>
      <c r="CI255" s="50" t="n">
        <v>57.862</v>
      </c>
      <c r="CJ255" s="50"/>
      <c r="CK255" s="50"/>
      <c r="CL255" s="39"/>
      <c r="CM255" s="50"/>
      <c r="CN255" s="50"/>
      <c r="CO255" s="50" t="n">
        <v>80.894</v>
      </c>
      <c r="CP255" s="40" t="n">
        <f aca="false">CO255-CP195</f>
        <v>80.894</v>
      </c>
      <c r="CQ255" s="40" t="n">
        <f aca="false">CP255-CQ195</f>
        <v>80.894</v>
      </c>
      <c r="CR255" s="40" t="n">
        <f aca="false">CQ255-CR195</f>
        <v>80.894</v>
      </c>
      <c r="CS255" s="40" t="n">
        <f aca="false">CR255-CS195</f>
        <v>80.894</v>
      </c>
      <c r="CT255" s="40" t="n">
        <f aca="false">CS255-CT195</f>
        <v>80.894</v>
      </c>
      <c r="CU255" s="24"/>
      <c r="CW255" s="25"/>
      <c r="CX255" s="25"/>
      <c r="CY255" s="25"/>
      <c r="CZ255" s="25"/>
    </row>
    <row r="256" customFormat="false" ht="15" hidden="false" customHeight="false" outlineLevel="0" collapsed="false">
      <c r="B256" s="41" t="s">
        <v>390</v>
      </c>
      <c r="C256" s="42" t="n">
        <f aca="false">IF(ISNUMBER(C243),C250+SUM(C251:C255),"")</f>
        <v>899.24</v>
      </c>
      <c r="D256" s="42" t="n">
        <f aca="false">IF(ISNUMBER(D243),D250+SUM(D251:D255),"")</f>
        <v>1014.6</v>
      </c>
      <c r="E256" s="42" t="n">
        <f aca="false">IF(ISNUMBER(E243),E250+SUM(E251:E255),"")</f>
        <v>956.247</v>
      </c>
      <c r="F256" s="42" t="n">
        <f aca="false">IF(ISNUMBER(F243),F250+SUM(F251:F255),"")</f>
        <v>1058.032</v>
      </c>
      <c r="G256" s="42" t="n">
        <f aca="false">IF(ISNUMBER(G243),G250+SUM(G251:G255),"")</f>
        <v>1228.812</v>
      </c>
      <c r="H256" s="42" t="n">
        <f aca="false">IF(ISNUMBER(H243),H250+SUM(H251:H255),"")</f>
        <v>1084.436</v>
      </c>
      <c r="I256" s="42" t="n">
        <f aca="false">IF(ISNUMBER(I243),I250+SUM(I251:I255),"")</f>
        <v>1154</v>
      </c>
      <c r="J256" s="21"/>
      <c r="K256" s="21"/>
      <c r="L256" s="21"/>
      <c r="M256" s="21"/>
      <c r="N256" s="21"/>
      <c r="O256" s="42" t="n">
        <f aca="false">IF(ISNUMBER(O243),O250+SUM(O251:O255),"")</f>
        <v>1334.481</v>
      </c>
      <c r="P256" s="21"/>
      <c r="Q256" s="21"/>
      <c r="R256" s="21"/>
      <c r="S256" s="21"/>
      <c r="T256" s="21"/>
      <c r="U256" s="42" t="n">
        <f aca="false">IF(ISNUMBER(U243),U250+SUM(U251:U255),"")</f>
        <v>1506.121</v>
      </c>
      <c r="V256" s="21"/>
      <c r="W256" s="21"/>
      <c r="X256" s="21"/>
      <c r="Y256" s="21"/>
      <c r="Z256" s="21"/>
      <c r="AA256" s="42" t="n">
        <f aca="false">IF(ISNUMBER(AA243),AA250+SUM(AA251:AA255),"")</f>
        <v>1798.66</v>
      </c>
      <c r="AB256" s="21"/>
      <c r="AC256" s="21"/>
      <c r="AD256" s="21"/>
      <c r="AE256" s="21"/>
      <c r="AF256" s="21"/>
      <c r="AG256" s="42" t="n">
        <f aca="false">IF(ISNUMBER(AG243),AG250+SUM(AG251:AG255),"")</f>
        <v>1649.82</v>
      </c>
      <c r="AH256" s="21"/>
      <c r="AI256" s="21"/>
      <c r="AJ256" s="21"/>
      <c r="AK256" s="21"/>
      <c r="AL256" s="21"/>
      <c r="AM256" s="42" t="n">
        <f aca="false">IF(ISNUMBER(AM243),AM250+SUM(AM251:AM255),"")</f>
        <v>1982.501</v>
      </c>
      <c r="AN256" s="21"/>
      <c r="AO256" s="21"/>
      <c r="AP256" s="21"/>
      <c r="AQ256" s="21"/>
      <c r="AR256" s="21"/>
      <c r="AS256" s="42" t="n">
        <f aca="false">IF(ISNUMBER(AS243),AS250+SUM(AS251:AS255),"")</f>
        <v>2307.698</v>
      </c>
      <c r="AT256" s="21"/>
      <c r="AU256" s="21"/>
      <c r="AV256" s="21"/>
      <c r="AW256" s="21"/>
      <c r="AX256" s="21"/>
      <c r="AY256" s="42" t="n">
        <f aca="false">IF(ISNUMBER(AY243),AY250+SUM(AY251:AY255),"")</f>
        <v>2547.617</v>
      </c>
      <c r="AZ256" s="21"/>
      <c r="BA256" s="21"/>
      <c r="BB256" s="21"/>
      <c r="BC256" s="21"/>
      <c r="BD256" s="21"/>
      <c r="BE256" s="42" t="n">
        <f aca="false">IF(ISNUMBER(BE243),BE250+SUM(BE251:BE255),"")</f>
        <v>3455.261</v>
      </c>
      <c r="BF256" s="21"/>
      <c r="BG256" s="21"/>
      <c r="BH256" s="21"/>
      <c r="BI256" s="21"/>
      <c r="BJ256" s="21"/>
      <c r="BK256" s="42" t="n">
        <f aca="false">IF(ISNUMBER(BK243),BK250+SUM(BK251:BK255),"")</f>
        <v>4562.143</v>
      </c>
      <c r="BL256" s="21"/>
      <c r="BM256" s="21"/>
      <c r="BN256" s="21"/>
      <c r="BO256" s="21"/>
      <c r="BP256" s="21"/>
      <c r="BQ256" s="42" t="n">
        <f aca="false">IF(ISNUMBER(BQ243),BQ250+SUM(BQ251:BQ255),"")</f>
        <v>5308.864</v>
      </c>
      <c r="BR256" s="21"/>
      <c r="BS256" s="21"/>
      <c r="BT256" s="21"/>
      <c r="BU256" s="21"/>
      <c r="BV256" s="21"/>
      <c r="BW256" s="42" t="n">
        <f aca="false">IF(ISNUMBER(BW243),BW250+SUM(BW251:BW255),"")</f>
        <v>6737.879</v>
      </c>
      <c r="BX256" s="21"/>
      <c r="BY256" s="21"/>
      <c r="BZ256" s="21"/>
      <c r="CA256" s="21"/>
      <c r="CB256" s="21"/>
      <c r="CC256" s="42" t="n">
        <f aca="false">IF(ISNUMBER(CC243),CC250+SUM(CC251:CC255),"")</f>
        <v>8427.764</v>
      </c>
      <c r="CD256" s="21"/>
      <c r="CE256" s="21"/>
      <c r="CF256" s="21"/>
      <c r="CG256" s="21"/>
      <c r="CH256" s="21"/>
      <c r="CI256" s="42" t="n">
        <f aca="false">IF(ISNUMBER(CI243),CI250+SUM(CI251:CI255),"")</f>
        <v>10090.902</v>
      </c>
      <c r="CJ256" s="21"/>
      <c r="CK256" s="21"/>
      <c r="CL256" s="21"/>
      <c r="CM256" s="21"/>
      <c r="CN256" s="21"/>
      <c r="CO256" s="42" t="n">
        <f aca="false">IF(ISNUMBER(CO243),CO250+SUM(CO251:CO255),"")</f>
        <v>10027.81</v>
      </c>
      <c r="CP256" s="42" t="n">
        <f aca="false">CP250+SUM(CP251:CP255)</f>
        <v>9695.66822602759</v>
      </c>
      <c r="CQ256" s="42" t="n">
        <f aca="false">CQ250+SUM(CQ251:CQ255)</f>
        <v>10268.5682709703</v>
      </c>
      <c r="CR256" s="42" t="n">
        <f aca="false">CR250+SUM(CR251:CR255)</f>
        <v>10895.6890319859</v>
      </c>
      <c r="CS256" s="42" t="n">
        <f aca="false">CS250+SUM(CS251:CS255)</f>
        <v>11561.5558022881</v>
      </c>
      <c r="CT256" s="42" t="n">
        <f aca="false">CT250+SUM(CT251:CT255)</f>
        <v>12272.3951463122</v>
      </c>
      <c r="CU256" s="24"/>
      <c r="CW256" s="25"/>
      <c r="CX256" s="25"/>
      <c r="CY256" s="25"/>
      <c r="CZ256" s="25"/>
    </row>
    <row r="257" customFormat="false" ht="15" hidden="false" customHeight="false" outlineLevel="0" collapsed="false">
      <c r="B257" s="15"/>
      <c r="CP257" s="6"/>
      <c r="CQ257" s="6"/>
      <c r="CR257" s="6"/>
      <c r="CS257" s="6"/>
      <c r="CT257" s="6"/>
      <c r="CU257" s="6"/>
    </row>
    <row r="258" customFormat="false" ht="15" hidden="false" customHeight="false" outlineLevel="0" collapsed="false">
      <c r="B258" s="15" t="s">
        <v>391</v>
      </c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40"/>
      <c r="CQ258" s="40"/>
      <c r="CR258" s="40"/>
      <c r="CS258" s="40"/>
      <c r="CT258" s="40"/>
      <c r="CU258" s="24"/>
      <c r="CW258" s="6"/>
      <c r="CX258" s="6"/>
      <c r="CY258" s="6"/>
      <c r="CZ258" s="6"/>
    </row>
    <row r="259" customFormat="false" ht="15" hidden="false" customHeight="false" outlineLevel="0" collapsed="false">
      <c r="B259" s="15" t="s">
        <v>392</v>
      </c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40"/>
      <c r="CQ259" s="40"/>
      <c r="CR259" s="40"/>
      <c r="CS259" s="40"/>
      <c r="CT259" s="40"/>
      <c r="CU259" s="24"/>
      <c r="CW259" s="6"/>
      <c r="CX259" s="6"/>
      <c r="CY259" s="6"/>
      <c r="CZ259" s="6"/>
    </row>
    <row r="260" customFormat="false" ht="15" hidden="false" customHeight="false" outlineLevel="0" collapsed="false">
      <c r="B260" s="15" t="s">
        <v>393</v>
      </c>
      <c r="C260" s="50" t="n">
        <v>60.77</v>
      </c>
      <c r="D260" s="50" t="n">
        <v>85.082</v>
      </c>
      <c r="E260" s="50" t="n">
        <v>88.883</v>
      </c>
      <c r="F260" s="50" t="n">
        <v>82.773</v>
      </c>
      <c r="G260" s="50" t="n">
        <v>93.74</v>
      </c>
      <c r="H260" s="50" t="n">
        <v>101.708</v>
      </c>
      <c r="I260" s="50" t="n">
        <v>102.677</v>
      </c>
      <c r="J260" s="50"/>
      <c r="K260" s="50"/>
      <c r="L260" s="39"/>
      <c r="M260" s="50"/>
      <c r="N260" s="50"/>
      <c r="O260" s="50" t="n">
        <v>136.648</v>
      </c>
      <c r="P260" s="50"/>
      <c r="Q260" s="50"/>
      <c r="R260" s="39"/>
      <c r="S260" s="50"/>
      <c r="T260" s="50"/>
      <c r="U260" s="50" t="n">
        <v>152.156</v>
      </c>
      <c r="V260" s="50"/>
      <c r="W260" s="50"/>
      <c r="X260" s="39"/>
      <c r="Y260" s="50"/>
      <c r="Z260" s="50"/>
      <c r="AA260" s="50" t="n">
        <v>147.452</v>
      </c>
      <c r="AB260" s="50"/>
      <c r="AC260" s="50"/>
      <c r="AD260" s="39"/>
      <c r="AE260" s="50"/>
      <c r="AF260" s="50"/>
      <c r="AG260" s="50" t="n">
        <v>192.379</v>
      </c>
      <c r="AH260" s="50"/>
      <c r="AI260" s="50"/>
      <c r="AJ260" s="39"/>
      <c r="AK260" s="50"/>
      <c r="AL260" s="50"/>
      <c r="AM260" s="50" t="n">
        <v>208.415</v>
      </c>
      <c r="AN260" s="50"/>
      <c r="AO260" s="50"/>
      <c r="AP260" s="39"/>
      <c r="AQ260" s="50"/>
      <c r="AR260" s="50"/>
      <c r="AS260" s="50" t="n">
        <v>270.944</v>
      </c>
      <c r="AT260" s="50"/>
      <c r="AU260" s="50"/>
      <c r="AV260" s="39"/>
      <c r="AW260" s="50"/>
      <c r="AX260" s="50"/>
      <c r="AY260" s="50" t="n">
        <v>270.918</v>
      </c>
      <c r="AZ260" s="50"/>
      <c r="BA260" s="50"/>
      <c r="BB260" s="39"/>
      <c r="BC260" s="50"/>
      <c r="BD260" s="50"/>
      <c r="BE260" s="50" t="n">
        <v>318.53</v>
      </c>
      <c r="BF260" s="50"/>
      <c r="BG260" s="50"/>
      <c r="BH260" s="39"/>
      <c r="BI260" s="50"/>
      <c r="BJ260" s="50"/>
      <c r="BK260" s="50" t="n">
        <v>369.826</v>
      </c>
      <c r="BL260" s="50"/>
      <c r="BM260" s="50"/>
      <c r="BN260" s="39"/>
      <c r="BO260" s="50"/>
      <c r="BP260" s="50"/>
      <c r="BQ260" s="50" t="n">
        <v>399.034</v>
      </c>
      <c r="BR260" s="50"/>
      <c r="BS260" s="50"/>
      <c r="BT260" s="39"/>
      <c r="BU260" s="50"/>
      <c r="BV260" s="50"/>
      <c r="BW260" s="50" t="n">
        <v>440.81</v>
      </c>
      <c r="BX260" s="50"/>
      <c r="BY260" s="50"/>
      <c r="BZ260" s="39"/>
      <c r="CA260" s="50"/>
      <c r="CB260" s="50"/>
      <c r="CC260" s="50" t="n">
        <v>518.148</v>
      </c>
      <c r="CD260" s="50"/>
      <c r="CE260" s="50"/>
      <c r="CF260" s="39"/>
      <c r="CG260" s="50"/>
      <c r="CH260" s="50"/>
      <c r="CI260" s="50" t="n">
        <v>591.831</v>
      </c>
      <c r="CJ260" s="50"/>
      <c r="CK260" s="50"/>
      <c r="CL260" s="39"/>
      <c r="CM260" s="50"/>
      <c r="CN260" s="50"/>
      <c r="CO260" s="50" t="n">
        <v>634.675</v>
      </c>
      <c r="CP260" s="40" t="n">
        <f aca="false">CP73*CP291</f>
        <v>659.7122186925</v>
      </c>
      <c r="CQ260" s="40" t="n">
        <f aca="false">CQ73*CQ291</f>
        <v>698.426498436344</v>
      </c>
      <c r="CR260" s="40" t="n">
        <f aca="false">CR73*CR291</f>
        <v>741.639792632747</v>
      </c>
      <c r="CS260" s="40" t="n">
        <f aca="false">CS73*CS291</f>
        <v>787.09635502238</v>
      </c>
      <c r="CT260" s="40" t="n">
        <f aca="false">CT73*CT291</f>
        <v>835.415013261969</v>
      </c>
      <c r="CU260" s="24"/>
      <c r="CW260" s="25"/>
      <c r="CX260" s="25"/>
      <c r="CY260" s="25"/>
      <c r="CZ260" s="25"/>
    </row>
    <row r="261" customFormat="false" ht="15" hidden="false" customHeight="false" outlineLevel="0" collapsed="false">
      <c r="B261" s="15" t="s">
        <v>394</v>
      </c>
      <c r="C261" s="50" t="n">
        <v>15.372</v>
      </c>
      <c r="D261" s="50" t="n">
        <v>13.897</v>
      </c>
      <c r="E261" s="50" t="n">
        <v>14.518</v>
      </c>
      <c r="F261" s="50" t="n">
        <v>13.165</v>
      </c>
      <c r="G261" s="50" t="n">
        <v>10.642</v>
      </c>
      <c r="H261" s="50" t="n">
        <v>5.636</v>
      </c>
      <c r="I261" s="50" t="n">
        <v>5.39</v>
      </c>
      <c r="J261" s="50"/>
      <c r="K261" s="50"/>
      <c r="L261" s="39"/>
      <c r="M261" s="50"/>
      <c r="N261" s="50"/>
      <c r="O261" s="50" t="n">
        <v>4.832</v>
      </c>
      <c r="P261" s="50"/>
      <c r="Q261" s="50"/>
      <c r="R261" s="39"/>
      <c r="S261" s="50"/>
      <c r="T261" s="50"/>
      <c r="U261" s="50" t="n">
        <v>4.17</v>
      </c>
      <c r="V261" s="50"/>
      <c r="W261" s="50"/>
      <c r="X261" s="39"/>
      <c r="Y261" s="50"/>
      <c r="Z261" s="50"/>
      <c r="AA261" s="50" t="n">
        <v>3.724</v>
      </c>
      <c r="AB261" s="50"/>
      <c r="AC261" s="50"/>
      <c r="AD261" s="39"/>
      <c r="AE261" s="50"/>
      <c r="AF261" s="50"/>
      <c r="AG261" s="50" t="n">
        <v>4.628</v>
      </c>
      <c r="AH261" s="50"/>
      <c r="AI261" s="50"/>
      <c r="AJ261" s="39"/>
      <c r="AK261" s="50"/>
      <c r="AL261" s="50"/>
      <c r="AM261" s="50" t="n">
        <v>5.019</v>
      </c>
      <c r="AN261" s="50"/>
      <c r="AO261" s="50"/>
      <c r="AP261" s="39"/>
      <c r="AQ261" s="50"/>
      <c r="AR261" s="50"/>
      <c r="AS261" s="50" t="n">
        <v>4.488</v>
      </c>
      <c r="AT261" s="50"/>
      <c r="AU261" s="50"/>
      <c r="AV261" s="39"/>
      <c r="AW261" s="50"/>
      <c r="AX261" s="50"/>
      <c r="AY261" s="50" t="n">
        <v>6.466</v>
      </c>
      <c r="AZ261" s="50"/>
      <c r="BA261" s="50"/>
      <c r="BB261" s="39"/>
      <c r="BC261" s="50"/>
      <c r="BD261" s="50"/>
      <c r="BE261" s="50" t="n">
        <v>8.233</v>
      </c>
      <c r="BF261" s="50"/>
      <c r="BG261" s="50"/>
      <c r="BH261" s="39"/>
      <c r="BI261" s="50"/>
      <c r="BJ261" s="50"/>
      <c r="BK261" s="50" t="n">
        <v>20.973</v>
      </c>
      <c r="BL261" s="50"/>
      <c r="BM261" s="50"/>
      <c r="BN261" s="39"/>
      <c r="BO261" s="50"/>
      <c r="BP261" s="50"/>
      <c r="BQ261" s="50" t="n">
        <v>20.061</v>
      </c>
      <c r="BR261" s="50"/>
      <c r="BS261" s="50"/>
      <c r="BT261" s="39"/>
      <c r="BU261" s="50"/>
      <c r="BV261" s="50"/>
      <c r="BW261" s="50" t="n">
        <v>26.117</v>
      </c>
      <c r="BX261" s="50"/>
      <c r="BY261" s="50"/>
      <c r="BZ261" s="39"/>
      <c r="CA261" s="50"/>
      <c r="CB261" s="50"/>
      <c r="CC261" s="50" t="n">
        <v>28.121</v>
      </c>
      <c r="CD261" s="50"/>
      <c r="CE261" s="50"/>
      <c r="CF261" s="39"/>
      <c r="CG261" s="50"/>
      <c r="CH261" s="50"/>
      <c r="CI261" s="50" t="n">
        <v>30.44</v>
      </c>
      <c r="CJ261" s="50"/>
      <c r="CK261" s="50"/>
      <c r="CL261" s="39"/>
      <c r="CM261" s="50"/>
      <c r="CN261" s="50"/>
      <c r="CO261" s="50" t="n">
        <v>32.466</v>
      </c>
      <c r="CP261" s="40" t="n">
        <f aca="false">IFERROR(CP73*CO261/CO73,0)</f>
        <v>34.0005041479674</v>
      </c>
      <c r="CQ261" s="40" t="n">
        <f aca="false">IFERROR(CQ73*CP261/CP73,0)</f>
        <v>35.9957757098994</v>
      </c>
      <c r="CR261" s="40" t="n">
        <f aca="false">IFERROR(CR73*CQ261/CQ73,0)</f>
        <v>38.2229192232999</v>
      </c>
      <c r="CS261" s="40" t="n">
        <f aca="false">IFERROR(CS73*CR261/CR73,0)</f>
        <v>40.5656771627303</v>
      </c>
      <c r="CT261" s="40" t="n">
        <f aca="false">IFERROR(CT73*CS261/CS73,0)</f>
        <v>43.0559429079296</v>
      </c>
      <c r="CU261" s="24"/>
      <c r="CW261" s="25"/>
      <c r="CX261" s="25"/>
      <c r="CY261" s="25"/>
      <c r="CZ261" s="25"/>
    </row>
    <row r="262" customFormat="false" ht="15" hidden="false" customHeight="false" outlineLevel="0" collapsed="false">
      <c r="B262" s="15" t="s">
        <v>395</v>
      </c>
      <c r="C262" s="50" t="n">
        <v>0</v>
      </c>
      <c r="D262" s="50" t="n">
        <v>3.93</v>
      </c>
      <c r="E262" s="50" t="n">
        <v>4.005</v>
      </c>
      <c r="F262" s="50" t="n">
        <v>5.269</v>
      </c>
      <c r="G262" s="50" t="n">
        <v>1.314</v>
      </c>
      <c r="H262" s="50" t="n">
        <v>3.543</v>
      </c>
      <c r="I262" s="50" t="n">
        <v>3.082</v>
      </c>
      <c r="J262" s="50"/>
      <c r="K262" s="50"/>
      <c r="L262" s="39"/>
      <c r="M262" s="50"/>
      <c r="N262" s="50"/>
      <c r="O262" s="50" t="n">
        <v>4.741</v>
      </c>
      <c r="P262" s="50"/>
      <c r="Q262" s="50"/>
      <c r="R262" s="39"/>
      <c r="S262" s="50"/>
      <c r="T262" s="50"/>
      <c r="U262" s="50" t="n">
        <v>8.284</v>
      </c>
      <c r="V262" s="50"/>
      <c r="W262" s="50"/>
      <c r="X262" s="39"/>
      <c r="Y262" s="50"/>
      <c r="Z262" s="50"/>
      <c r="AA262" s="50" t="n">
        <v>8.279</v>
      </c>
      <c r="AB262" s="50"/>
      <c r="AC262" s="50"/>
      <c r="AD262" s="39"/>
      <c r="AE262" s="50"/>
      <c r="AF262" s="50"/>
      <c r="AG262" s="50" t="n">
        <v>5.625</v>
      </c>
      <c r="AH262" s="50"/>
      <c r="AI262" s="50"/>
      <c r="AJ262" s="39"/>
      <c r="AK262" s="50"/>
      <c r="AL262" s="50"/>
      <c r="AM262" s="50" t="n">
        <v>6.472</v>
      </c>
      <c r="AN262" s="50"/>
      <c r="AO262" s="50"/>
      <c r="AP262" s="39"/>
      <c r="AQ262" s="50"/>
      <c r="AR262" s="50"/>
      <c r="AS262" s="50" t="n">
        <v>0.673</v>
      </c>
      <c r="AT262" s="50"/>
      <c r="AU262" s="50"/>
      <c r="AV262" s="39"/>
      <c r="AW262" s="50"/>
      <c r="AX262" s="50"/>
      <c r="AY262" s="50" t="n">
        <v>3.482</v>
      </c>
      <c r="AZ262" s="50"/>
      <c r="BA262" s="50"/>
      <c r="BB262" s="39"/>
      <c r="BC262" s="50"/>
      <c r="BD262" s="50"/>
      <c r="BE262" s="50" t="n">
        <v>3.709</v>
      </c>
      <c r="BF262" s="50"/>
      <c r="BG262" s="50"/>
      <c r="BH262" s="39"/>
      <c r="BI262" s="50"/>
      <c r="BJ262" s="50"/>
      <c r="BK262" s="50" t="n">
        <v>7.76</v>
      </c>
      <c r="BL262" s="50"/>
      <c r="BM262" s="50"/>
      <c r="BN262" s="39"/>
      <c r="BO262" s="50"/>
      <c r="BP262" s="50"/>
      <c r="BQ262" s="50" t="n">
        <v>0</v>
      </c>
      <c r="BR262" s="50"/>
      <c r="BS262" s="50"/>
      <c r="BT262" s="39"/>
      <c r="BU262" s="50"/>
      <c r="BV262" s="50"/>
      <c r="BW262" s="50" t="n">
        <v>4.374</v>
      </c>
      <c r="BX262" s="50"/>
      <c r="BY262" s="50"/>
      <c r="BZ262" s="39"/>
      <c r="CA262" s="50"/>
      <c r="CB262" s="50"/>
      <c r="CC262" s="50" t="n">
        <v>60.994</v>
      </c>
      <c r="CD262" s="50"/>
      <c r="CE262" s="50"/>
      <c r="CF262" s="39"/>
      <c r="CG262" s="50"/>
      <c r="CH262" s="50"/>
      <c r="CI262" s="50" t="n">
        <v>41.141</v>
      </c>
      <c r="CJ262" s="50"/>
      <c r="CK262" s="50"/>
      <c r="CL262" s="39"/>
      <c r="CM262" s="50"/>
      <c r="CN262" s="50"/>
      <c r="CO262" s="50" t="n">
        <v>21.437</v>
      </c>
      <c r="CP262" s="40" t="n">
        <f aca="false">CO262</f>
        <v>21.437</v>
      </c>
      <c r="CQ262" s="40" t="n">
        <f aca="false">CP262</f>
        <v>21.437</v>
      </c>
      <c r="CR262" s="40" t="n">
        <f aca="false">CQ262</f>
        <v>21.437</v>
      </c>
      <c r="CS262" s="40" t="n">
        <f aca="false">CR262</f>
        <v>21.437</v>
      </c>
      <c r="CT262" s="40" t="n">
        <f aca="false">CS262</f>
        <v>21.437</v>
      </c>
      <c r="CU262" s="24"/>
      <c r="CW262" s="25"/>
      <c r="CX262" s="25"/>
      <c r="CY262" s="25"/>
      <c r="CZ262" s="25"/>
    </row>
    <row r="263" customFormat="false" ht="15" hidden="false" customHeight="false" outlineLevel="0" collapsed="false">
      <c r="B263" s="15" t="s">
        <v>396</v>
      </c>
      <c r="C263" s="50" t="n">
        <v>0</v>
      </c>
      <c r="D263" s="50" t="n">
        <v>0</v>
      </c>
      <c r="E263" s="50" t="n">
        <v>0</v>
      </c>
      <c r="F263" s="50" t="n">
        <v>0</v>
      </c>
      <c r="G263" s="50" t="n">
        <v>0</v>
      </c>
      <c r="H263" s="50" t="n">
        <v>50.37</v>
      </c>
      <c r="I263" s="50" t="n">
        <v>75.17</v>
      </c>
      <c r="J263" s="50"/>
      <c r="K263" s="50"/>
      <c r="L263" s="39"/>
      <c r="M263" s="50"/>
      <c r="N263" s="50"/>
      <c r="O263" s="50" t="n">
        <v>76.047</v>
      </c>
      <c r="P263" s="50"/>
      <c r="Q263" s="50"/>
      <c r="R263" s="39"/>
      <c r="S263" s="50"/>
      <c r="T263" s="50"/>
      <c r="U263" s="50" t="n">
        <v>79.674</v>
      </c>
      <c r="V263" s="50"/>
      <c r="W263" s="50"/>
      <c r="X263" s="39"/>
      <c r="Y263" s="50"/>
      <c r="Z263" s="50"/>
      <c r="AA263" s="50" t="n">
        <v>53.671</v>
      </c>
      <c r="AB263" s="50"/>
      <c r="AC263" s="50"/>
      <c r="AD263" s="39"/>
      <c r="AE263" s="50"/>
      <c r="AF263" s="50"/>
      <c r="AG263" s="50" t="n">
        <v>76.151</v>
      </c>
      <c r="AH263" s="50"/>
      <c r="AI263" s="50"/>
      <c r="AJ263" s="39"/>
      <c r="AK263" s="50"/>
      <c r="AL263" s="50"/>
      <c r="AM263" s="50" t="n">
        <v>82.155</v>
      </c>
      <c r="AN263" s="50"/>
      <c r="AO263" s="50"/>
      <c r="AP263" s="39"/>
      <c r="AQ263" s="50"/>
      <c r="AR263" s="50"/>
      <c r="AS263" s="50" t="n">
        <v>1.151</v>
      </c>
      <c r="AT263" s="50"/>
      <c r="AU263" s="50"/>
      <c r="AV263" s="39"/>
      <c r="AW263" s="50"/>
      <c r="AX263" s="50"/>
      <c r="AY263" s="50" t="n">
        <v>1.138</v>
      </c>
      <c r="AZ263" s="50"/>
      <c r="BA263" s="50"/>
      <c r="BB263" s="39"/>
      <c r="BC263" s="50"/>
      <c r="BD263" s="50"/>
      <c r="BE263" s="50" t="n">
        <v>0.751</v>
      </c>
      <c r="BF263" s="50"/>
      <c r="BG263" s="50"/>
      <c r="BH263" s="39"/>
      <c r="BI263" s="50"/>
      <c r="BJ263" s="50"/>
      <c r="BK263" s="50" t="n">
        <v>0</v>
      </c>
      <c r="BL263" s="50"/>
      <c r="BM263" s="50"/>
      <c r="BN263" s="39"/>
      <c r="BO263" s="50"/>
      <c r="BP263" s="50"/>
      <c r="BQ263" s="50" t="n">
        <v>0</v>
      </c>
      <c r="BR263" s="50"/>
      <c r="BS263" s="50"/>
      <c r="BT263" s="39"/>
      <c r="BU263" s="50"/>
      <c r="BV263" s="50"/>
      <c r="BW263" s="50" t="n">
        <v>0</v>
      </c>
      <c r="BX263" s="50"/>
      <c r="BY263" s="50"/>
      <c r="BZ263" s="39"/>
      <c r="CA263" s="50"/>
      <c r="CB263" s="50"/>
      <c r="CC263" s="50" t="n">
        <v>0</v>
      </c>
      <c r="CD263" s="50"/>
      <c r="CE263" s="50"/>
      <c r="CF263" s="39"/>
      <c r="CG263" s="50"/>
      <c r="CH263" s="50"/>
      <c r="CI263" s="50" t="n">
        <v>0</v>
      </c>
      <c r="CJ263" s="50"/>
      <c r="CK263" s="50"/>
      <c r="CL263" s="39"/>
      <c r="CM263" s="50"/>
      <c r="CN263" s="50"/>
      <c r="CO263" s="50" t="n">
        <v>0</v>
      </c>
      <c r="CP263" s="51" t="n">
        <v>0</v>
      </c>
      <c r="CQ263" s="51" t="n">
        <v>0</v>
      </c>
      <c r="CR263" s="51" t="n">
        <v>0</v>
      </c>
      <c r="CS263" s="51" t="n">
        <v>0</v>
      </c>
      <c r="CT263" s="51" t="n">
        <v>0</v>
      </c>
      <c r="CU263" s="24"/>
      <c r="CW263" s="25"/>
      <c r="CX263" s="25"/>
      <c r="CY263" s="25"/>
      <c r="CZ263" s="25"/>
    </row>
    <row r="264" customFormat="false" ht="15" hidden="false" customHeight="false" outlineLevel="0" collapsed="false">
      <c r="B264" s="15" t="s">
        <v>397</v>
      </c>
      <c r="C264" s="50" t="n">
        <v>0</v>
      </c>
      <c r="D264" s="50" t="n">
        <v>0</v>
      </c>
      <c r="E264" s="50" t="n">
        <v>0</v>
      </c>
      <c r="F264" s="50" t="n">
        <v>0</v>
      </c>
      <c r="G264" s="50" t="n">
        <v>0</v>
      </c>
      <c r="H264" s="50" t="n">
        <v>0</v>
      </c>
      <c r="I264" s="50" t="n">
        <v>0</v>
      </c>
      <c r="J264" s="50"/>
      <c r="K264" s="50"/>
      <c r="L264" s="39"/>
      <c r="M264" s="50"/>
      <c r="N264" s="50"/>
      <c r="O264" s="50" t="n">
        <v>0</v>
      </c>
      <c r="P264" s="50"/>
      <c r="Q264" s="50"/>
      <c r="R264" s="39"/>
      <c r="S264" s="50"/>
      <c r="T264" s="50"/>
      <c r="U264" s="50" t="n">
        <v>0</v>
      </c>
      <c r="V264" s="50"/>
      <c r="W264" s="50"/>
      <c r="X264" s="39"/>
      <c r="Y264" s="50"/>
      <c r="Z264" s="50"/>
      <c r="AA264" s="50" t="n">
        <v>0</v>
      </c>
      <c r="AB264" s="50"/>
      <c r="AC264" s="50"/>
      <c r="AD264" s="39"/>
      <c r="AE264" s="50"/>
      <c r="AF264" s="50"/>
      <c r="AG264" s="50" t="n">
        <v>0</v>
      </c>
      <c r="AH264" s="50"/>
      <c r="AI264" s="50"/>
      <c r="AJ264" s="39"/>
      <c r="AK264" s="50"/>
      <c r="AL264" s="50"/>
      <c r="AM264" s="50" t="n">
        <v>0</v>
      </c>
      <c r="AN264" s="50"/>
      <c r="AO264" s="50"/>
      <c r="AP264" s="39"/>
      <c r="AQ264" s="50"/>
      <c r="AR264" s="50"/>
      <c r="AS264" s="50" t="n">
        <v>0</v>
      </c>
      <c r="AT264" s="50"/>
      <c r="AU264" s="50"/>
      <c r="AV264" s="39"/>
      <c r="AW264" s="50"/>
      <c r="AX264" s="50"/>
      <c r="AY264" s="50" t="n">
        <v>0</v>
      </c>
      <c r="AZ264" s="50"/>
      <c r="BA264" s="50"/>
      <c r="BB264" s="39"/>
      <c r="BC264" s="50"/>
      <c r="BD264" s="50"/>
      <c r="BE264" s="50" t="n">
        <v>25.572</v>
      </c>
      <c r="BF264" s="50"/>
      <c r="BG264" s="50"/>
      <c r="BH264" s="39"/>
      <c r="BI264" s="50"/>
      <c r="BJ264" s="50"/>
      <c r="BK264" s="50" t="n">
        <v>22.472</v>
      </c>
      <c r="BL264" s="50"/>
      <c r="BM264" s="50"/>
      <c r="BN264" s="39"/>
      <c r="BO264" s="50"/>
      <c r="BP264" s="50"/>
      <c r="BQ264" s="50" t="n">
        <v>21.794</v>
      </c>
      <c r="BR264" s="50"/>
      <c r="BS264" s="50"/>
      <c r="BT264" s="39"/>
      <c r="BU264" s="50"/>
      <c r="BV264" s="50"/>
      <c r="BW264" s="50" t="n">
        <v>21.468</v>
      </c>
      <c r="BX264" s="50"/>
      <c r="BY264" s="50"/>
      <c r="BZ264" s="39"/>
      <c r="CA264" s="50"/>
      <c r="CB264" s="50"/>
      <c r="CC264" s="50" t="n">
        <v>21.304</v>
      </c>
      <c r="CD264" s="50"/>
      <c r="CE264" s="50"/>
      <c r="CF264" s="39"/>
      <c r="CG264" s="50"/>
      <c r="CH264" s="50"/>
      <c r="CI264" s="50" t="n">
        <v>19.869</v>
      </c>
      <c r="CJ264" s="50"/>
      <c r="CK264" s="50"/>
      <c r="CL264" s="39"/>
      <c r="CM264" s="50"/>
      <c r="CN264" s="50"/>
      <c r="CO264" s="50" t="n">
        <v>15.163</v>
      </c>
      <c r="CP264" s="40" t="n">
        <f aca="false">CO264</f>
        <v>15.163</v>
      </c>
      <c r="CQ264" s="40" t="n">
        <f aca="false">CP264</f>
        <v>15.163</v>
      </c>
      <c r="CR264" s="40" t="n">
        <f aca="false">CQ264</f>
        <v>15.163</v>
      </c>
      <c r="CS264" s="40" t="n">
        <f aca="false">CR264</f>
        <v>15.163</v>
      </c>
      <c r="CT264" s="40" t="n">
        <f aca="false">CS264</f>
        <v>15.163</v>
      </c>
      <c r="CU264" s="24"/>
      <c r="CW264" s="25"/>
      <c r="CX264" s="25"/>
      <c r="CY264" s="25"/>
      <c r="CZ264" s="25"/>
    </row>
    <row r="265" customFormat="false" ht="15" hidden="false" customHeight="false" outlineLevel="0" collapsed="false">
      <c r="B265" s="15" t="s">
        <v>398</v>
      </c>
      <c r="C265" s="50" t="n">
        <v>11.726</v>
      </c>
      <c r="D265" s="50" t="n">
        <v>12.949</v>
      </c>
      <c r="E265" s="50" t="n">
        <v>20.846</v>
      </c>
      <c r="F265" s="50" t="n">
        <v>2.377</v>
      </c>
      <c r="G265" s="50" t="n">
        <v>1.528</v>
      </c>
      <c r="H265" s="50" t="n">
        <v>5.369</v>
      </c>
      <c r="I265" s="50" t="n">
        <v>0</v>
      </c>
      <c r="J265" s="50"/>
      <c r="K265" s="50"/>
      <c r="L265" s="39"/>
      <c r="M265" s="50"/>
      <c r="N265" s="50"/>
      <c r="O265" s="50" t="n">
        <v>16.291</v>
      </c>
      <c r="P265" s="50"/>
      <c r="Q265" s="50"/>
      <c r="R265" s="39"/>
      <c r="S265" s="50"/>
      <c r="T265" s="50"/>
      <c r="U265" s="50" t="n">
        <v>0</v>
      </c>
      <c r="V265" s="50"/>
      <c r="W265" s="50"/>
      <c r="X265" s="39"/>
      <c r="Y265" s="50"/>
      <c r="Z265" s="50"/>
      <c r="AA265" s="50" t="n">
        <v>0</v>
      </c>
      <c r="AB265" s="50"/>
      <c r="AC265" s="50"/>
      <c r="AD265" s="39"/>
      <c r="AE265" s="50"/>
      <c r="AF265" s="50"/>
      <c r="AG265" s="50" t="n">
        <v>0</v>
      </c>
      <c r="AH265" s="50"/>
      <c r="AI265" s="50"/>
      <c r="AJ265" s="39"/>
      <c r="AK265" s="50"/>
      <c r="AL265" s="50"/>
      <c r="AM265" s="50" t="n">
        <v>0.092</v>
      </c>
      <c r="AN265" s="50"/>
      <c r="AO265" s="50"/>
      <c r="AP265" s="39"/>
      <c r="AQ265" s="50"/>
      <c r="AR265" s="50"/>
      <c r="AS265" s="50" t="n">
        <v>0</v>
      </c>
      <c r="AT265" s="50"/>
      <c r="AU265" s="50"/>
      <c r="AV265" s="39"/>
      <c r="AW265" s="50"/>
      <c r="AX265" s="50"/>
      <c r="AY265" s="50" t="n">
        <v>0</v>
      </c>
      <c r="AZ265" s="50"/>
      <c r="BA265" s="50"/>
      <c r="BB265" s="39"/>
      <c r="BC265" s="50"/>
      <c r="BD265" s="50"/>
      <c r="BE265" s="50" t="n">
        <v>-0.751</v>
      </c>
      <c r="BF265" s="50"/>
      <c r="BG265" s="50"/>
      <c r="BH265" s="39"/>
      <c r="BI265" s="50"/>
      <c r="BJ265" s="50"/>
      <c r="BK265" s="50" t="n">
        <v>0</v>
      </c>
      <c r="BL265" s="50"/>
      <c r="BM265" s="50"/>
      <c r="BN265" s="39"/>
      <c r="BO265" s="50"/>
      <c r="BP265" s="50"/>
      <c r="BQ265" s="50" t="n">
        <v>0</v>
      </c>
      <c r="BR265" s="50"/>
      <c r="BS265" s="50"/>
      <c r="BT265" s="39"/>
      <c r="BU265" s="50"/>
      <c r="BV265" s="50"/>
      <c r="BW265" s="50" t="n">
        <v>0</v>
      </c>
      <c r="BX265" s="50"/>
      <c r="BY265" s="50"/>
      <c r="BZ265" s="39"/>
      <c r="CA265" s="50"/>
      <c r="CB265" s="50"/>
      <c r="CC265" s="50" t="n">
        <v>0</v>
      </c>
      <c r="CD265" s="50"/>
      <c r="CE265" s="50"/>
      <c r="CF265" s="39"/>
      <c r="CG265" s="50"/>
      <c r="CH265" s="50"/>
      <c r="CI265" s="50" t="n">
        <v>0</v>
      </c>
      <c r="CJ265" s="50"/>
      <c r="CK265" s="50"/>
      <c r="CL265" s="39"/>
      <c r="CM265" s="50"/>
      <c r="CN265" s="50"/>
      <c r="CO265" s="50" t="n">
        <v>0</v>
      </c>
      <c r="CP265" s="40" t="n">
        <f aca="false">CO265</f>
        <v>0</v>
      </c>
      <c r="CQ265" s="40" t="n">
        <f aca="false">CP265</f>
        <v>0</v>
      </c>
      <c r="CR265" s="40" t="n">
        <f aca="false">CQ265</f>
        <v>0</v>
      </c>
      <c r="CS265" s="40" t="n">
        <f aca="false">CR265</f>
        <v>0</v>
      </c>
      <c r="CT265" s="40" t="n">
        <f aca="false">CS265</f>
        <v>0</v>
      </c>
      <c r="CU265" s="24"/>
      <c r="CW265" s="25"/>
      <c r="CX265" s="25"/>
      <c r="CY265" s="25"/>
      <c r="CZ265" s="25"/>
    </row>
    <row r="266" customFormat="false" ht="15" hidden="false" customHeight="false" outlineLevel="0" collapsed="false">
      <c r="B266" s="20" t="s">
        <v>399</v>
      </c>
      <c r="C266" s="21" t="n">
        <f aca="false">IF(ISNUMBER(C260),SUM(C260:C265),"")</f>
        <v>87.868</v>
      </c>
      <c r="D266" s="21" t="n">
        <f aca="false">IF(ISNUMBER(D260),SUM(D260:D265),"")</f>
        <v>115.858</v>
      </c>
      <c r="E266" s="21" t="n">
        <f aca="false">IF(ISNUMBER(E260),SUM(E260:E265),"")</f>
        <v>128.252</v>
      </c>
      <c r="F266" s="21" t="n">
        <f aca="false">IF(ISNUMBER(F260),SUM(F260:F265),"")</f>
        <v>103.584</v>
      </c>
      <c r="G266" s="21" t="n">
        <f aca="false">IF(ISNUMBER(G260),SUM(G260:G265),"")</f>
        <v>107.224</v>
      </c>
      <c r="H266" s="21" t="n">
        <f aca="false">IF(ISNUMBER(H260),SUM(H260:H265),"")</f>
        <v>166.626</v>
      </c>
      <c r="I266" s="21" t="n">
        <f aca="false">IF(ISNUMBER(I260),SUM(I260:I265),"")</f>
        <v>186.319</v>
      </c>
      <c r="J266" s="21"/>
      <c r="K266" s="21"/>
      <c r="L266" s="21"/>
      <c r="M266" s="21"/>
      <c r="N266" s="21"/>
      <c r="O266" s="21" t="n">
        <f aca="false">IF(ISNUMBER(O260),SUM(O260:O265),"")</f>
        <v>238.559</v>
      </c>
      <c r="P266" s="21"/>
      <c r="Q266" s="21"/>
      <c r="R266" s="21"/>
      <c r="S266" s="21"/>
      <c r="T266" s="21"/>
      <c r="U266" s="21" t="n">
        <f aca="false">IF(ISNUMBER(U260),SUM(U260:U265),"")</f>
        <v>244.284</v>
      </c>
      <c r="V266" s="21"/>
      <c r="W266" s="21"/>
      <c r="X266" s="21"/>
      <c r="Y266" s="21"/>
      <c r="Z266" s="21"/>
      <c r="AA266" s="21" t="n">
        <f aca="false">IF(ISNUMBER(AA260),SUM(AA260:AA265),"")</f>
        <v>213.126</v>
      </c>
      <c r="AB266" s="21"/>
      <c r="AC266" s="21"/>
      <c r="AD266" s="21"/>
      <c r="AE266" s="21"/>
      <c r="AF266" s="21"/>
      <c r="AG266" s="21" t="n">
        <f aca="false">IF(ISNUMBER(AG260),SUM(AG260:AG265),"")</f>
        <v>278.783</v>
      </c>
      <c r="AH266" s="21"/>
      <c r="AI266" s="21"/>
      <c r="AJ266" s="21"/>
      <c r="AK266" s="21"/>
      <c r="AL266" s="21"/>
      <c r="AM266" s="21" t="n">
        <f aca="false">IF(ISNUMBER(AM260),SUM(AM260:AM265),"")</f>
        <v>302.153</v>
      </c>
      <c r="AN266" s="21"/>
      <c r="AO266" s="21"/>
      <c r="AP266" s="21"/>
      <c r="AQ266" s="21"/>
      <c r="AR266" s="21"/>
      <c r="AS266" s="21" t="n">
        <f aca="false">IF(ISNUMBER(AS260),SUM(AS260:AS265),"")</f>
        <v>277.256</v>
      </c>
      <c r="AT266" s="21"/>
      <c r="AU266" s="21"/>
      <c r="AV266" s="21"/>
      <c r="AW266" s="21"/>
      <c r="AX266" s="21"/>
      <c r="AY266" s="21" t="n">
        <f aca="false">IF(ISNUMBER(AY260),SUM(AY260:AY265),"")</f>
        <v>282.004</v>
      </c>
      <c r="AZ266" s="21"/>
      <c r="BA266" s="21"/>
      <c r="BB266" s="21"/>
      <c r="BC266" s="21"/>
      <c r="BD266" s="21"/>
      <c r="BE266" s="21" t="n">
        <f aca="false">IF(ISNUMBER(BE260),SUM(BE260:BE265),"")</f>
        <v>356.044</v>
      </c>
      <c r="BF266" s="21"/>
      <c r="BG266" s="21"/>
      <c r="BH266" s="21"/>
      <c r="BI266" s="21"/>
      <c r="BJ266" s="21"/>
      <c r="BK266" s="21" t="n">
        <f aca="false">IF(ISNUMBER(BK260),SUM(BK260:BK265),"")</f>
        <v>421.031</v>
      </c>
      <c r="BL266" s="21"/>
      <c r="BM266" s="21"/>
      <c r="BN266" s="21"/>
      <c r="BO266" s="21"/>
      <c r="BP266" s="21"/>
      <c r="BQ266" s="21" t="n">
        <f aca="false">IF(ISNUMBER(BQ260),SUM(BQ260:BQ265),"")</f>
        <v>440.889</v>
      </c>
      <c r="BR266" s="21"/>
      <c r="BS266" s="21"/>
      <c r="BT266" s="21"/>
      <c r="BU266" s="21"/>
      <c r="BV266" s="21"/>
      <c r="BW266" s="21" t="n">
        <f aca="false">IF(ISNUMBER(BW260),SUM(BW260:BW265),"")</f>
        <v>492.769</v>
      </c>
      <c r="BX266" s="21"/>
      <c r="BY266" s="21"/>
      <c r="BZ266" s="21"/>
      <c r="CA266" s="21"/>
      <c r="CB266" s="21"/>
      <c r="CC266" s="21" t="n">
        <f aca="false">IF(ISNUMBER(CC260),SUM(CC260:CC265),"")</f>
        <v>628.567</v>
      </c>
      <c r="CD266" s="21"/>
      <c r="CE266" s="21"/>
      <c r="CF266" s="21"/>
      <c r="CG266" s="21"/>
      <c r="CH266" s="21"/>
      <c r="CI266" s="21" t="n">
        <f aca="false">IF(ISNUMBER(CI260),SUM(CI260:CI265),"")</f>
        <v>683.281</v>
      </c>
      <c r="CJ266" s="21"/>
      <c r="CK266" s="21"/>
      <c r="CL266" s="21"/>
      <c r="CM266" s="21"/>
      <c r="CN266" s="21"/>
      <c r="CO266" s="21" t="n">
        <f aca="false">IF(ISNUMBER(CO260),SUM(CO260:CO265),"")</f>
        <v>703.741</v>
      </c>
      <c r="CP266" s="23" t="n">
        <f aca="false">SUM(CP260:CP265)</f>
        <v>730.312722840468</v>
      </c>
      <c r="CQ266" s="23" t="n">
        <f aca="false">SUM(CQ260:CQ265)</f>
        <v>771.022274146244</v>
      </c>
      <c r="CR266" s="23" t="n">
        <f aca="false">SUM(CR260:CR265)</f>
        <v>816.462711856046</v>
      </c>
      <c r="CS266" s="23" t="n">
        <f aca="false">SUM(CS260:CS265)</f>
        <v>864.262032185111</v>
      </c>
      <c r="CT266" s="23" t="n">
        <f aca="false">SUM(CT260:CT265)</f>
        <v>915.070956169899</v>
      </c>
      <c r="CU266" s="24"/>
      <c r="CW266" s="6"/>
      <c r="CX266" s="6"/>
      <c r="CY266" s="6"/>
      <c r="CZ266" s="6"/>
    </row>
    <row r="267" customFormat="false" ht="15" hidden="false" customHeight="false" outlineLevel="0" collapsed="false">
      <c r="B267" s="15" t="s">
        <v>400</v>
      </c>
      <c r="C267" s="50" t="n">
        <v>0</v>
      </c>
      <c r="D267" s="50" t="n">
        <v>0</v>
      </c>
      <c r="E267" s="50" t="n">
        <v>0</v>
      </c>
      <c r="F267" s="50" t="n">
        <v>0</v>
      </c>
      <c r="G267" s="50" t="n">
        <v>0.601</v>
      </c>
      <c r="H267" s="50" t="n">
        <v>325.386</v>
      </c>
      <c r="I267" s="50" t="n">
        <v>368.95</v>
      </c>
      <c r="J267" s="50"/>
      <c r="K267" s="50"/>
      <c r="L267" s="39"/>
      <c r="M267" s="50"/>
      <c r="N267" s="50"/>
      <c r="O267" s="50" t="n">
        <v>296.41</v>
      </c>
      <c r="P267" s="50"/>
      <c r="Q267" s="50"/>
      <c r="R267" s="39"/>
      <c r="S267" s="50"/>
      <c r="T267" s="50"/>
      <c r="U267" s="50" t="n">
        <v>223.227</v>
      </c>
      <c r="V267" s="50"/>
      <c r="W267" s="50"/>
      <c r="X267" s="39"/>
      <c r="Y267" s="50"/>
      <c r="Z267" s="50"/>
      <c r="AA267" s="50" t="n">
        <v>590.843</v>
      </c>
      <c r="AB267" s="50"/>
      <c r="AC267" s="50"/>
      <c r="AD267" s="39"/>
      <c r="AE267" s="50"/>
      <c r="AF267" s="50"/>
      <c r="AG267" s="50" t="n">
        <v>564.341</v>
      </c>
      <c r="AH267" s="50"/>
      <c r="AI267" s="50"/>
      <c r="AJ267" s="39"/>
      <c r="AK267" s="50"/>
      <c r="AL267" s="50"/>
      <c r="AM267" s="50" t="n">
        <v>550.883</v>
      </c>
      <c r="AN267" s="50"/>
      <c r="AO267" s="50"/>
      <c r="AP267" s="39"/>
      <c r="AQ267" s="50"/>
      <c r="AR267" s="50"/>
      <c r="AS267" s="50" t="n">
        <v>398.747</v>
      </c>
      <c r="AT267" s="50"/>
      <c r="AU267" s="50"/>
      <c r="AV267" s="39"/>
      <c r="AW267" s="50"/>
      <c r="AX267" s="50"/>
      <c r="AY267" s="50" t="n">
        <v>400.091</v>
      </c>
      <c r="AZ267" s="50"/>
      <c r="BA267" s="50"/>
      <c r="BB267" s="39"/>
      <c r="BC267" s="50"/>
      <c r="BD267" s="50"/>
      <c r="BE267" s="50" t="n">
        <v>396.9</v>
      </c>
      <c r="BF267" s="50"/>
      <c r="BG267" s="50"/>
      <c r="BH267" s="39"/>
      <c r="BI267" s="50"/>
      <c r="BJ267" s="50"/>
      <c r="BK267" s="50" t="n">
        <v>397.636</v>
      </c>
      <c r="BL267" s="50"/>
      <c r="BM267" s="50"/>
      <c r="BN267" s="39"/>
      <c r="BO267" s="50"/>
      <c r="BP267" s="50"/>
      <c r="BQ267" s="50" t="n">
        <v>1.996</v>
      </c>
      <c r="BR267" s="50"/>
      <c r="BS267" s="50"/>
      <c r="BT267" s="39"/>
      <c r="BU267" s="50"/>
      <c r="BV267" s="50"/>
      <c r="BW267" s="50" t="n">
        <v>10.903</v>
      </c>
      <c r="BX267" s="50"/>
      <c r="BY267" s="50"/>
      <c r="BZ267" s="39"/>
      <c r="CA267" s="50"/>
      <c r="CB267" s="50"/>
      <c r="CC267" s="50" t="n">
        <v>0</v>
      </c>
      <c r="CD267" s="50"/>
      <c r="CE267" s="50"/>
      <c r="CF267" s="39"/>
      <c r="CG267" s="50"/>
      <c r="CH267" s="50"/>
      <c r="CI267" s="50" t="n">
        <v>0</v>
      </c>
      <c r="CJ267" s="50"/>
      <c r="CK267" s="50"/>
      <c r="CL267" s="39"/>
      <c r="CM267" s="50"/>
      <c r="CN267" s="50"/>
      <c r="CO267" s="50" t="n">
        <v>0</v>
      </c>
      <c r="CP267" s="40" t="n">
        <f aca="false">CP302-CP263</f>
        <v>0</v>
      </c>
      <c r="CQ267" s="40" t="n">
        <f aca="false">CQ302-CQ263</f>
        <v>0</v>
      </c>
      <c r="CR267" s="40" t="n">
        <f aca="false">CR302-CR263</f>
        <v>0</v>
      </c>
      <c r="CS267" s="40" t="n">
        <f aca="false">CS302-CS263</f>
        <v>0</v>
      </c>
      <c r="CT267" s="40" t="n">
        <f aca="false">CT302-CT263</f>
        <v>0</v>
      </c>
      <c r="CU267" s="24"/>
      <c r="CW267" s="25"/>
      <c r="CX267" s="25"/>
      <c r="CY267" s="25"/>
      <c r="CZ267" s="25"/>
    </row>
    <row r="268" customFormat="false" ht="15" hidden="false" customHeight="false" outlineLevel="0" collapsed="false">
      <c r="B268" s="15" t="s">
        <v>401</v>
      </c>
      <c r="C268" s="50" t="n">
        <v>0</v>
      </c>
      <c r="D268" s="50" t="n">
        <v>0</v>
      </c>
      <c r="E268" s="50" t="n">
        <v>0</v>
      </c>
      <c r="F268" s="50" t="n">
        <v>0</v>
      </c>
      <c r="G268" s="50" t="n">
        <v>0</v>
      </c>
      <c r="H268" s="50" t="n">
        <v>0</v>
      </c>
      <c r="I268" s="50" t="n">
        <v>0</v>
      </c>
      <c r="J268" s="50"/>
      <c r="K268" s="50"/>
      <c r="L268" s="39"/>
      <c r="M268" s="50"/>
      <c r="N268" s="50"/>
      <c r="O268" s="50" t="n">
        <v>0</v>
      </c>
      <c r="P268" s="50"/>
      <c r="Q268" s="50"/>
      <c r="R268" s="39"/>
      <c r="S268" s="50"/>
      <c r="T268" s="50"/>
      <c r="U268" s="50" t="n">
        <v>0</v>
      </c>
      <c r="V268" s="50"/>
      <c r="W268" s="50"/>
      <c r="X268" s="39"/>
      <c r="Y268" s="50"/>
      <c r="Z268" s="50"/>
      <c r="AA268" s="50" t="n">
        <v>0</v>
      </c>
      <c r="AB268" s="50"/>
      <c r="AC268" s="50"/>
      <c r="AD268" s="39"/>
      <c r="AE268" s="50"/>
      <c r="AF268" s="50"/>
      <c r="AG268" s="50" t="n">
        <v>0</v>
      </c>
      <c r="AH268" s="50"/>
      <c r="AI268" s="50"/>
      <c r="AJ268" s="39"/>
      <c r="AK268" s="50"/>
      <c r="AL268" s="50"/>
      <c r="AM268" s="50" t="n">
        <v>0</v>
      </c>
      <c r="AN268" s="50"/>
      <c r="AO268" s="50"/>
      <c r="AP268" s="39"/>
      <c r="AQ268" s="50"/>
      <c r="AR268" s="50"/>
      <c r="AS268" s="50" t="n">
        <v>0</v>
      </c>
      <c r="AT268" s="50"/>
      <c r="AU268" s="50"/>
      <c r="AV268" s="39"/>
      <c r="AW268" s="50"/>
      <c r="AX268" s="50"/>
      <c r="AY268" s="50" t="n">
        <v>0</v>
      </c>
      <c r="AZ268" s="50"/>
      <c r="BA268" s="50"/>
      <c r="BB268" s="39"/>
      <c r="BC268" s="50"/>
      <c r="BD268" s="50"/>
      <c r="BE268" s="50" t="n">
        <v>95.584</v>
      </c>
      <c r="BF268" s="50"/>
      <c r="BG268" s="50"/>
      <c r="BH268" s="39"/>
      <c r="BI268" s="50"/>
      <c r="BJ268" s="50"/>
      <c r="BK268" s="50" t="n">
        <v>97.925</v>
      </c>
      <c r="BL268" s="50"/>
      <c r="BM268" s="50"/>
      <c r="BN268" s="39"/>
      <c r="BO268" s="50"/>
      <c r="BP268" s="50"/>
      <c r="BQ268" s="50" t="n">
        <v>95.67</v>
      </c>
      <c r="BR268" s="50"/>
      <c r="BS268" s="50"/>
      <c r="BT268" s="39"/>
      <c r="BU268" s="50"/>
      <c r="BV268" s="50"/>
      <c r="BW268" s="50" t="n">
        <v>88.082</v>
      </c>
      <c r="BX268" s="50"/>
      <c r="BY268" s="50"/>
      <c r="BZ268" s="39"/>
      <c r="CA268" s="50"/>
      <c r="CB268" s="50"/>
      <c r="CC268" s="50" t="n">
        <v>97.429</v>
      </c>
      <c r="CD268" s="50"/>
      <c r="CE268" s="50"/>
      <c r="CF268" s="39"/>
      <c r="CG268" s="50"/>
      <c r="CH268" s="50"/>
      <c r="CI268" s="50" t="n">
        <v>83.87</v>
      </c>
      <c r="CJ268" s="50"/>
      <c r="CK268" s="50"/>
      <c r="CL268" s="39"/>
      <c r="CM268" s="50"/>
      <c r="CN268" s="50"/>
      <c r="CO268" s="50" t="n">
        <v>73.204</v>
      </c>
      <c r="CP268" s="40" t="n">
        <f aca="false">CO268</f>
        <v>73.204</v>
      </c>
      <c r="CQ268" s="40" t="n">
        <f aca="false">CP268</f>
        <v>73.204</v>
      </c>
      <c r="CR268" s="40" t="n">
        <f aca="false">CQ268</f>
        <v>73.204</v>
      </c>
      <c r="CS268" s="40" t="n">
        <f aca="false">CR268</f>
        <v>73.204</v>
      </c>
      <c r="CT268" s="40" t="n">
        <f aca="false">CS268</f>
        <v>73.204</v>
      </c>
      <c r="CU268" s="24"/>
      <c r="CW268" s="25"/>
      <c r="CX268" s="25"/>
      <c r="CY268" s="25"/>
      <c r="CZ268" s="25"/>
    </row>
    <row r="269" customFormat="false" ht="15" hidden="false" customHeight="false" outlineLevel="0" collapsed="false">
      <c r="B269" s="15" t="s">
        <v>309</v>
      </c>
      <c r="C269" s="50" t="n">
        <v>0</v>
      </c>
      <c r="D269" s="50" t="n">
        <v>0</v>
      </c>
      <c r="E269" s="50" t="n">
        <v>0</v>
      </c>
      <c r="F269" s="50" t="n">
        <v>0</v>
      </c>
      <c r="G269" s="50" t="n">
        <v>9.748</v>
      </c>
      <c r="H269" s="50" t="n">
        <v>10.057</v>
      </c>
      <c r="I269" s="50" t="n">
        <v>7.186</v>
      </c>
      <c r="J269" s="50"/>
      <c r="K269" s="50"/>
      <c r="L269" s="39"/>
      <c r="M269" s="50"/>
      <c r="N269" s="50"/>
      <c r="O269" s="50" t="n">
        <v>8.071</v>
      </c>
      <c r="P269" s="50"/>
      <c r="Q269" s="50"/>
      <c r="R269" s="39"/>
      <c r="S269" s="50"/>
      <c r="T269" s="50"/>
      <c r="U269" s="50" t="n">
        <v>7.372</v>
      </c>
      <c r="V269" s="50"/>
      <c r="W269" s="50"/>
      <c r="X269" s="39"/>
      <c r="Y269" s="50"/>
      <c r="Z269" s="50"/>
      <c r="AA269" s="50" t="n">
        <v>5.322</v>
      </c>
      <c r="AB269" s="50"/>
      <c r="AC269" s="50"/>
      <c r="AD269" s="39"/>
      <c r="AE269" s="50"/>
      <c r="AF269" s="50"/>
      <c r="AG269" s="50" t="n">
        <v>3.816</v>
      </c>
      <c r="AH269" s="50"/>
      <c r="AI269" s="50"/>
      <c r="AJ269" s="39"/>
      <c r="AK269" s="50"/>
      <c r="AL269" s="50"/>
      <c r="AM269" s="50" t="n">
        <v>3.192</v>
      </c>
      <c r="AN269" s="50"/>
      <c r="AO269" s="50"/>
      <c r="AP269" s="39"/>
      <c r="AQ269" s="50"/>
      <c r="AR269" s="50"/>
      <c r="AS269" s="50" t="n">
        <v>19.733</v>
      </c>
      <c r="AT269" s="50"/>
      <c r="AU269" s="50"/>
      <c r="AV269" s="39"/>
      <c r="AW269" s="50"/>
      <c r="AX269" s="50"/>
      <c r="AY269" s="50" t="n">
        <v>48.683</v>
      </c>
      <c r="AZ269" s="50"/>
      <c r="BA269" s="50"/>
      <c r="BB269" s="39"/>
      <c r="BC269" s="50"/>
      <c r="BD269" s="50"/>
      <c r="BE269" s="50" t="n">
        <v>71.686</v>
      </c>
      <c r="BF269" s="50"/>
      <c r="BG269" s="50"/>
      <c r="BH269" s="39"/>
      <c r="BI269" s="50"/>
      <c r="BJ269" s="50"/>
      <c r="BK269" s="50" t="n">
        <v>63.969</v>
      </c>
      <c r="BL269" s="50"/>
      <c r="BM269" s="50"/>
      <c r="BN269" s="39"/>
      <c r="BO269" s="50"/>
      <c r="BP269" s="50"/>
      <c r="BQ269" s="50" t="n">
        <v>80.06</v>
      </c>
      <c r="BR269" s="50"/>
      <c r="BS269" s="50"/>
      <c r="BT269" s="39"/>
      <c r="BU269" s="50"/>
      <c r="BV269" s="50"/>
      <c r="BW269" s="50" t="n">
        <v>89.492</v>
      </c>
      <c r="BX269" s="50"/>
      <c r="BY269" s="50"/>
      <c r="BZ269" s="39"/>
      <c r="CA269" s="50"/>
      <c r="CB269" s="50"/>
      <c r="CC269" s="50" t="n">
        <v>93.653</v>
      </c>
      <c r="CD269" s="50"/>
      <c r="CE269" s="50"/>
      <c r="CF269" s="39"/>
      <c r="CG269" s="50"/>
      <c r="CH269" s="50"/>
      <c r="CI269" s="50" t="n">
        <v>80.625</v>
      </c>
      <c r="CJ269" s="50"/>
      <c r="CK269" s="50"/>
      <c r="CL269" s="39"/>
      <c r="CM269" s="50"/>
      <c r="CN269" s="50"/>
      <c r="CO269" s="50" t="n">
        <v>127.918</v>
      </c>
      <c r="CP269" s="40" t="n">
        <f aca="false">CO269+CP184</f>
        <v>137.918</v>
      </c>
      <c r="CQ269" s="40" t="n">
        <f aca="false">CP269+CQ184</f>
        <v>147.918</v>
      </c>
      <c r="CR269" s="40" t="n">
        <f aca="false">CQ269+CR184</f>
        <v>157.918</v>
      </c>
      <c r="CS269" s="40" t="n">
        <f aca="false">CR269+CS184</f>
        <v>167.918</v>
      </c>
      <c r="CT269" s="40" t="n">
        <f aca="false">CS269+CT184</f>
        <v>177.918</v>
      </c>
      <c r="CU269" s="24"/>
      <c r="CW269" s="25"/>
      <c r="CX269" s="25"/>
      <c r="CY269" s="25"/>
      <c r="CZ269" s="25"/>
    </row>
    <row r="270" customFormat="false" ht="15" hidden="false" customHeight="false" outlineLevel="0" collapsed="false">
      <c r="B270" s="15" t="s">
        <v>402</v>
      </c>
      <c r="C270" s="50" t="n">
        <v>0</v>
      </c>
      <c r="D270" s="50" t="n">
        <v>0</v>
      </c>
      <c r="E270" s="50" t="n">
        <v>12.219</v>
      </c>
      <c r="F270" s="50" t="n">
        <v>20.266</v>
      </c>
      <c r="G270" s="50" t="n">
        <v>23.369</v>
      </c>
      <c r="H270" s="50" t="n">
        <v>24.773</v>
      </c>
      <c r="I270" s="50" t="n">
        <v>22.531</v>
      </c>
      <c r="J270" s="50"/>
      <c r="K270" s="50"/>
      <c r="L270" s="39"/>
      <c r="M270" s="50"/>
      <c r="N270" s="50"/>
      <c r="O270" s="50" t="n">
        <v>23.091</v>
      </c>
      <c r="P270" s="50"/>
      <c r="Q270" s="50"/>
      <c r="R270" s="39"/>
      <c r="S270" s="50"/>
      <c r="T270" s="50"/>
      <c r="U270" s="50" t="n">
        <v>23.771</v>
      </c>
      <c r="V270" s="50"/>
      <c r="W270" s="50"/>
      <c r="X270" s="39"/>
      <c r="Y270" s="50"/>
      <c r="Z270" s="50"/>
      <c r="AA270" s="50" t="n">
        <v>21.157</v>
      </c>
      <c r="AB270" s="50"/>
      <c r="AC270" s="50"/>
      <c r="AD270" s="39"/>
      <c r="AE270" s="50"/>
      <c r="AF270" s="50"/>
      <c r="AG270" s="50" t="n">
        <v>25.641</v>
      </c>
      <c r="AH270" s="50"/>
      <c r="AI270" s="50"/>
      <c r="AJ270" s="39"/>
      <c r="AK270" s="50"/>
      <c r="AL270" s="50"/>
      <c r="AM270" s="50" t="n">
        <v>24.573</v>
      </c>
      <c r="AN270" s="50"/>
      <c r="AO270" s="50"/>
      <c r="AP270" s="39"/>
      <c r="AQ270" s="50"/>
      <c r="AR270" s="50"/>
      <c r="AS270" s="50" t="n">
        <v>27.277</v>
      </c>
      <c r="AT270" s="50"/>
      <c r="AU270" s="50"/>
      <c r="AV270" s="39"/>
      <c r="AW270" s="50"/>
      <c r="AX270" s="50"/>
      <c r="AY270" s="50" t="n">
        <v>35.116</v>
      </c>
      <c r="AZ270" s="50"/>
      <c r="BA270" s="50"/>
      <c r="BB270" s="39"/>
      <c r="BC270" s="50"/>
      <c r="BD270" s="50"/>
      <c r="BE270" s="50" t="n">
        <v>44.965</v>
      </c>
      <c r="BF270" s="50"/>
      <c r="BG270" s="50"/>
      <c r="BH270" s="39"/>
      <c r="BI270" s="50"/>
      <c r="BJ270" s="50"/>
      <c r="BK270" s="50" t="n">
        <v>52.345</v>
      </c>
      <c r="BL270" s="50"/>
      <c r="BM270" s="50"/>
      <c r="BN270" s="39"/>
      <c r="BO270" s="50"/>
      <c r="BP270" s="50"/>
      <c r="BQ270" s="50" t="n">
        <v>64.637</v>
      </c>
      <c r="BR270" s="50"/>
      <c r="BS270" s="50"/>
      <c r="BT270" s="39"/>
      <c r="BU270" s="50"/>
      <c r="BV270" s="50"/>
      <c r="BW270" s="50" t="n">
        <v>69.193</v>
      </c>
      <c r="BX270" s="50"/>
      <c r="BY270" s="50"/>
      <c r="BZ270" s="39"/>
      <c r="CA270" s="50"/>
      <c r="CB270" s="50"/>
      <c r="CC270" s="50" t="n">
        <v>59.56</v>
      </c>
      <c r="CD270" s="50"/>
      <c r="CE270" s="50"/>
      <c r="CF270" s="39"/>
      <c r="CG270" s="50"/>
      <c r="CH270" s="50"/>
      <c r="CI270" s="50" t="n">
        <v>35.635</v>
      </c>
      <c r="CJ270" s="50"/>
      <c r="CK270" s="50"/>
      <c r="CL270" s="39"/>
      <c r="CM270" s="50"/>
      <c r="CN270" s="50"/>
      <c r="CO270" s="50" t="n">
        <v>9.067</v>
      </c>
      <c r="CP270" s="40" t="n">
        <f aca="false">CO270</f>
        <v>9.067</v>
      </c>
      <c r="CQ270" s="40" t="n">
        <f aca="false">CP270</f>
        <v>9.067</v>
      </c>
      <c r="CR270" s="40" t="n">
        <f aca="false">CQ270</f>
        <v>9.067</v>
      </c>
      <c r="CS270" s="40" t="n">
        <f aca="false">CR270</f>
        <v>9.067</v>
      </c>
      <c r="CT270" s="40" t="n">
        <f aca="false">CS270</f>
        <v>9.067</v>
      </c>
      <c r="CU270" s="24"/>
      <c r="CW270" s="25"/>
      <c r="CX270" s="25"/>
      <c r="CY270" s="25"/>
      <c r="CZ270" s="25"/>
    </row>
    <row r="271" customFormat="false" ht="15" hidden="false" customHeight="false" outlineLevel="0" collapsed="false">
      <c r="B271" s="15" t="s">
        <v>403</v>
      </c>
      <c r="C271" s="50" t="n">
        <v>1.402</v>
      </c>
      <c r="D271" s="50" t="n">
        <v>17.876</v>
      </c>
      <c r="E271" s="50" t="n">
        <v>16.78</v>
      </c>
      <c r="F271" s="50" t="n">
        <v>12.723</v>
      </c>
      <c r="G271" s="50" t="n">
        <v>0.636</v>
      </c>
      <c r="H271" s="50" t="n">
        <v>2.422</v>
      </c>
      <c r="I271" s="50" t="n">
        <v>7.897</v>
      </c>
      <c r="J271" s="50"/>
      <c r="K271" s="50"/>
      <c r="L271" s="39"/>
      <c r="M271" s="50"/>
      <c r="N271" s="50"/>
      <c r="O271" s="50" t="n">
        <v>5.949</v>
      </c>
      <c r="P271" s="50"/>
      <c r="Q271" s="50"/>
      <c r="R271" s="39"/>
      <c r="S271" s="50"/>
      <c r="T271" s="50"/>
      <c r="U271" s="50" t="n">
        <v>3.968</v>
      </c>
      <c r="V271" s="50"/>
      <c r="W271" s="50"/>
      <c r="X271" s="39"/>
      <c r="Y271" s="50"/>
      <c r="Z271" s="50"/>
      <c r="AA271" s="50" t="n">
        <v>3.748</v>
      </c>
      <c r="AB271" s="50"/>
      <c r="AC271" s="50"/>
      <c r="AD271" s="39"/>
      <c r="AE271" s="50"/>
      <c r="AF271" s="50"/>
      <c r="AG271" s="50" t="n">
        <v>2.783</v>
      </c>
      <c r="AH271" s="50"/>
      <c r="AI271" s="50"/>
      <c r="AJ271" s="39"/>
      <c r="AK271" s="50"/>
      <c r="AL271" s="50"/>
      <c r="AM271" s="50" t="n">
        <v>3.1</v>
      </c>
      <c r="AN271" s="50"/>
      <c r="AO271" s="50"/>
      <c r="AP271" s="39"/>
      <c r="AQ271" s="50"/>
      <c r="AR271" s="50"/>
      <c r="AS271" s="50" t="n">
        <v>3.586</v>
      </c>
      <c r="AT271" s="50"/>
      <c r="AU271" s="50"/>
      <c r="AV271" s="39"/>
      <c r="AW271" s="50"/>
      <c r="AX271" s="50"/>
      <c r="AY271" s="50" t="n">
        <v>3.342</v>
      </c>
      <c r="AZ271" s="50"/>
      <c r="BA271" s="50"/>
      <c r="BB271" s="39"/>
      <c r="BC271" s="50"/>
      <c r="BD271" s="50"/>
      <c r="BE271" s="50" t="n">
        <v>0.566</v>
      </c>
      <c r="BF271" s="50"/>
      <c r="BG271" s="50"/>
      <c r="BH271" s="39"/>
      <c r="BI271" s="50"/>
      <c r="BJ271" s="50"/>
      <c r="BK271" s="50" t="n">
        <v>0.036</v>
      </c>
      <c r="BL271" s="50"/>
      <c r="BM271" s="50"/>
      <c r="BN271" s="39"/>
      <c r="BO271" s="50"/>
      <c r="BP271" s="50"/>
      <c r="BQ271" s="50" t="n">
        <v>0.013</v>
      </c>
      <c r="BR271" s="50"/>
      <c r="BS271" s="50"/>
      <c r="BT271" s="39"/>
      <c r="BU271" s="50"/>
      <c r="BV271" s="50"/>
      <c r="BW271" s="50" t="n">
        <v>0</v>
      </c>
      <c r="BX271" s="50"/>
      <c r="BY271" s="50"/>
      <c r="BZ271" s="39"/>
      <c r="CA271" s="50"/>
      <c r="CB271" s="50"/>
      <c r="CC271" s="50" t="n">
        <v>0</v>
      </c>
      <c r="CD271" s="50"/>
      <c r="CE271" s="50"/>
      <c r="CF271" s="39"/>
      <c r="CG271" s="50"/>
      <c r="CH271" s="50"/>
      <c r="CI271" s="50" t="n">
        <v>0</v>
      </c>
      <c r="CJ271" s="50"/>
      <c r="CK271" s="50"/>
      <c r="CL271" s="39"/>
      <c r="CM271" s="50"/>
      <c r="CN271" s="50"/>
      <c r="CO271" s="50" t="n">
        <v>0</v>
      </c>
      <c r="CP271" s="40" t="n">
        <f aca="false">CO271+CP187+CP203+CP186</f>
        <v>0</v>
      </c>
      <c r="CQ271" s="40" t="n">
        <f aca="false">CP271+CQ187+CQ203+CQ186</f>
        <v>0</v>
      </c>
      <c r="CR271" s="40" t="n">
        <f aca="false">CQ271+CR187+CR203+CR186</f>
        <v>0</v>
      </c>
      <c r="CS271" s="40" t="n">
        <f aca="false">CR271+CS187+CS203+CS186</f>
        <v>0</v>
      </c>
      <c r="CT271" s="40" t="n">
        <f aca="false">CS271+CT187+CT203+CT186</f>
        <v>0</v>
      </c>
      <c r="CU271" s="24"/>
      <c r="CW271" s="25"/>
      <c r="CX271" s="25"/>
      <c r="CY271" s="25"/>
      <c r="CZ271" s="25"/>
    </row>
    <row r="272" customFormat="false" ht="15" hidden="false" customHeight="false" outlineLevel="0" collapsed="false">
      <c r="B272" s="41" t="s">
        <v>404</v>
      </c>
      <c r="C272" s="42" t="n">
        <f aca="false">IF(ISNUMBER(C260),C266+SUM(C267:C271),"")</f>
        <v>89.27</v>
      </c>
      <c r="D272" s="42" t="n">
        <f aca="false">IF(ISNUMBER(D260),D266+SUM(D267:D271),"")</f>
        <v>133.734</v>
      </c>
      <c r="E272" s="42" t="n">
        <f aca="false">IF(ISNUMBER(E260),E266+SUM(E267:E271),"")</f>
        <v>157.251</v>
      </c>
      <c r="F272" s="42" t="n">
        <f aca="false">IF(ISNUMBER(F260),F266+SUM(F267:F271),"")</f>
        <v>136.573</v>
      </c>
      <c r="G272" s="42" t="n">
        <f aca="false">IF(ISNUMBER(G260),G266+SUM(G267:G271),"")</f>
        <v>141.578</v>
      </c>
      <c r="H272" s="42" t="n">
        <f aca="false">IF(ISNUMBER(H260),H266+SUM(H267:H271),"")</f>
        <v>529.264</v>
      </c>
      <c r="I272" s="42" t="n">
        <f aca="false">IF(ISNUMBER(I260),I266+SUM(I267:I271),"")</f>
        <v>592.883</v>
      </c>
      <c r="J272" s="21"/>
      <c r="K272" s="21"/>
      <c r="L272" s="21"/>
      <c r="M272" s="21"/>
      <c r="N272" s="21"/>
      <c r="O272" s="42" t="n">
        <f aca="false">IF(ISNUMBER(O260),O266+SUM(O267:O271),"")</f>
        <v>572.08</v>
      </c>
      <c r="P272" s="21"/>
      <c r="Q272" s="21"/>
      <c r="R272" s="21"/>
      <c r="S272" s="21"/>
      <c r="T272" s="21"/>
      <c r="U272" s="42" t="n">
        <f aca="false">IF(ISNUMBER(U260),U266+SUM(U267:U271),"")</f>
        <v>502.622</v>
      </c>
      <c r="V272" s="21"/>
      <c r="W272" s="21"/>
      <c r="X272" s="21"/>
      <c r="Y272" s="21"/>
      <c r="Z272" s="21"/>
      <c r="AA272" s="42" t="n">
        <f aca="false">IF(ISNUMBER(AA260),AA266+SUM(AA267:AA271),"")</f>
        <v>834.196</v>
      </c>
      <c r="AB272" s="21"/>
      <c r="AC272" s="21"/>
      <c r="AD272" s="21"/>
      <c r="AE272" s="21"/>
      <c r="AF272" s="21"/>
      <c r="AG272" s="42" t="n">
        <f aca="false">IF(ISNUMBER(AG260),AG266+SUM(AG267:AG271),"")</f>
        <v>875.364</v>
      </c>
      <c r="AH272" s="21"/>
      <c r="AI272" s="21"/>
      <c r="AJ272" s="21"/>
      <c r="AK272" s="21"/>
      <c r="AL272" s="21"/>
      <c r="AM272" s="42" t="n">
        <f aca="false">IF(ISNUMBER(AM260),AM266+SUM(AM267:AM271),"")</f>
        <v>883.901</v>
      </c>
      <c r="AN272" s="21"/>
      <c r="AO272" s="21"/>
      <c r="AP272" s="21"/>
      <c r="AQ272" s="21"/>
      <c r="AR272" s="21"/>
      <c r="AS272" s="42" t="n">
        <f aca="false">IF(ISNUMBER(AS260),AS266+SUM(AS267:AS271),"")</f>
        <v>726.599</v>
      </c>
      <c r="AT272" s="21"/>
      <c r="AU272" s="21"/>
      <c r="AV272" s="21"/>
      <c r="AW272" s="21"/>
      <c r="AX272" s="21"/>
      <c r="AY272" s="42" t="n">
        <f aca="false">IF(ISNUMBER(AY260),AY266+SUM(AY267:AY271),"")</f>
        <v>769.236</v>
      </c>
      <c r="AZ272" s="21"/>
      <c r="BA272" s="21"/>
      <c r="BB272" s="21"/>
      <c r="BC272" s="21"/>
      <c r="BD272" s="21"/>
      <c r="BE272" s="42" t="n">
        <f aca="false">IF(ISNUMBER(BE260),BE266+SUM(BE267:BE271),"")</f>
        <v>965.745</v>
      </c>
      <c r="BF272" s="21"/>
      <c r="BG272" s="21"/>
      <c r="BH272" s="21"/>
      <c r="BI272" s="21"/>
      <c r="BJ272" s="21"/>
      <c r="BK272" s="42" t="n">
        <f aca="false">IF(ISNUMBER(BK260),BK266+SUM(BK267:BK271),"")</f>
        <v>1032.942</v>
      </c>
      <c r="BL272" s="21"/>
      <c r="BM272" s="21"/>
      <c r="BN272" s="21"/>
      <c r="BO272" s="21"/>
      <c r="BP272" s="21"/>
      <c r="BQ272" s="42" t="n">
        <f aca="false">IF(ISNUMBER(BQ260),BQ266+SUM(BQ267:BQ271),"")</f>
        <v>683.265</v>
      </c>
      <c r="BR272" s="21"/>
      <c r="BS272" s="21"/>
      <c r="BT272" s="21"/>
      <c r="BU272" s="21"/>
      <c r="BV272" s="21"/>
      <c r="BW272" s="42" t="n">
        <f aca="false">IF(ISNUMBER(BW260),BW266+SUM(BW267:BW271),"")</f>
        <v>750.439</v>
      </c>
      <c r="BX272" s="21"/>
      <c r="BY272" s="21"/>
      <c r="BZ272" s="21"/>
      <c r="CA272" s="21"/>
      <c r="CB272" s="21"/>
      <c r="CC272" s="42" t="n">
        <f aca="false">IF(ISNUMBER(CC260),CC266+SUM(CC267:CC271),"")</f>
        <v>879.209</v>
      </c>
      <c r="CD272" s="21"/>
      <c r="CE272" s="21"/>
      <c r="CF272" s="21"/>
      <c r="CG272" s="21"/>
      <c r="CH272" s="21"/>
      <c r="CI272" s="42" t="n">
        <f aca="false">IF(ISNUMBER(CI260),CI266+SUM(CI267:CI271),"")</f>
        <v>883.411</v>
      </c>
      <c r="CJ272" s="21"/>
      <c r="CK272" s="21"/>
      <c r="CL272" s="21"/>
      <c r="CM272" s="21"/>
      <c r="CN272" s="21"/>
      <c r="CO272" s="42" t="n">
        <f aca="false">IF(ISNUMBER(CO260),CO266+SUM(CO267:CO271),"")</f>
        <v>913.93</v>
      </c>
      <c r="CP272" s="42" t="n">
        <f aca="false">CP266+SUM(CP267:CP271)</f>
        <v>950.501722840467</v>
      </c>
      <c r="CQ272" s="42" t="n">
        <f aca="false">CQ266+SUM(CQ267:CQ271)</f>
        <v>1001.21127414624</v>
      </c>
      <c r="CR272" s="42" t="n">
        <f aca="false">CR266+SUM(CR267:CR271)</f>
        <v>1056.65171185605</v>
      </c>
      <c r="CS272" s="42" t="n">
        <f aca="false">CS266+SUM(CS267:CS271)</f>
        <v>1114.45103218511</v>
      </c>
      <c r="CT272" s="42" t="n">
        <f aca="false">CT266+SUM(CT267:CT271)</f>
        <v>1175.2599561699</v>
      </c>
      <c r="CU272" s="24"/>
      <c r="CW272" s="25"/>
      <c r="CX272" s="25"/>
      <c r="CY272" s="25"/>
      <c r="CZ272" s="25"/>
    </row>
    <row r="273" customFormat="false" ht="15" hidden="false" customHeight="false" outlineLevel="0" collapsed="false">
      <c r="B273" s="15" t="s">
        <v>405</v>
      </c>
      <c r="C273" s="50" t="n">
        <v>0</v>
      </c>
      <c r="D273" s="50" t="n">
        <v>0</v>
      </c>
      <c r="E273" s="50" t="n">
        <v>0</v>
      </c>
      <c r="F273" s="50" t="n">
        <v>0</v>
      </c>
      <c r="G273" s="50" t="n">
        <v>0</v>
      </c>
      <c r="H273" s="50" t="n">
        <v>0</v>
      </c>
      <c r="I273" s="50" t="n">
        <v>0</v>
      </c>
      <c r="J273" s="50"/>
      <c r="K273" s="50"/>
      <c r="L273" s="39"/>
      <c r="M273" s="50"/>
      <c r="N273" s="50"/>
      <c r="O273" s="50" t="n">
        <v>0</v>
      </c>
      <c r="P273" s="50"/>
      <c r="Q273" s="50"/>
      <c r="R273" s="39"/>
      <c r="S273" s="50"/>
      <c r="T273" s="50"/>
      <c r="U273" s="50" t="n">
        <v>0</v>
      </c>
      <c r="V273" s="50"/>
      <c r="W273" s="50"/>
      <c r="X273" s="39"/>
      <c r="Y273" s="50"/>
      <c r="Z273" s="50"/>
      <c r="AA273" s="50" t="n">
        <v>0</v>
      </c>
      <c r="AB273" s="50"/>
      <c r="AC273" s="50"/>
      <c r="AD273" s="39"/>
      <c r="AE273" s="50"/>
      <c r="AF273" s="50"/>
      <c r="AG273" s="50" t="n">
        <v>0</v>
      </c>
      <c r="AH273" s="50"/>
      <c r="AI273" s="50"/>
      <c r="AJ273" s="39"/>
      <c r="AK273" s="50"/>
      <c r="AL273" s="50"/>
      <c r="AM273" s="50" t="n">
        <v>0</v>
      </c>
      <c r="AN273" s="50"/>
      <c r="AO273" s="50"/>
      <c r="AP273" s="39"/>
      <c r="AQ273" s="50"/>
      <c r="AR273" s="50"/>
      <c r="AS273" s="50" t="n">
        <v>0</v>
      </c>
      <c r="AT273" s="50"/>
      <c r="AU273" s="50"/>
      <c r="AV273" s="39"/>
      <c r="AW273" s="50"/>
      <c r="AX273" s="50"/>
      <c r="AY273" s="50" t="n">
        <v>0</v>
      </c>
      <c r="AZ273" s="50"/>
      <c r="BA273" s="50"/>
      <c r="BB273" s="39"/>
      <c r="BC273" s="50"/>
      <c r="BD273" s="50"/>
      <c r="BE273" s="50" t="n">
        <v>0</v>
      </c>
      <c r="BF273" s="50"/>
      <c r="BG273" s="50"/>
      <c r="BH273" s="39"/>
      <c r="BI273" s="50"/>
      <c r="BJ273" s="50"/>
      <c r="BK273" s="50" t="n">
        <v>0</v>
      </c>
      <c r="BL273" s="50"/>
      <c r="BM273" s="50"/>
      <c r="BN273" s="39"/>
      <c r="BO273" s="50"/>
      <c r="BP273" s="50"/>
      <c r="BQ273" s="50" t="n">
        <v>0</v>
      </c>
      <c r="BR273" s="50"/>
      <c r="BS273" s="50"/>
      <c r="BT273" s="39"/>
      <c r="BU273" s="50"/>
      <c r="BV273" s="50"/>
      <c r="BW273" s="50" t="n">
        <v>0</v>
      </c>
      <c r="BX273" s="50"/>
      <c r="BY273" s="50"/>
      <c r="BZ273" s="39"/>
      <c r="CA273" s="50"/>
      <c r="CB273" s="50"/>
      <c r="CC273" s="50" t="n">
        <v>24.544</v>
      </c>
      <c r="CD273" s="50"/>
      <c r="CE273" s="50"/>
      <c r="CF273" s="39"/>
      <c r="CG273" s="50"/>
      <c r="CH273" s="50"/>
      <c r="CI273" s="50" t="n">
        <v>20.458</v>
      </c>
      <c r="CJ273" s="50"/>
      <c r="CK273" s="50"/>
      <c r="CL273" s="39"/>
      <c r="CM273" s="50"/>
      <c r="CN273" s="50"/>
      <c r="CO273" s="50" t="n">
        <v>16.585</v>
      </c>
      <c r="CP273" s="40" t="n">
        <f aca="false">CO273+CP92</f>
        <v>16.585</v>
      </c>
      <c r="CQ273" s="40" t="n">
        <f aca="false">CP273+CQ92</f>
        <v>16.585</v>
      </c>
      <c r="CR273" s="40" t="n">
        <f aca="false">CQ273+CR92</f>
        <v>16.585</v>
      </c>
      <c r="CS273" s="40" t="n">
        <f aca="false">CR273+CS92</f>
        <v>16.585</v>
      </c>
      <c r="CT273" s="40" t="n">
        <f aca="false">CS273+CT92</f>
        <v>16.585</v>
      </c>
      <c r="CU273" s="24"/>
      <c r="CW273" s="25"/>
      <c r="CX273" s="25"/>
      <c r="CY273" s="25"/>
      <c r="CZ273" s="25"/>
    </row>
    <row r="274" customFormat="false" ht="15" hidden="false" customHeight="false" outlineLevel="0" collapsed="false">
      <c r="B274" s="15" t="s">
        <v>406</v>
      </c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40"/>
      <c r="CQ274" s="40"/>
      <c r="CR274" s="40"/>
      <c r="CS274" s="40"/>
      <c r="CT274" s="40"/>
      <c r="CU274" s="24"/>
      <c r="CW274" s="6"/>
      <c r="CX274" s="6"/>
      <c r="CY274" s="6"/>
      <c r="CZ274" s="6"/>
    </row>
    <row r="275" customFormat="false" ht="15" hidden="false" customHeight="false" outlineLevel="0" collapsed="false">
      <c r="B275" s="15" t="s">
        <v>407</v>
      </c>
      <c r="C275" s="50" t="n">
        <v>276.052</v>
      </c>
      <c r="D275" s="50" t="n">
        <v>206.126</v>
      </c>
      <c r="E275" s="50" t="n">
        <v>316.673</v>
      </c>
      <c r="F275" s="50" t="n">
        <v>334.44</v>
      </c>
      <c r="G275" s="50" t="n">
        <v>365.507</v>
      </c>
      <c r="H275" s="50" t="n">
        <v>313.94</v>
      </c>
      <c r="I275" s="50" t="n">
        <v>326.199</v>
      </c>
      <c r="J275" s="50"/>
      <c r="K275" s="50"/>
      <c r="L275" s="39"/>
      <c r="M275" s="50"/>
      <c r="N275" s="50"/>
      <c r="O275" s="50" t="n">
        <v>368.782</v>
      </c>
      <c r="P275" s="50"/>
      <c r="Q275" s="50"/>
      <c r="R275" s="39"/>
      <c r="S275" s="50"/>
      <c r="T275" s="50"/>
      <c r="U275" s="50" t="n">
        <v>404.555</v>
      </c>
      <c r="V275" s="50"/>
      <c r="W275" s="50"/>
      <c r="X275" s="39"/>
      <c r="Y275" s="50"/>
      <c r="Z275" s="50"/>
      <c r="AA275" s="50" t="n">
        <v>407.82</v>
      </c>
      <c r="AB275" s="50"/>
      <c r="AC275" s="50"/>
      <c r="AD275" s="39"/>
      <c r="AE275" s="50"/>
      <c r="AF275" s="50"/>
      <c r="AG275" s="50" t="n">
        <v>392.456</v>
      </c>
      <c r="AH275" s="50"/>
      <c r="AI275" s="50"/>
      <c r="AJ275" s="39"/>
      <c r="AK275" s="50"/>
      <c r="AL275" s="50"/>
      <c r="AM275" s="50" t="n">
        <v>453.372</v>
      </c>
      <c r="AN275" s="50"/>
      <c r="AO275" s="50"/>
      <c r="AP275" s="39"/>
      <c r="AQ275" s="50"/>
      <c r="AR275" s="50"/>
      <c r="AS275" s="50" t="n">
        <v>526.881</v>
      </c>
      <c r="AT275" s="50"/>
      <c r="AU275" s="50"/>
      <c r="AV275" s="39"/>
      <c r="AW275" s="50"/>
      <c r="AX275" s="50"/>
      <c r="AY275" s="50" t="n">
        <v>572.582</v>
      </c>
      <c r="AZ275" s="50"/>
      <c r="BA275" s="50"/>
      <c r="BB275" s="39"/>
      <c r="BC275" s="50"/>
      <c r="BD275" s="50"/>
      <c r="BE275" s="50" t="n">
        <v>672.751</v>
      </c>
      <c r="BF275" s="50"/>
      <c r="BG275" s="50"/>
      <c r="BH275" s="39"/>
      <c r="BI275" s="50"/>
      <c r="BJ275" s="50"/>
      <c r="BK275" s="50" t="n">
        <v>761.858</v>
      </c>
      <c r="BL275" s="50"/>
      <c r="BM275" s="50"/>
      <c r="BN275" s="39"/>
      <c r="BO275" s="50"/>
      <c r="BP275" s="50"/>
      <c r="BQ275" s="50" t="n">
        <v>838.556</v>
      </c>
      <c r="BR275" s="50"/>
      <c r="BS275" s="50"/>
      <c r="BT275" s="39"/>
      <c r="BU275" s="50"/>
      <c r="BV275" s="50"/>
      <c r="BW275" s="50" t="n">
        <v>939.006</v>
      </c>
      <c r="BX275" s="50"/>
      <c r="BY275" s="50"/>
      <c r="BZ275" s="39"/>
      <c r="CA275" s="50"/>
      <c r="CB275" s="50"/>
      <c r="CC275" s="50" t="n">
        <v>1121.081</v>
      </c>
      <c r="CD275" s="50"/>
      <c r="CE275" s="50"/>
      <c r="CF275" s="39"/>
      <c r="CG275" s="50"/>
      <c r="CH275" s="50"/>
      <c r="CI275" s="50" t="n">
        <v>1214.247</v>
      </c>
      <c r="CJ275" s="50"/>
      <c r="CK275" s="50"/>
      <c r="CL275" s="39"/>
      <c r="CM275" s="50"/>
      <c r="CN275" s="50"/>
      <c r="CO275" s="50" t="n">
        <v>1226.447</v>
      </c>
      <c r="CP275" s="40" t="n">
        <f aca="false">CO275+CP182+CP200+CP202</f>
        <v>1290.541057404</v>
      </c>
      <c r="CQ275" s="40" t="n">
        <f aca="false">CP275+CQ182+CQ200+CQ202</f>
        <v>1356.92929434838</v>
      </c>
      <c r="CR275" s="40" t="n">
        <f aca="false">CQ275+CR182+CR200+CR202</f>
        <v>1425.87831909698</v>
      </c>
      <c r="CS275" s="40" t="n">
        <f aca="false">CR275+CS182+CS200+CS202</f>
        <v>1497.52106606127</v>
      </c>
      <c r="CT275" s="40" t="n">
        <f aca="false">CS275+CT182+CT200+CT202</f>
        <v>1572.02714092124</v>
      </c>
      <c r="CU275" s="24" t="s">
        <v>408</v>
      </c>
      <c r="CW275" s="25"/>
      <c r="CX275" s="25"/>
      <c r="CY275" s="25"/>
      <c r="CZ275" s="25"/>
    </row>
    <row r="276" customFormat="false" ht="15" hidden="false" customHeight="false" outlineLevel="0" collapsed="false">
      <c r="B276" s="15" t="s">
        <v>409</v>
      </c>
      <c r="C276" s="50" t="n">
        <v>-0.037</v>
      </c>
      <c r="D276" s="50" t="n">
        <v>4.447</v>
      </c>
      <c r="E276" s="50" t="n">
        <v>0.833</v>
      </c>
      <c r="F276" s="50" t="n">
        <v>-27.082</v>
      </c>
      <c r="G276" s="50" t="n">
        <v>-32.741</v>
      </c>
      <c r="H276" s="50" t="n">
        <v>-23.225</v>
      </c>
      <c r="I276" s="50" t="n">
        <v>-38.043</v>
      </c>
      <c r="J276" s="50"/>
      <c r="K276" s="50"/>
      <c r="L276" s="39"/>
      <c r="M276" s="50"/>
      <c r="N276" s="50"/>
      <c r="O276" s="50" t="n">
        <v>-47.161</v>
      </c>
      <c r="P276" s="50"/>
      <c r="Q276" s="50"/>
      <c r="R276" s="39"/>
      <c r="S276" s="50"/>
      <c r="T276" s="50"/>
      <c r="U276" s="50" t="n">
        <v>-20.06</v>
      </c>
      <c r="V276" s="50"/>
      <c r="W276" s="50"/>
      <c r="X276" s="39"/>
      <c r="Y276" s="50"/>
      <c r="Z276" s="50"/>
      <c r="AA276" s="50" t="n">
        <v>-68.793</v>
      </c>
      <c r="AB276" s="50"/>
      <c r="AC276" s="50"/>
      <c r="AD276" s="39"/>
      <c r="AE276" s="50"/>
      <c r="AF276" s="50"/>
      <c r="AG276" s="50" t="n">
        <v>-109.194</v>
      </c>
      <c r="AH276" s="50"/>
      <c r="AI276" s="50"/>
      <c r="AJ276" s="39"/>
      <c r="AK276" s="50"/>
      <c r="AL276" s="50"/>
      <c r="AM276" s="50" t="n">
        <v>-100.676</v>
      </c>
      <c r="AN276" s="50"/>
      <c r="AO276" s="50"/>
      <c r="AP276" s="39"/>
      <c r="AQ276" s="50"/>
      <c r="AR276" s="50"/>
      <c r="AS276" s="50" t="n">
        <v>-107.928</v>
      </c>
      <c r="AT276" s="50"/>
      <c r="AU276" s="50"/>
      <c r="AV276" s="39"/>
      <c r="AW276" s="50"/>
      <c r="AX276" s="50"/>
      <c r="AY276" s="50" t="n">
        <v>-132.529</v>
      </c>
      <c r="AZ276" s="50"/>
      <c r="BA276" s="50"/>
      <c r="BB276" s="39"/>
      <c r="BC276" s="50"/>
      <c r="BD276" s="50"/>
      <c r="BE276" s="50" t="n">
        <v>-121.088</v>
      </c>
      <c r="BF276" s="50"/>
      <c r="BG276" s="50"/>
      <c r="BH276" s="39"/>
      <c r="BI276" s="50"/>
      <c r="BJ276" s="50"/>
      <c r="BK276" s="50" t="n">
        <v>-100.86</v>
      </c>
      <c r="BL276" s="50"/>
      <c r="BM276" s="50"/>
      <c r="BN276" s="39"/>
      <c r="BO276" s="50"/>
      <c r="BP276" s="50"/>
      <c r="BQ276" s="50" t="n">
        <v>-169.365</v>
      </c>
      <c r="BR276" s="50"/>
      <c r="BS276" s="50"/>
      <c r="BT276" s="39"/>
      <c r="BU276" s="50"/>
      <c r="BV276" s="50"/>
      <c r="BW276" s="50" t="n">
        <v>-141.006</v>
      </c>
      <c r="BX276" s="50"/>
      <c r="BY276" s="50"/>
      <c r="BZ276" s="39"/>
      <c r="CA276" s="50"/>
      <c r="CB276" s="50"/>
      <c r="CC276" s="50" t="n">
        <v>-142.972</v>
      </c>
      <c r="CD276" s="50"/>
      <c r="CE276" s="50"/>
      <c r="CF276" s="39"/>
      <c r="CG276" s="50"/>
      <c r="CH276" s="50"/>
      <c r="CI276" s="50" t="n">
        <v>-120.283</v>
      </c>
      <c r="CJ276" s="50"/>
      <c r="CK276" s="50"/>
      <c r="CL276" s="39"/>
      <c r="CM276" s="50"/>
      <c r="CN276" s="50"/>
      <c r="CO276" s="50" t="n">
        <v>-109.778</v>
      </c>
      <c r="CP276" s="40" t="n">
        <f aca="false">CO276+CP205</f>
        <v>-109.778</v>
      </c>
      <c r="CQ276" s="40" t="n">
        <f aca="false">CP276+CQ205</f>
        <v>-109.778</v>
      </c>
      <c r="CR276" s="40" t="n">
        <f aca="false">CQ276+CR205</f>
        <v>-109.778</v>
      </c>
      <c r="CS276" s="40" t="n">
        <f aca="false">CR276+CS205</f>
        <v>-109.778</v>
      </c>
      <c r="CT276" s="40" t="n">
        <f aca="false">CS276+CT205</f>
        <v>-109.778</v>
      </c>
      <c r="CU276" s="24"/>
      <c r="CW276" s="25"/>
      <c r="CX276" s="25"/>
      <c r="CY276" s="25"/>
      <c r="CZ276" s="25"/>
    </row>
    <row r="277" customFormat="false" ht="15" hidden="false" customHeight="false" outlineLevel="0" collapsed="false">
      <c r="B277" s="15" t="s">
        <v>410</v>
      </c>
      <c r="C277" s="50" t="n">
        <v>533.955</v>
      </c>
      <c r="D277" s="50" t="n">
        <v>670.293</v>
      </c>
      <c r="E277" s="50" t="n">
        <v>481.49</v>
      </c>
      <c r="F277" s="50" t="n">
        <v>614.101</v>
      </c>
      <c r="G277" s="50" t="n">
        <v>754.468</v>
      </c>
      <c r="H277" s="50" t="n">
        <v>264.457</v>
      </c>
      <c r="I277" s="50" t="n">
        <v>272.961</v>
      </c>
      <c r="J277" s="50"/>
      <c r="K277" s="50"/>
      <c r="L277" s="39"/>
      <c r="M277" s="50"/>
      <c r="N277" s="50"/>
      <c r="O277" s="50" t="n">
        <v>440.78</v>
      </c>
      <c r="P277" s="50"/>
      <c r="Q277" s="50"/>
      <c r="R277" s="39"/>
      <c r="S277" s="50"/>
      <c r="T277" s="50"/>
      <c r="U277" s="50" t="n">
        <v>619.004</v>
      </c>
      <c r="V277" s="50"/>
      <c r="W277" s="50"/>
      <c r="X277" s="39"/>
      <c r="Y277" s="50"/>
      <c r="Z277" s="50"/>
      <c r="AA277" s="50" t="n">
        <v>625.437</v>
      </c>
      <c r="AB277" s="50"/>
      <c r="AC277" s="50"/>
      <c r="AD277" s="39"/>
      <c r="AE277" s="50"/>
      <c r="AF277" s="50"/>
      <c r="AG277" s="50" t="n">
        <v>491.194</v>
      </c>
      <c r="AH277" s="50"/>
      <c r="AI277" s="50"/>
      <c r="AJ277" s="39"/>
      <c r="AK277" s="50"/>
      <c r="AL277" s="50"/>
      <c r="AM277" s="50" t="n">
        <v>745.37</v>
      </c>
      <c r="AN277" s="50"/>
      <c r="AO277" s="50"/>
      <c r="AP277" s="39"/>
      <c r="AQ277" s="50"/>
      <c r="AR277" s="50"/>
      <c r="AS277" s="50" t="n">
        <v>1162.146</v>
      </c>
      <c r="AT277" s="50"/>
      <c r="AU277" s="50"/>
      <c r="AV277" s="39"/>
      <c r="AW277" s="50"/>
      <c r="AX277" s="50"/>
      <c r="AY277" s="50" t="n">
        <v>1338.328</v>
      </c>
      <c r="AZ277" s="50"/>
      <c r="BA277" s="50"/>
      <c r="BB277" s="39"/>
      <c r="BC277" s="50"/>
      <c r="BD277" s="50"/>
      <c r="BE277" s="50" t="n">
        <v>1937.853</v>
      </c>
      <c r="BF277" s="50"/>
      <c r="BG277" s="50"/>
      <c r="BH277" s="39"/>
      <c r="BI277" s="50"/>
      <c r="BJ277" s="50"/>
      <c r="BK277" s="50" t="n">
        <v>2868.203</v>
      </c>
      <c r="BL277" s="50"/>
      <c r="BM277" s="50"/>
      <c r="BN277" s="39"/>
      <c r="BO277" s="50"/>
      <c r="BP277" s="50"/>
      <c r="BQ277" s="50" t="n">
        <v>3956.408</v>
      </c>
      <c r="BR277" s="50"/>
      <c r="BS277" s="50"/>
      <c r="BT277" s="39"/>
      <c r="BU277" s="50"/>
      <c r="BV277" s="50"/>
      <c r="BW277" s="50" t="n">
        <v>5189.44</v>
      </c>
      <c r="BX277" s="50"/>
      <c r="BY277" s="50"/>
      <c r="BZ277" s="39"/>
      <c r="CA277" s="50"/>
      <c r="CB277" s="50"/>
      <c r="CC277" s="50" t="n">
        <v>6545.902</v>
      </c>
      <c r="CD277" s="50"/>
      <c r="CE277" s="50"/>
      <c r="CF277" s="39"/>
      <c r="CG277" s="50"/>
      <c r="CH277" s="50"/>
      <c r="CI277" s="50" t="n">
        <v>8093.069</v>
      </c>
      <c r="CJ277" s="50"/>
      <c r="CK277" s="50"/>
      <c r="CL277" s="39"/>
      <c r="CM277" s="50"/>
      <c r="CN277" s="50"/>
      <c r="CO277" s="50" t="n">
        <v>7980.626</v>
      </c>
      <c r="CP277" s="40" t="n">
        <f aca="false">CO277+CP93+CP201</f>
        <v>7547.81844578312</v>
      </c>
      <c r="CQ277" s="40" t="n">
        <f aca="false">CP277+CQ93+CQ201</f>
        <v>8003.62070247569</v>
      </c>
      <c r="CR277" s="40" t="n">
        <f aca="false">CQ277+CR93+CR201</f>
        <v>8506.35200103289</v>
      </c>
      <c r="CS277" s="40" t="n">
        <f aca="false">CR277+CS93+CS201</f>
        <v>9042.77670404168</v>
      </c>
      <c r="CT277" s="40" t="n">
        <f aca="false">CS277+CT93+CT201</f>
        <v>9618.30104922102</v>
      </c>
      <c r="CU277" s="24" t="s">
        <v>411</v>
      </c>
      <c r="CW277" s="25"/>
      <c r="CX277" s="25"/>
      <c r="CY277" s="25"/>
      <c r="CZ277" s="25"/>
    </row>
    <row r="278" customFormat="false" ht="15" hidden="false" customHeight="false" outlineLevel="0" collapsed="false">
      <c r="B278" s="20" t="s">
        <v>412</v>
      </c>
      <c r="C278" s="21" t="n">
        <f aca="false">IF(ISNUMBER(C275),SUM(C275:C277),"")</f>
        <v>809.97</v>
      </c>
      <c r="D278" s="21" t="n">
        <f aca="false">IF(ISNUMBER(D275),SUM(D275:D277),"")</f>
        <v>880.866</v>
      </c>
      <c r="E278" s="21" t="n">
        <f aca="false">IF(ISNUMBER(E275),SUM(E275:E277),"")</f>
        <v>798.996</v>
      </c>
      <c r="F278" s="21" t="n">
        <f aca="false">IF(ISNUMBER(F275),SUM(F275:F277),"")</f>
        <v>921.459</v>
      </c>
      <c r="G278" s="21" t="n">
        <f aca="false">IF(ISNUMBER(G275),SUM(G275:G277),"")</f>
        <v>1087.234</v>
      </c>
      <c r="H278" s="21" t="n">
        <f aca="false">IF(ISNUMBER(H275),SUM(H275:H277),"")</f>
        <v>555.172</v>
      </c>
      <c r="I278" s="21" t="n">
        <f aca="false">IF(ISNUMBER(I275),SUM(I275:I277),"")</f>
        <v>561.117</v>
      </c>
      <c r="J278" s="21"/>
      <c r="K278" s="21"/>
      <c r="L278" s="21"/>
      <c r="M278" s="21"/>
      <c r="N278" s="21"/>
      <c r="O278" s="21" t="n">
        <f aca="false">IF(ISNUMBER(O275),SUM(O275:O277),"")</f>
        <v>762.401</v>
      </c>
      <c r="P278" s="21"/>
      <c r="Q278" s="21"/>
      <c r="R278" s="21"/>
      <c r="S278" s="21"/>
      <c r="T278" s="21"/>
      <c r="U278" s="21" t="n">
        <f aca="false">IF(ISNUMBER(U275),SUM(U275:U277),"")</f>
        <v>1003.499</v>
      </c>
      <c r="V278" s="21"/>
      <c r="W278" s="21"/>
      <c r="X278" s="21"/>
      <c r="Y278" s="21"/>
      <c r="Z278" s="21"/>
      <c r="AA278" s="21" t="n">
        <f aca="false">IF(ISNUMBER(AA275),SUM(AA275:AA277),"")</f>
        <v>964.464</v>
      </c>
      <c r="AB278" s="21"/>
      <c r="AC278" s="21"/>
      <c r="AD278" s="21"/>
      <c r="AE278" s="21"/>
      <c r="AF278" s="21"/>
      <c r="AG278" s="21" t="n">
        <f aca="false">IF(ISNUMBER(AG275),SUM(AG275:AG277),"")</f>
        <v>774.456</v>
      </c>
      <c r="AH278" s="21"/>
      <c r="AI278" s="21"/>
      <c r="AJ278" s="21"/>
      <c r="AK278" s="21"/>
      <c r="AL278" s="21"/>
      <c r="AM278" s="21" t="n">
        <f aca="false">IF(ISNUMBER(AM275),SUM(AM275:AM277),"")</f>
        <v>1098.066</v>
      </c>
      <c r="AN278" s="21"/>
      <c r="AO278" s="21"/>
      <c r="AP278" s="21"/>
      <c r="AQ278" s="21"/>
      <c r="AR278" s="21"/>
      <c r="AS278" s="21" t="n">
        <f aca="false">IF(ISNUMBER(AS275),SUM(AS275:AS277),"")</f>
        <v>1581.099</v>
      </c>
      <c r="AT278" s="21"/>
      <c r="AU278" s="21"/>
      <c r="AV278" s="21"/>
      <c r="AW278" s="21"/>
      <c r="AX278" s="21"/>
      <c r="AY278" s="21" t="n">
        <f aca="false">IF(ISNUMBER(AY275),SUM(AY275:AY277),"")</f>
        <v>1778.381</v>
      </c>
      <c r="AZ278" s="21"/>
      <c r="BA278" s="21"/>
      <c r="BB278" s="21"/>
      <c r="BC278" s="21"/>
      <c r="BD278" s="21"/>
      <c r="BE278" s="21" t="n">
        <f aca="false">IF(ISNUMBER(BE275),SUM(BE275:BE277),"")</f>
        <v>2489.516</v>
      </c>
      <c r="BF278" s="21"/>
      <c r="BG278" s="21"/>
      <c r="BH278" s="21"/>
      <c r="BI278" s="21"/>
      <c r="BJ278" s="21"/>
      <c r="BK278" s="21" t="n">
        <f aca="false">IF(ISNUMBER(BK275),SUM(BK275:BK277),"")</f>
        <v>3529.201</v>
      </c>
      <c r="BL278" s="21"/>
      <c r="BM278" s="21"/>
      <c r="BN278" s="21"/>
      <c r="BO278" s="21"/>
      <c r="BP278" s="21"/>
      <c r="BQ278" s="21" t="n">
        <f aca="false">IF(ISNUMBER(BQ275),SUM(BQ275:BQ277),"")</f>
        <v>4625.599</v>
      </c>
      <c r="BR278" s="21"/>
      <c r="BS278" s="21"/>
      <c r="BT278" s="21"/>
      <c r="BU278" s="21"/>
      <c r="BV278" s="21"/>
      <c r="BW278" s="21" t="n">
        <f aca="false">IF(ISNUMBER(BW275),SUM(BW275:BW277),"")</f>
        <v>5987.44</v>
      </c>
      <c r="BX278" s="21"/>
      <c r="BY278" s="21"/>
      <c r="BZ278" s="21"/>
      <c r="CA278" s="21"/>
      <c r="CB278" s="21"/>
      <c r="CC278" s="21" t="n">
        <f aca="false">IF(ISNUMBER(CC275),SUM(CC275:CC277),"")</f>
        <v>7524.011</v>
      </c>
      <c r="CD278" s="21"/>
      <c r="CE278" s="21"/>
      <c r="CF278" s="21"/>
      <c r="CG278" s="21"/>
      <c r="CH278" s="21"/>
      <c r="CI278" s="21" t="n">
        <f aca="false">IF(ISNUMBER(CI275),SUM(CI275:CI277),"")</f>
        <v>9187.033</v>
      </c>
      <c r="CJ278" s="21"/>
      <c r="CK278" s="21"/>
      <c r="CL278" s="21"/>
      <c r="CM278" s="21"/>
      <c r="CN278" s="21"/>
      <c r="CO278" s="21" t="n">
        <f aca="false">IF(ISNUMBER(CO275),SUM(CO275:CO277),"")</f>
        <v>9097.295</v>
      </c>
      <c r="CP278" s="23" t="n">
        <f aca="false">SUM(CP275:CP277)</f>
        <v>8728.58150318712</v>
      </c>
      <c r="CQ278" s="23" t="n">
        <f aca="false">SUM(CQ275:CQ277)</f>
        <v>9250.77199682407</v>
      </c>
      <c r="CR278" s="23" t="n">
        <f aca="false">SUM(CR275:CR277)</f>
        <v>9822.45232012988</v>
      </c>
      <c r="CS278" s="23" t="n">
        <f aca="false">SUM(CS275:CS277)</f>
        <v>10430.5197701029</v>
      </c>
      <c r="CT278" s="23" t="n">
        <f aca="false">SUM(CT275:CT277)</f>
        <v>11080.5501901423</v>
      </c>
      <c r="CU278" s="24"/>
      <c r="CW278" s="6"/>
      <c r="CX278" s="6"/>
      <c r="CY278" s="6"/>
      <c r="CZ278" s="6"/>
    </row>
    <row r="279" customFormat="false" ht="15" hidden="false" customHeight="false" outlineLevel="0" collapsed="false">
      <c r="B279" s="15" t="s">
        <v>413</v>
      </c>
      <c r="C279" s="50" t="n">
        <v>0</v>
      </c>
      <c r="D279" s="50" t="n">
        <v>0</v>
      </c>
      <c r="E279" s="50" t="n">
        <v>0</v>
      </c>
      <c r="F279" s="50" t="n">
        <v>0</v>
      </c>
      <c r="G279" s="50" t="n">
        <v>0</v>
      </c>
      <c r="H279" s="50" t="n">
        <v>0</v>
      </c>
      <c r="I279" s="50" t="n">
        <v>0</v>
      </c>
      <c r="J279" s="50"/>
      <c r="K279" s="50"/>
      <c r="L279" s="39"/>
      <c r="M279" s="50"/>
      <c r="N279" s="50"/>
      <c r="O279" s="50" t="n">
        <v>0</v>
      </c>
      <c r="P279" s="50"/>
      <c r="Q279" s="50"/>
      <c r="R279" s="39"/>
      <c r="S279" s="50"/>
      <c r="T279" s="50"/>
      <c r="U279" s="50" t="n">
        <v>0</v>
      </c>
      <c r="V279" s="50"/>
      <c r="W279" s="50"/>
      <c r="X279" s="39"/>
      <c r="Y279" s="50"/>
      <c r="Z279" s="50"/>
      <c r="AA279" s="50" t="n">
        <v>0</v>
      </c>
      <c r="AB279" s="50"/>
      <c r="AC279" s="50"/>
      <c r="AD279" s="39"/>
      <c r="AE279" s="50"/>
      <c r="AF279" s="50"/>
      <c r="AG279" s="50" t="n">
        <v>0</v>
      </c>
      <c r="AH279" s="50"/>
      <c r="AI279" s="50"/>
      <c r="AJ279" s="39"/>
      <c r="AK279" s="50"/>
      <c r="AL279" s="50"/>
      <c r="AM279" s="50" t="n">
        <v>0.534</v>
      </c>
      <c r="AN279" s="50"/>
      <c r="AO279" s="50"/>
      <c r="AP279" s="39"/>
      <c r="AQ279" s="50"/>
      <c r="AR279" s="50"/>
      <c r="AS279" s="50" t="n">
        <v>0</v>
      </c>
      <c r="AT279" s="50"/>
      <c r="AU279" s="50"/>
      <c r="AV279" s="39"/>
      <c r="AW279" s="50"/>
      <c r="AX279" s="50"/>
      <c r="AY279" s="50" t="n">
        <v>0</v>
      </c>
      <c r="AZ279" s="50"/>
      <c r="BA279" s="50"/>
      <c r="BB279" s="39"/>
      <c r="BC279" s="50"/>
      <c r="BD279" s="50"/>
      <c r="BE279" s="50" t="n">
        <v>0</v>
      </c>
      <c r="BF279" s="50"/>
      <c r="BG279" s="50"/>
      <c r="BH279" s="39"/>
      <c r="BI279" s="50"/>
      <c r="BJ279" s="50"/>
      <c r="BK279" s="50" t="n">
        <v>0</v>
      </c>
      <c r="BL279" s="50"/>
      <c r="BM279" s="50"/>
      <c r="BN279" s="39"/>
      <c r="BO279" s="50"/>
      <c r="BP279" s="50"/>
      <c r="BQ279" s="50" t="n">
        <v>0</v>
      </c>
      <c r="BR279" s="50"/>
      <c r="BS279" s="50"/>
      <c r="BT279" s="39"/>
      <c r="BU279" s="50"/>
      <c r="BV279" s="50"/>
      <c r="BW279" s="50" t="n">
        <v>0</v>
      </c>
      <c r="BX279" s="50"/>
      <c r="BY279" s="50"/>
      <c r="BZ279" s="39"/>
      <c r="CA279" s="50"/>
      <c r="CB279" s="50"/>
      <c r="CC279" s="50" t="n">
        <v>0</v>
      </c>
      <c r="CD279" s="50"/>
      <c r="CE279" s="50"/>
      <c r="CF279" s="39"/>
      <c r="CG279" s="50"/>
      <c r="CH279" s="50"/>
      <c r="CI279" s="50" t="n">
        <v>0</v>
      </c>
      <c r="CJ279" s="50"/>
      <c r="CK279" s="50"/>
      <c r="CL279" s="39"/>
      <c r="CM279" s="50"/>
      <c r="CN279" s="50"/>
      <c r="CO279" s="50" t="n">
        <v>0</v>
      </c>
      <c r="CP279" s="40" t="n">
        <f aca="false">CO279</f>
        <v>0</v>
      </c>
      <c r="CQ279" s="40" t="n">
        <f aca="false">CP279</f>
        <v>0</v>
      </c>
      <c r="CR279" s="40" t="n">
        <f aca="false">CQ279</f>
        <v>0</v>
      </c>
      <c r="CS279" s="40" t="n">
        <f aca="false">CR279</f>
        <v>0</v>
      </c>
      <c r="CT279" s="40" t="n">
        <f aca="false">CS279</f>
        <v>0</v>
      </c>
      <c r="CU279" s="24"/>
      <c r="CW279" s="25"/>
      <c r="CX279" s="25"/>
      <c r="CY279" s="25"/>
      <c r="CZ279" s="25"/>
    </row>
    <row r="280" customFormat="false" ht="15" hidden="false" customHeight="false" outlineLevel="0" collapsed="false">
      <c r="B280" s="41" t="s">
        <v>414</v>
      </c>
      <c r="C280" s="42" t="n">
        <f aca="false">IF(ISNUMBER(C278),C278+N(C279),"")</f>
        <v>809.97</v>
      </c>
      <c r="D280" s="42" t="n">
        <f aca="false">IF(ISNUMBER(D278),D278+N(D279),"")</f>
        <v>880.866</v>
      </c>
      <c r="E280" s="42" t="n">
        <f aca="false">IF(ISNUMBER(E278),E278+N(E279),"")</f>
        <v>798.996</v>
      </c>
      <c r="F280" s="42" t="n">
        <f aca="false">IF(ISNUMBER(F278),F278+N(F279),"")</f>
        <v>921.459</v>
      </c>
      <c r="G280" s="42" t="n">
        <f aca="false">IF(ISNUMBER(G278),G278+N(G279),"")</f>
        <v>1087.234</v>
      </c>
      <c r="H280" s="42" t="n">
        <f aca="false">IF(ISNUMBER(H278),H278+N(H279),"")</f>
        <v>555.172</v>
      </c>
      <c r="I280" s="42" t="n">
        <f aca="false">IF(ISNUMBER(I278),I278+N(I279),"")</f>
        <v>561.117</v>
      </c>
      <c r="J280" s="21"/>
      <c r="K280" s="21"/>
      <c r="L280" s="21"/>
      <c r="M280" s="21"/>
      <c r="N280" s="21"/>
      <c r="O280" s="42" t="n">
        <f aca="false">IF(ISNUMBER(O278),O278+N(O279),"")</f>
        <v>762.401</v>
      </c>
      <c r="P280" s="21"/>
      <c r="Q280" s="21"/>
      <c r="R280" s="21"/>
      <c r="S280" s="21"/>
      <c r="T280" s="21"/>
      <c r="U280" s="42" t="n">
        <f aca="false">IF(ISNUMBER(U278),U278+N(U279),"")</f>
        <v>1003.499</v>
      </c>
      <c r="V280" s="21"/>
      <c r="W280" s="21"/>
      <c r="X280" s="21"/>
      <c r="Y280" s="21"/>
      <c r="Z280" s="21"/>
      <c r="AA280" s="42" t="n">
        <f aca="false">IF(ISNUMBER(AA278),AA278+N(AA279),"")</f>
        <v>964.464</v>
      </c>
      <c r="AB280" s="21"/>
      <c r="AC280" s="21"/>
      <c r="AD280" s="21"/>
      <c r="AE280" s="21"/>
      <c r="AF280" s="21"/>
      <c r="AG280" s="42" t="n">
        <f aca="false">IF(ISNUMBER(AG278),AG278+N(AG279),"")</f>
        <v>774.456</v>
      </c>
      <c r="AH280" s="21"/>
      <c r="AI280" s="21"/>
      <c r="AJ280" s="21"/>
      <c r="AK280" s="21"/>
      <c r="AL280" s="21"/>
      <c r="AM280" s="42" t="n">
        <f aca="false">IF(ISNUMBER(AM278),AM278+N(AM279),"")</f>
        <v>1098.6</v>
      </c>
      <c r="AN280" s="21"/>
      <c r="AO280" s="21"/>
      <c r="AP280" s="21"/>
      <c r="AQ280" s="21"/>
      <c r="AR280" s="21"/>
      <c r="AS280" s="42" t="n">
        <f aca="false">IF(ISNUMBER(AS278),AS278+N(AS279),"")</f>
        <v>1581.099</v>
      </c>
      <c r="AT280" s="21"/>
      <c r="AU280" s="21"/>
      <c r="AV280" s="21"/>
      <c r="AW280" s="21"/>
      <c r="AX280" s="21"/>
      <c r="AY280" s="42" t="n">
        <f aca="false">IF(ISNUMBER(AY278),AY278+N(AY279),"")</f>
        <v>1778.381</v>
      </c>
      <c r="AZ280" s="21"/>
      <c r="BA280" s="21"/>
      <c r="BB280" s="21"/>
      <c r="BC280" s="21"/>
      <c r="BD280" s="21"/>
      <c r="BE280" s="42" t="n">
        <f aca="false">IF(ISNUMBER(BE278),BE278+N(BE279),"")</f>
        <v>2489.516</v>
      </c>
      <c r="BF280" s="21"/>
      <c r="BG280" s="21"/>
      <c r="BH280" s="21"/>
      <c r="BI280" s="21"/>
      <c r="BJ280" s="21"/>
      <c r="BK280" s="42" t="n">
        <f aca="false">IF(ISNUMBER(BK278),BK278+N(BK279),"")</f>
        <v>3529.201</v>
      </c>
      <c r="BL280" s="21"/>
      <c r="BM280" s="21"/>
      <c r="BN280" s="21"/>
      <c r="BO280" s="21"/>
      <c r="BP280" s="21"/>
      <c r="BQ280" s="42" t="n">
        <f aca="false">IF(ISNUMBER(BQ278),BQ278+N(BQ279),"")</f>
        <v>4625.599</v>
      </c>
      <c r="BR280" s="21"/>
      <c r="BS280" s="21"/>
      <c r="BT280" s="21"/>
      <c r="BU280" s="21"/>
      <c r="BV280" s="21"/>
      <c r="BW280" s="42" t="n">
        <f aca="false">IF(ISNUMBER(BW278),BW278+N(BW279),"")</f>
        <v>5987.44</v>
      </c>
      <c r="BX280" s="21"/>
      <c r="BY280" s="21"/>
      <c r="BZ280" s="21"/>
      <c r="CA280" s="21"/>
      <c r="CB280" s="21"/>
      <c r="CC280" s="42" t="n">
        <f aca="false">IF(ISNUMBER(CC278),CC278+N(CC279),"")</f>
        <v>7524.011</v>
      </c>
      <c r="CD280" s="21"/>
      <c r="CE280" s="21"/>
      <c r="CF280" s="21"/>
      <c r="CG280" s="21"/>
      <c r="CH280" s="21"/>
      <c r="CI280" s="42" t="n">
        <f aca="false">IF(ISNUMBER(CI278),CI278+N(CI279),"")</f>
        <v>9187.033</v>
      </c>
      <c r="CJ280" s="21"/>
      <c r="CK280" s="21"/>
      <c r="CL280" s="21"/>
      <c r="CM280" s="21"/>
      <c r="CN280" s="21"/>
      <c r="CO280" s="42" t="n">
        <f aca="false">IF(ISNUMBER(CO278),CO278+N(CO279),"")</f>
        <v>9097.295</v>
      </c>
      <c r="CP280" s="42" t="n">
        <f aca="false">CP278+CP279</f>
        <v>8728.58150318712</v>
      </c>
      <c r="CQ280" s="42" t="n">
        <f aca="false">CQ278+CQ279</f>
        <v>9250.77199682407</v>
      </c>
      <c r="CR280" s="42" t="n">
        <f aca="false">CR278+CR279</f>
        <v>9822.45232012988</v>
      </c>
      <c r="CS280" s="42" t="n">
        <f aca="false">CS278+CS279</f>
        <v>10430.5197701029</v>
      </c>
      <c r="CT280" s="42" t="n">
        <f aca="false">CT278+CT279</f>
        <v>11080.5501901423</v>
      </c>
      <c r="CU280" s="24"/>
      <c r="CW280" s="25"/>
      <c r="CX280" s="25"/>
      <c r="CY280" s="25"/>
      <c r="CZ280" s="25"/>
    </row>
    <row r="281" customFormat="false" ht="15" hidden="false" customHeight="false" outlineLevel="0" collapsed="false">
      <c r="B281" s="41" t="s">
        <v>415</v>
      </c>
      <c r="C281" s="42" t="n">
        <f aca="false">IF(ISNUMBER(C272),C272+N(C273)+C280,"")</f>
        <v>899.24</v>
      </c>
      <c r="D281" s="42" t="n">
        <f aca="false">IF(ISNUMBER(D272),D272+N(D273)+D280,"")</f>
        <v>1014.6</v>
      </c>
      <c r="E281" s="42" t="n">
        <f aca="false">IF(ISNUMBER(E272),E272+N(E273)+E280,"")</f>
        <v>956.247</v>
      </c>
      <c r="F281" s="42" t="n">
        <f aca="false">IF(ISNUMBER(F272),F272+N(F273)+F280,"")</f>
        <v>1058.032</v>
      </c>
      <c r="G281" s="42" t="n">
        <f aca="false">IF(ISNUMBER(G272),G272+N(G273)+G280,"")</f>
        <v>1228.812</v>
      </c>
      <c r="H281" s="42" t="n">
        <f aca="false">IF(ISNUMBER(H272),H272+N(H273)+H280,"")</f>
        <v>1084.436</v>
      </c>
      <c r="I281" s="42" t="n">
        <f aca="false">IF(ISNUMBER(I272),I272+N(I273)+I280,"")</f>
        <v>1154</v>
      </c>
      <c r="J281" s="21"/>
      <c r="K281" s="21"/>
      <c r="L281" s="21"/>
      <c r="M281" s="21"/>
      <c r="N281" s="21"/>
      <c r="O281" s="42" t="n">
        <f aca="false">IF(ISNUMBER(O272),O272+N(O273)+O280,"")</f>
        <v>1334.481</v>
      </c>
      <c r="P281" s="21"/>
      <c r="Q281" s="21"/>
      <c r="R281" s="21"/>
      <c r="S281" s="21"/>
      <c r="T281" s="21"/>
      <c r="U281" s="42" t="n">
        <f aca="false">IF(ISNUMBER(U272),U272+N(U273)+U280,"")</f>
        <v>1506.121</v>
      </c>
      <c r="V281" s="21"/>
      <c r="W281" s="21"/>
      <c r="X281" s="21"/>
      <c r="Y281" s="21"/>
      <c r="Z281" s="21"/>
      <c r="AA281" s="42" t="n">
        <f aca="false">IF(ISNUMBER(AA272),AA272+N(AA273)+AA280,"")</f>
        <v>1798.66</v>
      </c>
      <c r="AB281" s="21"/>
      <c r="AC281" s="21"/>
      <c r="AD281" s="21"/>
      <c r="AE281" s="21"/>
      <c r="AF281" s="21"/>
      <c r="AG281" s="42" t="n">
        <f aca="false">IF(ISNUMBER(AG272),AG272+N(AG273)+AG280,"")</f>
        <v>1649.82</v>
      </c>
      <c r="AH281" s="21"/>
      <c r="AI281" s="21"/>
      <c r="AJ281" s="21"/>
      <c r="AK281" s="21"/>
      <c r="AL281" s="21"/>
      <c r="AM281" s="42" t="n">
        <f aca="false">IF(ISNUMBER(AM272),AM272+N(AM273)+AM280,"")</f>
        <v>1982.501</v>
      </c>
      <c r="AN281" s="21"/>
      <c r="AO281" s="21"/>
      <c r="AP281" s="21"/>
      <c r="AQ281" s="21"/>
      <c r="AR281" s="21"/>
      <c r="AS281" s="42" t="n">
        <f aca="false">IF(ISNUMBER(AS272),AS272+N(AS273)+AS280,"")</f>
        <v>2307.698</v>
      </c>
      <c r="AT281" s="21"/>
      <c r="AU281" s="21"/>
      <c r="AV281" s="21"/>
      <c r="AW281" s="21"/>
      <c r="AX281" s="21"/>
      <c r="AY281" s="42" t="n">
        <f aca="false">IF(ISNUMBER(AY272),AY272+N(AY273)+AY280,"")</f>
        <v>2547.617</v>
      </c>
      <c r="AZ281" s="21"/>
      <c r="BA281" s="21"/>
      <c r="BB281" s="21"/>
      <c r="BC281" s="21"/>
      <c r="BD281" s="21"/>
      <c r="BE281" s="42" t="n">
        <f aca="false">IF(ISNUMBER(BE272),BE272+N(BE273)+BE280,"")</f>
        <v>3455.261</v>
      </c>
      <c r="BF281" s="21"/>
      <c r="BG281" s="21"/>
      <c r="BH281" s="21"/>
      <c r="BI281" s="21"/>
      <c r="BJ281" s="21"/>
      <c r="BK281" s="42" t="n">
        <f aca="false">IF(ISNUMBER(BK272),BK272+N(BK273)+BK280,"")</f>
        <v>4562.143</v>
      </c>
      <c r="BL281" s="21"/>
      <c r="BM281" s="21"/>
      <c r="BN281" s="21"/>
      <c r="BO281" s="21"/>
      <c r="BP281" s="21"/>
      <c r="BQ281" s="42" t="n">
        <f aca="false">IF(ISNUMBER(BQ272),BQ272+N(BQ273)+BQ280,"")</f>
        <v>5308.864</v>
      </c>
      <c r="BR281" s="21"/>
      <c r="BS281" s="21"/>
      <c r="BT281" s="21"/>
      <c r="BU281" s="21"/>
      <c r="BV281" s="21"/>
      <c r="BW281" s="42" t="n">
        <f aca="false">IF(ISNUMBER(BW272),BW272+N(BW273)+BW280,"")</f>
        <v>6737.879</v>
      </c>
      <c r="BX281" s="21"/>
      <c r="BY281" s="21"/>
      <c r="BZ281" s="21"/>
      <c r="CA281" s="21"/>
      <c r="CB281" s="21"/>
      <c r="CC281" s="42" t="n">
        <f aca="false">IF(ISNUMBER(CC272),CC272+N(CC273)+CC280,"")</f>
        <v>8427.764</v>
      </c>
      <c r="CD281" s="21"/>
      <c r="CE281" s="21"/>
      <c r="CF281" s="21"/>
      <c r="CG281" s="21"/>
      <c r="CH281" s="21"/>
      <c r="CI281" s="42" t="n">
        <f aca="false">IF(ISNUMBER(CI272),CI272+N(CI273)+CI280,"")</f>
        <v>10090.902</v>
      </c>
      <c r="CJ281" s="21"/>
      <c r="CK281" s="21"/>
      <c r="CL281" s="21"/>
      <c r="CM281" s="21"/>
      <c r="CN281" s="21"/>
      <c r="CO281" s="42" t="n">
        <f aca="false">IF(ISNUMBER(CO272),CO272+N(CO273)+CO280,"")</f>
        <v>10027.81</v>
      </c>
      <c r="CP281" s="42" t="n">
        <f aca="false">CP272+CP273+CP280</f>
        <v>9695.66822602759</v>
      </c>
      <c r="CQ281" s="42" t="n">
        <f aca="false">CQ272+CQ273+CQ280</f>
        <v>10268.5682709703</v>
      </c>
      <c r="CR281" s="42" t="n">
        <f aca="false">CR272+CR273+CR280</f>
        <v>10895.6890319859</v>
      </c>
      <c r="CS281" s="42" t="n">
        <f aca="false">CS272+CS273+CS280</f>
        <v>11561.5558022881</v>
      </c>
      <c r="CT281" s="42" t="n">
        <f aca="false">CT272+CT273+CT280</f>
        <v>12272.3951463122</v>
      </c>
      <c r="CU281" s="24"/>
      <c r="CW281" s="25"/>
      <c r="CX281" s="25"/>
      <c r="CY281" s="25"/>
      <c r="CZ281" s="25"/>
    </row>
    <row r="282" customFormat="false" ht="15" hidden="false" customHeight="false" outlineLevel="0" collapsed="false">
      <c r="B282" s="15"/>
      <c r="CP282" s="6"/>
      <c r="CQ282" s="6"/>
      <c r="CR282" s="6"/>
      <c r="CS282" s="6"/>
      <c r="CT282" s="6"/>
      <c r="CU282" s="6"/>
    </row>
    <row r="283" customFormat="false" ht="15" hidden="false" customHeight="false" outlineLevel="0" collapsed="false">
      <c r="B283" s="43" t="s">
        <v>416</v>
      </c>
      <c r="C283" s="39" t="n">
        <f aca="false">IF(ISNUMBER(C256),ROUND(C256-C281,1),"")</f>
        <v>0</v>
      </c>
      <c r="D283" s="39" t="n">
        <f aca="false">IF(ISNUMBER(D256),ROUND(D256-D281,1),"")</f>
        <v>0</v>
      </c>
      <c r="E283" s="39" t="n">
        <f aca="false">IF(ISNUMBER(E256),ROUND(E256-E281,1),"")</f>
        <v>0</v>
      </c>
      <c r="F283" s="39" t="n">
        <f aca="false">IF(ISNUMBER(F256),ROUND(F256-F281,1),"")</f>
        <v>0</v>
      </c>
      <c r="G283" s="39" t="n">
        <f aca="false">IF(ISNUMBER(G256),ROUND(G256-G281,1),"")</f>
        <v>0</v>
      </c>
      <c r="H283" s="39" t="n">
        <f aca="false">IF(ISNUMBER(H256),ROUND(H256-H281,1),"")</f>
        <v>0</v>
      </c>
      <c r="I283" s="39" t="n">
        <f aca="false">IF(ISNUMBER(I256),ROUND(I256-I281,1),"")</f>
        <v>0</v>
      </c>
      <c r="J283" s="39"/>
      <c r="K283" s="39"/>
      <c r="L283" s="39"/>
      <c r="M283" s="39"/>
      <c r="N283" s="39"/>
      <c r="O283" s="39" t="n">
        <f aca="false">IF(ISNUMBER(O256),ROUND(O256-O281,1),"")</f>
        <v>0</v>
      </c>
      <c r="P283" s="39"/>
      <c r="Q283" s="39"/>
      <c r="R283" s="39"/>
      <c r="S283" s="39"/>
      <c r="T283" s="39"/>
      <c r="U283" s="39" t="n">
        <f aca="false">IF(ISNUMBER(U256),ROUND(U256-U281,1),"")</f>
        <v>0</v>
      </c>
      <c r="V283" s="39"/>
      <c r="W283" s="39"/>
      <c r="X283" s="39"/>
      <c r="Y283" s="39"/>
      <c r="Z283" s="39"/>
      <c r="AA283" s="39" t="n">
        <f aca="false">IF(ISNUMBER(AA256),ROUND(AA256-AA281,1),"")</f>
        <v>0</v>
      </c>
      <c r="AB283" s="39"/>
      <c r="AC283" s="39"/>
      <c r="AD283" s="39"/>
      <c r="AE283" s="39"/>
      <c r="AF283" s="39"/>
      <c r="AG283" s="39" t="n">
        <f aca="false">IF(ISNUMBER(AG256),ROUND(AG256-AG281,1),"")</f>
        <v>0</v>
      </c>
      <c r="AH283" s="39"/>
      <c r="AI283" s="39"/>
      <c r="AJ283" s="39"/>
      <c r="AK283" s="39"/>
      <c r="AL283" s="39"/>
      <c r="AM283" s="39" t="n">
        <f aca="false">IF(ISNUMBER(AM256),ROUND(AM256-AM281,1),"")</f>
        <v>0</v>
      </c>
      <c r="AN283" s="39"/>
      <c r="AO283" s="39"/>
      <c r="AP283" s="39"/>
      <c r="AQ283" s="39"/>
      <c r="AR283" s="39"/>
      <c r="AS283" s="39" t="n">
        <f aca="false">IF(ISNUMBER(AS256),ROUND(AS256-AS281,1),"")</f>
        <v>0</v>
      </c>
      <c r="AT283" s="39"/>
      <c r="AU283" s="39"/>
      <c r="AV283" s="39"/>
      <c r="AW283" s="39"/>
      <c r="AX283" s="39"/>
      <c r="AY283" s="39" t="n">
        <f aca="false">IF(ISNUMBER(AY256),ROUND(AY256-AY281,1),"")</f>
        <v>0</v>
      </c>
      <c r="AZ283" s="39"/>
      <c r="BA283" s="39"/>
      <c r="BB283" s="39"/>
      <c r="BC283" s="39"/>
      <c r="BD283" s="39"/>
      <c r="BE283" s="39" t="n">
        <f aca="false">IF(ISNUMBER(BE256),ROUND(BE256-BE281,1),"")</f>
        <v>0</v>
      </c>
      <c r="BF283" s="39"/>
      <c r="BG283" s="39"/>
      <c r="BH283" s="39"/>
      <c r="BI283" s="39"/>
      <c r="BJ283" s="39"/>
      <c r="BK283" s="39" t="n">
        <f aca="false">IF(ISNUMBER(BK256),ROUND(BK256-BK281,1),"")</f>
        <v>0</v>
      </c>
      <c r="BL283" s="39"/>
      <c r="BM283" s="39"/>
      <c r="BN283" s="39"/>
      <c r="BO283" s="39"/>
      <c r="BP283" s="39"/>
      <c r="BQ283" s="39" t="n">
        <f aca="false">IF(ISNUMBER(BQ256),ROUND(BQ256-BQ281,1),"")</f>
        <v>0</v>
      </c>
      <c r="BR283" s="39"/>
      <c r="BS283" s="39"/>
      <c r="BT283" s="39"/>
      <c r="BU283" s="39"/>
      <c r="BV283" s="39"/>
      <c r="BW283" s="39" t="n">
        <f aca="false">IF(ISNUMBER(BW256),ROUND(BW256-BW281,1),"")</f>
        <v>0</v>
      </c>
      <c r="BX283" s="39"/>
      <c r="BY283" s="39"/>
      <c r="BZ283" s="39"/>
      <c r="CA283" s="39"/>
      <c r="CB283" s="39"/>
      <c r="CC283" s="39" t="n">
        <f aca="false">IF(ISNUMBER(CC256),ROUND(CC256-CC281,1),"")</f>
        <v>0</v>
      </c>
      <c r="CD283" s="39"/>
      <c r="CE283" s="39"/>
      <c r="CF283" s="39"/>
      <c r="CG283" s="39"/>
      <c r="CH283" s="39"/>
      <c r="CI283" s="39" t="n">
        <f aca="false">IF(ISNUMBER(CI256),ROUND(CI256-CI281,1),"")</f>
        <v>0</v>
      </c>
      <c r="CJ283" s="39"/>
      <c r="CK283" s="39"/>
      <c r="CL283" s="39"/>
      <c r="CM283" s="39"/>
      <c r="CN283" s="39"/>
      <c r="CO283" s="39" t="n">
        <f aca="false">IF(ISNUMBER(CO256),ROUND(CO256-CO281,1),"")</f>
        <v>0</v>
      </c>
      <c r="CP283" s="40" t="n">
        <f aca="false">ROUND(CP256-CP281,1)</f>
        <v>0</v>
      </c>
      <c r="CQ283" s="40" t="n">
        <f aca="false">ROUND(CQ256-CQ281,1)</f>
        <v>0</v>
      </c>
      <c r="CR283" s="40" t="n">
        <f aca="false">ROUND(CR256-CR281,1)</f>
        <v>0</v>
      </c>
      <c r="CS283" s="40" t="n">
        <f aca="false">ROUND(CS256-CS281,1)</f>
        <v>0</v>
      </c>
      <c r="CT283" s="40" t="n">
        <f aca="false">ROUND(CT256-CT281,1)</f>
        <v>0</v>
      </c>
      <c r="CU283" s="24"/>
      <c r="CW283" s="6"/>
      <c r="CX283" s="6"/>
      <c r="CY283" s="6"/>
      <c r="CZ283" s="6"/>
    </row>
    <row r="284" customFormat="false" ht="15" hidden="false" customHeight="false" outlineLevel="0" collapsed="false">
      <c r="B284" s="43" t="s">
        <v>417</v>
      </c>
      <c r="C284" s="39" t="n">
        <f aca="false">IF(ISNUMBER(C285),ROUND(C256-C285,1),"")</f>
        <v>0</v>
      </c>
      <c r="D284" s="39" t="n">
        <f aca="false">IF(ISNUMBER(D285),ROUND(D256-D285,1),"")</f>
        <v>0</v>
      </c>
      <c r="E284" s="39" t="n">
        <f aca="false">IF(ISNUMBER(E285),ROUND(E256-E285,1),"")</f>
        <v>0</v>
      </c>
      <c r="F284" s="39" t="n">
        <f aca="false">IF(ISNUMBER(F285),ROUND(F256-F285,1),"")</f>
        <v>0</v>
      </c>
      <c r="G284" s="39" t="n">
        <f aca="false">IF(ISNUMBER(G285),ROUND(G256-G285,1),"")</f>
        <v>0</v>
      </c>
      <c r="H284" s="39" t="n">
        <f aca="false">IF(ISNUMBER(H285),ROUND(H256-H285,1),"")</f>
        <v>0</v>
      </c>
      <c r="I284" s="39" t="n">
        <f aca="false">IF(ISNUMBER(I285),ROUND(I256-I285,1),"")</f>
        <v>0</v>
      </c>
      <c r="J284" s="39"/>
      <c r="K284" s="39"/>
      <c r="L284" s="39"/>
      <c r="M284" s="39"/>
      <c r="N284" s="39"/>
      <c r="O284" s="39" t="n">
        <f aca="false">IF(ISNUMBER(O285),ROUND(O256-O285,1),"")</f>
        <v>0</v>
      </c>
      <c r="P284" s="39"/>
      <c r="Q284" s="39"/>
      <c r="R284" s="39"/>
      <c r="S284" s="39"/>
      <c r="T284" s="39"/>
      <c r="U284" s="39" t="n">
        <f aca="false">IF(ISNUMBER(U285),ROUND(U256-U285,1),"")</f>
        <v>0</v>
      </c>
      <c r="V284" s="39"/>
      <c r="W284" s="39"/>
      <c r="X284" s="39"/>
      <c r="Y284" s="39"/>
      <c r="Z284" s="39"/>
      <c r="AA284" s="39" t="n">
        <f aca="false">IF(ISNUMBER(AA285),ROUND(AA256-AA285,1),"")</f>
        <v>0</v>
      </c>
      <c r="AB284" s="39"/>
      <c r="AC284" s="39"/>
      <c r="AD284" s="39"/>
      <c r="AE284" s="39"/>
      <c r="AF284" s="39"/>
      <c r="AG284" s="39" t="n">
        <f aca="false">IF(ISNUMBER(AG285),ROUND(AG256-AG285,1),"")</f>
        <v>0</v>
      </c>
      <c r="AH284" s="39"/>
      <c r="AI284" s="39"/>
      <c r="AJ284" s="39"/>
      <c r="AK284" s="39"/>
      <c r="AL284" s="39"/>
      <c r="AM284" s="39" t="n">
        <f aca="false">IF(ISNUMBER(AM285),ROUND(AM256-AM285,1),"")</f>
        <v>0</v>
      </c>
      <c r="AN284" s="39"/>
      <c r="AO284" s="39"/>
      <c r="AP284" s="39"/>
      <c r="AQ284" s="39"/>
      <c r="AR284" s="39"/>
      <c r="AS284" s="39" t="n">
        <f aca="false">IF(ISNUMBER(AS285),ROUND(AS256-AS285,1),"")</f>
        <v>0</v>
      </c>
      <c r="AT284" s="39"/>
      <c r="AU284" s="39"/>
      <c r="AV284" s="39"/>
      <c r="AW284" s="39"/>
      <c r="AX284" s="39"/>
      <c r="AY284" s="39" t="n">
        <f aca="false">IF(ISNUMBER(AY285),ROUND(AY256-AY285,1),"")</f>
        <v>0</v>
      </c>
      <c r="AZ284" s="39"/>
      <c r="BA284" s="39"/>
      <c r="BB284" s="39"/>
      <c r="BC284" s="39"/>
      <c r="BD284" s="39"/>
      <c r="BE284" s="39" t="n">
        <f aca="false">IF(ISNUMBER(BE285),ROUND(BE256-BE285,1),"")</f>
        <v>0</v>
      </c>
      <c r="BF284" s="39"/>
      <c r="BG284" s="39"/>
      <c r="BH284" s="39"/>
      <c r="BI284" s="39"/>
      <c r="BJ284" s="39"/>
      <c r="BK284" s="39" t="n">
        <f aca="false">IF(ISNUMBER(BK285),ROUND(BK256-BK285,1),"")</f>
        <v>0</v>
      </c>
      <c r="BL284" s="39"/>
      <c r="BM284" s="39"/>
      <c r="BN284" s="39"/>
      <c r="BO284" s="39"/>
      <c r="BP284" s="39"/>
      <c r="BQ284" s="39" t="n">
        <f aca="false">IF(ISNUMBER(BQ285),ROUND(BQ256-BQ285,1),"")</f>
        <v>0</v>
      </c>
      <c r="BR284" s="39"/>
      <c r="BS284" s="39"/>
      <c r="BT284" s="39"/>
      <c r="BU284" s="39"/>
      <c r="BV284" s="39"/>
      <c r="BW284" s="39" t="n">
        <f aca="false">IF(ISNUMBER(BW285),ROUND(BW256-BW285,1),"")</f>
        <v>0</v>
      </c>
      <c r="BX284" s="39"/>
      <c r="BY284" s="39"/>
      <c r="BZ284" s="39"/>
      <c r="CA284" s="39"/>
      <c r="CB284" s="39"/>
      <c r="CC284" s="39" t="n">
        <f aca="false">IF(ISNUMBER(CC285),ROUND(CC256-CC285,1),"")</f>
        <v>0</v>
      </c>
      <c r="CD284" s="39"/>
      <c r="CE284" s="39"/>
      <c r="CF284" s="39"/>
      <c r="CG284" s="39"/>
      <c r="CH284" s="39"/>
      <c r="CI284" s="39" t="n">
        <f aca="false">IF(ISNUMBER(CI285),ROUND(CI256-CI285,1),"")</f>
        <v>0</v>
      </c>
      <c r="CJ284" s="39"/>
      <c r="CK284" s="39"/>
      <c r="CL284" s="39"/>
      <c r="CM284" s="39"/>
      <c r="CN284" s="39"/>
      <c r="CO284" s="39" t="n">
        <f aca="false">IF(ISNUMBER(CO285),ROUND(CO256-CO285,1),"")</f>
        <v>0</v>
      </c>
      <c r="CP284" s="40"/>
      <c r="CQ284" s="40"/>
      <c r="CR284" s="40"/>
      <c r="CS284" s="40"/>
      <c r="CT284" s="40"/>
      <c r="CU284" s="24"/>
      <c r="CW284" s="6"/>
      <c r="CX284" s="6"/>
      <c r="CY284" s="6"/>
      <c r="CZ284" s="6"/>
    </row>
    <row r="285" customFormat="false" ht="15" hidden="false" customHeight="false" outlineLevel="0" collapsed="false">
      <c r="B285" s="52" t="s">
        <v>418</v>
      </c>
      <c r="C285" s="50" t="n">
        <v>899.24</v>
      </c>
      <c r="D285" s="50" t="n">
        <v>1014.6</v>
      </c>
      <c r="E285" s="50" t="n">
        <v>956.247</v>
      </c>
      <c r="F285" s="50" t="n">
        <v>1058.032</v>
      </c>
      <c r="G285" s="50" t="n">
        <v>1228.812</v>
      </c>
      <c r="H285" s="50" t="n">
        <v>1084.436</v>
      </c>
      <c r="I285" s="50" t="n">
        <v>1154</v>
      </c>
      <c r="J285" s="50"/>
      <c r="K285" s="50"/>
      <c r="L285" s="39"/>
      <c r="M285" s="50"/>
      <c r="N285" s="50"/>
      <c r="O285" s="50" t="n">
        <v>1334.481</v>
      </c>
      <c r="P285" s="50"/>
      <c r="Q285" s="50"/>
      <c r="R285" s="39"/>
      <c r="S285" s="50"/>
      <c r="T285" s="50"/>
      <c r="U285" s="50" t="n">
        <v>1506.121</v>
      </c>
      <c r="V285" s="50"/>
      <c r="W285" s="50"/>
      <c r="X285" s="39"/>
      <c r="Y285" s="50"/>
      <c r="Z285" s="50"/>
      <c r="AA285" s="50" t="n">
        <v>1798.66</v>
      </c>
      <c r="AB285" s="50"/>
      <c r="AC285" s="50"/>
      <c r="AD285" s="39"/>
      <c r="AE285" s="50"/>
      <c r="AF285" s="50"/>
      <c r="AG285" s="50" t="n">
        <v>1649.82</v>
      </c>
      <c r="AH285" s="50"/>
      <c r="AI285" s="50"/>
      <c r="AJ285" s="39"/>
      <c r="AK285" s="50"/>
      <c r="AL285" s="50"/>
      <c r="AM285" s="50" t="n">
        <v>1982.501</v>
      </c>
      <c r="AN285" s="50"/>
      <c r="AO285" s="50"/>
      <c r="AP285" s="39"/>
      <c r="AQ285" s="50"/>
      <c r="AR285" s="50"/>
      <c r="AS285" s="50" t="n">
        <v>2307.698</v>
      </c>
      <c r="AT285" s="50"/>
      <c r="AU285" s="50"/>
      <c r="AV285" s="39"/>
      <c r="AW285" s="50"/>
      <c r="AX285" s="50"/>
      <c r="AY285" s="50" t="n">
        <v>2547.617</v>
      </c>
      <c r="AZ285" s="50"/>
      <c r="BA285" s="50"/>
      <c r="BB285" s="39"/>
      <c r="BC285" s="50"/>
      <c r="BD285" s="50"/>
      <c r="BE285" s="50" t="n">
        <v>3455.261</v>
      </c>
      <c r="BF285" s="50"/>
      <c r="BG285" s="50"/>
      <c r="BH285" s="39"/>
      <c r="BI285" s="50"/>
      <c r="BJ285" s="50"/>
      <c r="BK285" s="50" t="n">
        <v>4562.143</v>
      </c>
      <c r="BL285" s="50"/>
      <c r="BM285" s="50"/>
      <c r="BN285" s="39"/>
      <c r="BO285" s="50"/>
      <c r="BP285" s="50"/>
      <c r="BQ285" s="50" t="n">
        <v>5308.864</v>
      </c>
      <c r="BR285" s="50"/>
      <c r="BS285" s="50"/>
      <c r="BT285" s="39"/>
      <c r="BU285" s="50"/>
      <c r="BV285" s="50"/>
      <c r="BW285" s="50" t="n">
        <v>6737.879</v>
      </c>
      <c r="BX285" s="50"/>
      <c r="BY285" s="50"/>
      <c r="BZ285" s="39"/>
      <c r="CA285" s="50"/>
      <c r="CB285" s="50"/>
      <c r="CC285" s="50" t="n">
        <v>8427.764</v>
      </c>
      <c r="CD285" s="50"/>
      <c r="CE285" s="50"/>
      <c r="CF285" s="39"/>
      <c r="CG285" s="50"/>
      <c r="CH285" s="50"/>
      <c r="CI285" s="50" t="n">
        <v>10090.902</v>
      </c>
      <c r="CJ285" s="50"/>
      <c r="CK285" s="50"/>
      <c r="CL285" s="39"/>
      <c r="CM285" s="50"/>
      <c r="CN285" s="50"/>
      <c r="CO285" s="50" t="n">
        <v>10027.81</v>
      </c>
      <c r="CP285" s="40"/>
      <c r="CQ285" s="40"/>
      <c r="CR285" s="40"/>
      <c r="CS285" s="40"/>
      <c r="CT285" s="40"/>
      <c r="CU285" s="24"/>
      <c r="CW285" s="6"/>
      <c r="CX285" s="6"/>
      <c r="CY285" s="6"/>
      <c r="CZ285" s="6"/>
    </row>
    <row r="286" customFormat="false" ht="15" hidden="false" customHeight="false" outlineLevel="0" collapsed="false">
      <c r="B286" s="52" t="s">
        <v>419</v>
      </c>
      <c r="C286" s="32" t="n">
        <v>1447.123328</v>
      </c>
      <c r="D286" s="32" t="n">
        <v>1413.338832</v>
      </c>
      <c r="E286" s="32" t="n">
        <v>1332.39992</v>
      </c>
      <c r="F286" s="32" t="n">
        <v>1343.021024</v>
      </c>
      <c r="G286" s="32" t="n">
        <v>1349.809008</v>
      </c>
      <c r="H286" s="32" t="n">
        <v>1056.088272</v>
      </c>
      <c r="I286" s="32" t="n">
        <v>995.1496</v>
      </c>
      <c r="J286" s="32"/>
      <c r="K286" s="32"/>
      <c r="L286" s="31"/>
      <c r="M286" s="32"/>
      <c r="N286" s="32"/>
      <c r="O286" s="32" t="n">
        <v>1003.95996</v>
      </c>
      <c r="P286" s="32"/>
      <c r="Q286" s="32"/>
      <c r="R286" s="31"/>
      <c r="S286" s="32"/>
      <c r="T286" s="32"/>
      <c r="U286" s="32" t="n">
        <v>1009.146928</v>
      </c>
      <c r="V286" s="32"/>
      <c r="W286" s="32"/>
      <c r="X286" s="31"/>
      <c r="Y286" s="32"/>
      <c r="Z286" s="32"/>
      <c r="AA286" s="32" t="n">
        <v>961.25072</v>
      </c>
      <c r="AB286" s="32"/>
      <c r="AC286" s="32"/>
      <c r="AD286" s="31"/>
      <c r="AE286" s="32"/>
      <c r="AF286" s="32"/>
      <c r="AG286" s="32" t="n">
        <v>880.97648</v>
      </c>
      <c r="AH286" s="32"/>
      <c r="AI286" s="32"/>
      <c r="AJ286" s="31"/>
      <c r="AK286" s="32"/>
      <c r="AL286" s="32"/>
      <c r="AM286" s="32" t="n">
        <v>921.953184</v>
      </c>
      <c r="AN286" s="32"/>
      <c r="AO286" s="32"/>
      <c r="AP286" s="31"/>
      <c r="AQ286" s="32"/>
      <c r="AR286" s="32"/>
      <c r="AS286" s="32" t="n">
        <v>935.595364</v>
      </c>
      <c r="AT286" s="32"/>
      <c r="AU286" s="32"/>
      <c r="AV286" s="31"/>
      <c r="AW286" s="32"/>
      <c r="AX286" s="32"/>
      <c r="AY286" s="32" t="n">
        <v>919.161072</v>
      </c>
      <c r="AZ286" s="32"/>
      <c r="BA286" s="32"/>
      <c r="BB286" s="31"/>
      <c r="BC286" s="32"/>
      <c r="BD286" s="32"/>
      <c r="BE286" s="32" t="n">
        <v>941.261348</v>
      </c>
      <c r="BF286" s="32"/>
      <c r="BG286" s="32"/>
      <c r="BH286" s="31"/>
      <c r="BI286" s="32"/>
      <c r="BJ286" s="32"/>
      <c r="BK286" s="32" t="n">
        <v>948.057092</v>
      </c>
      <c r="BL286" s="32"/>
      <c r="BM286" s="32"/>
      <c r="BN286" s="31"/>
      <c r="BO286" s="32"/>
      <c r="BP286" s="32"/>
      <c r="BQ286" s="32" t="n">
        <v>952.163896</v>
      </c>
      <c r="BR286" s="32"/>
      <c r="BS286" s="32"/>
      <c r="BT286" s="31"/>
      <c r="BU286" s="32"/>
      <c r="BV286" s="32"/>
      <c r="BW286" s="32" t="n">
        <v>957.344162</v>
      </c>
      <c r="BX286" s="32"/>
      <c r="BY286" s="32"/>
      <c r="BZ286" s="31"/>
      <c r="CA286" s="32"/>
      <c r="CB286" s="32"/>
      <c r="CC286" s="32" t="n">
        <v>962.967011</v>
      </c>
      <c r="CD286" s="32"/>
      <c r="CE286" s="32"/>
      <c r="CF286" s="31"/>
      <c r="CG286" s="32"/>
      <c r="CH286" s="32"/>
      <c r="CI286" s="32" t="n">
        <v>967.47869</v>
      </c>
      <c r="CJ286" s="32"/>
      <c r="CK286" s="32"/>
      <c r="CL286" s="31"/>
      <c r="CM286" s="32"/>
      <c r="CN286" s="32"/>
      <c r="CO286" s="32" t="n">
        <v>926.298293</v>
      </c>
      <c r="CP286" s="33" t="n">
        <f aca="false">CP228</f>
        <v>862.926659945318</v>
      </c>
      <c r="CQ286" s="33" t="n">
        <f aca="false">CQ228</f>
        <v>830.170458996883</v>
      </c>
      <c r="CR286" s="33" t="n">
        <f aca="false">CR228</f>
        <v>797.561168373817</v>
      </c>
      <c r="CS286" s="33" t="n">
        <f aca="false">CS228</f>
        <v>764.626336922074</v>
      </c>
      <c r="CT286" s="33" t="n">
        <f aca="false">CT228</f>
        <v>731.454578420411</v>
      </c>
      <c r="CU286" s="24"/>
      <c r="CW286" s="6"/>
      <c r="CX286" s="6"/>
      <c r="CY286" s="6"/>
      <c r="CZ286" s="6"/>
    </row>
    <row r="287" customFormat="false" ht="15" hidden="false" customHeight="false" outlineLevel="0" collapsed="false">
      <c r="B287" s="11" t="s">
        <v>420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 t="s">
        <v>421</v>
      </c>
    </row>
    <row r="288" customFormat="false" ht="15" hidden="false" customHeight="false" outlineLevel="0" collapsed="false">
      <c r="B288" s="28" t="s">
        <v>422</v>
      </c>
      <c r="C288" s="64" t="n">
        <f aca="false">IFERROR(C245/C73*365,"")</f>
        <v>69.025797858755</v>
      </c>
      <c r="D288" s="64" t="n">
        <f aca="false">IFERROR(D245/D73*365,"")</f>
        <v>71.5411197117786</v>
      </c>
      <c r="E288" s="64" t="n">
        <f aca="false">IFERROR(E245/E73*365,"")</f>
        <v>51.9493264937924</v>
      </c>
      <c r="F288" s="64" t="n">
        <f aca="false">IFERROR(F245/F73*365,"")</f>
        <v>53.6623414374188</v>
      </c>
      <c r="G288" s="64" t="n">
        <f aca="false">IFERROR(G245/G73*365,"")</f>
        <v>51.50517092585</v>
      </c>
      <c r="H288" s="64" t="n">
        <f aca="false">IFERROR(H245/H73*365,"")</f>
        <v>51.4115685253931</v>
      </c>
      <c r="I288" s="64" t="n">
        <f aca="false">IFERROR(I245/I73*365,"")</f>
        <v>54.4622269639068</v>
      </c>
      <c r="J288" s="64"/>
      <c r="K288" s="64"/>
      <c r="L288" s="64"/>
      <c r="M288" s="64"/>
      <c r="N288" s="64"/>
      <c r="O288" s="64" t="n">
        <f aca="false">IFERROR(O245/O73*365,"")</f>
        <v>63.7342338295811</v>
      </c>
      <c r="P288" s="64"/>
      <c r="Q288" s="64"/>
      <c r="R288" s="64"/>
      <c r="S288" s="64"/>
      <c r="T288" s="64"/>
      <c r="U288" s="64" t="n">
        <f aca="false">IFERROR(U245/U73*365,"")</f>
        <v>61.7964802417556</v>
      </c>
      <c r="V288" s="64"/>
      <c r="W288" s="64"/>
      <c r="X288" s="64"/>
      <c r="Y288" s="64"/>
      <c r="Z288" s="64"/>
      <c r="AA288" s="64" t="n">
        <f aca="false">IFERROR(AA245/AA73*365,"")</f>
        <v>68.6942523159398</v>
      </c>
      <c r="AB288" s="64"/>
      <c r="AC288" s="64"/>
      <c r="AD288" s="64"/>
      <c r="AE288" s="64"/>
      <c r="AF288" s="64"/>
      <c r="AG288" s="64" t="n">
        <f aca="false">IFERROR(AG245/AG73*365,"")</f>
        <v>76.6199902400491</v>
      </c>
      <c r="AH288" s="64"/>
      <c r="AI288" s="64"/>
      <c r="AJ288" s="64"/>
      <c r="AK288" s="64"/>
      <c r="AL288" s="64"/>
      <c r="AM288" s="64" t="n">
        <f aca="false">IFERROR(AM245/AM73*365,"")</f>
        <v>78.6086212457208</v>
      </c>
      <c r="AN288" s="64"/>
      <c r="AO288" s="64"/>
      <c r="AP288" s="64"/>
      <c r="AQ288" s="64"/>
      <c r="AR288" s="64"/>
      <c r="AS288" s="64" t="n">
        <f aca="false">IFERROR(AS245/AS73*365,"")</f>
        <v>71.0720055158817</v>
      </c>
      <c r="AT288" s="64"/>
      <c r="AU288" s="64"/>
      <c r="AV288" s="64"/>
      <c r="AW288" s="64"/>
      <c r="AX288" s="64"/>
      <c r="AY288" s="64" t="n">
        <f aca="false">IFERROR(AY245/AY73*365,"")</f>
        <v>65.6486522487986</v>
      </c>
      <c r="AZ288" s="64"/>
      <c r="BA288" s="64"/>
      <c r="BB288" s="64"/>
      <c r="BC288" s="64"/>
      <c r="BD288" s="64"/>
      <c r="BE288" s="64" t="n">
        <f aca="false">IFERROR(BE245/BE73*365,"")</f>
        <v>57.9554498742509</v>
      </c>
      <c r="BF288" s="64"/>
      <c r="BG288" s="64"/>
      <c r="BH288" s="64"/>
      <c r="BI288" s="64"/>
      <c r="BJ288" s="64"/>
      <c r="BK288" s="64" t="n">
        <f aca="false">IFERROR(BK245/BK73*365,"")</f>
        <v>65.154504475562</v>
      </c>
      <c r="BL288" s="64"/>
      <c r="BM288" s="64"/>
      <c r="BN288" s="64"/>
      <c r="BO288" s="64"/>
      <c r="BP288" s="64"/>
      <c r="BQ288" s="64" t="n">
        <f aca="false">IFERROR(BQ245/BQ73*365,"")</f>
        <v>60.3210255244263</v>
      </c>
      <c r="BR288" s="64"/>
      <c r="BS288" s="64"/>
      <c r="BT288" s="64"/>
      <c r="BU288" s="64"/>
      <c r="BV288" s="64"/>
      <c r="BW288" s="64" t="n">
        <f aca="false">IFERROR(BW245/BW73*365,"")</f>
        <v>66.2211340017025</v>
      </c>
      <c r="BX288" s="64"/>
      <c r="BY288" s="64"/>
      <c r="BZ288" s="64"/>
      <c r="CA288" s="64"/>
      <c r="CB288" s="64"/>
      <c r="CC288" s="64" t="n">
        <f aca="false">IFERROR(CC245/CC73*365,"")</f>
        <v>67.7028766601767</v>
      </c>
      <c r="CD288" s="64"/>
      <c r="CE288" s="64"/>
      <c r="CF288" s="64"/>
      <c r="CG288" s="64"/>
      <c r="CH288" s="64"/>
      <c r="CI288" s="64" t="n">
        <f aca="false">IFERROR(CI245/CI73*365,"")</f>
        <v>59.9157588684899</v>
      </c>
      <c r="CJ288" s="64"/>
      <c r="CK288" s="64"/>
      <c r="CL288" s="64"/>
      <c r="CM288" s="64"/>
      <c r="CN288" s="64"/>
      <c r="CO288" s="64" t="n">
        <f aca="false">IFERROR(CO245/CO73*365,"")</f>
        <v>63.3008840795601</v>
      </c>
      <c r="CP288" s="65" t="n">
        <v>62</v>
      </c>
      <c r="CQ288" s="65" t="n">
        <v>62</v>
      </c>
      <c r="CR288" s="65" t="n">
        <v>62</v>
      </c>
      <c r="CS288" s="65" t="n">
        <v>62</v>
      </c>
      <c r="CT288" s="65" t="n">
        <v>62</v>
      </c>
      <c r="CU288" s="24" t="s">
        <v>423</v>
      </c>
      <c r="CW288" s="6"/>
      <c r="CX288" s="6"/>
      <c r="CY288" s="6"/>
      <c r="CZ288" s="6"/>
    </row>
    <row r="289" customFormat="false" ht="15" hidden="false" customHeight="false" outlineLevel="0" collapsed="false">
      <c r="B289" s="28" t="s">
        <v>424</v>
      </c>
      <c r="C289" s="29" t="n">
        <f aca="false">IFERROR(C246/C71,"")</f>
        <v>0.0533078810604441</v>
      </c>
      <c r="D289" s="29" t="n">
        <f aca="false">IFERROR(D246/D71,"")</f>
        <v>0.0538303900379624</v>
      </c>
      <c r="E289" s="29" t="n">
        <f aca="false">IFERROR(E246/E71,"")</f>
        <v>0.0496782459401544</v>
      </c>
      <c r="F289" s="29" t="n">
        <f aca="false">IFERROR(F246/F71,"")</f>
        <v>0.0466155956265682</v>
      </c>
      <c r="G289" s="29" t="n">
        <f aca="false">IFERROR(G246/G71,"")</f>
        <v>0</v>
      </c>
      <c r="H289" s="29" t="n">
        <f aca="false">IFERROR(H246/H71,"")</f>
        <v>0.0238762685932971</v>
      </c>
      <c r="I289" s="29" t="n">
        <f aca="false">IFERROR(I246/I71,"")</f>
        <v>0.0207692876535776</v>
      </c>
      <c r="J289" s="29"/>
      <c r="K289" s="29"/>
      <c r="L289" s="29"/>
      <c r="M289" s="29"/>
      <c r="N289" s="29"/>
      <c r="O289" s="29" t="n">
        <f aca="false">IFERROR(O246/O71,"")</f>
        <v>0.0240870835280174</v>
      </c>
      <c r="P289" s="29"/>
      <c r="Q289" s="29"/>
      <c r="R289" s="29"/>
      <c r="S289" s="29"/>
      <c r="T289" s="29"/>
      <c r="U289" s="29" t="n">
        <f aca="false">IFERROR(U246/U71,"")</f>
        <v>0.0254984020458821</v>
      </c>
      <c r="V289" s="29"/>
      <c r="W289" s="29"/>
      <c r="X289" s="29"/>
      <c r="Y289" s="29"/>
      <c r="Z289" s="29"/>
      <c r="AA289" s="29" t="n">
        <f aca="false">IFERROR(AA246/AA71,"")</f>
        <v>0.0253196030295434</v>
      </c>
      <c r="AB289" s="29"/>
      <c r="AC289" s="29"/>
      <c r="AD289" s="29"/>
      <c r="AE289" s="29"/>
      <c r="AF289" s="29"/>
      <c r="AG289" s="29" t="n">
        <f aca="false">IFERROR(AG246/AG71,"")</f>
        <v>0.0258960012821685</v>
      </c>
      <c r="AH289" s="29"/>
      <c r="AI289" s="29"/>
      <c r="AJ289" s="29"/>
      <c r="AK289" s="29"/>
      <c r="AL289" s="29"/>
      <c r="AM289" s="29" t="n">
        <f aca="false">IFERROR(AM246/AM71,"")</f>
        <v>0.024192770934467</v>
      </c>
      <c r="AN289" s="29"/>
      <c r="AO289" s="29"/>
      <c r="AP289" s="29"/>
      <c r="AQ289" s="29"/>
      <c r="AR289" s="29"/>
      <c r="AS289" s="29" t="n">
        <f aca="false">IFERROR(AS246/AS71,"")</f>
        <v>0.0217193262979711</v>
      </c>
      <c r="AT289" s="29"/>
      <c r="AU289" s="29"/>
      <c r="AV289" s="29"/>
      <c r="AW289" s="29"/>
      <c r="AX289" s="29"/>
      <c r="AY289" s="29" t="n">
        <f aca="false">IFERROR(AY246/AY71,"")</f>
        <v>0.0435998528217332</v>
      </c>
      <c r="AZ289" s="29"/>
      <c r="BA289" s="29"/>
      <c r="BB289" s="29"/>
      <c r="BC289" s="29"/>
      <c r="BD289" s="29"/>
      <c r="BE289" s="29" t="n">
        <f aca="false">IFERROR(BE246/BE71,"")</f>
        <v>0.0378421685138203</v>
      </c>
      <c r="BF289" s="29"/>
      <c r="BG289" s="29"/>
      <c r="BH289" s="29"/>
      <c r="BI289" s="29"/>
      <c r="BJ289" s="29"/>
      <c r="BK289" s="29" t="n">
        <f aca="false">IFERROR(BK246/BK71,"")</f>
        <v>0.0412105065433553</v>
      </c>
      <c r="BL289" s="29"/>
      <c r="BM289" s="29"/>
      <c r="BN289" s="29"/>
      <c r="BO289" s="29"/>
      <c r="BP289" s="29"/>
      <c r="BQ289" s="29" t="n">
        <f aca="false">IFERROR(BQ246/BQ71,"")</f>
        <v>0.0393411939545187</v>
      </c>
      <c r="BR289" s="29"/>
      <c r="BS289" s="29"/>
      <c r="BT289" s="29"/>
      <c r="BU289" s="29"/>
      <c r="BV289" s="29"/>
      <c r="BW289" s="29" t="n">
        <f aca="false">IFERROR(BW246/BW71,"")</f>
        <v>0.0386866942161164</v>
      </c>
      <c r="BX289" s="29"/>
      <c r="BY289" s="29"/>
      <c r="BZ289" s="29"/>
      <c r="CA289" s="29"/>
      <c r="CB289" s="29"/>
      <c r="CC289" s="29" t="n">
        <f aca="false">IFERROR(CC246/CC71,"")</f>
        <v>0.037247381495433</v>
      </c>
      <c r="CD289" s="29"/>
      <c r="CE289" s="29"/>
      <c r="CF289" s="29"/>
      <c r="CG289" s="29"/>
      <c r="CH289" s="29"/>
      <c r="CI289" s="29" t="n">
        <f aca="false">IFERROR(CI246/CI71,"")</f>
        <v>0.0292655308010609</v>
      </c>
      <c r="CJ289" s="29"/>
      <c r="CK289" s="29"/>
      <c r="CL289" s="29"/>
      <c r="CM289" s="29"/>
      <c r="CN289" s="29"/>
      <c r="CO289" s="29" t="n">
        <f aca="false">IFERROR(CO246/CO71,"")</f>
        <v>0.0309730143694956</v>
      </c>
      <c r="CP289" s="34" t="n">
        <v>0.031</v>
      </c>
      <c r="CQ289" s="34" t="n">
        <v>0.031</v>
      </c>
      <c r="CR289" s="34" t="n">
        <v>0.031</v>
      </c>
      <c r="CS289" s="34" t="n">
        <v>0.031</v>
      </c>
      <c r="CT289" s="34" t="n">
        <v>0.031</v>
      </c>
      <c r="CU289" s="24"/>
      <c r="CW289" s="6"/>
      <c r="CX289" s="6"/>
      <c r="CY289" s="6"/>
      <c r="CZ289" s="6"/>
    </row>
    <row r="290" customFormat="false" ht="15" hidden="false" customHeight="false" outlineLevel="0" collapsed="false">
      <c r="B290" s="28" t="s">
        <v>425</v>
      </c>
      <c r="C290" s="64" t="str">
        <f aca="false">IFERROR(C247/C75*365,"")</f>
        <v/>
      </c>
      <c r="D290" s="64" t="n">
        <f aca="false">IFERROR(D247/D75*365,"")</f>
        <v>97.860782122905</v>
      </c>
      <c r="E290" s="64" t="n">
        <f aca="false">IFERROR(E247/E75*365,"")</f>
        <v>14.5650482531608</v>
      </c>
      <c r="F290" s="64" t="n">
        <f aca="false">IFERROR(F247/F75*365,"")</f>
        <v>16.065934791425</v>
      </c>
      <c r="G290" s="64" t="n">
        <f aca="false">IFERROR(G247/G75*365,"")</f>
        <v>0</v>
      </c>
      <c r="H290" s="64" t="n">
        <f aca="false">IFERROR(H247/H75*365,"")</f>
        <v>23.3689557674798</v>
      </c>
      <c r="I290" s="64" t="n">
        <f aca="false">IFERROR(I247/I75*365,"")</f>
        <v>22.6347913061889</v>
      </c>
      <c r="J290" s="64"/>
      <c r="K290" s="64"/>
      <c r="L290" s="64"/>
      <c r="M290" s="64"/>
      <c r="N290" s="64"/>
      <c r="O290" s="64" t="n">
        <f aca="false">IFERROR(O247/O75*365,"")</f>
        <v>23.4317969815112</v>
      </c>
      <c r="P290" s="64"/>
      <c r="Q290" s="64"/>
      <c r="R290" s="64"/>
      <c r="S290" s="64"/>
      <c r="T290" s="64"/>
      <c r="U290" s="64" t="n">
        <f aca="false">IFERROR(U247/U75*365,"")</f>
        <v>15.1841907698303</v>
      </c>
      <c r="V290" s="64"/>
      <c r="W290" s="64"/>
      <c r="X290" s="64"/>
      <c r="Y290" s="64"/>
      <c r="Z290" s="64"/>
      <c r="AA290" s="64" t="n">
        <f aca="false">IFERROR(AA247/AA75*365,"")</f>
        <v>23.045956367475</v>
      </c>
      <c r="AB290" s="64"/>
      <c r="AC290" s="64"/>
      <c r="AD290" s="64"/>
      <c r="AE290" s="64"/>
      <c r="AF290" s="64"/>
      <c r="AG290" s="64" t="n">
        <f aca="false">IFERROR(AG247/AG75*365,"")</f>
        <v>26.8987436062969</v>
      </c>
      <c r="AH290" s="64"/>
      <c r="AI290" s="64"/>
      <c r="AJ290" s="64"/>
      <c r="AK290" s="64"/>
      <c r="AL290" s="64"/>
      <c r="AM290" s="64" t="n">
        <f aca="false">IFERROR(AM247/AM75*365,"")</f>
        <v>26.9679466674421</v>
      </c>
      <c r="AN290" s="64"/>
      <c r="AO290" s="64"/>
      <c r="AP290" s="64"/>
      <c r="AQ290" s="64"/>
      <c r="AR290" s="64"/>
      <c r="AS290" s="64" t="n">
        <f aca="false">IFERROR(AS247/AS75*365,"")</f>
        <v>31.0896819216028</v>
      </c>
      <c r="AT290" s="64"/>
      <c r="AU290" s="64"/>
      <c r="AV290" s="64"/>
      <c r="AW290" s="64"/>
      <c r="AX290" s="64"/>
      <c r="AY290" s="64" t="n">
        <f aca="false">IFERROR(AY247/AY75*365,"")</f>
        <v>29.915245945269</v>
      </c>
      <c r="AZ290" s="64"/>
      <c r="BA290" s="64"/>
      <c r="BB290" s="64"/>
      <c r="BC290" s="64"/>
      <c r="BD290" s="64"/>
      <c r="BE290" s="64" t="n">
        <f aca="false">IFERROR(BE247/BE75*365,"")</f>
        <v>32.5317141157776</v>
      </c>
      <c r="BF290" s="64"/>
      <c r="BG290" s="64"/>
      <c r="BH290" s="64"/>
      <c r="BI290" s="64"/>
      <c r="BJ290" s="64"/>
      <c r="BK290" s="64" t="n">
        <f aca="false">IFERROR(BK247/BK75*365,"")</f>
        <v>47.4197984560625</v>
      </c>
      <c r="BL290" s="64"/>
      <c r="BM290" s="64"/>
      <c r="BN290" s="64"/>
      <c r="BO290" s="64"/>
      <c r="BP290" s="64"/>
      <c r="BQ290" s="64" t="n">
        <f aca="false">IFERROR(BQ247/BQ75*365,"")</f>
        <v>36.6688397017787</v>
      </c>
      <c r="BR290" s="64"/>
      <c r="BS290" s="64"/>
      <c r="BT290" s="64"/>
      <c r="BU290" s="64"/>
      <c r="BV290" s="64"/>
      <c r="BW290" s="64" t="n">
        <f aca="false">IFERROR(BW247/BW75*365,"")</f>
        <v>23.7431936312242</v>
      </c>
      <c r="BX290" s="64"/>
      <c r="BY290" s="64"/>
      <c r="BZ290" s="64"/>
      <c r="CA290" s="64"/>
      <c r="CB290" s="64"/>
      <c r="CC290" s="64" t="n">
        <f aca="false">IFERROR(CC247/CC75*365,"")</f>
        <v>25.711976199662</v>
      </c>
      <c r="CD290" s="64"/>
      <c r="CE290" s="64"/>
      <c r="CF290" s="64"/>
      <c r="CG290" s="64"/>
      <c r="CH290" s="64"/>
      <c r="CI290" s="64" t="n">
        <f aca="false">IFERROR(CI247/CI75*365,"")</f>
        <v>24.0071924072591</v>
      </c>
      <c r="CJ290" s="64"/>
      <c r="CK290" s="64"/>
      <c r="CL290" s="64"/>
      <c r="CM290" s="64"/>
      <c r="CN290" s="64"/>
      <c r="CO290" s="64" t="n">
        <f aca="false">IFERROR(CO247/CO75*365,"")</f>
        <v>30.4226368816944</v>
      </c>
      <c r="CP290" s="65" t="n">
        <v>30</v>
      </c>
      <c r="CQ290" s="65" t="n">
        <v>30</v>
      </c>
      <c r="CR290" s="65" t="n">
        <v>30</v>
      </c>
      <c r="CS290" s="65" t="n">
        <v>30</v>
      </c>
      <c r="CT290" s="65" t="n">
        <v>30</v>
      </c>
      <c r="CU290" s="24"/>
      <c r="CW290" s="6"/>
      <c r="CX290" s="6"/>
      <c r="CY290" s="6"/>
      <c r="CZ290" s="6"/>
    </row>
    <row r="291" customFormat="false" ht="15" hidden="false" customHeight="false" outlineLevel="0" collapsed="false">
      <c r="B291" s="28" t="s">
        <v>426</v>
      </c>
      <c r="C291" s="29" t="n">
        <f aca="false">IFERROR(C260/C73,"")</f>
        <v>0.114970363489484</v>
      </c>
      <c r="D291" s="29" t="n">
        <f aca="false">IFERROR(D260/D73,"")</f>
        <v>0.151747877577228</v>
      </c>
      <c r="E291" s="29" t="n">
        <f aca="false">IFERROR(E260/E73,"")</f>
        <v>0.113248679999185</v>
      </c>
      <c r="F291" s="29" t="n">
        <f aca="false">IFERROR(F260/F73,"")</f>
        <v>0.111391474965078</v>
      </c>
      <c r="G291" s="29" t="n">
        <f aca="false">IFERROR(G260/G73,"")</f>
        <v>0.121286773220646</v>
      </c>
      <c r="H291" s="29" t="n">
        <f aca="false">IFERROR(H260/H73,"")</f>
        <v>0.116604719310837</v>
      </c>
      <c r="I291" s="29" t="n">
        <f aca="false">IFERROR(I260/I73,"")</f>
        <v>0.111099329034799</v>
      </c>
      <c r="J291" s="29"/>
      <c r="K291" s="29"/>
      <c r="L291" s="29"/>
      <c r="M291" s="29"/>
      <c r="N291" s="29"/>
      <c r="O291" s="29" t="n">
        <f aca="false">IFERROR(O260/O73,"")</f>
        <v>0.13059043221144</v>
      </c>
      <c r="P291" s="29"/>
      <c r="Q291" s="29"/>
      <c r="R291" s="29"/>
      <c r="S291" s="29"/>
      <c r="T291" s="29"/>
      <c r="U291" s="29" t="n">
        <f aca="false">IFERROR(U260/U73,"")</f>
        <v>0.130775624006759</v>
      </c>
      <c r="V291" s="29"/>
      <c r="W291" s="29"/>
      <c r="X291" s="29"/>
      <c r="Y291" s="29"/>
      <c r="Z291" s="29"/>
      <c r="AA291" s="29" t="n">
        <f aca="false">IFERROR(AA260/AA73,"")</f>
        <v>0.128657797586379</v>
      </c>
      <c r="AB291" s="29"/>
      <c r="AC291" s="29"/>
      <c r="AD291" s="29"/>
      <c r="AE291" s="29"/>
      <c r="AF291" s="29"/>
      <c r="AG291" s="29" t="n">
        <f aca="false">IFERROR(AG260/AG73,"")</f>
        <v>0.151664749627301</v>
      </c>
      <c r="AH291" s="29"/>
      <c r="AI291" s="29"/>
      <c r="AJ291" s="29"/>
      <c r="AK291" s="29"/>
      <c r="AL291" s="29"/>
      <c r="AM291" s="29" t="n">
        <f aca="false">IFERROR(AM260/AM73,"")</f>
        <v>0.14393489969827</v>
      </c>
      <c r="AN291" s="29"/>
      <c r="AO291" s="29"/>
      <c r="AP291" s="29"/>
      <c r="AQ291" s="29"/>
      <c r="AR291" s="29"/>
      <c r="AS291" s="29" t="n">
        <f aca="false">IFERROR(AS260/AS73,"")</f>
        <v>0.150049703853641</v>
      </c>
      <c r="AT291" s="29"/>
      <c r="AU291" s="29"/>
      <c r="AV291" s="29"/>
      <c r="AW291" s="29"/>
      <c r="AX291" s="29"/>
      <c r="AY291" s="29" t="n">
        <f aca="false">IFERROR(AY260/AY73,"")</f>
        <v>0.132675663591349</v>
      </c>
      <c r="AZ291" s="29"/>
      <c r="BA291" s="29"/>
      <c r="BB291" s="29"/>
      <c r="BC291" s="29"/>
      <c r="BD291" s="29"/>
      <c r="BE291" s="29" t="n">
        <f aca="false">IFERROR(BE260/BE73,"")</f>
        <v>0.144419865405201</v>
      </c>
      <c r="BF291" s="29"/>
      <c r="BG291" s="29"/>
      <c r="BH291" s="29"/>
      <c r="BI291" s="29"/>
      <c r="BJ291" s="29"/>
      <c r="BK291" s="29" t="n">
        <f aca="false">IFERROR(BK260/BK73,"")</f>
        <v>0.137353570700361</v>
      </c>
      <c r="BL291" s="29"/>
      <c r="BM291" s="29"/>
      <c r="BN291" s="29"/>
      <c r="BO291" s="29"/>
      <c r="BP291" s="29"/>
      <c r="BQ291" s="29" t="n">
        <f aca="false">IFERROR(BQ260/BQ73,"")</f>
        <v>0.113979721336186</v>
      </c>
      <c r="BR291" s="29"/>
      <c r="BS291" s="29"/>
      <c r="BT291" s="29"/>
      <c r="BU291" s="29"/>
      <c r="BV291" s="29"/>
      <c r="BW291" s="29" t="n">
        <f aca="false">IFERROR(BW260/BW73,"")</f>
        <v>0.113918581073922</v>
      </c>
      <c r="BX291" s="29"/>
      <c r="BY291" s="29"/>
      <c r="BZ291" s="29"/>
      <c r="CA291" s="29"/>
      <c r="CB291" s="29"/>
      <c r="CC291" s="29" t="n">
        <f aca="false">IFERROR(CC260/CC73,"")</f>
        <v>0.12229635271523</v>
      </c>
      <c r="CD291" s="29"/>
      <c r="CE291" s="29"/>
      <c r="CF291" s="29"/>
      <c r="CG291" s="29"/>
      <c r="CH291" s="29"/>
      <c r="CI291" s="29" t="n">
        <f aca="false">IFERROR(CI260/CI73,"")</f>
        <v>0.127358801177028</v>
      </c>
      <c r="CJ291" s="29"/>
      <c r="CK291" s="29"/>
      <c r="CL291" s="29"/>
      <c r="CM291" s="29"/>
      <c r="CN291" s="29"/>
      <c r="CO291" s="29" t="n">
        <f aca="false">IFERROR(CO260/CO73,"")</f>
        <v>0.136015124911893</v>
      </c>
      <c r="CP291" s="34" t="n">
        <v>0.135</v>
      </c>
      <c r="CQ291" s="34" t="n">
        <v>0.135</v>
      </c>
      <c r="CR291" s="34" t="n">
        <v>0.135</v>
      </c>
      <c r="CS291" s="34" t="n">
        <v>0.135</v>
      </c>
      <c r="CT291" s="34" t="n">
        <v>0.135</v>
      </c>
      <c r="CU291" s="24"/>
      <c r="CW291" s="6"/>
      <c r="CX291" s="6"/>
      <c r="CY291" s="6"/>
      <c r="CZ291" s="6"/>
    </row>
    <row r="292" customFormat="false" ht="15" hidden="false" customHeight="false" outlineLevel="0" collapsed="false">
      <c r="B292" s="28" t="s">
        <v>427</v>
      </c>
      <c r="C292" s="39" t="n">
        <f aca="false">IF(ISNUMBER(C245),C245+C246+C247-C260-C261,"")</f>
        <v>51.994</v>
      </c>
      <c r="D292" s="39" t="n">
        <f aca="false">IF(ISNUMBER(D245),D245+D246+D247-D260-D261,"")</f>
        <v>45.757</v>
      </c>
      <c r="E292" s="39" t="n">
        <f aca="false">IF(ISNUMBER(E245),E245+E246+E247-E260-E261,"")</f>
        <v>44.425</v>
      </c>
      <c r="F292" s="39" t="n">
        <f aca="false">IF(ISNUMBER(F245),F245+F246+F247-F260-F261,"")</f>
        <v>46.662</v>
      </c>
      <c r="G292" s="39" t="n">
        <f aca="false">IF(ISNUMBER(G245),G245+G246+G247-G260-G261,"")</f>
        <v>4.67900000000001</v>
      </c>
      <c r="H292" s="39" t="n">
        <f aca="false">IF(ISNUMBER(H245),H245+H246+H247-H260-H261,"")</f>
        <v>40.557</v>
      </c>
      <c r="I292" s="39" t="n">
        <f aca="false">IF(ISNUMBER(I245),I245+I246+I247-I260-I261,"")</f>
        <v>54.055</v>
      </c>
      <c r="J292" s="39"/>
      <c r="K292" s="39"/>
      <c r="L292" s="39"/>
      <c r="M292" s="39"/>
      <c r="N292" s="39"/>
      <c r="O292" s="39" t="n">
        <f aca="false">IF(ISNUMBER(O245),O245+O246+O247-O260-O261,"")</f>
        <v>72.436</v>
      </c>
      <c r="P292" s="39"/>
      <c r="Q292" s="39"/>
      <c r="R292" s="39"/>
      <c r="S292" s="39"/>
      <c r="T292" s="39"/>
      <c r="U292" s="39" t="n">
        <f aca="false">IF(ISNUMBER(U245),U245+U246+U247-U260-U261,"")</f>
        <v>72.356</v>
      </c>
      <c r="V292" s="39"/>
      <c r="W292" s="39"/>
      <c r="X292" s="39"/>
      <c r="Y292" s="39"/>
      <c r="Z292" s="39"/>
      <c r="AA292" s="39" t="n">
        <f aca="false">IF(ISNUMBER(AA245),AA245+AA246+AA247-AA260-AA261,"")</f>
        <v>98.082</v>
      </c>
      <c r="AB292" s="39"/>
      <c r="AC292" s="39"/>
      <c r="AD292" s="39"/>
      <c r="AE292" s="39"/>
      <c r="AF292" s="39"/>
      <c r="AG292" s="39" t="n">
        <f aca="false">IF(ISNUMBER(AG245),AG245+AG246+AG247-AG260-AG261,"")</f>
        <v>108.25</v>
      </c>
      <c r="AH292" s="39"/>
      <c r="AI292" s="39"/>
      <c r="AJ292" s="39"/>
      <c r="AK292" s="39"/>
      <c r="AL292" s="39"/>
      <c r="AM292" s="39" t="n">
        <f aca="false">IF(ISNUMBER(AM245),AM245+AM246+AM247-AM260-AM261,"")</f>
        <v>139.693</v>
      </c>
      <c r="AN292" s="39"/>
      <c r="AO292" s="39"/>
      <c r="AP292" s="39"/>
      <c r="AQ292" s="39"/>
      <c r="AR292" s="39"/>
      <c r="AS292" s="39" t="n">
        <f aca="false">IF(ISNUMBER(AS245),AS245+AS246+AS247-AS260-AS261,"")</f>
        <v>127.187</v>
      </c>
      <c r="AT292" s="39"/>
      <c r="AU292" s="39"/>
      <c r="AV292" s="39"/>
      <c r="AW292" s="39"/>
      <c r="AX292" s="39"/>
      <c r="AY292" s="39" t="n">
        <f aca="false">IF(ISNUMBER(AY245),AY245+AY246+AY247-AY260-AY261,"")</f>
        <v>187.37</v>
      </c>
      <c r="AZ292" s="39"/>
      <c r="BA292" s="39"/>
      <c r="BB292" s="39"/>
      <c r="BC292" s="39"/>
      <c r="BD292" s="39"/>
      <c r="BE292" s="39" t="n">
        <f aca="false">IF(ISNUMBER(BE245),BE245+BE246+BE247-BE260-BE261,"")</f>
        <v>117.208</v>
      </c>
      <c r="BF292" s="39"/>
      <c r="BG292" s="39"/>
      <c r="BH292" s="39"/>
      <c r="BI292" s="39"/>
      <c r="BJ292" s="39"/>
      <c r="BK292" s="39" t="n">
        <f aca="false">IF(ISNUMBER(BK245),BK245+BK246+BK247-BK260-BK261,"")</f>
        <v>229.246</v>
      </c>
      <c r="BL292" s="39"/>
      <c r="BM292" s="39"/>
      <c r="BN292" s="39"/>
      <c r="BO292" s="39"/>
      <c r="BP292" s="39"/>
      <c r="BQ292" s="39" t="n">
        <f aca="false">IF(ISNUMBER(BQ245),BQ245+BQ246+BQ247-BQ260-BQ261,"")</f>
        <v>330.511</v>
      </c>
      <c r="BR292" s="39"/>
      <c r="BS292" s="39"/>
      <c r="BT292" s="39"/>
      <c r="BU292" s="39"/>
      <c r="BV292" s="39"/>
      <c r="BW292" s="39" t="n">
        <f aca="false">IF(ISNUMBER(BW245),BW245+BW246+BW247-BW260-BW261,"")</f>
        <v>398.809</v>
      </c>
      <c r="BX292" s="39"/>
      <c r="BY292" s="39"/>
      <c r="BZ292" s="39"/>
      <c r="CA292" s="39"/>
      <c r="CB292" s="39"/>
      <c r="CC292" s="39" t="n">
        <f aca="false">IF(ISNUMBER(CC245),CC245+CC246+CC247-CC260-CC261,"")</f>
        <v>415.885</v>
      </c>
      <c r="CD292" s="39"/>
      <c r="CE292" s="39"/>
      <c r="CF292" s="39"/>
      <c r="CG292" s="39"/>
      <c r="CH292" s="39"/>
      <c r="CI292" s="39" t="n">
        <f aca="false">IF(ISNUMBER(CI245),CI245+CI246+CI247-CI260-CI261,"")</f>
        <v>296.346</v>
      </c>
      <c r="CJ292" s="39"/>
      <c r="CK292" s="39"/>
      <c r="CL292" s="39"/>
      <c r="CM292" s="39"/>
      <c r="CN292" s="39"/>
      <c r="CO292" s="39" t="n">
        <f aca="false">IF(ISNUMBER(CO245),CO245+CO246+CO247-CO260-CO261,"")</f>
        <v>316.436</v>
      </c>
      <c r="CP292" s="40" t="n">
        <f aca="false">CP245+CP246+CP247-CP260-CP261</f>
        <v>318.214689889621</v>
      </c>
      <c r="CQ292" s="40" t="n">
        <f aca="false">CQ245+CQ246+CQ247-CQ260-CQ261</f>
        <v>336.443100496382</v>
      </c>
      <c r="CR292" s="40" t="n">
        <f aca="false">CR245+CR246+CR247-CR260-CR261</f>
        <v>356.694113477106</v>
      </c>
      <c r="CS292" s="40" t="n">
        <f aca="false">CS245+CS246+CS247-CS260-CS261</f>
        <v>377.986150963286</v>
      </c>
      <c r="CT292" s="40" t="n">
        <f aca="false">CT245+CT246+CT247-CT260-CT261</f>
        <v>400.592037163586</v>
      </c>
      <c r="CU292" s="24"/>
      <c r="CW292" s="6"/>
      <c r="CX292" s="6"/>
      <c r="CY292" s="6"/>
      <c r="CZ292" s="6"/>
    </row>
    <row r="293" customFormat="false" ht="15" hidden="false" customHeight="false" outlineLevel="0" collapsed="false">
      <c r="B293" s="28" t="s">
        <v>428</v>
      </c>
      <c r="C293" s="35" t="n">
        <f aca="false">IFERROR(C292/C73,"")</f>
        <v>0.0983671067841406</v>
      </c>
      <c r="D293" s="35" t="n">
        <f aca="false">IFERROR(D292/D73,"")</f>
        <v>0.0816098309195976</v>
      </c>
      <c r="E293" s="35" t="n">
        <f aca="false">IFERROR(E292/E73,"")</f>
        <v>0.0566033168205818</v>
      </c>
      <c r="F293" s="35" t="n">
        <f aca="false">IFERROR(F292/F73,"")</f>
        <v>0.062795223138227</v>
      </c>
      <c r="G293" s="35" t="n">
        <f aca="false">IFERROR(G292/G73,"")</f>
        <v>0.00605398775228724</v>
      </c>
      <c r="H293" s="35" t="n">
        <f aca="false">IFERROR(H292/H73,"")</f>
        <v>0.0464972037704959</v>
      </c>
      <c r="I293" s="35" t="n">
        <f aca="false">IFERROR(I292/I73,"")</f>
        <v>0.0584889919940792</v>
      </c>
      <c r="J293" s="35"/>
      <c r="K293" s="35"/>
      <c r="L293" s="35"/>
      <c r="M293" s="35"/>
      <c r="N293" s="35"/>
      <c r="O293" s="35" t="n">
        <f aca="false">IFERROR(O292/O73,"")</f>
        <v>0.0692249322907608</v>
      </c>
      <c r="P293" s="35"/>
      <c r="Q293" s="35"/>
      <c r="R293" s="35"/>
      <c r="S293" s="35"/>
      <c r="T293" s="35"/>
      <c r="U293" s="35" t="n">
        <f aca="false">IFERROR(U292/U73,"")</f>
        <v>0.0621888131301628</v>
      </c>
      <c r="V293" s="35"/>
      <c r="W293" s="35"/>
      <c r="X293" s="35"/>
      <c r="Y293" s="35"/>
      <c r="Z293" s="35"/>
      <c r="AA293" s="35" t="n">
        <f aca="false">IFERROR(AA292/AA73,"")</f>
        <v>0.0855804879070291</v>
      </c>
      <c r="AB293" s="35"/>
      <c r="AC293" s="35"/>
      <c r="AD293" s="35"/>
      <c r="AE293" s="35"/>
      <c r="AF293" s="35"/>
      <c r="AG293" s="35" t="n">
        <f aca="false">IFERROR(AG292/AG73,"")</f>
        <v>0.0853404433288212</v>
      </c>
      <c r="AH293" s="35"/>
      <c r="AI293" s="35"/>
      <c r="AJ293" s="35"/>
      <c r="AK293" s="35"/>
      <c r="AL293" s="35"/>
      <c r="AM293" s="35" t="n">
        <f aca="false">IFERROR(AM292/AM73,"")</f>
        <v>0.096474332190823</v>
      </c>
      <c r="AN293" s="35"/>
      <c r="AO293" s="35"/>
      <c r="AP293" s="35"/>
      <c r="AQ293" s="35"/>
      <c r="AR293" s="35"/>
      <c r="AS293" s="35" t="n">
        <f aca="false">IFERROR(AS292/AS73,"")</f>
        <v>0.0704365908971338</v>
      </c>
      <c r="AT293" s="35"/>
      <c r="AU293" s="35"/>
      <c r="AV293" s="35"/>
      <c r="AW293" s="35"/>
      <c r="AX293" s="35"/>
      <c r="AY293" s="35" t="n">
        <f aca="false">IFERROR(AY292/AY73,"")</f>
        <v>0.0917600125761708</v>
      </c>
      <c r="AZ293" s="35"/>
      <c r="BA293" s="35"/>
      <c r="BB293" s="35"/>
      <c r="BC293" s="35"/>
      <c r="BD293" s="35"/>
      <c r="BE293" s="35" t="n">
        <f aca="false">IFERROR(BE292/BE73,"")</f>
        <v>0.0531415049898371</v>
      </c>
      <c r="BF293" s="35"/>
      <c r="BG293" s="35"/>
      <c r="BH293" s="35"/>
      <c r="BI293" s="35"/>
      <c r="BJ293" s="35"/>
      <c r="BK293" s="35" t="n">
        <f aca="false">IFERROR(BK292/BK73,"")</f>
        <v>0.0851420848419932</v>
      </c>
      <c r="BL293" s="35"/>
      <c r="BM293" s="35"/>
      <c r="BN293" s="35"/>
      <c r="BO293" s="35"/>
      <c r="BP293" s="35"/>
      <c r="BQ293" s="35" t="n">
        <f aca="false">IFERROR(BQ292/BQ73,"")</f>
        <v>0.0944068717917371</v>
      </c>
      <c r="BR293" s="35"/>
      <c r="BS293" s="35"/>
      <c r="BT293" s="35"/>
      <c r="BU293" s="35"/>
      <c r="BV293" s="35"/>
      <c r="BW293" s="35" t="n">
        <f aca="false">IFERROR(BW292/BW73,"")</f>
        <v>0.103064257615548</v>
      </c>
      <c r="BX293" s="35"/>
      <c r="BY293" s="35"/>
      <c r="BZ293" s="35"/>
      <c r="CA293" s="35"/>
      <c r="CB293" s="35"/>
      <c r="CC293" s="35" t="n">
        <f aca="false">IFERROR(CC292/CC73,"")</f>
        <v>0.0981596351794729</v>
      </c>
      <c r="CD293" s="35"/>
      <c r="CE293" s="35"/>
      <c r="CF293" s="35"/>
      <c r="CG293" s="35"/>
      <c r="CH293" s="35"/>
      <c r="CI293" s="35" t="n">
        <f aca="false">IFERROR(CI292/CI73,"")</f>
        <v>0.0637720418389837</v>
      </c>
      <c r="CJ293" s="35"/>
      <c r="CK293" s="35"/>
      <c r="CL293" s="35"/>
      <c r="CM293" s="35"/>
      <c r="CN293" s="35"/>
      <c r="CO293" s="35" t="n">
        <f aca="false">IFERROR(CO292/CO73,"")</f>
        <v>0.0678143649373613</v>
      </c>
      <c r="CP293" s="45" t="n">
        <f aca="false">IFERROR(CP292/CP73,"")</f>
        <v>0.0651177618329404</v>
      </c>
      <c r="CQ293" s="45" t="n">
        <f aca="false">IFERROR(CQ292/CQ73,"")</f>
        <v>0.0650316370708997</v>
      </c>
      <c r="CR293" s="45" t="n">
        <f aca="false">IFERROR(CR292/CR73,"")</f>
        <v>0.0649286969196575</v>
      </c>
      <c r="CS293" s="45" t="n">
        <f aca="false">IFERROR(CS292/CS73,"")</f>
        <v>0.0648308559103829</v>
      </c>
      <c r="CT293" s="45" t="n">
        <f aca="false">IFERROR(CT292/CT73,"")</f>
        <v>0.064734202951325</v>
      </c>
      <c r="CU293" s="24"/>
      <c r="CW293" s="6"/>
      <c r="CX293" s="6"/>
      <c r="CY293" s="6"/>
      <c r="CZ293" s="6"/>
    </row>
    <row r="294" customFormat="false" ht="15" hidden="false" customHeight="false" outlineLevel="0" collapsed="false">
      <c r="B294" s="28" t="s">
        <v>429</v>
      </c>
      <c r="C294" s="39"/>
      <c r="D294" s="39" t="n">
        <f aca="false">IFERROR(D292-C292,"")</f>
        <v>-6.23699999999999</v>
      </c>
      <c r="E294" s="39" t="n">
        <f aca="false">IFERROR(E292-D292,"")</f>
        <v>-1.332</v>
      </c>
      <c r="F294" s="39" t="n">
        <f aca="false">IFERROR(F292-E292,"")</f>
        <v>2.237</v>
      </c>
      <c r="G294" s="39" t="n">
        <f aca="false">IFERROR(G292-F292,"")</f>
        <v>-41.983</v>
      </c>
      <c r="H294" s="39" t="n">
        <f aca="false">IFERROR(H292-G292,"")</f>
        <v>35.878</v>
      </c>
      <c r="I294" s="39" t="n">
        <f aca="false">IFERROR(I292-H292,"")</f>
        <v>13.498</v>
      </c>
      <c r="J294" s="39"/>
      <c r="K294" s="39"/>
      <c r="L294" s="39"/>
      <c r="M294" s="39"/>
      <c r="N294" s="39"/>
      <c r="O294" s="39" t="n">
        <f aca="false">IFERROR(O292-I292,"")</f>
        <v>18.381</v>
      </c>
      <c r="P294" s="39"/>
      <c r="Q294" s="39"/>
      <c r="R294" s="39"/>
      <c r="S294" s="39"/>
      <c r="T294" s="39"/>
      <c r="U294" s="39" t="n">
        <f aca="false">IFERROR(U292-O292,"")</f>
        <v>-0.0799999999999983</v>
      </c>
      <c r="V294" s="39"/>
      <c r="W294" s="39"/>
      <c r="X294" s="39"/>
      <c r="Y294" s="39"/>
      <c r="Z294" s="39"/>
      <c r="AA294" s="39" t="n">
        <f aca="false">IFERROR(AA292-U292,"")</f>
        <v>25.726</v>
      </c>
      <c r="AB294" s="39"/>
      <c r="AC294" s="39"/>
      <c r="AD294" s="39"/>
      <c r="AE294" s="39"/>
      <c r="AF294" s="39"/>
      <c r="AG294" s="39" t="n">
        <f aca="false">IFERROR(AG292-AA292,"")</f>
        <v>10.168</v>
      </c>
      <c r="AH294" s="39"/>
      <c r="AI294" s="39"/>
      <c r="AJ294" s="39"/>
      <c r="AK294" s="39"/>
      <c r="AL294" s="39"/>
      <c r="AM294" s="39" t="n">
        <f aca="false">IFERROR(AM292-AG292,"")</f>
        <v>31.4430000000001</v>
      </c>
      <c r="AN294" s="39"/>
      <c r="AO294" s="39"/>
      <c r="AP294" s="39"/>
      <c r="AQ294" s="39"/>
      <c r="AR294" s="39"/>
      <c r="AS294" s="39" t="n">
        <f aca="false">IFERROR(AS292-AM292,"")</f>
        <v>-12.5060000000001</v>
      </c>
      <c r="AT294" s="39"/>
      <c r="AU294" s="39"/>
      <c r="AV294" s="39"/>
      <c r="AW294" s="39"/>
      <c r="AX294" s="39"/>
      <c r="AY294" s="39" t="n">
        <f aca="false">IFERROR(AY292-AS292,"")</f>
        <v>60.183</v>
      </c>
      <c r="AZ294" s="39"/>
      <c r="BA294" s="39"/>
      <c r="BB294" s="39"/>
      <c r="BC294" s="39"/>
      <c r="BD294" s="39"/>
      <c r="BE294" s="39" t="n">
        <f aca="false">IFERROR(BE292-AY292,"")</f>
        <v>-70.162</v>
      </c>
      <c r="BF294" s="39"/>
      <c r="BG294" s="39"/>
      <c r="BH294" s="39"/>
      <c r="BI294" s="39"/>
      <c r="BJ294" s="39"/>
      <c r="BK294" s="39" t="n">
        <f aca="false">IFERROR(BK292-BE292,"")</f>
        <v>112.038</v>
      </c>
      <c r="BL294" s="39"/>
      <c r="BM294" s="39"/>
      <c r="BN294" s="39"/>
      <c r="BO294" s="39"/>
      <c r="BP294" s="39"/>
      <c r="BQ294" s="39" t="n">
        <f aca="false">IFERROR(BQ292-BK292,"")</f>
        <v>101.265</v>
      </c>
      <c r="BR294" s="39"/>
      <c r="BS294" s="39"/>
      <c r="BT294" s="39"/>
      <c r="BU294" s="39"/>
      <c r="BV294" s="39"/>
      <c r="BW294" s="39" t="n">
        <f aca="false">IFERROR(BW292-BQ292,"")</f>
        <v>68.2979999999999</v>
      </c>
      <c r="BX294" s="39"/>
      <c r="BY294" s="39"/>
      <c r="BZ294" s="39"/>
      <c r="CA294" s="39"/>
      <c r="CB294" s="39"/>
      <c r="CC294" s="39" t="n">
        <f aca="false">IFERROR(CC292-BW292,"")</f>
        <v>17.076</v>
      </c>
      <c r="CD294" s="39"/>
      <c r="CE294" s="39"/>
      <c r="CF294" s="39"/>
      <c r="CG294" s="39"/>
      <c r="CH294" s="39"/>
      <c r="CI294" s="39" t="n">
        <f aca="false">IFERROR(CI292-CC292,"")</f>
        <v>-119.539</v>
      </c>
      <c r="CJ294" s="39"/>
      <c r="CK294" s="39"/>
      <c r="CL294" s="39"/>
      <c r="CM294" s="39"/>
      <c r="CN294" s="39"/>
      <c r="CO294" s="39" t="n">
        <f aca="false">IFERROR(CO292-CI292,"")</f>
        <v>20.09</v>
      </c>
      <c r="CP294" s="40" t="n">
        <f aca="false">CP292-CO292</f>
        <v>1.77868988962149</v>
      </c>
      <c r="CQ294" s="40" t="n">
        <f aca="false">CQ292-CP292</f>
        <v>18.2284106067609</v>
      </c>
      <c r="CR294" s="40" t="n">
        <f aca="false">CR292-CQ292</f>
        <v>20.2510129807234</v>
      </c>
      <c r="CS294" s="40" t="n">
        <f aca="false">CS292-CR292</f>
        <v>21.2920374861799</v>
      </c>
      <c r="CT294" s="40" t="n">
        <f aca="false">CT292-CS292</f>
        <v>22.6058862003007</v>
      </c>
      <c r="CU294" s="24"/>
      <c r="CW294" s="6"/>
      <c r="CX294" s="6"/>
      <c r="CY294" s="6"/>
      <c r="CZ294" s="6"/>
    </row>
    <row r="295" customFormat="false" ht="15" hidden="false" customHeight="false" outlineLevel="0" collapsed="false">
      <c r="B295" s="15"/>
      <c r="CP295" s="6"/>
      <c r="CQ295" s="6"/>
      <c r="CR295" s="6"/>
      <c r="CS295" s="6"/>
      <c r="CT295" s="6"/>
      <c r="CU295" s="6"/>
    </row>
    <row r="296" customFormat="false" ht="15" hidden="false" customHeight="false" outlineLevel="0" collapsed="false">
      <c r="B296" s="11" t="s">
        <v>430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 t="s">
        <v>431</v>
      </c>
    </row>
    <row r="297" customFormat="false" ht="15" hidden="false" customHeight="false" outlineLevel="0" collapsed="false">
      <c r="B297" s="16" t="s">
        <v>432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7"/>
    </row>
    <row r="298" customFormat="false" ht="15" hidden="false" customHeight="false" outlineLevel="0" collapsed="false">
      <c r="B298" s="66" t="s">
        <v>433</v>
      </c>
      <c r="C298" s="39" t="n">
        <f aca="false">C104</f>
        <v>0.7</v>
      </c>
      <c r="D298" s="39" t="n">
        <f aca="false">D104</f>
        <v>1.4</v>
      </c>
      <c r="E298" s="39" t="n">
        <f aca="false">E104</f>
        <v>5.8</v>
      </c>
      <c r="F298" s="39" t="n">
        <f aca="false">F104</f>
        <v>4.1</v>
      </c>
      <c r="G298" s="39" t="n">
        <f aca="false">G104</f>
        <v>3.9</v>
      </c>
      <c r="H298" s="39" t="n">
        <f aca="false">H104</f>
        <v>4.7</v>
      </c>
      <c r="I298" s="39" t="n">
        <f aca="false">I104</f>
        <v>4.5</v>
      </c>
      <c r="J298" s="39"/>
      <c r="K298" s="39"/>
      <c r="L298" s="39"/>
      <c r="M298" s="39"/>
      <c r="N298" s="39"/>
      <c r="O298" s="39" t="n">
        <f aca="false">O104</f>
        <v>4.8</v>
      </c>
      <c r="P298" s="39"/>
      <c r="Q298" s="39"/>
      <c r="R298" s="39"/>
      <c r="S298" s="39"/>
      <c r="T298" s="39"/>
      <c r="U298" s="39" t="n">
        <f aca="false">U104</f>
        <v>6.9</v>
      </c>
      <c r="V298" s="39"/>
      <c r="W298" s="39"/>
      <c r="X298" s="39"/>
      <c r="Y298" s="39"/>
      <c r="Z298" s="39"/>
      <c r="AA298" s="39" t="n">
        <f aca="false">AA104</f>
        <v>6.8</v>
      </c>
      <c r="AB298" s="39"/>
      <c r="AC298" s="39"/>
      <c r="AD298" s="39"/>
      <c r="AE298" s="39"/>
      <c r="AF298" s="39"/>
      <c r="AG298" s="39" t="n">
        <f aca="false">AG104</f>
        <v>5.8</v>
      </c>
      <c r="AH298" s="39"/>
      <c r="AI298" s="39"/>
      <c r="AJ298" s="39"/>
      <c r="AK298" s="39"/>
      <c r="AL298" s="39"/>
      <c r="AM298" s="39" t="n">
        <f aca="false">AM104</f>
        <v>6.8</v>
      </c>
      <c r="AN298" s="39"/>
      <c r="AO298" s="39"/>
      <c r="AP298" s="39"/>
      <c r="AQ298" s="39"/>
      <c r="AR298" s="39"/>
      <c r="AS298" s="39" t="n">
        <f aca="false">AS104</f>
        <v>14</v>
      </c>
      <c r="AT298" s="39"/>
      <c r="AU298" s="39"/>
      <c r="AV298" s="39"/>
      <c r="AW298" s="39"/>
      <c r="AX298" s="39"/>
      <c r="AY298" s="39" t="n">
        <f aca="false">AY104</f>
        <v>10.5</v>
      </c>
      <c r="AZ298" s="39"/>
      <c r="BA298" s="39"/>
      <c r="BB298" s="39"/>
      <c r="BC298" s="39"/>
      <c r="BD298" s="39"/>
      <c r="BE298" s="39" t="n">
        <f aca="false">BE104</f>
        <v>8.9</v>
      </c>
      <c r="BF298" s="39"/>
      <c r="BG298" s="39"/>
      <c r="BH298" s="39"/>
      <c r="BI298" s="39"/>
      <c r="BJ298" s="39"/>
      <c r="BK298" s="39" t="n">
        <f aca="false">BK104</f>
        <v>6.9</v>
      </c>
      <c r="BL298" s="39"/>
      <c r="BM298" s="39"/>
      <c r="BN298" s="39"/>
      <c r="BO298" s="39"/>
      <c r="BP298" s="39"/>
      <c r="BQ298" s="39" t="n">
        <f aca="false">BQ104</f>
        <v>7.5</v>
      </c>
      <c r="BR298" s="39"/>
      <c r="BS298" s="39"/>
      <c r="BT298" s="39"/>
      <c r="BU298" s="39"/>
      <c r="BV298" s="39"/>
      <c r="BW298" s="39" t="n">
        <f aca="false">BW104</f>
        <v>12.4</v>
      </c>
      <c r="BX298" s="39"/>
      <c r="BY298" s="39"/>
      <c r="BZ298" s="39"/>
      <c r="CA298" s="39"/>
      <c r="CB298" s="39"/>
      <c r="CC298" s="39" t="n">
        <f aca="false">CC104</f>
        <v>13.4</v>
      </c>
      <c r="CD298" s="39"/>
      <c r="CE298" s="39"/>
      <c r="CF298" s="39"/>
      <c r="CG298" s="39"/>
      <c r="CH298" s="39"/>
      <c r="CI298" s="39" t="n">
        <f aca="false">CI104</f>
        <v>13.9</v>
      </c>
      <c r="CJ298" s="39"/>
      <c r="CK298" s="39"/>
      <c r="CL298" s="39"/>
      <c r="CM298" s="39"/>
      <c r="CN298" s="39"/>
      <c r="CO298" s="39" t="n">
        <f aca="false">CO104</f>
        <v>13</v>
      </c>
      <c r="CP298" s="51" t="n">
        <v>12</v>
      </c>
      <c r="CQ298" s="51" t="n">
        <v>11</v>
      </c>
      <c r="CR298" s="51" t="n">
        <v>9</v>
      </c>
      <c r="CS298" s="51" t="n">
        <v>7</v>
      </c>
      <c r="CT298" s="51" t="n">
        <v>5</v>
      </c>
      <c r="CU298" s="24" t="s">
        <v>434</v>
      </c>
      <c r="CW298" s="6"/>
      <c r="CX298" s="6"/>
      <c r="CY298" s="6"/>
      <c r="CZ298" s="6"/>
    </row>
    <row r="299" customFormat="false" ht="15" hidden="false" customHeight="false" outlineLevel="0" collapsed="false">
      <c r="B299" s="66" t="s">
        <v>435</v>
      </c>
      <c r="C299" s="31" t="n">
        <f aca="false">C98-C97</f>
        <v>40.848</v>
      </c>
      <c r="D299" s="31" t="n">
        <f aca="false">D98-D97</f>
        <v>44.864</v>
      </c>
      <c r="E299" s="31" t="n">
        <f aca="false">E98-E97</f>
        <v>39.136</v>
      </c>
      <c r="F299" s="31" t="n">
        <f aca="false">F98-F97</f>
        <v>22.288</v>
      </c>
      <c r="G299" s="31" t="n">
        <f aca="false">G98-G97</f>
        <v>13.7919999999999</v>
      </c>
      <c r="H299" s="31" t="n">
        <f aca="false">H98-H97</f>
        <v>16.432</v>
      </c>
      <c r="I299" s="31" t="n">
        <f aca="false">I98-I97</f>
        <v>26.4639999999999</v>
      </c>
      <c r="J299" s="31"/>
      <c r="K299" s="31"/>
      <c r="L299" s="31"/>
      <c r="M299" s="31"/>
      <c r="N299" s="31"/>
      <c r="O299" s="31" t="n">
        <f aca="false">O98-O97</f>
        <v>38.952</v>
      </c>
      <c r="P299" s="31"/>
      <c r="Q299" s="31"/>
      <c r="R299" s="31"/>
      <c r="S299" s="31"/>
      <c r="T299" s="31"/>
      <c r="U299" s="31" t="n">
        <f aca="false">U98-U97</f>
        <v>44.2959999999999</v>
      </c>
      <c r="V299" s="31"/>
      <c r="W299" s="31"/>
      <c r="X299" s="31"/>
      <c r="Y299" s="31"/>
      <c r="Z299" s="31"/>
      <c r="AA299" s="31" t="n">
        <f aca="false">AA98-AA97</f>
        <v>44.088</v>
      </c>
      <c r="AB299" s="31"/>
      <c r="AC299" s="31"/>
      <c r="AD299" s="31"/>
      <c r="AE299" s="31"/>
      <c r="AF299" s="31"/>
      <c r="AG299" s="31" t="n">
        <f aca="false">AG98-AG97</f>
        <v>61.7959999999999</v>
      </c>
      <c r="AH299" s="31"/>
      <c r="AI299" s="31"/>
      <c r="AJ299" s="31"/>
      <c r="AK299" s="31"/>
      <c r="AL299" s="31"/>
      <c r="AM299" s="31" t="n">
        <f aca="false">AM98-AM97</f>
        <v>33.332</v>
      </c>
      <c r="AN299" s="31"/>
      <c r="AO299" s="31"/>
      <c r="AP299" s="31"/>
      <c r="AQ299" s="31"/>
      <c r="AR299" s="31"/>
      <c r="AS299" s="31" t="n">
        <f aca="false">AS98-AS97</f>
        <v>40.336</v>
      </c>
      <c r="AT299" s="31"/>
      <c r="AU299" s="31"/>
      <c r="AV299" s="31"/>
      <c r="AW299" s="31"/>
      <c r="AX299" s="31"/>
      <c r="AY299" s="31" t="n">
        <f aca="false">AY98-AY97</f>
        <v>39.856</v>
      </c>
      <c r="AZ299" s="31"/>
      <c r="BA299" s="31"/>
      <c r="BB299" s="31"/>
      <c r="BC299" s="31"/>
      <c r="BD299" s="31"/>
      <c r="BE299" s="31" t="n">
        <f aca="false">BE98-BE97</f>
        <v>21.816</v>
      </c>
      <c r="BF299" s="31"/>
      <c r="BG299" s="31"/>
      <c r="BH299" s="31"/>
      <c r="BI299" s="31"/>
      <c r="BJ299" s="31"/>
      <c r="BK299" s="31" t="n">
        <f aca="false">BK98-BK97</f>
        <v>16.1519999999999</v>
      </c>
      <c r="BL299" s="31"/>
      <c r="BM299" s="31"/>
      <c r="BN299" s="31"/>
      <c r="BO299" s="31"/>
      <c r="BP299" s="31"/>
      <c r="BQ299" s="31" t="n">
        <f aca="false">BQ98-BQ97</f>
        <v>14.928</v>
      </c>
      <c r="BR299" s="31"/>
      <c r="BS299" s="31"/>
      <c r="BT299" s="31"/>
      <c r="BU299" s="31"/>
      <c r="BV299" s="31"/>
      <c r="BW299" s="31" t="n">
        <f aca="false">BW98-BW97</f>
        <v>13.0730000000001</v>
      </c>
      <c r="BX299" s="31"/>
      <c r="BY299" s="31"/>
      <c r="BZ299" s="31"/>
      <c r="CA299" s="31"/>
      <c r="CB299" s="31"/>
      <c r="CC299" s="31" t="n">
        <f aca="false">CC98-CC97</f>
        <v>14.059</v>
      </c>
      <c r="CD299" s="31"/>
      <c r="CE299" s="31"/>
      <c r="CF299" s="31"/>
      <c r="CG299" s="31"/>
      <c r="CH299" s="31"/>
      <c r="CI299" s="31" t="n">
        <f aca="false">CI98-CI97</f>
        <v>12.2569999999999</v>
      </c>
      <c r="CJ299" s="31"/>
      <c r="CK299" s="31"/>
      <c r="CL299" s="31"/>
      <c r="CM299" s="31"/>
      <c r="CN299" s="31"/>
      <c r="CO299" s="31" t="n">
        <f aca="false">CO98-CO97</f>
        <v>7.22000000000003</v>
      </c>
      <c r="CP299" s="61" t="n">
        <v>6.5</v>
      </c>
      <c r="CQ299" s="61" t="n">
        <v>6.5</v>
      </c>
      <c r="CR299" s="61" t="n">
        <v>6.5</v>
      </c>
      <c r="CS299" s="61" t="n">
        <v>6.5</v>
      </c>
      <c r="CT299" s="61" t="n">
        <v>6.5</v>
      </c>
      <c r="CU299" s="24"/>
      <c r="CW299" s="6"/>
      <c r="CX299" s="6"/>
      <c r="CY299" s="6"/>
      <c r="CZ299" s="6"/>
    </row>
    <row r="300" customFormat="false" ht="15" hidden="false" customHeight="false" outlineLevel="0" collapsed="false">
      <c r="B300" s="66" t="s">
        <v>436</v>
      </c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34" t="n">
        <v>0.07</v>
      </c>
      <c r="CQ300" s="34" t="n">
        <v>0.07</v>
      </c>
      <c r="CR300" s="34" t="n">
        <v>0.07</v>
      </c>
      <c r="CS300" s="34" t="n">
        <v>0.07</v>
      </c>
      <c r="CT300" s="34" t="n">
        <v>0.07</v>
      </c>
      <c r="CU300" s="24"/>
      <c r="CW300" s="6"/>
      <c r="CX300" s="6"/>
      <c r="CY300" s="6"/>
      <c r="CZ300" s="6"/>
    </row>
    <row r="301" customFormat="false" ht="15" hidden="false" customHeight="false" outlineLevel="0" collapsed="false">
      <c r="B301" s="16" t="s">
        <v>437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7"/>
    </row>
    <row r="302" customFormat="false" ht="15" hidden="false" customHeight="false" outlineLevel="0" collapsed="false">
      <c r="B302" s="66" t="s">
        <v>438</v>
      </c>
      <c r="C302" s="39" t="n">
        <f aca="false">IF(ISNUMBER(C267),C263+C267,"")</f>
        <v>0</v>
      </c>
      <c r="D302" s="39" t="n">
        <f aca="false">IF(ISNUMBER(D267),D263+D267,"")</f>
        <v>0</v>
      </c>
      <c r="E302" s="39" t="n">
        <f aca="false">IF(ISNUMBER(E267),E263+E267,"")</f>
        <v>0</v>
      </c>
      <c r="F302" s="39" t="n">
        <f aca="false">IF(ISNUMBER(F267),F263+F267,"")</f>
        <v>0</v>
      </c>
      <c r="G302" s="39" t="n">
        <f aca="false">IF(ISNUMBER(G267),G263+G267,"")</f>
        <v>0.601</v>
      </c>
      <c r="H302" s="39" t="n">
        <f aca="false">IF(ISNUMBER(H267),H263+H267,"")</f>
        <v>375.756</v>
      </c>
      <c r="I302" s="39" t="n">
        <f aca="false">IF(ISNUMBER(I267),I263+I267,"")</f>
        <v>444.12</v>
      </c>
      <c r="J302" s="39"/>
      <c r="K302" s="39"/>
      <c r="L302" s="39"/>
      <c r="M302" s="39"/>
      <c r="N302" s="39"/>
      <c r="O302" s="39" t="n">
        <f aca="false">IF(ISNUMBER(O267),O263+O267,"")</f>
        <v>372.457</v>
      </c>
      <c r="P302" s="39"/>
      <c r="Q302" s="39"/>
      <c r="R302" s="39"/>
      <c r="S302" s="39"/>
      <c r="T302" s="39"/>
      <c r="U302" s="39" t="n">
        <f aca="false">IF(ISNUMBER(U267),U263+U267,"")</f>
        <v>302.901</v>
      </c>
      <c r="V302" s="39"/>
      <c r="W302" s="39"/>
      <c r="X302" s="39"/>
      <c r="Y302" s="39"/>
      <c r="Z302" s="39"/>
      <c r="AA302" s="39" t="n">
        <f aca="false">IF(ISNUMBER(AA267),AA263+AA267,"")</f>
        <v>644.514</v>
      </c>
      <c r="AB302" s="39"/>
      <c r="AC302" s="39"/>
      <c r="AD302" s="39"/>
      <c r="AE302" s="39"/>
      <c r="AF302" s="39"/>
      <c r="AG302" s="39" t="n">
        <f aca="false">IF(ISNUMBER(AG267),AG263+AG267,"")</f>
        <v>640.492</v>
      </c>
      <c r="AH302" s="39"/>
      <c r="AI302" s="39"/>
      <c r="AJ302" s="39"/>
      <c r="AK302" s="39"/>
      <c r="AL302" s="39"/>
      <c r="AM302" s="39" t="n">
        <f aca="false">IF(ISNUMBER(AM267),AM263+AM267,"")</f>
        <v>633.038</v>
      </c>
      <c r="AN302" s="39"/>
      <c r="AO302" s="39"/>
      <c r="AP302" s="39"/>
      <c r="AQ302" s="39"/>
      <c r="AR302" s="39"/>
      <c r="AS302" s="39" t="n">
        <f aca="false">IF(ISNUMBER(AS267),AS263+AS267,"")</f>
        <v>399.898</v>
      </c>
      <c r="AT302" s="39"/>
      <c r="AU302" s="39"/>
      <c r="AV302" s="39"/>
      <c r="AW302" s="39"/>
      <c r="AX302" s="39"/>
      <c r="AY302" s="39" t="n">
        <f aca="false">IF(ISNUMBER(AY267),AY263+AY267,"")</f>
        <v>401.229</v>
      </c>
      <c r="AZ302" s="39"/>
      <c r="BA302" s="39"/>
      <c r="BB302" s="39"/>
      <c r="BC302" s="39"/>
      <c r="BD302" s="39"/>
      <c r="BE302" s="39" t="n">
        <f aca="false">IF(ISNUMBER(BE267),BE263+BE267,"")</f>
        <v>397.651</v>
      </c>
      <c r="BF302" s="39"/>
      <c r="BG302" s="39"/>
      <c r="BH302" s="39"/>
      <c r="BI302" s="39"/>
      <c r="BJ302" s="39"/>
      <c r="BK302" s="39" t="n">
        <f aca="false">IF(ISNUMBER(BK267),BK263+BK267,"")</f>
        <v>397.636</v>
      </c>
      <c r="BL302" s="39"/>
      <c r="BM302" s="39"/>
      <c r="BN302" s="39"/>
      <c r="BO302" s="39"/>
      <c r="BP302" s="39"/>
      <c r="BQ302" s="39" t="n">
        <f aca="false">IF(ISNUMBER(BQ267),BQ263+BQ267,"")</f>
        <v>1.996</v>
      </c>
      <c r="BR302" s="39"/>
      <c r="BS302" s="39"/>
      <c r="BT302" s="39"/>
      <c r="BU302" s="39"/>
      <c r="BV302" s="39"/>
      <c r="BW302" s="39" t="n">
        <f aca="false">IF(ISNUMBER(BW267),BW263+BW267,"")</f>
        <v>10.903</v>
      </c>
      <c r="BX302" s="39"/>
      <c r="BY302" s="39"/>
      <c r="BZ302" s="39"/>
      <c r="CA302" s="39"/>
      <c r="CB302" s="39"/>
      <c r="CC302" s="39" t="n">
        <f aca="false">IF(ISNUMBER(CC267),CC263+CC267,"")</f>
        <v>0</v>
      </c>
      <c r="CD302" s="39"/>
      <c r="CE302" s="39"/>
      <c r="CF302" s="39"/>
      <c r="CG302" s="39"/>
      <c r="CH302" s="39"/>
      <c r="CI302" s="39" t="n">
        <f aca="false">IF(ISNUMBER(CI267),CI263+CI267,"")</f>
        <v>0</v>
      </c>
      <c r="CJ302" s="39"/>
      <c r="CK302" s="39"/>
      <c r="CL302" s="39"/>
      <c r="CM302" s="39"/>
      <c r="CN302" s="39"/>
      <c r="CO302" s="39" t="n">
        <f aca="false">IF(ISNUMBER(CO267),CO263+CO267,"")</f>
        <v>0</v>
      </c>
      <c r="CP302" s="51" t="n">
        <v>0</v>
      </c>
      <c r="CQ302" s="51" t="n">
        <v>0</v>
      </c>
      <c r="CR302" s="51" t="n">
        <v>0</v>
      </c>
      <c r="CS302" s="51" t="n">
        <v>0</v>
      </c>
      <c r="CT302" s="51" t="n">
        <v>0</v>
      </c>
      <c r="CU302" s="24" t="s">
        <v>439</v>
      </c>
      <c r="CW302" s="6"/>
      <c r="CX302" s="6"/>
      <c r="CY302" s="6"/>
      <c r="CZ302" s="6"/>
    </row>
    <row r="303" customFormat="false" ht="15" hidden="false" customHeight="false" outlineLevel="0" collapsed="false">
      <c r="B303" s="66" t="s">
        <v>440</v>
      </c>
      <c r="C303" s="35"/>
      <c r="D303" s="35" t="str">
        <f aca="false">IFERROR(D83/AVERAGE(D302,C302),"")</f>
        <v/>
      </c>
      <c r="E303" s="35" t="str">
        <f aca="false">IFERROR(E83/AVERAGE(E302,D302),"")</f>
        <v/>
      </c>
      <c r="F303" s="35" t="str">
        <f aca="false">IFERROR(F83/AVERAGE(F302,E302),"")</f>
        <v/>
      </c>
      <c r="G303" s="35" t="n">
        <f aca="false">IFERROR(G83/AVERAGE(G302,F302),"")</f>
        <v>0.718801996672213</v>
      </c>
      <c r="H303" s="35" t="n">
        <f aca="false">IFERROR(H83/AVERAGE(H302,G302),"")</f>
        <v>0.0216709135209389</v>
      </c>
      <c r="I303" s="35" t="n">
        <f aca="false">IFERROR(I83/AVERAGE(I302,H302),"")</f>
        <v>0.0276651591216233</v>
      </c>
      <c r="J303" s="35"/>
      <c r="K303" s="35"/>
      <c r="L303" s="35"/>
      <c r="M303" s="35"/>
      <c r="N303" s="35"/>
      <c r="O303" s="35" t="n">
        <f aca="false">IFERROR(O83/AVERAGE(O302,I302),"")</f>
        <v>0.0251464344452513</v>
      </c>
      <c r="P303" s="35"/>
      <c r="Q303" s="35"/>
      <c r="R303" s="35"/>
      <c r="S303" s="35"/>
      <c r="T303" s="35"/>
      <c r="U303" s="35" t="n">
        <f aca="false">IFERROR(U83/AVERAGE(U302,O302),"")</f>
        <v>0.025965487933807</v>
      </c>
      <c r="V303" s="35"/>
      <c r="W303" s="35"/>
      <c r="X303" s="35"/>
      <c r="Y303" s="35"/>
      <c r="Z303" s="35"/>
      <c r="AA303" s="35" t="n">
        <f aca="false">IFERROR(AA83/AVERAGE(AA302,U302),"")</f>
        <v>0.0382535636442319</v>
      </c>
      <c r="AB303" s="35"/>
      <c r="AC303" s="35"/>
      <c r="AD303" s="35"/>
      <c r="AE303" s="35"/>
      <c r="AF303" s="35"/>
      <c r="AG303" s="35" t="n">
        <f aca="false">IFERROR(AG83/AVERAGE(AG302,AA302),"")</f>
        <v>0.0367406844792943</v>
      </c>
      <c r="AH303" s="35"/>
      <c r="AI303" s="35"/>
      <c r="AJ303" s="35"/>
      <c r="AK303" s="35"/>
      <c r="AL303" s="35"/>
      <c r="AM303" s="35" t="n">
        <f aca="false">IFERROR(AM83/AVERAGE(AM302,AG302),"")</f>
        <v>0.037343446954528</v>
      </c>
      <c r="AN303" s="35"/>
      <c r="AO303" s="35"/>
      <c r="AP303" s="35"/>
      <c r="AQ303" s="35"/>
      <c r="AR303" s="35"/>
      <c r="AS303" s="35" t="n">
        <f aca="false">IFERROR(AS83/AVERAGE(AS302,AM302),"")</f>
        <v>0.039437099684782</v>
      </c>
      <c r="AT303" s="35"/>
      <c r="AU303" s="35"/>
      <c r="AV303" s="35"/>
      <c r="AW303" s="35"/>
      <c r="AX303" s="35"/>
      <c r="AY303" s="35" t="n">
        <f aca="false">IFERROR(AY83/AVERAGE(AY302,AS302),"")</f>
        <v>0.0494553298041384</v>
      </c>
      <c r="AZ303" s="35"/>
      <c r="BA303" s="35"/>
      <c r="BB303" s="35"/>
      <c r="BC303" s="35"/>
      <c r="BD303" s="35"/>
      <c r="BE303" s="35" t="n">
        <f aca="false">IFERROR(BE83/AVERAGE(BE302,AY302),"")</f>
        <v>0.0506459042659724</v>
      </c>
      <c r="BF303" s="35"/>
      <c r="BG303" s="35"/>
      <c r="BH303" s="35"/>
      <c r="BI303" s="35"/>
      <c r="BJ303" s="35"/>
      <c r="BK303" s="35" t="n">
        <f aca="false">IFERROR(BK83/AVERAGE(BK302,BE302),"")</f>
        <v>0</v>
      </c>
      <c r="BL303" s="35"/>
      <c r="BM303" s="35"/>
      <c r="BN303" s="35"/>
      <c r="BO303" s="35"/>
      <c r="BP303" s="35"/>
      <c r="BQ303" s="35" t="n">
        <f aca="false">IFERROR(BQ83/AVERAGE(BQ302,BK302),"")</f>
        <v>0</v>
      </c>
      <c r="BR303" s="35"/>
      <c r="BS303" s="35"/>
      <c r="BT303" s="35"/>
      <c r="BU303" s="35"/>
      <c r="BV303" s="35"/>
      <c r="BW303" s="35" t="n">
        <f aca="false">IFERROR(BW83/AVERAGE(BW302,BQ302),"")</f>
        <v>0</v>
      </c>
      <c r="BX303" s="35"/>
      <c r="BY303" s="35"/>
      <c r="BZ303" s="35"/>
      <c r="CA303" s="35"/>
      <c r="CB303" s="35"/>
      <c r="CC303" s="35" t="n">
        <f aca="false">IFERROR(CC83/AVERAGE(CC302,BW302),"")</f>
        <v>0</v>
      </c>
      <c r="CD303" s="35"/>
      <c r="CE303" s="35"/>
      <c r="CF303" s="35"/>
      <c r="CG303" s="35"/>
      <c r="CH303" s="35"/>
      <c r="CI303" s="35" t="str">
        <f aca="false">IFERROR(CI83/AVERAGE(CI302,CC302),"")</f>
        <v/>
      </c>
      <c r="CJ303" s="35"/>
      <c r="CK303" s="35"/>
      <c r="CL303" s="35"/>
      <c r="CM303" s="35"/>
      <c r="CN303" s="35"/>
      <c r="CO303" s="35" t="str">
        <f aca="false">IFERROR(CO83/AVERAGE(CO302,CI302),"")</f>
        <v/>
      </c>
      <c r="CP303" s="34" t="n">
        <v>0.06</v>
      </c>
      <c r="CQ303" s="34" t="n">
        <v>0.06</v>
      </c>
      <c r="CR303" s="34" t="n">
        <v>0.06</v>
      </c>
      <c r="CS303" s="34" t="n">
        <v>0.06</v>
      </c>
      <c r="CT303" s="34" t="n">
        <v>0.06</v>
      </c>
      <c r="CU303" s="24"/>
      <c r="CW303" s="6"/>
      <c r="CX303" s="6"/>
      <c r="CY303" s="6"/>
      <c r="CZ303" s="6"/>
    </row>
    <row r="304" customFormat="false" ht="15" hidden="false" customHeight="false" outlineLevel="0" collapsed="false">
      <c r="B304" s="66" t="s">
        <v>441</v>
      </c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67" t="n">
        <f aca="false">CP303*AVERAGE(CP302,CO302)</f>
        <v>0</v>
      </c>
      <c r="CQ304" s="67" t="n">
        <f aca="false">CQ303*AVERAGE(CQ302,CP302)</f>
        <v>0</v>
      </c>
      <c r="CR304" s="67" t="n">
        <f aca="false">CR303*AVERAGE(CR302,CQ302)</f>
        <v>0</v>
      </c>
      <c r="CS304" s="67" t="n">
        <f aca="false">CS303*AVERAGE(CS302,CR302)</f>
        <v>0</v>
      </c>
      <c r="CT304" s="67" t="n">
        <f aca="false">CT303*AVERAGE(CT302,CS302)</f>
        <v>0</v>
      </c>
      <c r="CU304" s="24"/>
      <c r="CW304" s="6"/>
      <c r="CX304" s="6"/>
      <c r="CY304" s="6"/>
      <c r="CZ304" s="6"/>
    </row>
    <row r="305" customFormat="false" ht="15" hidden="false" customHeight="false" outlineLevel="0" collapsed="false">
      <c r="B305" s="66" t="s">
        <v>442</v>
      </c>
      <c r="C305" s="35"/>
      <c r="D305" s="35" t="n">
        <f aca="false">IFERROR(D84/(C243+C244),"")</f>
        <v>0.0490512774700733</v>
      </c>
      <c r="E305" s="35" t="n">
        <f aca="false">IFERROR(E84/(D243+D244),"")</f>
        <v>0.0369139008589938</v>
      </c>
      <c r="F305" s="35" t="n">
        <f aca="false">IFERROR(F84/(E243+E244),"")</f>
        <v>0.0434358474097654</v>
      </c>
      <c r="G305" s="35" t="n">
        <f aca="false">IFERROR(G84/(F243+F244),"")</f>
        <v>0.0012600574094449</v>
      </c>
      <c r="H305" s="35" t="n">
        <f aca="false">IFERROR(H84/(G243+G244),"")</f>
        <v>0.00183826271123242</v>
      </c>
      <c r="I305" s="35" t="n">
        <f aca="false">IFERROR(I84/(H243+H244),"")</f>
        <v>0.00482373765352862</v>
      </c>
      <c r="J305" s="35"/>
      <c r="K305" s="35"/>
      <c r="L305" s="35"/>
      <c r="M305" s="35"/>
      <c r="N305" s="35"/>
      <c r="O305" s="35" t="n">
        <f aca="false">IFERROR(O84/(I243+I244),"")</f>
        <v>0.00455350005709718</v>
      </c>
      <c r="P305" s="35"/>
      <c r="Q305" s="35"/>
      <c r="R305" s="35"/>
      <c r="S305" s="35"/>
      <c r="T305" s="35"/>
      <c r="U305" s="35" t="n">
        <f aca="false">IFERROR(U84/(O243+O244),"")</f>
        <v>0.00771636466502177</v>
      </c>
      <c r="V305" s="35"/>
      <c r="W305" s="35"/>
      <c r="X305" s="35"/>
      <c r="Y305" s="35"/>
      <c r="Z305" s="35"/>
      <c r="AA305" s="35" t="n">
        <f aca="false">IFERROR(AA84/(U243+U244),"")</f>
        <v>0.00514911639397988</v>
      </c>
      <c r="AB305" s="35"/>
      <c r="AC305" s="35"/>
      <c r="AD305" s="35"/>
      <c r="AE305" s="35"/>
      <c r="AF305" s="35"/>
      <c r="AG305" s="35" t="n">
        <f aca="false">IFERROR(AG84/(AA243+AA244),"")</f>
        <v>0.00317754795926423</v>
      </c>
      <c r="AH305" s="35"/>
      <c r="AI305" s="35"/>
      <c r="AJ305" s="35"/>
      <c r="AK305" s="35"/>
      <c r="AL305" s="35"/>
      <c r="AM305" s="35" t="n">
        <f aca="false">IFERROR(AM84/(AG243+AG244),"")</f>
        <v>0.00902155291339694</v>
      </c>
      <c r="AN305" s="35"/>
      <c r="AO305" s="35"/>
      <c r="AP305" s="35"/>
      <c r="AQ305" s="35"/>
      <c r="AR305" s="35"/>
      <c r="AS305" s="35" t="n">
        <f aca="false">IFERROR(AS84/(AM243+AM244),"")</f>
        <v>0.00615421227986673</v>
      </c>
      <c r="AT305" s="35"/>
      <c r="AU305" s="35"/>
      <c r="AV305" s="35"/>
      <c r="AW305" s="35"/>
      <c r="AX305" s="35"/>
      <c r="AY305" s="35" t="n">
        <f aca="false">IFERROR(AY84/(AS243+AS244),"")</f>
        <v>0.00810505609791636</v>
      </c>
      <c r="AZ305" s="35"/>
      <c r="BA305" s="35"/>
      <c r="BB305" s="35"/>
      <c r="BC305" s="35"/>
      <c r="BD305" s="35"/>
      <c r="BE305" s="35" t="n">
        <f aca="false">IFERROR(BE84/(AY243+AY244),"")</f>
        <v>0.00729394211003709</v>
      </c>
      <c r="BF305" s="35"/>
      <c r="BG305" s="35"/>
      <c r="BH305" s="35"/>
      <c r="BI305" s="35"/>
      <c r="BJ305" s="35"/>
      <c r="BK305" s="35" t="n">
        <f aca="false">IFERROR(BK84/(BE243+BE244),"")</f>
        <v>-0.0423827446317702</v>
      </c>
      <c r="BL305" s="35"/>
      <c r="BM305" s="35"/>
      <c r="BN305" s="35"/>
      <c r="BO305" s="35"/>
      <c r="BP305" s="35"/>
      <c r="BQ305" s="35" t="n">
        <f aca="false">IFERROR(BQ84/(BK243+BK244),"")</f>
        <v>-0.0159197145746284</v>
      </c>
      <c r="BR305" s="35"/>
      <c r="BS305" s="35"/>
      <c r="BT305" s="35"/>
      <c r="BU305" s="35"/>
      <c r="BV305" s="35"/>
      <c r="BW305" s="35" t="n">
        <f aca="false">IFERROR(BW84/(BQ243+BQ244),"")</f>
        <v>0.0476277166610318</v>
      </c>
      <c r="BX305" s="35"/>
      <c r="BY305" s="35"/>
      <c r="BZ305" s="35"/>
      <c r="CA305" s="35"/>
      <c r="CB305" s="35"/>
      <c r="CC305" s="35" t="n">
        <f aca="false">IFERROR(CC84/(BW243+BW244),"")</f>
        <v>0.0616218214674888</v>
      </c>
      <c r="CD305" s="35"/>
      <c r="CE305" s="35"/>
      <c r="CF305" s="35"/>
      <c r="CG305" s="35"/>
      <c r="CH305" s="35"/>
      <c r="CI305" s="35" t="n">
        <f aca="false">IFERROR(CI84/(CC243+CC244),"")</f>
        <v>0.052279584987017</v>
      </c>
      <c r="CJ305" s="35"/>
      <c r="CK305" s="35"/>
      <c r="CL305" s="35"/>
      <c r="CM305" s="35"/>
      <c r="CN305" s="35"/>
      <c r="CO305" s="35" t="n">
        <f aca="false">IFERROR(CO84/(CI243+CI244),"")</f>
        <v>0.0379871248488746</v>
      </c>
      <c r="CP305" s="34" t="n">
        <v>0.035</v>
      </c>
      <c r="CQ305" s="34" t="n">
        <v>0.0325</v>
      </c>
      <c r="CR305" s="34" t="n">
        <v>0.0325</v>
      </c>
      <c r="CS305" s="34" t="n">
        <v>0.0325</v>
      </c>
      <c r="CT305" s="34" t="n">
        <v>0.0325</v>
      </c>
      <c r="CU305" s="24" t="s">
        <v>443</v>
      </c>
      <c r="CW305" s="6"/>
      <c r="CX305" s="6"/>
      <c r="CY305" s="6"/>
      <c r="CZ305" s="6"/>
    </row>
    <row r="306" customFormat="false" ht="15" hidden="false" customHeight="false" outlineLevel="0" collapsed="false">
      <c r="B306" s="66" t="s">
        <v>444</v>
      </c>
      <c r="C306" s="39" t="n">
        <f aca="false">IF(ISNUMBER(C243),C243+C244,"")</f>
        <v>279.85</v>
      </c>
      <c r="D306" s="39" t="n">
        <f aca="false">IF(ISNUMBER(D243),D243+D244,"")</f>
        <v>210.246</v>
      </c>
      <c r="E306" s="39" t="n">
        <f aca="false">IF(ISNUMBER(E243),E243+E244,"")</f>
        <v>38.954</v>
      </c>
      <c r="F306" s="39" t="n">
        <f aca="false">IF(ISNUMBER(F243),F243+F244,"")</f>
        <v>162.691</v>
      </c>
      <c r="G306" s="39" t="n">
        <f aca="false">IF(ISNUMBER(G243),G243+G244,"")</f>
        <v>268.188</v>
      </c>
      <c r="H306" s="39" t="n">
        <f aca="false">IF(ISNUMBER(H243),H243+H244,"")</f>
        <v>74.009</v>
      </c>
      <c r="I306" s="39" t="n">
        <f aca="false">IF(ISNUMBER(I243),I243+I244,"")</f>
        <v>140.112</v>
      </c>
      <c r="J306" s="39"/>
      <c r="K306" s="39"/>
      <c r="L306" s="39"/>
      <c r="M306" s="39"/>
      <c r="N306" s="39"/>
      <c r="O306" s="39" t="n">
        <f aca="false">IF(ISNUMBER(O243),O243+O244,"")</f>
        <v>63.631</v>
      </c>
      <c r="P306" s="39"/>
      <c r="Q306" s="39"/>
      <c r="R306" s="39"/>
      <c r="S306" s="39"/>
      <c r="T306" s="39"/>
      <c r="U306" s="39" t="n">
        <f aca="false">IF(ISNUMBER(U243),U243+U244,"")</f>
        <v>158.668</v>
      </c>
      <c r="V306" s="39"/>
      <c r="W306" s="39"/>
      <c r="X306" s="39"/>
      <c r="Y306" s="39"/>
      <c r="Z306" s="39"/>
      <c r="AA306" s="39" t="n">
        <f aca="false">IF(ISNUMBER(AA243),AA243+AA244,"")</f>
        <v>456.012</v>
      </c>
      <c r="AB306" s="39"/>
      <c r="AC306" s="39"/>
      <c r="AD306" s="39"/>
      <c r="AE306" s="39"/>
      <c r="AF306" s="39"/>
      <c r="AG306" s="39" t="n">
        <f aca="false">IF(ISNUMBER(AG243),AG243+AG244,"")</f>
        <v>155.849</v>
      </c>
      <c r="AH306" s="39"/>
      <c r="AI306" s="39"/>
      <c r="AJ306" s="39"/>
      <c r="AK306" s="39"/>
      <c r="AL306" s="39"/>
      <c r="AM306" s="39" t="n">
        <f aca="false">IF(ISNUMBER(AM243),AM243+AM244,"")</f>
        <v>210.1</v>
      </c>
      <c r="AN306" s="39"/>
      <c r="AO306" s="39"/>
      <c r="AP306" s="39"/>
      <c r="AQ306" s="39"/>
      <c r="AR306" s="39"/>
      <c r="AS306" s="39" t="n">
        <f aca="false">IF(ISNUMBER(AS243),AS243+AS244,"")</f>
        <v>274.52</v>
      </c>
      <c r="AT306" s="39"/>
      <c r="AU306" s="39"/>
      <c r="AV306" s="39"/>
      <c r="AW306" s="39"/>
      <c r="AX306" s="39"/>
      <c r="AY306" s="39" t="n">
        <f aca="false">IF(ISNUMBER(AY243),AY243+AY244,"")</f>
        <v>186.319</v>
      </c>
      <c r="AZ306" s="39"/>
      <c r="BA306" s="39"/>
      <c r="BB306" s="39"/>
      <c r="BC306" s="39"/>
      <c r="BD306" s="39"/>
      <c r="BE306" s="39" t="n">
        <f aca="false">IF(ISNUMBER(BE243),BE243+BE244,"")</f>
        <v>477.718</v>
      </c>
      <c r="BF306" s="39"/>
      <c r="BG306" s="39"/>
      <c r="BH306" s="39"/>
      <c r="BI306" s="39"/>
      <c r="BJ306" s="39"/>
      <c r="BK306" s="39" t="n">
        <f aca="false">IF(ISNUMBER(BK243),BK243+BK244,"")</f>
        <v>1048.26</v>
      </c>
      <c r="BL306" s="39"/>
      <c r="BM306" s="39"/>
      <c r="BN306" s="39"/>
      <c r="BO306" s="39"/>
      <c r="BP306" s="39"/>
      <c r="BQ306" s="39" t="n">
        <f aca="false">IF(ISNUMBER(BQ243),BQ243+BQ244,"")</f>
        <v>1384.236</v>
      </c>
      <c r="BR306" s="39"/>
      <c r="BS306" s="39"/>
      <c r="BT306" s="39"/>
      <c r="BU306" s="39"/>
      <c r="BV306" s="39"/>
      <c r="BW306" s="39" t="n">
        <f aca="false">IF(ISNUMBER(BW243),BW243+BW244,"")</f>
        <v>2363.984</v>
      </c>
      <c r="BX306" s="39"/>
      <c r="BY306" s="39"/>
      <c r="BZ306" s="39"/>
      <c r="CA306" s="39"/>
      <c r="CB306" s="39"/>
      <c r="CC306" s="39" t="n">
        <f aca="false">IF(ISNUMBER(CC243),CC243+CC244,"")</f>
        <v>3422.158</v>
      </c>
      <c r="CD306" s="39"/>
      <c r="CE306" s="39"/>
      <c r="CF306" s="39"/>
      <c r="CG306" s="39"/>
      <c r="CH306" s="39"/>
      <c r="CI306" s="39" t="n">
        <f aca="false">IF(ISNUMBER(CI243),CI243+CI244,"")</f>
        <v>4789.07</v>
      </c>
      <c r="CJ306" s="39"/>
      <c r="CK306" s="39"/>
      <c r="CL306" s="39"/>
      <c r="CM306" s="39"/>
      <c r="CN306" s="39"/>
      <c r="CO306" s="39" t="n">
        <f aca="false">IF(ISNUMBER(CO243),CO243+CO244,"")</f>
        <v>4489.802</v>
      </c>
      <c r="CP306" s="67" t="n">
        <f aca="false">CP243+CP244</f>
        <v>3909.4057404</v>
      </c>
      <c r="CQ306" s="67" t="n">
        <f aca="false">CQ243+CQ244</f>
        <v>4190.55899061807</v>
      </c>
      <c r="CR306" s="67" t="n">
        <f aca="false">CR243+CR244</f>
        <v>4504.77503673224</v>
      </c>
      <c r="CS306" s="67" t="n">
        <f aca="false">CS243+CS244</f>
        <v>4839.18499754501</v>
      </c>
      <c r="CT306" s="67" t="n">
        <f aca="false">CT243+CT244</f>
        <v>5198.1378602967</v>
      </c>
      <c r="CU306" s="24"/>
      <c r="CW306" s="6"/>
      <c r="CX306" s="6"/>
      <c r="CY306" s="6"/>
      <c r="CZ306" s="6"/>
    </row>
    <row r="307" customFormat="false" ht="15" hidden="false" customHeight="false" outlineLevel="0" collapsed="false">
      <c r="B307" s="16" t="s">
        <v>445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7"/>
    </row>
    <row r="308" customFormat="false" ht="15" hidden="false" customHeight="false" outlineLevel="0" collapsed="false">
      <c r="B308" s="28" t="s">
        <v>446</v>
      </c>
      <c r="C308" s="35" t="n">
        <f aca="false">IFERROR(C102/C73,"")</f>
        <v>0.0595113996038375</v>
      </c>
      <c r="D308" s="35" t="n">
        <f aca="false">IFERROR(D102/D73,"")</f>
        <v>0.0661500321038739</v>
      </c>
      <c r="E308" s="35" t="n">
        <f aca="false">IFERROR(E102/E73,"")</f>
        <v>0.054537948749312</v>
      </c>
      <c r="F308" s="35" t="n">
        <f aca="false">IFERROR(F102/F73,"")</f>
        <v>0.0556520007213201</v>
      </c>
      <c r="G308" s="35" t="n">
        <f aca="false">IFERROR(G102/G73,"")</f>
        <v>0.0559492494944228</v>
      </c>
      <c r="H308" s="35" t="n">
        <f aca="false">IFERROR(H102/H73,"")</f>
        <v>0.0523865973590019</v>
      </c>
      <c r="I308" s="35" t="n">
        <f aca="false">IFERROR(I102/I73,"")</f>
        <v>0.0521180145662531</v>
      </c>
      <c r="J308" s="35"/>
      <c r="K308" s="35"/>
      <c r="L308" s="35"/>
      <c r="M308" s="35"/>
      <c r="N308" s="35"/>
      <c r="O308" s="35" t="n">
        <f aca="false">IFERROR(O102/O73,"")</f>
        <v>0.0542132635566607</v>
      </c>
      <c r="P308" s="35"/>
      <c r="Q308" s="35"/>
      <c r="R308" s="35"/>
      <c r="S308" s="35"/>
      <c r="T308" s="35"/>
      <c r="U308" s="35" t="n">
        <f aca="false">IFERROR(U102/U73,"")</f>
        <v>0.046176629087168</v>
      </c>
      <c r="V308" s="35"/>
      <c r="W308" s="35"/>
      <c r="X308" s="35"/>
      <c r="Y308" s="35"/>
      <c r="Z308" s="35"/>
      <c r="AA308" s="35" t="n">
        <f aca="false">IFERROR(AA102/AA73,"")</f>
        <v>0.0406368147396471</v>
      </c>
      <c r="AB308" s="35"/>
      <c r="AC308" s="35"/>
      <c r="AD308" s="35"/>
      <c r="AE308" s="35"/>
      <c r="AF308" s="35"/>
      <c r="AG308" s="35" t="n">
        <f aca="false">IFERROR(AG102/AG73,"")</f>
        <v>0.0382947993967436</v>
      </c>
      <c r="AH308" s="35"/>
      <c r="AI308" s="35"/>
      <c r="AJ308" s="35"/>
      <c r="AK308" s="35"/>
      <c r="AL308" s="35"/>
      <c r="AM308" s="35" t="n">
        <f aca="false">IFERROR(AM102/AM73,"")</f>
        <v>0.0393651574157396</v>
      </c>
      <c r="AN308" s="35"/>
      <c r="AO308" s="35"/>
      <c r="AP308" s="35"/>
      <c r="AQ308" s="35"/>
      <c r="AR308" s="35"/>
      <c r="AS308" s="35" t="n">
        <f aca="false">IFERROR(AS102/AS73,"")</f>
        <v>0.0435278383115642</v>
      </c>
      <c r="AT308" s="35"/>
      <c r="AU308" s="35"/>
      <c r="AV308" s="35"/>
      <c r="AW308" s="35"/>
      <c r="AX308" s="35"/>
      <c r="AY308" s="35" t="n">
        <f aca="false">IFERROR(AY102/AY73,"")</f>
        <v>0.0415753123106902</v>
      </c>
      <c r="AZ308" s="35"/>
      <c r="BA308" s="35"/>
      <c r="BB308" s="35"/>
      <c r="BC308" s="35"/>
      <c r="BD308" s="35"/>
      <c r="BE308" s="35" t="n">
        <f aca="false">IFERROR(BE102/BE73,"")</f>
        <v>0.0459697050621083</v>
      </c>
      <c r="BF308" s="35"/>
      <c r="BG308" s="35"/>
      <c r="BH308" s="35"/>
      <c r="BI308" s="35"/>
      <c r="BJ308" s="35"/>
      <c r="BK308" s="35" t="n">
        <f aca="false">IFERROR(BK102/BK73,"")</f>
        <v>0.0453000934815122</v>
      </c>
      <c r="BL308" s="35"/>
      <c r="BM308" s="35"/>
      <c r="BN308" s="35"/>
      <c r="BO308" s="35"/>
      <c r="BP308" s="35"/>
      <c r="BQ308" s="35" t="n">
        <f aca="false">IFERROR(BQ102/BQ73,"")</f>
        <v>0.0394139142242856</v>
      </c>
      <c r="BR308" s="35"/>
      <c r="BS308" s="35"/>
      <c r="BT308" s="35"/>
      <c r="BU308" s="35"/>
      <c r="BV308" s="35"/>
      <c r="BW308" s="35" t="n">
        <f aca="false">IFERROR(BW102/BW73,"")</f>
        <v>0.04121391863276</v>
      </c>
      <c r="BX308" s="35"/>
      <c r="BY308" s="35"/>
      <c r="BZ308" s="35"/>
      <c r="CA308" s="35"/>
      <c r="CB308" s="35"/>
      <c r="CC308" s="35" t="n">
        <f aca="false">IFERROR(CC102/CC73,"")</f>
        <v>0.0447885125245969</v>
      </c>
      <c r="CD308" s="35"/>
      <c r="CE308" s="35"/>
      <c r="CF308" s="35"/>
      <c r="CG308" s="35"/>
      <c r="CH308" s="35"/>
      <c r="CI308" s="35" t="n">
        <f aca="false">IFERROR(CI102/CI73,"")</f>
        <v>0.046449526765682</v>
      </c>
      <c r="CJ308" s="35"/>
      <c r="CK308" s="35"/>
      <c r="CL308" s="35"/>
      <c r="CM308" s="35"/>
      <c r="CN308" s="35"/>
      <c r="CO308" s="35" t="n">
        <f aca="false">IFERROR(CO102/CO73,"")</f>
        <v>0.0491561779594527</v>
      </c>
      <c r="CP308" s="45" t="n">
        <f aca="false">IFERROR(CP102/CP73,"")</f>
        <v>0.05</v>
      </c>
      <c r="CQ308" s="45" t="n">
        <f aca="false">IFERROR(CQ102/CQ73,"")</f>
        <v>0.05</v>
      </c>
      <c r="CR308" s="45" t="n">
        <f aca="false">IFERROR(CR102/CR73,"")</f>
        <v>0.05</v>
      </c>
      <c r="CS308" s="45" t="n">
        <f aca="false">IFERROR(CS102/CS73,"")</f>
        <v>0.05</v>
      </c>
      <c r="CT308" s="45" t="n">
        <f aca="false">IFERROR(CT102/CT73,"")</f>
        <v>0.05</v>
      </c>
      <c r="CU308" s="24"/>
      <c r="CW308" s="6"/>
      <c r="CX308" s="6"/>
      <c r="CY308" s="6"/>
      <c r="CZ308" s="6"/>
    </row>
    <row r="309" customFormat="false" ht="15" hidden="false" customHeight="false" outlineLevel="0" collapsed="false">
      <c r="B309" s="28" t="s">
        <v>447</v>
      </c>
      <c r="C309" s="29"/>
      <c r="D309" s="29" t="n">
        <f aca="false">IFERROR(D251/C251-1,"")</f>
        <v>0.230216732028438</v>
      </c>
      <c r="E309" s="29" t="n">
        <f aca="false">IFERROR(E251/D251-1,"")</f>
        <v>0.213177262613392</v>
      </c>
      <c r="F309" s="29" t="n">
        <f aca="false">IFERROR(F251/E251-1,"")</f>
        <v>0.0402594348865462</v>
      </c>
      <c r="G309" s="29" t="n">
        <f aca="false">IFERROR(G251/F251-1,"")</f>
        <v>0.0802959580776288</v>
      </c>
      <c r="H309" s="29" t="n">
        <f aca="false">IFERROR(H251/G251-1,"")</f>
        <v>0.0468584899409605</v>
      </c>
      <c r="I309" s="29" t="n">
        <f aca="false">IFERROR(I251/H251-1,"")</f>
        <v>-0.0220274222669341</v>
      </c>
      <c r="J309" s="29"/>
      <c r="K309" s="29"/>
      <c r="L309" s="29"/>
      <c r="M309" s="29"/>
      <c r="N309" s="29"/>
      <c r="O309" s="29" t="n">
        <f aca="false">IFERROR(O251/I251-1,"")</f>
        <v>0.153882312066666</v>
      </c>
      <c r="P309" s="29"/>
      <c r="Q309" s="29"/>
      <c r="R309" s="29"/>
      <c r="S309" s="29"/>
      <c r="T309" s="29"/>
      <c r="U309" s="29" t="n">
        <f aca="false">IFERROR(U251/O251-1,"")</f>
        <v>0.0219418848530737</v>
      </c>
      <c r="V309" s="29"/>
      <c r="W309" s="29"/>
      <c r="X309" s="29"/>
      <c r="Y309" s="29"/>
      <c r="Z309" s="29"/>
      <c r="AA309" s="29" t="n">
        <f aca="false">IFERROR(AA251/U251-1,"")</f>
        <v>0.0115817401640421</v>
      </c>
      <c r="AB309" s="29"/>
      <c r="AC309" s="29"/>
      <c r="AD309" s="29"/>
      <c r="AE309" s="29"/>
      <c r="AF309" s="29"/>
      <c r="AG309" s="29" t="n">
        <f aca="false">IFERROR(AG251/AA251-1,"")</f>
        <v>0.166174568319337</v>
      </c>
      <c r="AH309" s="29"/>
      <c r="AI309" s="29"/>
      <c r="AJ309" s="29"/>
      <c r="AK309" s="29"/>
      <c r="AL309" s="29"/>
      <c r="AM309" s="29" t="n">
        <f aca="false">IFERROR(AM251/AG251-1,"")</f>
        <v>0.155810972451949</v>
      </c>
      <c r="AN309" s="29"/>
      <c r="AO309" s="29"/>
      <c r="AP309" s="29"/>
      <c r="AQ309" s="29"/>
      <c r="AR309" s="29"/>
      <c r="AS309" s="29" t="n">
        <f aca="false">IFERROR(AS251/AM251-1,"")</f>
        <v>0.232368630674451</v>
      </c>
      <c r="AT309" s="29"/>
      <c r="AU309" s="29"/>
      <c r="AV309" s="29"/>
      <c r="AW309" s="29"/>
      <c r="AX309" s="29"/>
      <c r="AY309" s="29" t="n">
        <f aca="false">IFERROR(AY251/AS251-1,"")</f>
        <v>0.227174936072373</v>
      </c>
      <c r="AZ309" s="29"/>
      <c r="BA309" s="29"/>
      <c r="BB309" s="29"/>
      <c r="BC309" s="29"/>
      <c r="BD309" s="29"/>
      <c r="BE309" s="29" t="n">
        <f aca="false">IFERROR(BE251/AY251-1,"")</f>
        <v>0.360008152824842</v>
      </c>
      <c r="BF309" s="29"/>
      <c r="BG309" s="29"/>
      <c r="BH309" s="29"/>
      <c r="BI309" s="29"/>
      <c r="BJ309" s="29"/>
      <c r="BK309" s="29" t="n">
        <f aca="false">IFERROR(BK251/BE251-1,"")</f>
        <v>0.182778764589521</v>
      </c>
      <c r="BL309" s="29"/>
      <c r="BM309" s="29"/>
      <c r="BN309" s="29"/>
      <c r="BO309" s="29"/>
      <c r="BP309" s="29"/>
      <c r="BQ309" s="29" t="n">
        <f aca="false">IFERROR(BQ251/BK251-1,"")</f>
        <v>0.0823556664042526</v>
      </c>
      <c r="BR309" s="29"/>
      <c r="BS309" s="29"/>
      <c r="BT309" s="29"/>
      <c r="BU309" s="29"/>
      <c r="BV309" s="29"/>
      <c r="BW309" s="29" t="n">
        <f aca="false">IFERROR(BW251/BQ251-1,"")</f>
        <v>0.144251425316321</v>
      </c>
      <c r="BX309" s="29"/>
      <c r="BY309" s="29"/>
      <c r="BZ309" s="29"/>
      <c r="CA309" s="29"/>
      <c r="CB309" s="29"/>
      <c r="CC309" s="29" t="n">
        <f aca="false">IFERROR(CC251/BW251-1,"")</f>
        <v>0.116546937618899</v>
      </c>
      <c r="CD309" s="29"/>
      <c r="CE309" s="29"/>
      <c r="CF309" s="29"/>
      <c r="CG309" s="29"/>
      <c r="CH309" s="29"/>
      <c r="CI309" s="29" t="n">
        <f aca="false">IFERROR(CI251/CC251-1,"")</f>
        <v>0.132958608090211</v>
      </c>
      <c r="CJ309" s="29"/>
      <c r="CK309" s="29"/>
      <c r="CL309" s="29"/>
      <c r="CM309" s="29"/>
      <c r="CN309" s="29"/>
      <c r="CO309" s="29" t="n">
        <f aca="false">IFERROR(CO251/CI251-1,"")</f>
        <v>0.0375551715867266</v>
      </c>
      <c r="CP309" s="30" t="n">
        <f aca="false">IFERROR(CP251/CO251-1,"")</f>
        <v>0.0621190481400775</v>
      </c>
      <c r="CQ309" s="30" t="n">
        <f aca="false">IFERROR(CQ251/CP251-1,"")</f>
        <v>0.0614883237774579</v>
      </c>
      <c r="CR309" s="30" t="n">
        <f aca="false">IFERROR(CR251/CQ251-1,"")</f>
        <v>0.0608736869773689</v>
      </c>
      <c r="CS309" s="30" t="n">
        <f aca="false">IFERROR(CS251/CR251-1,"")</f>
        <v>0.0603262337723023</v>
      </c>
      <c r="CT309" s="30" t="n">
        <f aca="false">IFERROR(CT251/CS251-1,"")</f>
        <v>0.0598734766632267</v>
      </c>
      <c r="CU309" s="24"/>
      <c r="CW309" s="6"/>
      <c r="CX309" s="6"/>
      <c r="CY309" s="6"/>
      <c r="CZ309" s="6"/>
    </row>
    <row r="310" customFormat="false" ht="15" hidden="false" customHeight="false" outlineLevel="0" collapsed="false">
      <c r="B310" s="15"/>
      <c r="CP310" s="6"/>
      <c r="CQ310" s="6"/>
      <c r="CR310" s="6"/>
      <c r="CS310" s="6"/>
      <c r="CT310" s="6"/>
      <c r="CU310" s="6"/>
    </row>
    <row r="311" customFormat="false" ht="15" hidden="false" customHeight="false" outlineLevel="0" collapsed="false">
      <c r="B311" s="11" t="s">
        <v>448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</row>
    <row r="312" customFormat="false" ht="15" hidden="false" customHeight="false" outlineLevel="0" collapsed="false">
      <c r="B312" s="16" t="s">
        <v>449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7"/>
    </row>
    <row r="313" customFormat="false" ht="15" hidden="false" customHeight="false" outlineLevel="0" collapsed="false">
      <c r="B313" s="28" t="s">
        <v>450</v>
      </c>
      <c r="C313" s="39" t="n">
        <f aca="false">C63</f>
        <v>166.412</v>
      </c>
      <c r="D313" s="39" t="n">
        <f aca="false">D63</f>
        <v>203.777</v>
      </c>
      <c r="E313" s="39" t="n">
        <f aca="false">E63</f>
        <v>242.098</v>
      </c>
      <c r="F313" s="39" t="n">
        <f aca="false">F63</f>
        <v>226.314</v>
      </c>
      <c r="G313" s="39" t="n">
        <f aca="false">G63</f>
        <v>239.506</v>
      </c>
      <c r="H313" s="39" t="n">
        <f aca="false">H63</f>
        <v>267.462</v>
      </c>
      <c r="I313" s="39" t="n">
        <f aca="false">I63</f>
        <v>289.04</v>
      </c>
      <c r="J313" s="39"/>
      <c r="K313" s="39"/>
      <c r="L313" s="39"/>
      <c r="M313" s="39"/>
      <c r="N313" s="39"/>
      <c r="O313" s="39" t="n">
        <f aca="false">O63</f>
        <v>280.747774193548</v>
      </c>
      <c r="P313" s="39"/>
      <c r="Q313" s="39"/>
      <c r="R313" s="39"/>
      <c r="S313" s="39"/>
      <c r="T313" s="39"/>
      <c r="U313" s="39" t="n">
        <f aca="false">U63</f>
        <v>307.416</v>
      </c>
      <c r="V313" s="39"/>
      <c r="W313" s="39"/>
      <c r="X313" s="39"/>
      <c r="Y313" s="39"/>
      <c r="Z313" s="39"/>
      <c r="AA313" s="39" t="n">
        <f aca="false">AA63</f>
        <v>350.234290322581</v>
      </c>
      <c r="AB313" s="39"/>
      <c r="AC313" s="39"/>
      <c r="AD313" s="39"/>
      <c r="AE313" s="39"/>
      <c r="AF313" s="39"/>
      <c r="AG313" s="39" t="n">
        <f aca="false">AG63</f>
        <v>410.260709677419</v>
      </c>
      <c r="AH313" s="39"/>
      <c r="AI313" s="39"/>
      <c r="AJ313" s="39"/>
      <c r="AK313" s="39"/>
      <c r="AL313" s="39"/>
      <c r="AM313" s="39" t="n">
        <f aca="false">AM63</f>
        <v>487.754129032258</v>
      </c>
      <c r="AN313" s="39"/>
      <c r="AO313" s="39"/>
      <c r="AP313" s="39"/>
      <c r="AQ313" s="39"/>
      <c r="AR313" s="39"/>
      <c r="AS313" s="39" t="n">
        <f aca="false">AS63</f>
        <v>597.097821917808</v>
      </c>
      <c r="AT313" s="39"/>
      <c r="AU313" s="39"/>
      <c r="AV313" s="39"/>
      <c r="AW313" s="39"/>
      <c r="AX313" s="39"/>
      <c r="AY313" s="39" t="n">
        <f aca="false">AY63</f>
        <v>723.094666666667</v>
      </c>
      <c r="AZ313" s="39"/>
      <c r="BA313" s="39"/>
      <c r="BB313" s="39"/>
      <c r="BC313" s="39"/>
      <c r="BD313" s="39"/>
      <c r="BE313" s="39" t="n">
        <f aca="false">BE63</f>
        <v>821.618</v>
      </c>
      <c r="BF313" s="39"/>
      <c r="BG313" s="39"/>
      <c r="BH313" s="39"/>
      <c r="BI313" s="39"/>
      <c r="BJ313" s="39"/>
      <c r="BK313" s="39" t="n">
        <f aca="false">BK63</f>
        <v>1145.71033333333</v>
      </c>
      <c r="BL313" s="39"/>
      <c r="BM313" s="39"/>
      <c r="BN313" s="39"/>
      <c r="BO313" s="39"/>
      <c r="BP313" s="39"/>
      <c r="BQ313" s="39" t="n">
        <f aca="false">BQ63</f>
        <v>1381.19033333333</v>
      </c>
      <c r="BR313" s="39"/>
      <c r="BS313" s="39"/>
      <c r="BT313" s="39"/>
      <c r="BU313" s="39"/>
      <c r="BV313" s="39"/>
      <c r="BW313" s="39" t="n">
        <f aca="false">BW63</f>
        <v>1488.4</v>
      </c>
      <c r="BX313" s="39"/>
      <c r="BY313" s="39"/>
      <c r="BZ313" s="39"/>
      <c r="CA313" s="39"/>
      <c r="CB313" s="39"/>
      <c r="CC313" s="39" t="n">
        <f aca="false">CC63</f>
        <v>1568.928</v>
      </c>
      <c r="CD313" s="39"/>
      <c r="CE313" s="39"/>
      <c r="CF313" s="39"/>
      <c r="CG313" s="39"/>
      <c r="CH313" s="39"/>
      <c r="CI313" s="39" t="n">
        <f aca="false">CI63</f>
        <v>1716.672</v>
      </c>
      <c r="CJ313" s="39"/>
      <c r="CK313" s="39"/>
      <c r="CL313" s="39"/>
      <c r="CM313" s="39"/>
      <c r="CN313" s="39"/>
      <c r="CO313" s="39" t="n">
        <f aca="false">CO63</f>
        <v>1653.054</v>
      </c>
      <c r="CP313" s="40" t="n">
        <f aca="false">CP63</f>
        <v>1710.365011425</v>
      </c>
      <c r="CQ313" s="40" t="n">
        <f aca="false">CQ63</f>
        <v>1836.60301440668</v>
      </c>
      <c r="CR313" s="40" t="n">
        <f aca="false">CR63</f>
        <v>1977.70611368732</v>
      </c>
      <c r="CS313" s="40" t="n">
        <f aca="false">CS63</f>
        <v>2128.0753302457</v>
      </c>
      <c r="CT313" s="40" t="n">
        <f aca="false">CT63</f>
        <v>2289.65596227355</v>
      </c>
      <c r="CU313" s="24"/>
      <c r="CW313" s="6"/>
      <c r="CX313" s="6"/>
      <c r="CY313" s="6"/>
      <c r="CZ313" s="6"/>
    </row>
    <row r="314" customFormat="false" ht="15" hidden="false" customHeight="false" outlineLevel="0" collapsed="false">
      <c r="B314" s="28" t="s">
        <v>451</v>
      </c>
      <c r="C314" s="35" t="n">
        <f aca="false">C89</f>
        <v>0.354465339613344</v>
      </c>
      <c r="D314" s="35" t="n">
        <f aca="false">D89</f>
        <v>0.372930857644846</v>
      </c>
      <c r="E314" s="35" t="n">
        <f aca="false">E89</f>
        <v>0.371391948728219</v>
      </c>
      <c r="F314" s="35" t="n">
        <f aca="false">F89</f>
        <v>0.387235873746334</v>
      </c>
      <c r="G314" s="35" t="n">
        <f aca="false">G89</f>
        <v>0.366888661558696</v>
      </c>
      <c r="H314" s="35" t="n">
        <f aca="false">H89</f>
        <v>0.369497910011104</v>
      </c>
      <c r="I314" s="35" t="n">
        <f aca="false">I89</f>
        <v>0.345027620335472</v>
      </c>
      <c r="J314" s="35"/>
      <c r="K314" s="35"/>
      <c r="L314" s="35"/>
      <c r="M314" s="35"/>
      <c r="N314" s="35"/>
      <c r="O314" s="35" t="n">
        <f aca="false">O89</f>
        <v>0.349789794562108</v>
      </c>
      <c r="P314" s="35"/>
      <c r="Q314" s="35"/>
      <c r="R314" s="35"/>
      <c r="S314" s="35"/>
      <c r="T314" s="35"/>
      <c r="U314" s="35" t="n">
        <f aca="false">U89</f>
        <v>0.338282074545892</v>
      </c>
      <c r="V314" s="35"/>
      <c r="W314" s="35"/>
      <c r="X314" s="35"/>
      <c r="Y314" s="35"/>
      <c r="Z314" s="35"/>
      <c r="AA314" s="35" t="n">
        <f aca="false">AA89</f>
        <v>0.338140567171281</v>
      </c>
      <c r="AB314" s="35"/>
      <c r="AC314" s="35"/>
      <c r="AD314" s="35"/>
      <c r="AE314" s="35"/>
      <c r="AF314" s="35"/>
      <c r="AG314" s="35" t="n">
        <f aca="false">AG89</f>
        <v>0.317039899965898</v>
      </c>
      <c r="AH314" s="35"/>
      <c r="AI314" s="35"/>
      <c r="AJ314" s="35"/>
      <c r="AK314" s="35"/>
      <c r="AL314" s="35"/>
      <c r="AM314" s="35" t="n">
        <f aca="false">AM89</f>
        <v>0.104155873665076</v>
      </c>
      <c r="AN314" s="35"/>
      <c r="AO314" s="35"/>
      <c r="AP314" s="35"/>
      <c r="AQ314" s="35"/>
      <c r="AR314" s="35"/>
      <c r="AS314" s="35" t="n">
        <f aca="false">AS89</f>
        <v>0.25689097635424</v>
      </c>
      <c r="AT314" s="35"/>
      <c r="AU314" s="35"/>
      <c r="AV314" s="35"/>
      <c r="AW314" s="35"/>
      <c r="AX314" s="35"/>
      <c r="AY314" s="35" t="n">
        <f aca="false">AY89</f>
        <v>0.160660811886216</v>
      </c>
      <c r="AZ314" s="35"/>
      <c r="BA314" s="35"/>
      <c r="BB314" s="35"/>
      <c r="BC314" s="35"/>
      <c r="BD314" s="35"/>
      <c r="BE314" s="35" t="n">
        <f aca="false">BE89</f>
        <v>0.126032823076798</v>
      </c>
      <c r="BF314" s="35"/>
      <c r="BG314" s="35"/>
      <c r="BH314" s="35"/>
      <c r="BI314" s="35"/>
      <c r="BJ314" s="35"/>
      <c r="BK314" s="35" t="n">
        <f aca="false">BK89</f>
        <v>0.165219646903407</v>
      </c>
      <c r="BL314" s="35"/>
      <c r="BM314" s="35"/>
      <c r="BN314" s="35"/>
      <c r="BO314" s="35"/>
      <c r="BP314" s="35"/>
      <c r="BQ314" s="35" t="n">
        <f aca="false">BQ89</f>
        <v>0.187048921886955</v>
      </c>
      <c r="BR314" s="35"/>
      <c r="BS314" s="35"/>
      <c r="BT314" s="35"/>
      <c r="BU314" s="35"/>
      <c r="BV314" s="35"/>
      <c r="BW314" s="35" t="n">
        <f aca="false">BW89</f>
        <v>0.203680947650689</v>
      </c>
      <c r="BX314" s="35"/>
      <c r="BY314" s="35"/>
      <c r="BZ314" s="35"/>
      <c r="CA314" s="35"/>
      <c r="CB314" s="35"/>
      <c r="CC314" s="35" t="n">
        <f aca="false">CC89</f>
        <v>0.205443715476662</v>
      </c>
      <c r="CD314" s="35"/>
      <c r="CE314" s="35"/>
      <c r="CF314" s="35"/>
      <c r="CG314" s="35"/>
      <c r="CH314" s="35"/>
      <c r="CI314" s="35" t="n">
        <f aca="false">CI89</f>
        <v>0.1831723360806</v>
      </c>
      <c r="CJ314" s="35"/>
      <c r="CK314" s="35"/>
      <c r="CL314" s="35"/>
      <c r="CM314" s="35"/>
      <c r="CN314" s="35"/>
      <c r="CO314" s="35" t="n">
        <f aca="false">CO89</f>
        <v>0.193234029636339</v>
      </c>
      <c r="CP314" s="45" t="n">
        <f aca="false">CP89</f>
        <v>0.205</v>
      </c>
      <c r="CQ314" s="45" t="n">
        <f aca="false">CQ89</f>
        <v>0.205</v>
      </c>
      <c r="CR314" s="45" t="n">
        <f aca="false">CR89</f>
        <v>0.205</v>
      </c>
      <c r="CS314" s="45" t="n">
        <f aca="false">CS89</f>
        <v>0.205</v>
      </c>
      <c r="CT314" s="45" t="n">
        <f aca="false">CT89</f>
        <v>0.205</v>
      </c>
      <c r="CU314" s="24"/>
      <c r="CW314" s="6"/>
      <c r="CX314" s="6"/>
      <c r="CY314" s="6"/>
      <c r="CZ314" s="6"/>
    </row>
    <row r="315" customFormat="false" ht="15" hidden="false" customHeight="false" outlineLevel="0" collapsed="false">
      <c r="B315" s="28" t="s">
        <v>452</v>
      </c>
      <c r="C315" s="39" t="n">
        <f aca="false">IFERROR(C313*(1-C314),"n/a")</f>
        <v>107.424713904264</v>
      </c>
      <c r="D315" s="39" t="n">
        <f aca="false">IFERROR(D313*(1-D314),"n/a")</f>
        <v>127.782268621706</v>
      </c>
      <c r="E315" s="39" t="n">
        <f aca="false">IFERROR(E313*(1-E314),"n/a")</f>
        <v>152.184751996796</v>
      </c>
      <c r="F315" s="39" t="n">
        <f aca="false">IFERROR(F313*(1-F314),"n/a")</f>
        <v>138.677100468972</v>
      </c>
      <c r="G315" s="39" t="n">
        <f aca="false">IFERROR(G313*(1-G314),"n/a")</f>
        <v>151.633964224723</v>
      </c>
      <c r="H315" s="39" t="n">
        <f aca="false">IFERROR(H313*(1-H314),"n/a")</f>
        <v>168.63534999261</v>
      </c>
      <c r="I315" s="39" t="n">
        <f aca="false">IFERROR(I313*(1-I314),"n/a")</f>
        <v>189.313216618235</v>
      </c>
      <c r="J315" s="39"/>
      <c r="K315" s="39"/>
      <c r="L315" s="39"/>
      <c r="M315" s="39"/>
      <c r="N315" s="39"/>
      <c r="O315" s="39" t="n">
        <f aca="false">IFERROR(O313*(1-O314),"n/a")</f>
        <v>182.545067934618</v>
      </c>
      <c r="P315" s="39"/>
      <c r="Q315" s="39"/>
      <c r="R315" s="39"/>
      <c r="S315" s="39"/>
      <c r="T315" s="39"/>
      <c r="U315" s="39" t="n">
        <f aca="false">IFERROR(U313*(1-U314),"n/a")</f>
        <v>203.4226777714</v>
      </c>
      <c r="V315" s="39"/>
      <c r="W315" s="39"/>
      <c r="X315" s="39"/>
      <c r="Y315" s="39"/>
      <c r="Z315" s="39"/>
      <c r="AA315" s="39" t="n">
        <f aca="false">IFERROR(AA313*(1-AA314),"n/a")</f>
        <v>231.805868750072</v>
      </c>
      <c r="AB315" s="39"/>
      <c r="AC315" s="39"/>
      <c r="AD315" s="39"/>
      <c r="AE315" s="39"/>
      <c r="AF315" s="39"/>
      <c r="AG315" s="39" t="n">
        <f aca="false">IFERROR(AG313*(1-AG314),"n/a")</f>
        <v>280.191695321352</v>
      </c>
      <c r="AH315" s="39"/>
      <c r="AI315" s="39"/>
      <c r="AJ315" s="39"/>
      <c r="AK315" s="39"/>
      <c r="AL315" s="39"/>
      <c r="AM315" s="39" t="n">
        <f aca="false">IFERROR(AM313*(1-AM314),"n/a")</f>
        <v>436.951671589155</v>
      </c>
      <c r="AN315" s="39"/>
      <c r="AO315" s="39"/>
      <c r="AP315" s="39"/>
      <c r="AQ315" s="39"/>
      <c r="AR315" s="39"/>
      <c r="AS315" s="39" t="n">
        <f aca="false">IFERROR(AS313*(1-AS314),"n/a")</f>
        <v>443.708779466352</v>
      </c>
      <c r="AT315" s="39"/>
      <c r="AU315" s="39"/>
      <c r="AV315" s="39"/>
      <c r="AW315" s="39"/>
      <c r="AX315" s="39"/>
      <c r="AY315" s="39" t="n">
        <f aca="false">IFERROR(AY313*(1-AY314),"n/a")</f>
        <v>606.921690449407</v>
      </c>
      <c r="AZ315" s="39"/>
      <c r="BA315" s="39"/>
      <c r="BB315" s="39"/>
      <c r="BC315" s="39"/>
      <c r="BD315" s="39"/>
      <c r="BE315" s="39" t="n">
        <f aca="false">IFERROR(BE313*(1-BE314),"n/a")</f>
        <v>718.067163969287</v>
      </c>
      <c r="BF315" s="39"/>
      <c r="BG315" s="39"/>
      <c r="BH315" s="39"/>
      <c r="BI315" s="39"/>
      <c r="BJ315" s="39"/>
      <c r="BK315" s="39" t="n">
        <f aca="false">IFERROR(BK313*(1-BK314),"n/a")</f>
        <v>956.416476606415</v>
      </c>
      <c r="BL315" s="39"/>
      <c r="BM315" s="39"/>
      <c r="BN315" s="39"/>
      <c r="BO315" s="39"/>
      <c r="BP315" s="39"/>
      <c r="BQ315" s="39" t="n">
        <f aca="false">IFERROR(BQ313*(1-BQ314),"n/a")</f>
        <v>1122.84017056265</v>
      </c>
      <c r="BR315" s="39"/>
      <c r="BS315" s="39"/>
      <c r="BT315" s="39"/>
      <c r="BU315" s="39"/>
      <c r="BV315" s="39"/>
      <c r="BW315" s="39" t="n">
        <f aca="false">IFERROR(BW313*(1-BW314),"n/a")</f>
        <v>1185.24127751671</v>
      </c>
      <c r="BX315" s="39"/>
      <c r="BY315" s="39"/>
      <c r="BZ315" s="39"/>
      <c r="CA315" s="39"/>
      <c r="CB315" s="39"/>
      <c r="CC315" s="39" t="n">
        <f aca="false">IFERROR(CC313*(1-CC314),"n/a")</f>
        <v>1246.60160236463</v>
      </c>
      <c r="CD315" s="39"/>
      <c r="CE315" s="39"/>
      <c r="CF315" s="39"/>
      <c r="CG315" s="39"/>
      <c r="CH315" s="39"/>
      <c r="CI315" s="39" t="n">
        <f aca="false">IFERROR(CI313*(1-CI314),"n/a")</f>
        <v>1402.22517947584</v>
      </c>
      <c r="CJ315" s="39"/>
      <c r="CK315" s="39"/>
      <c r="CL315" s="39"/>
      <c r="CM315" s="39"/>
      <c r="CN315" s="39"/>
      <c r="CO315" s="39" t="n">
        <f aca="false">IFERROR(CO313*(1-CO314),"n/a")</f>
        <v>1333.62771437353</v>
      </c>
      <c r="CP315" s="40" t="n">
        <f aca="false">IFERROR(CP313*(1-CP314),"n/a")</f>
        <v>1359.74018408288</v>
      </c>
      <c r="CQ315" s="40" t="n">
        <f aca="false">IFERROR(CQ313*(1-CQ314),"n/a")</f>
        <v>1460.09939645331</v>
      </c>
      <c r="CR315" s="40" t="n">
        <f aca="false">IFERROR(CR313*(1-CR314),"n/a")</f>
        <v>1572.27636038142</v>
      </c>
      <c r="CS315" s="40" t="n">
        <f aca="false">IFERROR(CS313*(1-CS314),"n/a")</f>
        <v>1691.81988754533</v>
      </c>
      <c r="CT315" s="40" t="n">
        <f aca="false">IFERROR(CT313*(1-CT314),"n/a")</f>
        <v>1820.27649000747</v>
      </c>
      <c r="CU315" s="24"/>
      <c r="CW315" s="6"/>
      <c r="CX315" s="6"/>
      <c r="CY315" s="6"/>
      <c r="CZ315" s="6"/>
    </row>
    <row r="316" customFormat="false" ht="15" hidden="false" customHeight="false" outlineLevel="0" collapsed="false">
      <c r="B316" s="28" t="s">
        <v>453</v>
      </c>
      <c r="C316" s="39" t="n">
        <f aca="false">IFERROR(C317+C318,"n/a")</f>
        <v>530.12</v>
      </c>
      <c r="D316" s="39" t="n">
        <f aca="false">IFERROR(D317+D318,"n/a")</f>
        <v>670.62</v>
      </c>
      <c r="E316" s="39" t="n">
        <f aca="false">IFERROR(E317+E318,"n/a")</f>
        <v>760.042</v>
      </c>
      <c r="F316" s="39" t="n">
        <f aca="false">IFERROR(F317+F318,"n/a")</f>
        <v>758.768</v>
      </c>
      <c r="G316" s="39" t="n">
        <f aca="false">IFERROR(G317+G318,"n/a")</f>
        <v>819.647</v>
      </c>
      <c r="H316" s="39" t="n">
        <f aca="false">IFERROR(H317+H318,"n/a")</f>
        <v>856.919</v>
      </c>
      <c r="I316" s="39" t="n">
        <f aca="false">IFERROR(I317+I318,"n/a")</f>
        <v>865.125</v>
      </c>
      <c r="J316" s="39"/>
      <c r="K316" s="39"/>
      <c r="L316" s="39"/>
      <c r="M316" s="39"/>
      <c r="N316" s="39"/>
      <c r="O316" s="39" t="n">
        <f aca="false">IFERROR(O317+O318,"n/a")</f>
        <v>1071.227</v>
      </c>
      <c r="P316" s="39"/>
      <c r="Q316" s="39"/>
      <c r="R316" s="39"/>
      <c r="S316" s="39"/>
      <c r="T316" s="39"/>
      <c r="U316" s="39" t="n">
        <f aca="false">IFERROR(U317+U318,"n/a")</f>
        <v>1147.732</v>
      </c>
      <c r="V316" s="39"/>
      <c r="W316" s="39"/>
      <c r="X316" s="39"/>
      <c r="Y316" s="39"/>
      <c r="Z316" s="39"/>
      <c r="AA316" s="39" t="n">
        <f aca="false">IFERROR(AA317+AA318,"n/a")</f>
        <v>1152.966</v>
      </c>
      <c r="AB316" s="39"/>
      <c r="AC316" s="39"/>
      <c r="AD316" s="39"/>
      <c r="AE316" s="39"/>
      <c r="AF316" s="39"/>
      <c r="AG316" s="39" t="n">
        <f aca="false">IFERROR(AG317+AG318,"n/a")</f>
        <v>1259.099</v>
      </c>
      <c r="AH316" s="39"/>
      <c r="AI316" s="39"/>
      <c r="AJ316" s="39"/>
      <c r="AK316" s="39"/>
      <c r="AL316" s="39"/>
      <c r="AM316" s="39" t="n">
        <f aca="false">IFERROR(AM317+AM318,"n/a")</f>
        <v>1521.538</v>
      </c>
      <c r="AN316" s="39"/>
      <c r="AO316" s="39"/>
      <c r="AP316" s="39"/>
      <c r="AQ316" s="39"/>
      <c r="AR316" s="39"/>
      <c r="AS316" s="39" t="n">
        <f aca="false">IFERROR(AS317+AS318,"n/a")</f>
        <v>1706.477</v>
      </c>
      <c r="AT316" s="39"/>
      <c r="AU316" s="39"/>
      <c r="AV316" s="39"/>
      <c r="AW316" s="39"/>
      <c r="AX316" s="39"/>
      <c r="AY316" s="39" t="n">
        <f aca="false">IFERROR(AY317+AY318,"n/a")</f>
        <v>1993.291</v>
      </c>
      <c r="AZ316" s="39"/>
      <c r="BA316" s="39"/>
      <c r="BB316" s="39"/>
      <c r="BC316" s="39"/>
      <c r="BD316" s="39"/>
      <c r="BE316" s="39" t="n">
        <f aca="false">IFERROR(BE317+BE318,"n/a")</f>
        <v>2409.449</v>
      </c>
      <c r="BF316" s="39"/>
      <c r="BG316" s="39"/>
      <c r="BH316" s="39"/>
      <c r="BI316" s="39"/>
      <c r="BJ316" s="39"/>
      <c r="BK316" s="39" t="n">
        <f aca="false">IFERROR(BK317+BK318,"n/a")</f>
        <v>2878.577</v>
      </c>
      <c r="BL316" s="39"/>
      <c r="BM316" s="39"/>
      <c r="BN316" s="39"/>
      <c r="BO316" s="39"/>
      <c r="BP316" s="39"/>
      <c r="BQ316" s="39" t="n">
        <f aca="false">IFERROR(BQ317+BQ318,"n/a")</f>
        <v>3243.359</v>
      </c>
      <c r="BR316" s="39"/>
      <c r="BS316" s="39"/>
      <c r="BT316" s="39"/>
      <c r="BU316" s="39"/>
      <c r="BV316" s="39"/>
      <c r="BW316" s="39" t="n">
        <f aca="false">IFERROR(BW317+BW318,"n/a")</f>
        <v>3634.359</v>
      </c>
      <c r="BX316" s="39"/>
      <c r="BY316" s="39"/>
      <c r="BZ316" s="39"/>
      <c r="CA316" s="39"/>
      <c r="CB316" s="39"/>
      <c r="CC316" s="39" t="n">
        <f aca="false">IFERROR(CC317+CC318,"n/a")</f>
        <v>4126.397</v>
      </c>
      <c r="CD316" s="39"/>
      <c r="CE316" s="39"/>
      <c r="CF316" s="39"/>
      <c r="CG316" s="39"/>
      <c r="CH316" s="39"/>
      <c r="CI316" s="39" t="n">
        <f aca="false">IFERROR(CI317+CI318,"n/a")</f>
        <v>4418.421</v>
      </c>
      <c r="CJ316" s="39"/>
      <c r="CK316" s="39"/>
      <c r="CL316" s="39"/>
      <c r="CM316" s="39"/>
      <c r="CN316" s="39"/>
      <c r="CO316" s="39" t="n">
        <f aca="false">IFERROR(CO317+CO318,"n/a")</f>
        <v>4624.078</v>
      </c>
      <c r="CP316" s="40" t="n">
        <f aca="false">IFERROR(CP317+CP318,"n/a")</f>
        <v>4835.76076278712</v>
      </c>
      <c r="CQ316" s="40" t="n">
        <f aca="false">IFERROR(CQ317+CQ318,"n/a")</f>
        <v>5076.798006206</v>
      </c>
      <c r="CR316" s="40" t="n">
        <f aca="false">IFERROR(CR317+CR318,"n/a")</f>
        <v>5334.26228339764</v>
      </c>
      <c r="CS316" s="40" t="n">
        <f aca="false">IFERROR(CS317+CS318,"n/a")</f>
        <v>5607.91977255794</v>
      </c>
      <c r="CT316" s="40" t="n">
        <f aca="false">IFERROR(CT317+CT318,"n/a")</f>
        <v>5898.99732984556</v>
      </c>
      <c r="CU316" s="24"/>
      <c r="CW316" s="6"/>
      <c r="CX316" s="6"/>
      <c r="CY316" s="6"/>
      <c r="CZ316" s="6"/>
    </row>
    <row r="317" customFormat="false" ht="15" hidden="false" customHeight="false" outlineLevel="0" collapsed="false">
      <c r="B317" s="28" t="s">
        <v>454</v>
      </c>
      <c r="C317" s="39" t="n">
        <f aca="false">IF(ISNUMBER(C280),C280+N(C273),"")</f>
        <v>809.97</v>
      </c>
      <c r="D317" s="39" t="n">
        <f aca="false">IF(ISNUMBER(D280),D280+N(D273),"")</f>
        <v>880.866</v>
      </c>
      <c r="E317" s="39" t="n">
        <f aca="false">IF(ISNUMBER(E280),E280+N(E273),"")</f>
        <v>798.996</v>
      </c>
      <c r="F317" s="39" t="n">
        <f aca="false">IF(ISNUMBER(F280),F280+N(F273),"")</f>
        <v>921.459</v>
      </c>
      <c r="G317" s="39" t="n">
        <f aca="false">IF(ISNUMBER(G280),G280+N(G273),"")</f>
        <v>1087.234</v>
      </c>
      <c r="H317" s="39" t="n">
        <f aca="false">IF(ISNUMBER(H280),H280+N(H273),"")</f>
        <v>555.172</v>
      </c>
      <c r="I317" s="39" t="n">
        <f aca="false">IF(ISNUMBER(I280),I280+N(I273),"")</f>
        <v>561.117</v>
      </c>
      <c r="J317" s="39"/>
      <c r="K317" s="39"/>
      <c r="L317" s="39"/>
      <c r="M317" s="39"/>
      <c r="N317" s="39"/>
      <c r="O317" s="39" t="n">
        <f aca="false">IF(ISNUMBER(O280),O280+N(O273),"")</f>
        <v>762.401</v>
      </c>
      <c r="P317" s="39"/>
      <c r="Q317" s="39"/>
      <c r="R317" s="39"/>
      <c r="S317" s="39"/>
      <c r="T317" s="39"/>
      <c r="U317" s="39" t="n">
        <f aca="false">IF(ISNUMBER(U280),U280+N(U273),"")</f>
        <v>1003.499</v>
      </c>
      <c r="V317" s="39"/>
      <c r="W317" s="39"/>
      <c r="X317" s="39"/>
      <c r="Y317" s="39"/>
      <c r="Z317" s="39"/>
      <c r="AA317" s="39" t="n">
        <f aca="false">IF(ISNUMBER(AA280),AA280+N(AA273),"")</f>
        <v>964.464</v>
      </c>
      <c r="AB317" s="39"/>
      <c r="AC317" s="39"/>
      <c r="AD317" s="39"/>
      <c r="AE317" s="39"/>
      <c r="AF317" s="39"/>
      <c r="AG317" s="39" t="n">
        <f aca="false">IF(ISNUMBER(AG280),AG280+N(AG273),"")</f>
        <v>774.456</v>
      </c>
      <c r="AH317" s="39"/>
      <c r="AI317" s="39"/>
      <c r="AJ317" s="39"/>
      <c r="AK317" s="39"/>
      <c r="AL317" s="39"/>
      <c r="AM317" s="39" t="n">
        <f aca="false">IF(ISNUMBER(AM280),AM280+N(AM273),"")</f>
        <v>1098.6</v>
      </c>
      <c r="AN317" s="39"/>
      <c r="AO317" s="39"/>
      <c r="AP317" s="39"/>
      <c r="AQ317" s="39"/>
      <c r="AR317" s="39"/>
      <c r="AS317" s="39" t="n">
        <f aca="false">IF(ISNUMBER(AS280),AS280+N(AS273),"")</f>
        <v>1581.099</v>
      </c>
      <c r="AT317" s="39"/>
      <c r="AU317" s="39"/>
      <c r="AV317" s="39"/>
      <c r="AW317" s="39"/>
      <c r="AX317" s="39"/>
      <c r="AY317" s="39" t="n">
        <f aca="false">IF(ISNUMBER(AY280),AY280+N(AY273),"")</f>
        <v>1778.381</v>
      </c>
      <c r="AZ317" s="39"/>
      <c r="BA317" s="39"/>
      <c r="BB317" s="39"/>
      <c r="BC317" s="39"/>
      <c r="BD317" s="39"/>
      <c r="BE317" s="39" t="n">
        <f aca="false">IF(ISNUMBER(BE280),BE280+N(BE273),"")</f>
        <v>2489.516</v>
      </c>
      <c r="BF317" s="39"/>
      <c r="BG317" s="39"/>
      <c r="BH317" s="39"/>
      <c r="BI317" s="39"/>
      <c r="BJ317" s="39"/>
      <c r="BK317" s="39" t="n">
        <f aca="false">IF(ISNUMBER(BK280),BK280+N(BK273),"")</f>
        <v>3529.201</v>
      </c>
      <c r="BL317" s="39"/>
      <c r="BM317" s="39"/>
      <c r="BN317" s="39"/>
      <c r="BO317" s="39"/>
      <c r="BP317" s="39"/>
      <c r="BQ317" s="39" t="n">
        <f aca="false">IF(ISNUMBER(BQ280),BQ280+N(BQ273),"")</f>
        <v>4625.599</v>
      </c>
      <c r="BR317" s="39"/>
      <c r="BS317" s="39"/>
      <c r="BT317" s="39"/>
      <c r="BU317" s="39"/>
      <c r="BV317" s="39"/>
      <c r="BW317" s="39" t="n">
        <f aca="false">IF(ISNUMBER(BW280),BW280+N(BW273),"")</f>
        <v>5987.44</v>
      </c>
      <c r="BX317" s="39"/>
      <c r="BY317" s="39"/>
      <c r="BZ317" s="39"/>
      <c r="CA317" s="39"/>
      <c r="CB317" s="39"/>
      <c r="CC317" s="39" t="n">
        <f aca="false">IF(ISNUMBER(CC280),CC280+N(CC273),"")</f>
        <v>7548.555</v>
      </c>
      <c r="CD317" s="39"/>
      <c r="CE317" s="39"/>
      <c r="CF317" s="39"/>
      <c r="CG317" s="39"/>
      <c r="CH317" s="39"/>
      <c r="CI317" s="39" t="n">
        <f aca="false">IF(ISNUMBER(CI280),CI280+N(CI273),"")</f>
        <v>9207.491</v>
      </c>
      <c r="CJ317" s="39"/>
      <c r="CK317" s="39"/>
      <c r="CL317" s="39"/>
      <c r="CM317" s="39"/>
      <c r="CN317" s="39"/>
      <c r="CO317" s="39" t="n">
        <f aca="false">IF(ISNUMBER(CO280),CO280+N(CO273),"")</f>
        <v>9113.88</v>
      </c>
      <c r="CP317" s="40" t="n">
        <f aca="false">CP280+CP273</f>
        <v>8745.16650318712</v>
      </c>
      <c r="CQ317" s="40" t="n">
        <f aca="false">CQ280+CQ273</f>
        <v>9267.35699682406</v>
      </c>
      <c r="CR317" s="40" t="n">
        <f aca="false">CR280+CR273</f>
        <v>9839.03732012988</v>
      </c>
      <c r="CS317" s="40" t="n">
        <f aca="false">CS280+CS273</f>
        <v>10447.1047701029</v>
      </c>
      <c r="CT317" s="40" t="n">
        <f aca="false">CT280+CT273</f>
        <v>11097.1351901423</v>
      </c>
      <c r="CU317" s="24"/>
      <c r="CW317" s="6"/>
      <c r="CX317" s="6"/>
      <c r="CY317" s="6"/>
      <c r="CZ317" s="6"/>
    </row>
    <row r="318" customFormat="false" ht="15" hidden="false" customHeight="false" outlineLevel="0" collapsed="false">
      <c r="B318" s="28" t="s">
        <v>455</v>
      </c>
      <c r="C318" s="39" t="n">
        <f aca="false">IF(ISNUMBER(C243),N(C302)-C243-N(C244),"")</f>
        <v>-279.85</v>
      </c>
      <c r="D318" s="39" t="n">
        <f aca="false">IF(ISNUMBER(D243),N(D302)-D243-N(D244),"")</f>
        <v>-210.246</v>
      </c>
      <c r="E318" s="39" t="n">
        <f aca="false">IF(ISNUMBER(E243),N(E302)-E243-N(E244),"")</f>
        <v>-38.954</v>
      </c>
      <c r="F318" s="39" t="n">
        <f aca="false">IF(ISNUMBER(F243),N(F302)-F243-N(F244),"")</f>
        <v>-162.691</v>
      </c>
      <c r="G318" s="39" t="n">
        <f aca="false">IF(ISNUMBER(G243),N(G302)-G243-N(G244),"")</f>
        <v>-267.587</v>
      </c>
      <c r="H318" s="39" t="n">
        <f aca="false">IF(ISNUMBER(H243),N(H302)-H243-N(H244),"")</f>
        <v>301.747</v>
      </c>
      <c r="I318" s="39" t="n">
        <f aca="false">IF(ISNUMBER(I243),N(I302)-I243-N(I244),"")</f>
        <v>304.008</v>
      </c>
      <c r="J318" s="39"/>
      <c r="K318" s="39"/>
      <c r="L318" s="39"/>
      <c r="M318" s="39"/>
      <c r="N318" s="39"/>
      <c r="O318" s="39" t="n">
        <f aca="false">IF(ISNUMBER(O243),N(O302)-O243-N(O244),"")</f>
        <v>308.826</v>
      </c>
      <c r="P318" s="39"/>
      <c r="Q318" s="39"/>
      <c r="R318" s="39"/>
      <c r="S318" s="39"/>
      <c r="T318" s="39"/>
      <c r="U318" s="39" t="n">
        <f aca="false">IF(ISNUMBER(U243),N(U302)-U243-N(U244),"")</f>
        <v>144.233</v>
      </c>
      <c r="V318" s="39"/>
      <c r="W318" s="39"/>
      <c r="X318" s="39"/>
      <c r="Y318" s="39"/>
      <c r="Z318" s="39"/>
      <c r="AA318" s="39" t="n">
        <f aca="false">IF(ISNUMBER(AA243),N(AA302)-AA243-N(AA244),"")</f>
        <v>188.502</v>
      </c>
      <c r="AB318" s="39"/>
      <c r="AC318" s="39"/>
      <c r="AD318" s="39"/>
      <c r="AE318" s="39"/>
      <c r="AF318" s="39"/>
      <c r="AG318" s="39" t="n">
        <f aca="false">IF(ISNUMBER(AG243),N(AG302)-AG243-N(AG244),"")</f>
        <v>484.643</v>
      </c>
      <c r="AH318" s="39"/>
      <c r="AI318" s="39"/>
      <c r="AJ318" s="39"/>
      <c r="AK318" s="39"/>
      <c r="AL318" s="39"/>
      <c r="AM318" s="39" t="n">
        <f aca="false">IF(ISNUMBER(AM243),N(AM302)-AM243-N(AM244),"")</f>
        <v>422.938</v>
      </c>
      <c r="AN318" s="39"/>
      <c r="AO318" s="39"/>
      <c r="AP318" s="39"/>
      <c r="AQ318" s="39"/>
      <c r="AR318" s="39"/>
      <c r="AS318" s="39" t="n">
        <f aca="false">IF(ISNUMBER(AS243),N(AS302)-AS243-N(AS244),"")</f>
        <v>125.378</v>
      </c>
      <c r="AT318" s="39"/>
      <c r="AU318" s="39"/>
      <c r="AV318" s="39"/>
      <c r="AW318" s="39"/>
      <c r="AX318" s="39"/>
      <c r="AY318" s="39" t="n">
        <f aca="false">IF(ISNUMBER(AY243),N(AY302)-AY243-N(AY244),"")</f>
        <v>214.91</v>
      </c>
      <c r="AZ318" s="39"/>
      <c r="BA318" s="39"/>
      <c r="BB318" s="39"/>
      <c r="BC318" s="39"/>
      <c r="BD318" s="39"/>
      <c r="BE318" s="39" t="n">
        <f aca="false">IF(ISNUMBER(BE243),N(BE302)-BE243-N(BE244),"")</f>
        <v>-80.0670000000001</v>
      </c>
      <c r="BF318" s="39"/>
      <c r="BG318" s="39"/>
      <c r="BH318" s="39"/>
      <c r="BI318" s="39"/>
      <c r="BJ318" s="39"/>
      <c r="BK318" s="39" t="n">
        <f aca="false">IF(ISNUMBER(BK243),N(BK302)-BK243-N(BK244),"")</f>
        <v>-650.624</v>
      </c>
      <c r="BL318" s="39"/>
      <c r="BM318" s="39"/>
      <c r="BN318" s="39"/>
      <c r="BO318" s="39"/>
      <c r="BP318" s="39"/>
      <c r="BQ318" s="39" t="n">
        <f aca="false">IF(ISNUMBER(BQ243),N(BQ302)-BQ243-N(BQ244),"")</f>
        <v>-1382.24</v>
      </c>
      <c r="BR318" s="39"/>
      <c r="BS318" s="39"/>
      <c r="BT318" s="39"/>
      <c r="BU318" s="39"/>
      <c r="BV318" s="39"/>
      <c r="BW318" s="39" t="n">
        <f aca="false">IF(ISNUMBER(BW243),N(BW302)-BW243-N(BW244),"")</f>
        <v>-2353.081</v>
      </c>
      <c r="BX318" s="39"/>
      <c r="BY318" s="39"/>
      <c r="BZ318" s="39"/>
      <c r="CA318" s="39"/>
      <c r="CB318" s="39"/>
      <c r="CC318" s="39" t="n">
        <f aca="false">IF(ISNUMBER(CC243),N(CC302)-CC243-N(CC244),"")</f>
        <v>-3422.158</v>
      </c>
      <c r="CD318" s="39"/>
      <c r="CE318" s="39"/>
      <c r="CF318" s="39"/>
      <c r="CG318" s="39"/>
      <c r="CH318" s="39"/>
      <c r="CI318" s="39" t="n">
        <f aca="false">IF(ISNUMBER(CI243),N(CI302)-CI243-N(CI244),"")</f>
        <v>-4789.07</v>
      </c>
      <c r="CJ318" s="39"/>
      <c r="CK318" s="39"/>
      <c r="CL318" s="39"/>
      <c r="CM318" s="39"/>
      <c r="CN318" s="39"/>
      <c r="CO318" s="39" t="n">
        <f aca="false">IF(ISNUMBER(CO243),N(CO302)-CO243-N(CO244),"")</f>
        <v>-4489.802</v>
      </c>
      <c r="CP318" s="40" t="n">
        <f aca="false">CP302-CP243-CP244</f>
        <v>-3909.4057404</v>
      </c>
      <c r="CQ318" s="40" t="n">
        <f aca="false">CQ302-CQ243-CQ244</f>
        <v>-4190.55899061807</v>
      </c>
      <c r="CR318" s="40" t="n">
        <f aca="false">CR302-CR243-CR244</f>
        <v>-4504.77503673224</v>
      </c>
      <c r="CS318" s="40" t="n">
        <f aca="false">CS302-CS243-CS244</f>
        <v>-4839.18499754501</v>
      </c>
      <c r="CT318" s="40" t="n">
        <f aca="false">CT302-CT243-CT244</f>
        <v>-5198.1378602967</v>
      </c>
      <c r="CU318" s="24"/>
      <c r="CW318" s="6"/>
      <c r="CX318" s="6"/>
      <c r="CY318" s="6"/>
      <c r="CZ318" s="6"/>
    </row>
    <row r="319" customFormat="false" ht="15" hidden="false" customHeight="false" outlineLevel="0" collapsed="false">
      <c r="B319" s="41" t="s">
        <v>456</v>
      </c>
      <c r="C319" s="68" t="n">
        <f aca="false">IFERROR(C315/C316,"n/a")</f>
        <v>0.202642258176006</v>
      </c>
      <c r="D319" s="68" t="n">
        <f aca="false">IFERROR(D315/D316,"n/a")</f>
        <v>0.190543480095592</v>
      </c>
      <c r="E319" s="68" t="n">
        <f aca="false">IFERROR(E315/E316,"n/a")</f>
        <v>0.200232029278376</v>
      </c>
      <c r="F319" s="68" t="n">
        <f aca="false">IFERROR(F315/F316,"n/a")</f>
        <v>0.182766142574505</v>
      </c>
      <c r="G319" s="68" t="n">
        <f aca="false">IFERROR(G315/G316,"n/a")</f>
        <v>0.184999108426826</v>
      </c>
      <c r="H319" s="68" t="n">
        <f aca="false">IFERROR(H315/H316,"n/a")</f>
        <v>0.196792637335163</v>
      </c>
      <c r="I319" s="68" t="n">
        <f aca="false">IFERROR(I315/I316,"n/a")</f>
        <v>0.218827587479538</v>
      </c>
      <c r="J319" s="69"/>
      <c r="K319" s="69"/>
      <c r="L319" s="69"/>
      <c r="M319" s="69"/>
      <c r="N319" s="69"/>
      <c r="O319" s="68" t="n">
        <f aca="false">IFERROR(O315/O316,"n/a")</f>
        <v>0.17040745606171</v>
      </c>
      <c r="P319" s="69"/>
      <c r="Q319" s="69"/>
      <c r="R319" s="69"/>
      <c r="S319" s="69"/>
      <c r="T319" s="69"/>
      <c r="U319" s="68" t="n">
        <f aca="false">IFERROR(U315/U316,"n/a")</f>
        <v>0.177238830817125</v>
      </c>
      <c r="V319" s="69"/>
      <c r="W319" s="69"/>
      <c r="X319" s="69"/>
      <c r="Y319" s="69"/>
      <c r="Z319" s="69"/>
      <c r="AA319" s="68" t="n">
        <f aca="false">IFERROR(AA315/AA316,"n/a")</f>
        <v>0.201051781882616</v>
      </c>
      <c r="AB319" s="69"/>
      <c r="AC319" s="69"/>
      <c r="AD319" s="69"/>
      <c r="AE319" s="69"/>
      <c r="AF319" s="69"/>
      <c r="AG319" s="68" t="n">
        <f aca="false">IFERROR(AG315/AG316,"n/a")</f>
        <v>0.222533490473229</v>
      </c>
      <c r="AH319" s="69"/>
      <c r="AI319" s="69"/>
      <c r="AJ319" s="69"/>
      <c r="AK319" s="69"/>
      <c r="AL319" s="69"/>
      <c r="AM319" s="68" t="n">
        <f aca="false">IFERROR(AM315/AM316,"n/a")</f>
        <v>0.287177626578603</v>
      </c>
      <c r="AN319" s="69"/>
      <c r="AO319" s="69"/>
      <c r="AP319" s="69"/>
      <c r="AQ319" s="69"/>
      <c r="AR319" s="69"/>
      <c r="AS319" s="68" t="n">
        <f aca="false">IFERROR(AS315/AS316,"n/a")</f>
        <v>0.260014509112254</v>
      </c>
      <c r="AT319" s="69"/>
      <c r="AU319" s="69"/>
      <c r="AV319" s="69"/>
      <c r="AW319" s="69"/>
      <c r="AX319" s="69"/>
      <c r="AY319" s="68" t="n">
        <f aca="false">IFERROR(AY315/AY316,"n/a")</f>
        <v>0.304482230868151</v>
      </c>
      <c r="AZ319" s="69"/>
      <c r="BA319" s="69"/>
      <c r="BB319" s="69"/>
      <c r="BC319" s="69"/>
      <c r="BD319" s="69"/>
      <c r="BE319" s="68" t="n">
        <f aca="false">IFERROR(BE315/BE316,"n/a")</f>
        <v>0.298021316894148</v>
      </c>
      <c r="BF319" s="69"/>
      <c r="BG319" s="69"/>
      <c r="BH319" s="69"/>
      <c r="BI319" s="69"/>
      <c r="BJ319" s="69"/>
      <c r="BK319" s="68" t="n">
        <f aca="false">IFERROR(BK315/BK316,"n/a")</f>
        <v>0.33225321977019</v>
      </c>
      <c r="BL319" s="69"/>
      <c r="BM319" s="69"/>
      <c r="BN319" s="69"/>
      <c r="BO319" s="69"/>
      <c r="BP319" s="69"/>
      <c r="BQ319" s="68" t="n">
        <f aca="false">IFERROR(BQ315/BQ316,"n/a")</f>
        <v>0.346196696253066</v>
      </c>
      <c r="BR319" s="69"/>
      <c r="BS319" s="69"/>
      <c r="BT319" s="69"/>
      <c r="BU319" s="69"/>
      <c r="BV319" s="69"/>
      <c r="BW319" s="68" t="n">
        <f aca="false">IFERROR(BW315/BW316,"n/a")</f>
        <v>0.326121133745102</v>
      </c>
      <c r="BX319" s="69"/>
      <c r="BY319" s="69"/>
      <c r="BZ319" s="69"/>
      <c r="CA319" s="69"/>
      <c r="CB319" s="69"/>
      <c r="CC319" s="68" t="n">
        <f aca="false">IFERROR(CC315/CC316,"n/a")</f>
        <v>0.302104136457213</v>
      </c>
      <c r="CD319" s="69"/>
      <c r="CE319" s="69"/>
      <c r="CF319" s="69"/>
      <c r="CG319" s="69"/>
      <c r="CH319" s="69"/>
      <c r="CI319" s="68" t="n">
        <f aca="false">IFERROR(CI315/CI316,"n/a")</f>
        <v>0.317358888950565</v>
      </c>
      <c r="CJ319" s="69"/>
      <c r="CK319" s="69"/>
      <c r="CL319" s="69"/>
      <c r="CM319" s="69"/>
      <c r="CN319" s="69"/>
      <c r="CO319" s="68" t="n">
        <f aca="false">IFERROR(CO315/CO316,"n/a")</f>
        <v>0.288409433053147</v>
      </c>
      <c r="CP319" s="68" t="n">
        <f aca="false">IFERROR(CP315/CP316,"n/a")</f>
        <v>0.281184337022326</v>
      </c>
      <c r="CQ319" s="68" t="n">
        <f aca="false">IFERROR(CQ315/CQ316,"n/a")</f>
        <v>0.287602420791304</v>
      </c>
      <c r="CR319" s="68" t="n">
        <f aca="false">IFERROR(CR315/CR316,"n/a")</f>
        <v>0.294750478482278</v>
      </c>
      <c r="CS319" s="68" t="n">
        <f aca="false">IFERROR(CS315/CS316,"n/a")</f>
        <v>0.301684039030686</v>
      </c>
      <c r="CT319" s="68" t="n">
        <f aca="false">IFERROR(CT315/CT316,"n/a")</f>
        <v>0.308573879292657</v>
      </c>
      <c r="CU319" s="24"/>
      <c r="CW319" s="6"/>
      <c r="CX319" s="6"/>
      <c r="CY319" s="6"/>
      <c r="CZ319" s="6"/>
    </row>
    <row r="320" customFormat="false" ht="15" hidden="false" customHeight="false" outlineLevel="0" collapsed="false">
      <c r="B320" s="28" t="s">
        <v>457</v>
      </c>
      <c r="C320" s="35" t="n">
        <f aca="false">IFERROR(C313/C73,"n/a")</f>
        <v>0.314833768784137</v>
      </c>
      <c r="D320" s="35" t="n">
        <f aca="false">IFERROR(D313/D73,"n/a")</f>
        <v>0.363446172504816</v>
      </c>
      <c r="E320" s="35" t="n">
        <f aca="false">IFERROR(E313/E73,"n/a")</f>
        <v>0.308464823762053</v>
      </c>
      <c r="F320" s="35" t="n">
        <f aca="false">IFERROR(F313/F73,"n/a")</f>
        <v>0.304561273183848</v>
      </c>
      <c r="G320" s="35" t="n">
        <f aca="false">IFERROR(G313/G73,"n/a")</f>
        <v>0.30988809373783</v>
      </c>
      <c r="H320" s="35" t="n">
        <f aca="false">IFERROR(H313/H73,"n/a")</f>
        <v>0.306635971962038</v>
      </c>
      <c r="I320" s="35" t="n">
        <f aca="false">IFERROR(I313/I73,"n/a")</f>
        <v>0.312749204439342</v>
      </c>
      <c r="J320" s="35"/>
      <c r="K320" s="35"/>
      <c r="L320" s="35"/>
      <c r="M320" s="35"/>
      <c r="N320" s="35"/>
      <c r="O320" s="35" t="n">
        <f aca="false">IFERROR(O313/O73,"n/a")</f>
        <v>0.268302303541474</v>
      </c>
      <c r="P320" s="35"/>
      <c r="Q320" s="35"/>
      <c r="R320" s="35"/>
      <c r="S320" s="35"/>
      <c r="T320" s="35"/>
      <c r="U320" s="35" t="n">
        <f aca="false">IFERROR(U313/U73,"n/a")</f>
        <v>0.264219085870172</v>
      </c>
      <c r="V320" s="35"/>
      <c r="W320" s="35"/>
      <c r="X320" s="35"/>
      <c r="Y320" s="35"/>
      <c r="Z320" s="35"/>
      <c r="AA320" s="35" t="n">
        <f aca="false">IFERROR(AA313/AA73,"n/a")</f>
        <v>0.305593497762877</v>
      </c>
      <c r="AB320" s="35"/>
      <c r="AC320" s="35"/>
      <c r="AD320" s="35"/>
      <c r="AE320" s="35"/>
      <c r="AF320" s="35"/>
      <c r="AG320" s="35" t="n">
        <f aca="false">IFERROR(AG313/AG73,"n/a")</f>
        <v>0.323434926967832</v>
      </c>
      <c r="AH320" s="35"/>
      <c r="AI320" s="35"/>
      <c r="AJ320" s="35"/>
      <c r="AK320" s="35"/>
      <c r="AL320" s="35"/>
      <c r="AM320" s="35" t="n">
        <f aca="false">IFERROR(AM313/AM73,"n/a")</f>
        <v>0.336851194202312</v>
      </c>
      <c r="AN320" s="35"/>
      <c r="AO320" s="35"/>
      <c r="AP320" s="35"/>
      <c r="AQ320" s="35"/>
      <c r="AR320" s="35"/>
      <c r="AS320" s="35" t="n">
        <f aca="false">IFERROR(AS313/AS73,"n/a")</f>
        <v>0.330674793870398</v>
      </c>
      <c r="AT320" s="35"/>
      <c r="AU320" s="35"/>
      <c r="AV320" s="35"/>
      <c r="AW320" s="35"/>
      <c r="AX320" s="35"/>
      <c r="AY320" s="35" t="n">
        <f aca="false">IFERROR(AY313/AY73,"n/a")</f>
        <v>0.354118459236246</v>
      </c>
      <c r="AZ320" s="35"/>
      <c r="BA320" s="35"/>
      <c r="BB320" s="35"/>
      <c r="BC320" s="35"/>
      <c r="BD320" s="35"/>
      <c r="BE320" s="35" t="n">
        <f aca="false">IFERROR(BE313/BE73,"n/a")</f>
        <v>0.372517379758549</v>
      </c>
      <c r="BF320" s="35"/>
      <c r="BG320" s="35"/>
      <c r="BH320" s="35"/>
      <c r="BI320" s="35"/>
      <c r="BJ320" s="35"/>
      <c r="BK320" s="35" t="n">
        <f aca="false">IFERROR(BK313/BK73,"n/a")</f>
        <v>0.425517419736942</v>
      </c>
      <c r="BL320" s="35"/>
      <c r="BM320" s="35"/>
      <c r="BN320" s="35"/>
      <c r="BO320" s="35"/>
      <c r="BP320" s="35"/>
      <c r="BQ320" s="35" t="n">
        <f aca="false">IFERROR(BQ313/BQ73,"n/a")</f>
        <v>0.394521993879134</v>
      </c>
      <c r="BR320" s="35"/>
      <c r="BS320" s="35"/>
      <c r="BT320" s="35"/>
      <c r="BU320" s="35"/>
      <c r="BV320" s="35"/>
      <c r="BW320" s="35" t="n">
        <f aca="false">IFERROR(BW313/BW73,"n/a")</f>
        <v>0.38464739019175</v>
      </c>
      <c r="BX320" s="35"/>
      <c r="BY320" s="35"/>
      <c r="BZ320" s="35"/>
      <c r="CA320" s="35"/>
      <c r="CB320" s="35"/>
      <c r="CC320" s="35" t="n">
        <f aca="false">IFERROR(CC313/CC73,"n/a")</f>
        <v>0.37030765741217</v>
      </c>
      <c r="CD320" s="35"/>
      <c r="CE320" s="35"/>
      <c r="CF320" s="35"/>
      <c r="CG320" s="35"/>
      <c r="CH320" s="35"/>
      <c r="CI320" s="35" t="n">
        <f aca="false">IFERROR(CI313/CI73,"n/a")</f>
        <v>0.369418445357156</v>
      </c>
      <c r="CJ320" s="35"/>
      <c r="CK320" s="35"/>
      <c r="CL320" s="35"/>
      <c r="CM320" s="35"/>
      <c r="CN320" s="35"/>
      <c r="CO320" s="35" t="n">
        <f aca="false">IFERROR(CO313/CO73,"n/a")</f>
        <v>0.354260599985984</v>
      </c>
      <c r="CP320" s="45" t="n">
        <f aca="false">IFERROR(CP313/CP73,"n/a")</f>
        <v>0.35</v>
      </c>
      <c r="CQ320" s="45" t="n">
        <f aca="false">IFERROR(CQ313/CQ73,"n/a")</f>
        <v>0.355</v>
      </c>
      <c r="CR320" s="45" t="n">
        <f aca="false">IFERROR(CR313/CR73,"n/a")</f>
        <v>0.36</v>
      </c>
      <c r="CS320" s="45" t="n">
        <f aca="false">IFERROR(CS313/CS73,"n/a")</f>
        <v>0.365</v>
      </c>
      <c r="CT320" s="45" t="n">
        <f aca="false">IFERROR(CT313/CT73,"n/a")</f>
        <v>0.37</v>
      </c>
      <c r="CU320" s="24"/>
      <c r="CW320" s="6"/>
      <c r="CX320" s="6"/>
      <c r="CY320" s="6"/>
      <c r="CZ320" s="6"/>
    </row>
    <row r="321" customFormat="false" ht="15" hidden="false" customHeight="false" outlineLevel="0" collapsed="false">
      <c r="B321" s="15" t="s">
        <v>458</v>
      </c>
      <c r="C321" s="62" t="n">
        <f aca="false">IFERROR(C73/C316,"n/a")</f>
        <v>0.997078020070927</v>
      </c>
      <c r="D321" s="62" t="n">
        <f aca="false">IFERROR(D73/D316,"n/a")</f>
        <v>0.836062151441949</v>
      </c>
      <c r="E321" s="62" t="n">
        <f aca="false">IFERROR(E73/E316,"n/a")</f>
        <v>1.0326376700235</v>
      </c>
      <c r="F321" s="62" t="n">
        <f aca="false">IFERROR(F73/F316,"n/a")</f>
        <v>0.979327014317947</v>
      </c>
      <c r="G321" s="62" t="n">
        <f aca="false">IFERROR(G73/G316,"n/a")</f>
        <v>0.942941290579969</v>
      </c>
      <c r="H321" s="62" t="n">
        <f aca="false">IFERROR(H73/H316,"n/a")</f>
        <v>1.01788617127173</v>
      </c>
      <c r="I321" s="62" t="n">
        <f aca="false">IFERROR(I73/I316,"n/a")</f>
        <v>1.06827452680249</v>
      </c>
      <c r="J321" s="62"/>
      <c r="K321" s="62"/>
      <c r="L321" s="62"/>
      <c r="M321" s="62"/>
      <c r="N321" s="62"/>
      <c r="O321" s="62" t="n">
        <f aca="false">IFERROR(O73/O316,"n/a")</f>
        <v>0.97681070398711</v>
      </c>
      <c r="P321" s="62"/>
      <c r="Q321" s="62"/>
      <c r="R321" s="62"/>
      <c r="S321" s="62"/>
      <c r="T321" s="62"/>
      <c r="U321" s="62" t="n">
        <f aca="false">IFERROR(U73/U316,"n/a")</f>
        <v>1.01372881474072</v>
      </c>
      <c r="V321" s="62"/>
      <c r="W321" s="62"/>
      <c r="X321" s="62"/>
      <c r="Y321" s="62"/>
      <c r="Z321" s="62"/>
      <c r="AA321" s="62" t="n">
        <f aca="false">IFERROR(AA73/AA316,"n/a")</f>
        <v>0.994026710241239</v>
      </c>
      <c r="AB321" s="62"/>
      <c r="AC321" s="62"/>
      <c r="AD321" s="62"/>
      <c r="AE321" s="62"/>
      <c r="AF321" s="62"/>
      <c r="AG321" s="62" t="n">
        <f aca="false">IFERROR(AG73/AG316,"n/a")</f>
        <v>1.00742594506071</v>
      </c>
      <c r="AH321" s="62"/>
      <c r="AI321" s="62"/>
      <c r="AJ321" s="62"/>
      <c r="AK321" s="62"/>
      <c r="AL321" s="62"/>
      <c r="AM321" s="62" t="n">
        <f aca="false">IFERROR(AM73/AM316,"n/a")</f>
        <v>0.951656153181846</v>
      </c>
      <c r="AN321" s="62"/>
      <c r="AO321" s="62"/>
      <c r="AP321" s="62"/>
      <c r="AQ321" s="62"/>
      <c r="AR321" s="62"/>
      <c r="AS321" s="62" t="n">
        <f aca="false">IFERROR(AS73/AS316,"n/a")</f>
        <v>1.05814200835991</v>
      </c>
      <c r="AT321" s="62"/>
      <c r="AU321" s="62"/>
      <c r="AV321" s="62"/>
      <c r="AW321" s="62"/>
      <c r="AX321" s="62"/>
      <c r="AY321" s="62" t="n">
        <f aca="false">IFERROR(AY73/AY316,"n/a")</f>
        <v>1.02441489978132</v>
      </c>
      <c r="AZ321" s="62"/>
      <c r="BA321" s="62"/>
      <c r="BB321" s="62"/>
      <c r="BC321" s="62"/>
      <c r="BD321" s="62"/>
      <c r="BE321" s="62" t="n">
        <f aca="false">IFERROR(BE73/BE316,"n/a")</f>
        <v>0.915388954072072</v>
      </c>
      <c r="BF321" s="62"/>
      <c r="BG321" s="62"/>
      <c r="BH321" s="62"/>
      <c r="BI321" s="62"/>
      <c r="BJ321" s="62"/>
      <c r="BK321" s="62" t="n">
        <f aca="false">IFERROR(BK73/BK316,"n/a")</f>
        <v>0.935361812451083</v>
      </c>
      <c r="BL321" s="62"/>
      <c r="BM321" s="62"/>
      <c r="BN321" s="62"/>
      <c r="BO321" s="62"/>
      <c r="BP321" s="62"/>
      <c r="BQ321" s="62" t="n">
        <f aca="false">IFERROR(BQ73/BQ316,"n/a")</f>
        <v>1.07941211564924</v>
      </c>
      <c r="BR321" s="62"/>
      <c r="BS321" s="62"/>
      <c r="BT321" s="62"/>
      <c r="BU321" s="62"/>
      <c r="BV321" s="62"/>
      <c r="BW321" s="62" t="n">
        <f aca="false">IFERROR(BW73/BW316,"n/a")</f>
        <v>1.06470439491531</v>
      </c>
      <c r="BX321" s="62"/>
      <c r="BY321" s="62"/>
      <c r="BZ321" s="62"/>
      <c r="CA321" s="62"/>
      <c r="CB321" s="62"/>
      <c r="CC321" s="62" t="n">
        <f aca="false">IFERROR(CC73/CC316,"n/a")</f>
        <v>1.02676087637714</v>
      </c>
      <c r="CD321" s="62"/>
      <c r="CE321" s="62"/>
      <c r="CF321" s="62"/>
      <c r="CG321" s="62"/>
      <c r="CH321" s="62"/>
      <c r="CI321" s="62" t="n">
        <f aca="false">IFERROR(CI73/CI316,"n/a")</f>
        <v>1.05172368137848</v>
      </c>
      <c r="CJ321" s="62"/>
      <c r="CK321" s="62"/>
      <c r="CL321" s="62"/>
      <c r="CM321" s="62"/>
      <c r="CN321" s="62"/>
      <c r="CO321" s="62" t="n">
        <f aca="false">IFERROR(CO73/CO316,"n/a")</f>
        <v>1.00911122173977</v>
      </c>
      <c r="CP321" s="63" t="n">
        <f aca="false">IFERROR(CP73/CP316,"n/a")</f>
        <v>1.01054568561483</v>
      </c>
      <c r="CQ321" s="63" t="n">
        <f aca="false">IFERROR(CQ73/CQ316,"n/a")</f>
        <v>1.01905366566146</v>
      </c>
      <c r="CR321" s="63" t="n">
        <f aca="false">IFERROR(CR73/CR316,"n/a")</f>
        <v>1.02987588568231</v>
      </c>
      <c r="CS321" s="63" t="n">
        <f aca="false">IFERROR(CS73/CS316,"n/a")</f>
        <v>1.03966240727384</v>
      </c>
      <c r="CT321" s="63" t="n">
        <f aca="false">IFERROR(CT73/CT316,"n/a")</f>
        <v>1.04903579565751</v>
      </c>
      <c r="CU321" s="24"/>
      <c r="CW321" s="6"/>
      <c r="CX321" s="6"/>
      <c r="CY321" s="6"/>
      <c r="CZ321" s="6"/>
    </row>
    <row r="322" customFormat="false" ht="15" hidden="false" customHeight="false" outlineLevel="0" collapsed="false">
      <c r="B322" s="28" t="s">
        <v>459</v>
      </c>
      <c r="C322" s="35" t="n">
        <f aca="false">IFERROR(1-C314,"n/a")</f>
        <v>0.645534660386656</v>
      </c>
      <c r="D322" s="35" t="n">
        <f aca="false">IFERROR(1-D314,"n/a")</f>
        <v>0.627069142355154</v>
      </c>
      <c r="E322" s="35" t="n">
        <f aca="false">IFERROR(1-E314,"n/a")</f>
        <v>0.628608051271781</v>
      </c>
      <c r="F322" s="35" t="n">
        <f aca="false">IFERROR(1-F314,"n/a")</f>
        <v>0.612764126253667</v>
      </c>
      <c r="G322" s="35" t="n">
        <f aca="false">IFERROR(1-G314,"n/a")</f>
        <v>0.633111338441304</v>
      </c>
      <c r="H322" s="35" t="n">
        <f aca="false">IFERROR(1-H314,"n/a")</f>
        <v>0.630502089988897</v>
      </c>
      <c r="I322" s="35" t="n">
        <f aca="false">IFERROR(1-I314,"n/a")</f>
        <v>0.654972379664528</v>
      </c>
      <c r="J322" s="35"/>
      <c r="K322" s="35"/>
      <c r="L322" s="35"/>
      <c r="M322" s="35"/>
      <c r="N322" s="35"/>
      <c r="O322" s="35" t="n">
        <f aca="false">IFERROR(1-O314,"n/a")</f>
        <v>0.650210205437892</v>
      </c>
      <c r="P322" s="35"/>
      <c r="Q322" s="35"/>
      <c r="R322" s="35"/>
      <c r="S322" s="35"/>
      <c r="T322" s="35"/>
      <c r="U322" s="35" t="n">
        <f aca="false">IFERROR(1-U314,"n/a")</f>
        <v>0.661717925454108</v>
      </c>
      <c r="V322" s="35"/>
      <c r="W322" s="35"/>
      <c r="X322" s="35"/>
      <c r="Y322" s="35"/>
      <c r="Z322" s="35"/>
      <c r="AA322" s="35" t="n">
        <f aca="false">IFERROR(1-AA314,"n/a")</f>
        <v>0.661859432828719</v>
      </c>
      <c r="AB322" s="35"/>
      <c r="AC322" s="35"/>
      <c r="AD322" s="35"/>
      <c r="AE322" s="35"/>
      <c r="AF322" s="35"/>
      <c r="AG322" s="35" t="n">
        <f aca="false">IFERROR(1-AG314,"n/a")</f>
        <v>0.682960100034102</v>
      </c>
      <c r="AH322" s="35"/>
      <c r="AI322" s="35"/>
      <c r="AJ322" s="35"/>
      <c r="AK322" s="35"/>
      <c r="AL322" s="35"/>
      <c r="AM322" s="35" t="n">
        <f aca="false">IFERROR(1-AM314,"n/a")</f>
        <v>0.895844126334924</v>
      </c>
      <c r="AN322" s="35"/>
      <c r="AO322" s="35"/>
      <c r="AP322" s="35"/>
      <c r="AQ322" s="35"/>
      <c r="AR322" s="35"/>
      <c r="AS322" s="35" t="n">
        <f aca="false">IFERROR(1-AS314,"n/a")</f>
        <v>0.74310902364576</v>
      </c>
      <c r="AT322" s="35"/>
      <c r="AU322" s="35"/>
      <c r="AV322" s="35"/>
      <c r="AW322" s="35"/>
      <c r="AX322" s="35"/>
      <c r="AY322" s="35" t="n">
        <f aca="false">IFERROR(1-AY314,"n/a")</f>
        <v>0.839339188113784</v>
      </c>
      <c r="AZ322" s="35"/>
      <c r="BA322" s="35"/>
      <c r="BB322" s="35"/>
      <c r="BC322" s="35"/>
      <c r="BD322" s="35"/>
      <c r="BE322" s="35" t="n">
        <f aca="false">IFERROR(1-BE314,"n/a")</f>
        <v>0.873967176923202</v>
      </c>
      <c r="BF322" s="35"/>
      <c r="BG322" s="35"/>
      <c r="BH322" s="35"/>
      <c r="BI322" s="35"/>
      <c r="BJ322" s="35"/>
      <c r="BK322" s="35" t="n">
        <f aca="false">IFERROR(1-BK314,"n/a")</f>
        <v>0.834780353096593</v>
      </c>
      <c r="BL322" s="35"/>
      <c r="BM322" s="35"/>
      <c r="BN322" s="35"/>
      <c r="BO322" s="35"/>
      <c r="BP322" s="35"/>
      <c r="BQ322" s="35" t="n">
        <f aca="false">IFERROR(1-BQ314,"n/a")</f>
        <v>0.812951078113045</v>
      </c>
      <c r="BR322" s="35"/>
      <c r="BS322" s="35"/>
      <c r="BT322" s="35"/>
      <c r="BU322" s="35"/>
      <c r="BV322" s="35"/>
      <c r="BW322" s="35" t="n">
        <f aca="false">IFERROR(1-BW314,"n/a")</f>
        <v>0.796319052349311</v>
      </c>
      <c r="BX322" s="35"/>
      <c r="BY322" s="35"/>
      <c r="BZ322" s="35"/>
      <c r="CA322" s="35"/>
      <c r="CB322" s="35"/>
      <c r="CC322" s="35" t="n">
        <f aca="false">IFERROR(1-CC314,"n/a")</f>
        <v>0.794556284523338</v>
      </c>
      <c r="CD322" s="35"/>
      <c r="CE322" s="35"/>
      <c r="CF322" s="35"/>
      <c r="CG322" s="35"/>
      <c r="CH322" s="35"/>
      <c r="CI322" s="35" t="n">
        <f aca="false">IFERROR(1-CI314,"n/a")</f>
        <v>0.8168276639194</v>
      </c>
      <c r="CJ322" s="35"/>
      <c r="CK322" s="35"/>
      <c r="CL322" s="35"/>
      <c r="CM322" s="35"/>
      <c r="CN322" s="35"/>
      <c r="CO322" s="35" t="n">
        <f aca="false">IFERROR(1-CO314,"n/a")</f>
        <v>0.806765970363661</v>
      </c>
      <c r="CP322" s="45" t="n">
        <f aca="false">IFERROR(1-CP314,"n/a")</f>
        <v>0.795</v>
      </c>
      <c r="CQ322" s="45" t="n">
        <f aca="false">IFERROR(1-CQ314,"n/a")</f>
        <v>0.795</v>
      </c>
      <c r="CR322" s="45" t="n">
        <f aca="false">IFERROR(1-CR314,"n/a")</f>
        <v>0.795</v>
      </c>
      <c r="CS322" s="45" t="n">
        <f aca="false">IFERROR(1-CS314,"n/a")</f>
        <v>0.795</v>
      </c>
      <c r="CT322" s="45" t="n">
        <f aca="false">IFERROR(1-CT314,"n/a")</f>
        <v>0.795</v>
      </c>
      <c r="CU322" s="24"/>
      <c r="CW322" s="6"/>
      <c r="CX322" s="6"/>
      <c r="CY322" s="6"/>
      <c r="CZ322" s="6"/>
    </row>
    <row r="323" customFormat="false" ht="15" hidden="false" customHeight="false" outlineLevel="0" collapsed="false">
      <c r="B323" s="28" t="s">
        <v>460</v>
      </c>
      <c r="C323" s="35" t="n">
        <f aca="false">IFERROR(C320*C321*C322,"n/a")</f>
        <v>0.202642258176006</v>
      </c>
      <c r="D323" s="35" t="n">
        <f aca="false">IFERROR(D320*D321*D322,"n/a")</f>
        <v>0.190543480095592</v>
      </c>
      <c r="E323" s="35" t="n">
        <f aca="false">IFERROR(E320*E321*E322,"n/a")</f>
        <v>0.200232029278376</v>
      </c>
      <c r="F323" s="35" t="n">
        <f aca="false">IFERROR(F320*F321*F322,"n/a")</f>
        <v>0.182766142574505</v>
      </c>
      <c r="G323" s="35" t="n">
        <f aca="false">IFERROR(G320*G321*G322,"n/a")</f>
        <v>0.184999108426826</v>
      </c>
      <c r="H323" s="35" t="n">
        <f aca="false">IFERROR(H320*H321*H322,"n/a")</f>
        <v>0.196792637335163</v>
      </c>
      <c r="I323" s="35" t="n">
        <f aca="false">IFERROR(I320*I321*I322,"n/a")</f>
        <v>0.218827587479538</v>
      </c>
      <c r="J323" s="35"/>
      <c r="K323" s="35"/>
      <c r="L323" s="35"/>
      <c r="M323" s="35"/>
      <c r="N323" s="35"/>
      <c r="O323" s="35" t="n">
        <f aca="false">IFERROR(O320*O321*O322,"n/a")</f>
        <v>0.170407456061711</v>
      </c>
      <c r="P323" s="35"/>
      <c r="Q323" s="35"/>
      <c r="R323" s="35"/>
      <c r="S323" s="35"/>
      <c r="T323" s="35"/>
      <c r="U323" s="35" t="n">
        <f aca="false">IFERROR(U320*U321*U322,"n/a")</f>
        <v>0.177238830817125</v>
      </c>
      <c r="V323" s="35"/>
      <c r="W323" s="35"/>
      <c r="X323" s="35"/>
      <c r="Y323" s="35"/>
      <c r="Z323" s="35"/>
      <c r="AA323" s="35" t="n">
        <f aca="false">IFERROR(AA320*AA321*AA322,"n/a")</f>
        <v>0.201051781882616</v>
      </c>
      <c r="AB323" s="35"/>
      <c r="AC323" s="35"/>
      <c r="AD323" s="35"/>
      <c r="AE323" s="35"/>
      <c r="AF323" s="35"/>
      <c r="AG323" s="35" t="n">
        <f aca="false">IFERROR(AG320*AG321*AG322,"n/a")</f>
        <v>0.222533490473229</v>
      </c>
      <c r="AH323" s="35"/>
      <c r="AI323" s="35"/>
      <c r="AJ323" s="35"/>
      <c r="AK323" s="35"/>
      <c r="AL323" s="35"/>
      <c r="AM323" s="35" t="n">
        <f aca="false">IFERROR(AM320*AM321*AM322,"n/a")</f>
        <v>0.287177626578603</v>
      </c>
      <c r="AN323" s="35"/>
      <c r="AO323" s="35"/>
      <c r="AP323" s="35"/>
      <c r="AQ323" s="35"/>
      <c r="AR323" s="35"/>
      <c r="AS323" s="35" t="n">
        <f aca="false">IFERROR(AS320*AS321*AS322,"n/a")</f>
        <v>0.260014509112254</v>
      </c>
      <c r="AT323" s="35"/>
      <c r="AU323" s="35"/>
      <c r="AV323" s="35"/>
      <c r="AW323" s="35"/>
      <c r="AX323" s="35"/>
      <c r="AY323" s="35" t="n">
        <f aca="false">IFERROR(AY320*AY321*AY322,"n/a")</f>
        <v>0.304482230868151</v>
      </c>
      <c r="AZ323" s="35"/>
      <c r="BA323" s="35"/>
      <c r="BB323" s="35"/>
      <c r="BC323" s="35"/>
      <c r="BD323" s="35"/>
      <c r="BE323" s="35" t="n">
        <f aca="false">IFERROR(BE320*BE321*BE322,"n/a")</f>
        <v>0.298021316894148</v>
      </c>
      <c r="BF323" s="35"/>
      <c r="BG323" s="35"/>
      <c r="BH323" s="35"/>
      <c r="BI323" s="35"/>
      <c r="BJ323" s="35"/>
      <c r="BK323" s="35" t="n">
        <f aca="false">IFERROR(BK320*BK321*BK322,"n/a")</f>
        <v>0.33225321977019</v>
      </c>
      <c r="BL323" s="35"/>
      <c r="BM323" s="35"/>
      <c r="BN323" s="35"/>
      <c r="BO323" s="35"/>
      <c r="BP323" s="35"/>
      <c r="BQ323" s="35" t="n">
        <f aca="false">IFERROR(BQ320*BQ321*BQ322,"n/a")</f>
        <v>0.346196696253066</v>
      </c>
      <c r="BR323" s="35"/>
      <c r="BS323" s="35"/>
      <c r="BT323" s="35"/>
      <c r="BU323" s="35"/>
      <c r="BV323" s="35"/>
      <c r="BW323" s="35" t="n">
        <f aca="false">IFERROR(BW320*BW321*BW322,"n/a")</f>
        <v>0.326121133745102</v>
      </c>
      <c r="BX323" s="35"/>
      <c r="BY323" s="35"/>
      <c r="BZ323" s="35"/>
      <c r="CA323" s="35"/>
      <c r="CB323" s="35"/>
      <c r="CC323" s="35" t="n">
        <f aca="false">IFERROR(CC320*CC321*CC322,"n/a")</f>
        <v>0.302104136457213</v>
      </c>
      <c r="CD323" s="35"/>
      <c r="CE323" s="35"/>
      <c r="CF323" s="35"/>
      <c r="CG323" s="35"/>
      <c r="CH323" s="35"/>
      <c r="CI323" s="35" t="n">
        <f aca="false">IFERROR(CI320*CI321*CI322,"n/a")</f>
        <v>0.317358888950565</v>
      </c>
      <c r="CJ323" s="35"/>
      <c r="CK323" s="35"/>
      <c r="CL323" s="35"/>
      <c r="CM323" s="35"/>
      <c r="CN323" s="35"/>
      <c r="CO323" s="35" t="n">
        <f aca="false">IFERROR(CO320*CO321*CO322,"n/a")</f>
        <v>0.288409433053147</v>
      </c>
      <c r="CP323" s="45" t="n">
        <f aca="false">IFERROR(CP320*CP321*CP322,"n/a")</f>
        <v>0.281184337022326</v>
      </c>
      <c r="CQ323" s="45" t="n">
        <f aca="false">IFERROR(CQ320*CQ321*CQ322,"n/a")</f>
        <v>0.287602420791305</v>
      </c>
      <c r="CR323" s="45" t="n">
        <f aca="false">IFERROR(CR320*CR321*CR322,"n/a")</f>
        <v>0.294750478482278</v>
      </c>
      <c r="CS323" s="45" t="n">
        <f aca="false">IFERROR(CS320*CS321*CS322,"n/a")</f>
        <v>0.301684039030686</v>
      </c>
      <c r="CT323" s="45" t="n">
        <f aca="false">IFERROR(CT320*CT321*CT322,"n/a")</f>
        <v>0.308573879292657</v>
      </c>
      <c r="CU323" s="24"/>
      <c r="CW323" s="6"/>
      <c r="CX323" s="6"/>
      <c r="CY323" s="6"/>
      <c r="CZ323" s="6"/>
    </row>
    <row r="324" customFormat="false" ht="15" hidden="false" customHeight="false" outlineLevel="0" collapsed="false">
      <c r="B324" s="15"/>
      <c r="CP324" s="6"/>
      <c r="CQ324" s="6"/>
      <c r="CR324" s="6"/>
      <c r="CS324" s="6"/>
      <c r="CT324" s="6"/>
      <c r="CU324" s="6"/>
    </row>
    <row r="325" customFormat="false" ht="15" hidden="false" customHeight="false" outlineLevel="0" collapsed="false">
      <c r="B325" s="16" t="s">
        <v>461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7"/>
    </row>
    <row r="326" customFormat="false" ht="15" hidden="false" customHeight="false" outlineLevel="0" collapsed="false">
      <c r="B326" s="28" t="s">
        <v>452</v>
      </c>
      <c r="C326" s="39" t="n">
        <f aca="false">C315</f>
        <v>107.424713904264</v>
      </c>
      <c r="D326" s="39" t="n">
        <f aca="false">D315</f>
        <v>127.782268621706</v>
      </c>
      <c r="E326" s="39" t="n">
        <f aca="false">E315</f>
        <v>152.184751996796</v>
      </c>
      <c r="F326" s="39" t="n">
        <f aca="false">F315</f>
        <v>138.677100468972</v>
      </c>
      <c r="G326" s="39" t="n">
        <f aca="false">G315</f>
        <v>151.633964224723</v>
      </c>
      <c r="H326" s="39" t="n">
        <f aca="false">H315</f>
        <v>168.63534999261</v>
      </c>
      <c r="I326" s="39" t="n">
        <f aca="false">I315</f>
        <v>189.313216618235</v>
      </c>
      <c r="J326" s="39"/>
      <c r="K326" s="39"/>
      <c r="L326" s="39"/>
      <c r="M326" s="39"/>
      <c r="N326" s="39"/>
      <c r="O326" s="39" t="n">
        <f aca="false">O315</f>
        <v>182.545067934618</v>
      </c>
      <c r="P326" s="39"/>
      <c r="Q326" s="39"/>
      <c r="R326" s="39"/>
      <c r="S326" s="39"/>
      <c r="T326" s="39"/>
      <c r="U326" s="39" t="n">
        <f aca="false">U315</f>
        <v>203.4226777714</v>
      </c>
      <c r="V326" s="39"/>
      <c r="W326" s="39"/>
      <c r="X326" s="39"/>
      <c r="Y326" s="39"/>
      <c r="Z326" s="39"/>
      <c r="AA326" s="39" t="n">
        <f aca="false">AA315</f>
        <v>231.805868750072</v>
      </c>
      <c r="AB326" s="39"/>
      <c r="AC326" s="39"/>
      <c r="AD326" s="39"/>
      <c r="AE326" s="39"/>
      <c r="AF326" s="39"/>
      <c r="AG326" s="39" t="n">
        <f aca="false">AG315</f>
        <v>280.191695321352</v>
      </c>
      <c r="AH326" s="39"/>
      <c r="AI326" s="39"/>
      <c r="AJ326" s="39"/>
      <c r="AK326" s="39"/>
      <c r="AL326" s="39"/>
      <c r="AM326" s="39" t="n">
        <f aca="false">AM315</f>
        <v>436.951671589155</v>
      </c>
      <c r="AN326" s="39"/>
      <c r="AO326" s="39"/>
      <c r="AP326" s="39"/>
      <c r="AQ326" s="39"/>
      <c r="AR326" s="39"/>
      <c r="AS326" s="39" t="n">
        <f aca="false">AS315</f>
        <v>443.708779466352</v>
      </c>
      <c r="AT326" s="39"/>
      <c r="AU326" s="39"/>
      <c r="AV326" s="39"/>
      <c r="AW326" s="39"/>
      <c r="AX326" s="39"/>
      <c r="AY326" s="39" t="n">
        <f aca="false">AY315</f>
        <v>606.921690449407</v>
      </c>
      <c r="AZ326" s="39"/>
      <c r="BA326" s="39"/>
      <c r="BB326" s="39"/>
      <c r="BC326" s="39"/>
      <c r="BD326" s="39"/>
      <c r="BE326" s="39" t="n">
        <f aca="false">BE315</f>
        <v>718.067163969287</v>
      </c>
      <c r="BF326" s="39"/>
      <c r="BG326" s="39"/>
      <c r="BH326" s="39"/>
      <c r="BI326" s="39"/>
      <c r="BJ326" s="39"/>
      <c r="BK326" s="39" t="n">
        <f aca="false">BK315</f>
        <v>956.416476606415</v>
      </c>
      <c r="BL326" s="39"/>
      <c r="BM326" s="39"/>
      <c r="BN326" s="39"/>
      <c r="BO326" s="39"/>
      <c r="BP326" s="39"/>
      <c r="BQ326" s="39" t="n">
        <f aca="false">BQ315</f>
        <v>1122.84017056265</v>
      </c>
      <c r="BR326" s="39"/>
      <c r="BS326" s="39"/>
      <c r="BT326" s="39"/>
      <c r="BU326" s="39"/>
      <c r="BV326" s="39"/>
      <c r="BW326" s="39" t="n">
        <f aca="false">BW315</f>
        <v>1185.24127751671</v>
      </c>
      <c r="BX326" s="39"/>
      <c r="BY326" s="39"/>
      <c r="BZ326" s="39"/>
      <c r="CA326" s="39"/>
      <c r="CB326" s="39"/>
      <c r="CC326" s="39" t="n">
        <f aca="false">CC315</f>
        <v>1246.60160236463</v>
      </c>
      <c r="CD326" s="39"/>
      <c r="CE326" s="39"/>
      <c r="CF326" s="39"/>
      <c r="CG326" s="39"/>
      <c r="CH326" s="39"/>
      <c r="CI326" s="39" t="n">
        <f aca="false">CI315</f>
        <v>1402.22517947584</v>
      </c>
      <c r="CJ326" s="39"/>
      <c r="CK326" s="39"/>
      <c r="CL326" s="39"/>
      <c r="CM326" s="39"/>
      <c r="CN326" s="39"/>
      <c r="CO326" s="39" t="n">
        <f aca="false">CO315</f>
        <v>1333.62771437353</v>
      </c>
      <c r="CP326" s="40" t="n">
        <f aca="false">CP315</f>
        <v>1359.74018408288</v>
      </c>
      <c r="CQ326" s="40" t="n">
        <f aca="false">CQ315</f>
        <v>1460.09939645331</v>
      </c>
      <c r="CR326" s="40" t="n">
        <f aca="false">CR315</f>
        <v>1572.27636038142</v>
      </c>
      <c r="CS326" s="40" t="n">
        <f aca="false">CS315</f>
        <v>1691.81988754533</v>
      </c>
      <c r="CT326" s="40" t="n">
        <f aca="false">CT315</f>
        <v>1820.27649000747</v>
      </c>
      <c r="CU326" s="24"/>
      <c r="CW326" s="6"/>
      <c r="CX326" s="6"/>
      <c r="CY326" s="6"/>
      <c r="CZ326" s="6"/>
    </row>
    <row r="327" customFormat="false" ht="15" hidden="false" customHeight="false" outlineLevel="0" collapsed="false">
      <c r="B327" s="28" t="s">
        <v>462</v>
      </c>
      <c r="C327" s="39" t="n">
        <f aca="false">C256</f>
        <v>899.24</v>
      </c>
      <c r="D327" s="39" t="n">
        <f aca="false">D256</f>
        <v>1014.6</v>
      </c>
      <c r="E327" s="39" t="n">
        <f aca="false">E256</f>
        <v>956.247</v>
      </c>
      <c r="F327" s="39" t="n">
        <f aca="false">F256</f>
        <v>1058.032</v>
      </c>
      <c r="G327" s="39" t="n">
        <f aca="false">G256</f>
        <v>1228.812</v>
      </c>
      <c r="H327" s="39" t="n">
        <f aca="false">H256</f>
        <v>1084.436</v>
      </c>
      <c r="I327" s="39" t="n">
        <f aca="false">I256</f>
        <v>1154</v>
      </c>
      <c r="J327" s="39"/>
      <c r="K327" s="39"/>
      <c r="L327" s="39"/>
      <c r="M327" s="39"/>
      <c r="N327" s="39"/>
      <c r="O327" s="39" t="n">
        <f aca="false">O256</f>
        <v>1334.481</v>
      </c>
      <c r="P327" s="39"/>
      <c r="Q327" s="39"/>
      <c r="R327" s="39"/>
      <c r="S327" s="39"/>
      <c r="T327" s="39"/>
      <c r="U327" s="39" t="n">
        <f aca="false">U256</f>
        <v>1506.121</v>
      </c>
      <c r="V327" s="39"/>
      <c r="W327" s="39"/>
      <c r="X327" s="39"/>
      <c r="Y327" s="39"/>
      <c r="Z327" s="39"/>
      <c r="AA327" s="39" t="n">
        <f aca="false">AA256</f>
        <v>1798.66</v>
      </c>
      <c r="AB327" s="39"/>
      <c r="AC327" s="39"/>
      <c r="AD327" s="39"/>
      <c r="AE327" s="39"/>
      <c r="AF327" s="39"/>
      <c r="AG327" s="39" t="n">
        <f aca="false">AG256</f>
        <v>1649.82</v>
      </c>
      <c r="AH327" s="39"/>
      <c r="AI327" s="39"/>
      <c r="AJ327" s="39"/>
      <c r="AK327" s="39"/>
      <c r="AL327" s="39"/>
      <c r="AM327" s="39" t="n">
        <f aca="false">AM256</f>
        <v>1982.501</v>
      </c>
      <c r="AN327" s="39"/>
      <c r="AO327" s="39"/>
      <c r="AP327" s="39"/>
      <c r="AQ327" s="39"/>
      <c r="AR327" s="39"/>
      <c r="AS327" s="39" t="n">
        <f aca="false">AS256</f>
        <v>2307.698</v>
      </c>
      <c r="AT327" s="39"/>
      <c r="AU327" s="39"/>
      <c r="AV327" s="39"/>
      <c r="AW327" s="39"/>
      <c r="AX327" s="39"/>
      <c r="AY327" s="39" t="n">
        <f aca="false">AY256</f>
        <v>2547.617</v>
      </c>
      <c r="AZ327" s="39"/>
      <c r="BA327" s="39"/>
      <c r="BB327" s="39"/>
      <c r="BC327" s="39"/>
      <c r="BD327" s="39"/>
      <c r="BE327" s="39" t="n">
        <f aca="false">BE256</f>
        <v>3455.261</v>
      </c>
      <c r="BF327" s="39"/>
      <c r="BG327" s="39"/>
      <c r="BH327" s="39"/>
      <c r="BI327" s="39"/>
      <c r="BJ327" s="39"/>
      <c r="BK327" s="39" t="n">
        <f aca="false">BK256</f>
        <v>4562.143</v>
      </c>
      <c r="BL327" s="39"/>
      <c r="BM327" s="39"/>
      <c r="BN327" s="39"/>
      <c r="BO327" s="39"/>
      <c r="BP327" s="39"/>
      <c r="BQ327" s="39" t="n">
        <f aca="false">BQ256</f>
        <v>5308.864</v>
      </c>
      <c r="BR327" s="39"/>
      <c r="BS327" s="39"/>
      <c r="BT327" s="39"/>
      <c r="BU327" s="39"/>
      <c r="BV327" s="39"/>
      <c r="BW327" s="39" t="n">
        <f aca="false">BW256</f>
        <v>6737.879</v>
      </c>
      <c r="BX327" s="39"/>
      <c r="BY327" s="39"/>
      <c r="BZ327" s="39"/>
      <c r="CA327" s="39"/>
      <c r="CB327" s="39"/>
      <c r="CC327" s="39" t="n">
        <f aca="false">CC256</f>
        <v>8427.764</v>
      </c>
      <c r="CD327" s="39"/>
      <c r="CE327" s="39"/>
      <c r="CF327" s="39"/>
      <c r="CG327" s="39"/>
      <c r="CH327" s="39"/>
      <c r="CI327" s="39" t="n">
        <f aca="false">CI256</f>
        <v>10090.902</v>
      </c>
      <c r="CJ327" s="39"/>
      <c r="CK327" s="39"/>
      <c r="CL327" s="39"/>
      <c r="CM327" s="39"/>
      <c r="CN327" s="39"/>
      <c r="CO327" s="39" t="n">
        <f aca="false">CO256</f>
        <v>10027.81</v>
      </c>
      <c r="CP327" s="40" t="n">
        <f aca="false">CP256</f>
        <v>9695.66822602759</v>
      </c>
      <c r="CQ327" s="40" t="n">
        <f aca="false">CQ256</f>
        <v>10268.5682709703</v>
      </c>
      <c r="CR327" s="40" t="n">
        <f aca="false">CR256</f>
        <v>10895.6890319859</v>
      </c>
      <c r="CS327" s="40" t="n">
        <f aca="false">CS256</f>
        <v>11561.5558022881</v>
      </c>
      <c r="CT327" s="40" t="n">
        <f aca="false">CT256</f>
        <v>12272.3951463122</v>
      </c>
      <c r="CU327" s="24"/>
      <c r="CW327" s="6"/>
      <c r="CX327" s="6"/>
      <c r="CY327" s="6"/>
      <c r="CZ327" s="6"/>
    </row>
    <row r="328" customFormat="false" ht="15" hidden="false" customHeight="false" outlineLevel="0" collapsed="false">
      <c r="B328" s="28" t="s">
        <v>463</v>
      </c>
      <c r="C328" s="39" t="n">
        <f aca="false">IFERROR(-(C254+C253),"")</f>
        <v>-114.165</v>
      </c>
      <c r="D328" s="39" t="n">
        <f aca="false">IFERROR(-(D254+D253),"")</f>
        <v>-189.087</v>
      </c>
      <c r="E328" s="39" t="n">
        <f aca="false">IFERROR(-(E254+E253),"")</f>
        <v>-199.065</v>
      </c>
      <c r="F328" s="39" t="n">
        <f aca="false">IFERROR(-(F254+F253),"")</f>
        <v>-181.539</v>
      </c>
      <c r="G328" s="39" t="n">
        <f aca="false">IFERROR(-(G254+G253),"")</f>
        <v>-188.886</v>
      </c>
      <c r="H328" s="39" t="n">
        <f aca="false">IFERROR(-(H254+H253),"")</f>
        <v>-211.368</v>
      </c>
      <c r="I328" s="39" t="n">
        <f aca="false">IFERROR(-(I254+I253),"")</f>
        <v>-204.423</v>
      </c>
      <c r="J328" s="39"/>
      <c r="K328" s="39"/>
      <c r="L328" s="39"/>
      <c r="M328" s="39"/>
      <c r="N328" s="39"/>
      <c r="O328" s="39" t="n">
        <f aca="false">IFERROR(-(O254+O253),"")</f>
        <v>-285.169</v>
      </c>
      <c r="P328" s="39"/>
      <c r="Q328" s="39"/>
      <c r="R328" s="39"/>
      <c r="S328" s="39"/>
      <c r="T328" s="39"/>
      <c r="U328" s="39" t="n">
        <f aca="false">IFERROR(-(U254+U253),"")</f>
        <v>-309.022</v>
      </c>
      <c r="V328" s="39"/>
      <c r="W328" s="39"/>
      <c r="X328" s="39"/>
      <c r="Y328" s="39"/>
      <c r="Z328" s="39"/>
      <c r="AA328" s="39" t="n">
        <f aca="false">IFERROR(-(AA254+AA253),"")</f>
        <v>-289.707</v>
      </c>
      <c r="AB328" s="39"/>
      <c r="AC328" s="39"/>
      <c r="AD328" s="39"/>
      <c r="AE328" s="39"/>
      <c r="AF328" s="39"/>
      <c r="AG328" s="39" t="n">
        <f aca="false">IFERROR(-(AG254+AG253),"")</f>
        <v>-271.959</v>
      </c>
      <c r="AH328" s="39"/>
      <c r="AI328" s="39"/>
      <c r="AJ328" s="39"/>
      <c r="AK328" s="39"/>
      <c r="AL328" s="39"/>
      <c r="AM328" s="39" t="n">
        <f aca="false">IFERROR(-(AM254+AM253),"")</f>
        <v>-416.181</v>
      </c>
      <c r="AN328" s="39"/>
      <c r="AO328" s="39"/>
      <c r="AP328" s="39"/>
      <c r="AQ328" s="39"/>
      <c r="AR328" s="39"/>
      <c r="AS328" s="39" t="n">
        <f aca="false">IFERROR(-(AS254+AS253),"")</f>
        <v>-402.127</v>
      </c>
      <c r="AT328" s="39"/>
      <c r="AU328" s="39"/>
      <c r="AV328" s="39"/>
      <c r="AW328" s="39"/>
      <c r="AX328" s="39"/>
      <c r="AY328" s="39" t="n">
        <f aca="false">IFERROR(-(AY254+AY253),"")</f>
        <v>-388.477</v>
      </c>
      <c r="AZ328" s="39"/>
      <c r="BA328" s="39"/>
      <c r="BB328" s="39"/>
      <c r="BC328" s="39"/>
      <c r="BD328" s="39"/>
      <c r="BE328" s="39" t="n">
        <f aca="false">IFERROR(-(BE254+BE253),"")</f>
        <v>-391.394</v>
      </c>
      <c r="BF328" s="39"/>
      <c r="BG328" s="39"/>
      <c r="BH328" s="39"/>
      <c r="BI328" s="39"/>
      <c r="BJ328" s="39"/>
      <c r="BK328" s="39" t="n">
        <f aca="false">IFERROR(-(BK254+BK253),"")</f>
        <v>-401.59</v>
      </c>
      <c r="BL328" s="39"/>
      <c r="BM328" s="39"/>
      <c r="BN328" s="39"/>
      <c r="BO328" s="39"/>
      <c r="BP328" s="39"/>
      <c r="BQ328" s="39" t="n">
        <f aca="false">IFERROR(-(BQ254+BQ253),"")</f>
        <v>-456.634</v>
      </c>
      <c r="BR328" s="39"/>
      <c r="BS328" s="39"/>
      <c r="BT328" s="39"/>
      <c r="BU328" s="39"/>
      <c r="BV328" s="39"/>
      <c r="BW328" s="39" t="n">
        <f aca="false">IFERROR(-(BW254+BW253),"")</f>
        <v>-456.991</v>
      </c>
      <c r="BX328" s="39"/>
      <c r="BY328" s="39"/>
      <c r="BZ328" s="39"/>
      <c r="CA328" s="39"/>
      <c r="CB328" s="39"/>
      <c r="CC328" s="39" t="n">
        <f aca="false">IFERROR(-(CC254+CC253),"")</f>
        <v>-587.997</v>
      </c>
      <c r="CD328" s="39"/>
      <c r="CE328" s="39"/>
      <c r="CF328" s="39"/>
      <c r="CG328" s="39"/>
      <c r="CH328" s="39"/>
      <c r="CI328" s="39" t="n">
        <f aca="false">IFERROR(-(CI254+CI253),"")</f>
        <v>-580.611</v>
      </c>
      <c r="CJ328" s="39"/>
      <c r="CK328" s="39"/>
      <c r="CL328" s="39"/>
      <c r="CM328" s="39"/>
      <c r="CN328" s="39"/>
      <c r="CO328" s="39" t="n">
        <f aca="false">IFERROR(-(CO254+CO253),"")</f>
        <v>-561.774</v>
      </c>
      <c r="CP328" s="40" t="n">
        <f aca="false">-(CP254+CP253)</f>
        <v>-549.774</v>
      </c>
      <c r="CQ328" s="40" t="n">
        <f aca="false">-(CQ254+CQ253)</f>
        <v>-538.774</v>
      </c>
      <c r="CR328" s="40" t="n">
        <f aca="false">-(CR254+CR253)</f>
        <v>-529.774</v>
      </c>
      <c r="CS328" s="40" t="n">
        <f aca="false">-(CS254+CS253)</f>
        <v>-522.774</v>
      </c>
      <c r="CT328" s="40" t="n">
        <f aca="false">-(CT254+CT253)</f>
        <v>-517.774</v>
      </c>
      <c r="CU328" s="24"/>
      <c r="CW328" s="6"/>
      <c r="CX328" s="6"/>
      <c r="CY328" s="6"/>
      <c r="CZ328" s="6"/>
    </row>
    <row r="329" customFormat="false" ht="15" hidden="false" customHeight="false" outlineLevel="0" collapsed="false">
      <c r="B329" s="28" t="s">
        <v>464</v>
      </c>
      <c r="C329" s="39" t="n">
        <f aca="false">IFERROR(-(C266-N(C263)),"")</f>
        <v>-87.868</v>
      </c>
      <c r="D329" s="39" t="n">
        <f aca="false">IFERROR(-(D266-N(D263)),"")</f>
        <v>-115.858</v>
      </c>
      <c r="E329" s="39" t="n">
        <f aca="false">IFERROR(-(E266-N(E263)),"")</f>
        <v>-128.252</v>
      </c>
      <c r="F329" s="39" t="n">
        <f aca="false">IFERROR(-(F266-N(F263)),"")</f>
        <v>-103.584</v>
      </c>
      <c r="G329" s="39" t="n">
        <f aca="false">IFERROR(-(G266-N(G263)),"")</f>
        <v>-107.224</v>
      </c>
      <c r="H329" s="39" t="n">
        <f aca="false">IFERROR(-(H266-N(H263)),"")</f>
        <v>-116.256</v>
      </c>
      <c r="I329" s="39" t="n">
        <f aca="false">IFERROR(-(I266-N(I263)),"")</f>
        <v>-111.149</v>
      </c>
      <c r="J329" s="39"/>
      <c r="K329" s="39"/>
      <c r="L329" s="39"/>
      <c r="M329" s="39"/>
      <c r="N329" s="39"/>
      <c r="O329" s="39" t="n">
        <f aca="false">IFERROR(-(O266-N(O263)),"")</f>
        <v>-162.512</v>
      </c>
      <c r="P329" s="39"/>
      <c r="Q329" s="39"/>
      <c r="R329" s="39"/>
      <c r="S329" s="39"/>
      <c r="T329" s="39"/>
      <c r="U329" s="39" t="n">
        <f aca="false">IFERROR(-(U266-N(U263)),"")</f>
        <v>-164.61</v>
      </c>
      <c r="V329" s="39"/>
      <c r="W329" s="39"/>
      <c r="X329" s="39"/>
      <c r="Y329" s="39"/>
      <c r="Z329" s="39"/>
      <c r="AA329" s="39" t="n">
        <f aca="false">IFERROR(-(AA266-N(AA263)),"")</f>
        <v>-159.455</v>
      </c>
      <c r="AB329" s="39"/>
      <c r="AC329" s="39"/>
      <c r="AD329" s="39"/>
      <c r="AE329" s="39"/>
      <c r="AF329" s="39"/>
      <c r="AG329" s="39" t="n">
        <f aca="false">IFERROR(-(AG266-N(AG263)),"")</f>
        <v>-202.632</v>
      </c>
      <c r="AH329" s="39"/>
      <c r="AI329" s="39"/>
      <c r="AJ329" s="39"/>
      <c r="AK329" s="39"/>
      <c r="AL329" s="39"/>
      <c r="AM329" s="39" t="n">
        <f aca="false">IFERROR(-(AM266-N(AM263)),"")</f>
        <v>-219.998</v>
      </c>
      <c r="AN329" s="39"/>
      <c r="AO329" s="39"/>
      <c r="AP329" s="39"/>
      <c r="AQ329" s="39"/>
      <c r="AR329" s="39"/>
      <c r="AS329" s="39" t="n">
        <f aca="false">IFERROR(-(AS266-N(AS263)),"")</f>
        <v>-276.105</v>
      </c>
      <c r="AT329" s="39"/>
      <c r="AU329" s="39"/>
      <c r="AV329" s="39"/>
      <c r="AW329" s="39"/>
      <c r="AX329" s="39"/>
      <c r="AY329" s="39" t="n">
        <f aca="false">IFERROR(-(AY266-N(AY263)),"")</f>
        <v>-280.866</v>
      </c>
      <c r="AZ329" s="39"/>
      <c r="BA329" s="39"/>
      <c r="BB329" s="39"/>
      <c r="BC329" s="39"/>
      <c r="BD329" s="39"/>
      <c r="BE329" s="39" t="n">
        <f aca="false">IFERROR(-(BE266-N(BE263)),"")</f>
        <v>-355.293</v>
      </c>
      <c r="BF329" s="39"/>
      <c r="BG329" s="39"/>
      <c r="BH329" s="39"/>
      <c r="BI329" s="39"/>
      <c r="BJ329" s="39"/>
      <c r="BK329" s="39" t="n">
        <f aca="false">IFERROR(-(BK266-N(BK263)),"")</f>
        <v>-421.031</v>
      </c>
      <c r="BL329" s="39"/>
      <c r="BM329" s="39"/>
      <c r="BN329" s="39"/>
      <c r="BO329" s="39"/>
      <c r="BP329" s="39"/>
      <c r="BQ329" s="39" t="n">
        <f aca="false">IFERROR(-(BQ266-N(BQ263)),"")</f>
        <v>-440.889</v>
      </c>
      <c r="BR329" s="39"/>
      <c r="BS329" s="39"/>
      <c r="BT329" s="39"/>
      <c r="BU329" s="39"/>
      <c r="BV329" s="39"/>
      <c r="BW329" s="39" t="n">
        <f aca="false">IFERROR(-(BW266-N(BW263)),"")</f>
        <v>-492.769</v>
      </c>
      <c r="BX329" s="39"/>
      <c r="BY329" s="39"/>
      <c r="BZ329" s="39"/>
      <c r="CA329" s="39"/>
      <c r="CB329" s="39"/>
      <c r="CC329" s="39" t="n">
        <f aca="false">IFERROR(-(CC266-N(CC263)),"")</f>
        <v>-628.567</v>
      </c>
      <c r="CD329" s="39"/>
      <c r="CE329" s="39"/>
      <c r="CF329" s="39"/>
      <c r="CG329" s="39"/>
      <c r="CH329" s="39"/>
      <c r="CI329" s="39" t="n">
        <f aca="false">IFERROR(-(CI266-N(CI263)),"")</f>
        <v>-683.281</v>
      </c>
      <c r="CJ329" s="39"/>
      <c r="CK329" s="39"/>
      <c r="CL329" s="39"/>
      <c r="CM329" s="39"/>
      <c r="CN329" s="39"/>
      <c r="CO329" s="39" t="n">
        <f aca="false">IFERROR(-(CO266-N(CO263)),"")</f>
        <v>-703.741</v>
      </c>
      <c r="CP329" s="40" t="n">
        <f aca="false">-(CP266-CP263)</f>
        <v>-730.312722840468</v>
      </c>
      <c r="CQ329" s="40" t="n">
        <f aca="false">-(CQ266-CQ263)</f>
        <v>-771.022274146244</v>
      </c>
      <c r="CR329" s="40" t="n">
        <f aca="false">-(CR266-CR263)</f>
        <v>-816.462711856046</v>
      </c>
      <c r="CS329" s="40" t="n">
        <f aca="false">-(CS266-CS263)</f>
        <v>-864.262032185111</v>
      </c>
      <c r="CT329" s="40" t="n">
        <f aca="false">-(CT266-CT263)</f>
        <v>-915.070956169899</v>
      </c>
      <c r="CU329" s="24"/>
      <c r="CW329" s="6"/>
      <c r="CX329" s="6"/>
      <c r="CY329" s="6"/>
      <c r="CZ329" s="6"/>
    </row>
    <row r="330" customFormat="false" ht="15" hidden="false" customHeight="false" outlineLevel="0" collapsed="false">
      <c r="B330" s="20" t="s">
        <v>465</v>
      </c>
      <c r="C330" s="21" t="n">
        <f aca="false">IFERROR(C327+C328+C329,"")</f>
        <v>697.207</v>
      </c>
      <c r="D330" s="21" t="n">
        <f aca="false">IFERROR(D327+D328+D329,"")</f>
        <v>709.655</v>
      </c>
      <c r="E330" s="21" t="n">
        <f aca="false">IFERROR(E327+E328+E329,"")</f>
        <v>628.93</v>
      </c>
      <c r="F330" s="21" t="n">
        <f aca="false">IFERROR(F327+F328+F329,"")</f>
        <v>772.909</v>
      </c>
      <c r="G330" s="21" t="n">
        <f aca="false">IFERROR(G327+G328+G329,"")</f>
        <v>932.702</v>
      </c>
      <c r="H330" s="21" t="n">
        <f aca="false">IFERROR(H327+H328+H329,"")</f>
        <v>756.812</v>
      </c>
      <c r="I330" s="21" t="n">
        <f aca="false">IFERROR(I327+I328+I329,"")</f>
        <v>838.428</v>
      </c>
      <c r="J330" s="21"/>
      <c r="K330" s="21"/>
      <c r="L330" s="21"/>
      <c r="M330" s="21"/>
      <c r="N330" s="21"/>
      <c r="O330" s="21" t="n">
        <f aca="false">IFERROR(O327+O328+O329,"")</f>
        <v>886.8</v>
      </c>
      <c r="P330" s="21"/>
      <c r="Q330" s="21"/>
      <c r="R330" s="21"/>
      <c r="S330" s="21"/>
      <c r="T330" s="21"/>
      <c r="U330" s="21" t="n">
        <f aca="false">IFERROR(U327+U328+U329,"")</f>
        <v>1032.489</v>
      </c>
      <c r="V330" s="21"/>
      <c r="W330" s="21"/>
      <c r="X330" s="21"/>
      <c r="Y330" s="21"/>
      <c r="Z330" s="21"/>
      <c r="AA330" s="21" t="n">
        <f aca="false">IFERROR(AA327+AA328+AA329,"")</f>
        <v>1349.498</v>
      </c>
      <c r="AB330" s="21"/>
      <c r="AC330" s="21"/>
      <c r="AD330" s="21"/>
      <c r="AE330" s="21"/>
      <c r="AF330" s="21"/>
      <c r="AG330" s="21" t="n">
        <f aca="false">IFERROR(AG327+AG328+AG329,"")</f>
        <v>1175.229</v>
      </c>
      <c r="AH330" s="21"/>
      <c r="AI330" s="21"/>
      <c r="AJ330" s="21"/>
      <c r="AK330" s="21"/>
      <c r="AL330" s="21"/>
      <c r="AM330" s="21" t="n">
        <f aca="false">IFERROR(AM327+AM328+AM329,"")</f>
        <v>1346.322</v>
      </c>
      <c r="AN330" s="21"/>
      <c r="AO330" s="21"/>
      <c r="AP330" s="21"/>
      <c r="AQ330" s="21"/>
      <c r="AR330" s="21"/>
      <c r="AS330" s="21" t="n">
        <f aca="false">IFERROR(AS327+AS328+AS329,"")</f>
        <v>1629.466</v>
      </c>
      <c r="AT330" s="21"/>
      <c r="AU330" s="21"/>
      <c r="AV330" s="21"/>
      <c r="AW330" s="21"/>
      <c r="AX330" s="21"/>
      <c r="AY330" s="21" t="n">
        <f aca="false">IFERROR(AY327+AY328+AY329,"")</f>
        <v>1878.274</v>
      </c>
      <c r="AZ330" s="21"/>
      <c r="BA330" s="21"/>
      <c r="BB330" s="21"/>
      <c r="BC330" s="21"/>
      <c r="BD330" s="21"/>
      <c r="BE330" s="21" t="n">
        <f aca="false">IFERROR(BE327+BE328+BE329,"")</f>
        <v>2708.574</v>
      </c>
      <c r="BF330" s="21"/>
      <c r="BG330" s="21"/>
      <c r="BH330" s="21"/>
      <c r="BI330" s="21"/>
      <c r="BJ330" s="21"/>
      <c r="BK330" s="21" t="n">
        <f aca="false">IFERROR(BK327+BK328+BK329,"")</f>
        <v>3739.522</v>
      </c>
      <c r="BL330" s="21"/>
      <c r="BM330" s="21"/>
      <c r="BN330" s="21"/>
      <c r="BO330" s="21"/>
      <c r="BP330" s="21"/>
      <c r="BQ330" s="21" t="n">
        <f aca="false">IFERROR(BQ327+BQ328+BQ329,"")</f>
        <v>4411.341</v>
      </c>
      <c r="BR330" s="21"/>
      <c r="BS330" s="21"/>
      <c r="BT330" s="21"/>
      <c r="BU330" s="21"/>
      <c r="BV330" s="21"/>
      <c r="BW330" s="21" t="n">
        <f aca="false">IFERROR(BW327+BW328+BW329,"")</f>
        <v>5788.119</v>
      </c>
      <c r="BX330" s="21"/>
      <c r="BY330" s="21"/>
      <c r="BZ330" s="21"/>
      <c r="CA330" s="21"/>
      <c r="CB330" s="21"/>
      <c r="CC330" s="21" t="n">
        <f aca="false">IFERROR(CC327+CC328+CC329,"")</f>
        <v>7211.2</v>
      </c>
      <c r="CD330" s="21"/>
      <c r="CE330" s="21"/>
      <c r="CF330" s="21"/>
      <c r="CG330" s="21"/>
      <c r="CH330" s="21"/>
      <c r="CI330" s="21" t="n">
        <f aca="false">IFERROR(CI327+CI328+CI329,"")</f>
        <v>8827.01</v>
      </c>
      <c r="CJ330" s="21"/>
      <c r="CK330" s="21"/>
      <c r="CL330" s="21"/>
      <c r="CM330" s="21"/>
      <c r="CN330" s="21"/>
      <c r="CO330" s="21" t="n">
        <f aca="false">IFERROR(CO327+CO328+CO329,"")</f>
        <v>8762.295</v>
      </c>
      <c r="CP330" s="23" t="n">
        <f aca="false">CP327+CP328+CP329</f>
        <v>8415.58150318712</v>
      </c>
      <c r="CQ330" s="23" t="n">
        <f aca="false">CQ327+CQ328+CQ329</f>
        <v>8958.77199682406</v>
      </c>
      <c r="CR330" s="23" t="n">
        <f aca="false">CR327+CR328+CR329</f>
        <v>9549.45232012987</v>
      </c>
      <c r="CS330" s="23" t="n">
        <f aca="false">CS327+CS328+CS329</f>
        <v>10174.5197701029</v>
      </c>
      <c r="CT330" s="23" t="n">
        <f aca="false">CT327+CT328+CT329</f>
        <v>10839.5501901423</v>
      </c>
      <c r="CU330" s="24"/>
      <c r="CW330" s="6"/>
      <c r="CX330" s="6"/>
      <c r="CY330" s="6"/>
      <c r="CZ330" s="6"/>
    </row>
    <row r="331" customFormat="false" ht="15" hidden="false" customHeight="false" outlineLevel="0" collapsed="false">
      <c r="B331" s="41" t="s">
        <v>466</v>
      </c>
      <c r="C331" s="68" t="n">
        <f aca="false">IFERROR(C326/C330,"n/a")</f>
        <v>0.154078650822875</v>
      </c>
      <c r="D331" s="68" t="n">
        <f aca="false">IFERROR(D326/D330,"n/a")</f>
        <v>0.180062521396603</v>
      </c>
      <c r="E331" s="68" t="n">
        <f aca="false">IFERROR(E326/E330,"n/a")</f>
        <v>0.241974070241196</v>
      </c>
      <c r="F331" s="68" t="n">
        <f aca="false">IFERROR(F326/F330,"n/a")</f>
        <v>0.179422287059631</v>
      </c>
      <c r="G331" s="68" t="n">
        <f aca="false">IFERROR(G326/G330,"n/a")</f>
        <v>0.162574931998348</v>
      </c>
      <c r="H331" s="68" t="n">
        <f aca="false">IFERROR(H326/H330,"n/a")</f>
        <v>0.222823303531934</v>
      </c>
      <c r="I331" s="68" t="n">
        <f aca="false">IFERROR(I326/I330,"n/a")</f>
        <v>0.225795436958493</v>
      </c>
      <c r="J331" s="69"/>
      <c r="K331" s="69"/>
      <c r="L331" s="69"/>
      <c r="M331" s="69"/>
      <c r="N331" s="69"/>
      <c r="O331" s="68" t="n">
        <f aca="false">IFERROR(O326/O330,"n/a")</f>
        <v>0.205846941739533</v>
      </c>
      <c r="P331" s="69"/>
      <c r="Q331" s="69"/>
      <c r="R331" s="69"/>
      <c r="S331" s="69"/>
      <c r="T331" s="69"/>
      <c r="U331" s="68" t="n">
        <f aca="false">IFERROR(U326/U330,"n/a")</f>
        <v>0.19702164165565</v>
      </c>
      <c r="V331" s="69"/>
      <c r="W331" s="69"/>
      <c r="X331" s="69"/>
      <c r="Y331" s="69"/>
      <c r="Z331" s="69"/>
      <c r="AA331" s="68" t="n">
        <f aca="false">IFERROR(AA326/AA330,"n/a")</f>
        <v>0.171771924634251</v>
      </c>
      <c r="AB331" s="69"/>
      <c r="AC331" s="69"/>
      <c r="AD331" s="69"/>
      <c r="AE331" s="69"/>
      <c r="AF331" s="69"/>
      <c r="AG331" s="68" t="n">
        <f aca="false">IFERROR(AG326/AG330,"n/a")</f>
        <v>0.238414551820413</v>
      </c>
      <c r="AH331" s="69"/>
      <c r="AI331" s="69"/>
      <c r="AJ331" s="69"/>
      <c r="AK331" s="69"/>
      <c r="AL331" s="69"/>
      <c r="AM331" s="68" t="n">
        <f aca="false">IFERROR(AM326/AM330,"n/a")</f>
        <v>0.324552129125985</v>
      </c>
      <c r="AN331" s="69"/>
      <c r="AO331" s="69"/>
      <c r="AP331" s="69"/>
      <c r="AQ331" s="69"/>
      <c r="AR331" s="69"/>
      <c r="AS331" s="68" t="n">
        <f aca="false">IFERROR(AS326/AS330,"n/a")</f>
        <v>0.272303183660385</v>
      </c>
      <c r="AT331" s="69"/>
      <c r="AU331" s="69"/>
      <c r="AV331" s="69"/>
      <c r="AW331" s="69"/>
      <c r="AX331" s="69"/>
      <c r="AY331" s="68" t="n">
        <f aca="false">IFERROR(AY326/AY330,"n/a")</f>
        <v>0.323127344811996</v>
      </c>
      <c r="AZ331" s="69"/>
      <c r="BA331" s="69"/>
      <c r="BB331" s="69"/>
      <c r="BC331" s="69"/>
      <c r="BD331" s="69"/>
      <c r="BE331" s="68" t="n">
        <f aca="false">IFERROR(BE326/BE330,"n/a")</f>
        <v>0.265108933324062</v>
      </c>
      <c r="BF331" s="69"/>
      <c r="BG331" s="69"/>
      <c r="BH331" s="69"/>
      <c r="BI331" s="69"/>
      <c r="BJ331" s="69"/>
      <c r="BK331" s="68" t="n">
        <f aca="false">IFERROR(BK326/BK330,"n/a")</f>
        <v>0.255759018560772</v>
      </c>
      <c r="BL331" s="69"/>
      <c r="BM331" s="69"/>
      <c r="BN331" s="69"/>
      <c r="BO331" s="69"/>
      <c r="BP331" s="69"/>
      <c r="BQ331" s="68" t="n">
        <f aca="false">IFERROR(BQ326/BQ330,"n/a")</f>
        <v>0.254534884191145</v>
      </c>
      <c r="BR331" s="69"/>
      <c r="BS331" s="69"/>
      <c r="BT331" s="69"/>
      <c r="BU331" s="69"/>
      <c r="BV331" s="69"/>
      <c r="BW331" s="68" t="n">
        <f aca="false">IFERROR(BW326/BW330,"n/a")</f>
        <v>0.204771408037173</v>
      </c>
      <c r="BX331" s="69"/>
      <c r="BY331" s="69"/>
      <c r="BZ331" s="69"/>
      <c r="CA331" s="69"/>
      <c r="CB331" s="69"/>
      <c r="CC331" s="68" t="n">
        <f aca="false">IFERROR(CC326/CC330,"n/a")</f>
        <v>0.172870202236054</v>
      </c>
      <c r="CD331" s="69"/>
      <c r="CE331" s="69"/>
      <c r="CF331" s="69"/>
      <c r="CG331" s="69"/>
      <c r="CH331" s="69"/>
      <c r="CI331" s="68" t="n">
        <f aca="false">IFERROR(CI326/CI330,"n/a")</f>
        <v>0.158856190202101</v>
      </c>
      <c r="CJ331" s="69"/>
      <c r="CK331" s="69"/>
      <c r="CL331" s="69"/>
      <c r="CM331" s="69"/>
      <c r="CN331" s="69"/>
      <c r="CO331" s="68" t="n">
        <f aca="false">IFERROR(CO326/CO330,"n/a")</f>
        <v>0.152200732156762</v>
      </c>
      <c r="CP331" s="68" t="n">
        <f aca="false">IFERROR(CP326/CP330,"n/a")</f>
        <v>0.161574121000185</v>
      </c>
      <c r="CQ331" s="68" t="n">
        <f aca="false">IFERROR(CQ326/CQ330,"n/a")</f>
        <v>0.162979858955103</v>
      </c>
      <c r="CR331" s="68" t="n">
        <f aca="false">IFERROR(CR326/CR330,"n/a")</f>
        <v>0.164645710316509</v>
      </c>
      <c r="CS331" s="68" t="n">
        <f aca="false">IFERROR(CS326/CS330,"n/a")</f>
        <v>0.16628007274767</v>
      </c>
      <c r="CT331" s="68" t="n">
        <f aca="false">IFERROR(CT326/CT330,"n/a")</f>
        <v>0.167929153708137</v>
      </c>
      <c r="CU331" s="24"/>
      <c r="CW331" s="6"/>
      <c r="CX331" s="6"/>
      <c r="CY331" s="6"/>
      <c r="CZ331" s="6"/>
    </row>
    <row r="332" customFormat="false" ht="15" hidden="false" customHeight="false" outlineLevel="0" collapsed="false">
      <c r="B332" s="15"/>
      <c r="CP332" s="6"/>
      <c r="CQ332" s="6"/>
      <c r="CR332" s="6"/>
      <c r="CS332" s="6"/>
      <c r="CT332" s="6"/>
      <c r="CU332" s="6"/>
    </row>
    <row r="333" customFormat="false" ht="15" hidden="false" customHeight="false" outlineLevel="0" collapsed="false">
      <c r="B333" s="16" t="s">
        <v>467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7"/>
    </row>
    <row r="334" customFormat="false" ht="15" hidden="false" customHeight="false" outlineLevel="0" collapsed="false">
      <c r="B334" s="28" t="s">
        <v>468</v>
      </c>
      <c r="C334" s="39" t="n">
        <f aca="false">C93</f>
        <v>96.947</v>
      </c>
      <c r="D334" s="39" t="n">
        <f aca="false">D93</f>
        <v>136.338</v>
      </c>
      <c r="E334" s="39" t="n">
        <f aca="false">E93</f>
        <v>156.932</v>
      </c>
      <c r="F334" s="39" t="n">
        <f aca="false">F93</f>
        <v>141.103</v>
      </c>
      <c r="G334" s="39" t="n">
        <f aca="false">G93</f>
        <v>151.627</v>
      </c>
      <c r="H334" s="39" t="n">
        <f aca="false">H93</f>
        <v>166.375</v>
      </c>
      <c r="I334" s="39" t="n">
        <f aca="false">I93</f>
        <v>182.119</v>
      </c>
      <c r="J334" s="39"/>
      <c r="K334" s="39"/>
      <c r="L334" s="39"/>
      <c r="M334" s="39"/>
      <c r="N334" s="39"/>
      <c r="O334" s="39" t="n">
        <f aca="false">O93</f>
        <v>180.025</v>
      </c>
      <c r="P334" s="39"/>
      <c r="Q334" s="39"/>
      <c r="R334" s="39"/>
      <c r="S334" s="39"/>
      <c r="T334" s="39"/>
      <c r="U334" s="39" t="n">
        <f aca="false">U93</f>
        <v>178.687</v>
      </c>
      <c r="V334" s="39"/>
      <c r="W334" s="39"/>
      <c r="X334" s="39"/>
      <c r="Y334" s="39"/>
      <c r="Z334" s="39"/>
      <c r="AA334" s="39" t="n">
        <f aca="false">AA93</f>
        <v>219.783</v>
      </c>
      <c r="AB334" s="39"/>
      <c r="AC334" s="39"/>
      <c r="AD334" s="39"/>
      <c r="AE334" s="39"/>
      <c r="AF334" s="39"/>
      <c r="AG334" s="39" t="n">
        <f aca="false">AG93</f>
        <v>270.36</v>
      </c>
      <c r="AH334" s="39"/>
      <c r="AI334" s="39"/>
      <c r="AJ334" s="39"/>
      <c r="AK334" s="39"/>
      <c r="AL334" s="39"/>
      <c r="AM334" s="39" t="n">
        <f aca="false">AM93</f>
        <v>394.227</v>
      </c>
      <c r="AN334" s="39"/>
      <c r="AO334" s="39"/>
      <c r="AP334" s="39"/>
      <c r="AQ334" s="39"/>
      <c r="AR334" s="39"/>
      <c r="AS334" s="39" t="n">
        <f aca="false">AS93</f>
        <v>417.867</v>
      </c>
      <c r="AT334" s="39"/>
      <c r="AU334" s="39"/>
      <c r="AV334" s="39"/>
      <c r="AW334" s="39"/>
      <c r="AX334" s="39"/>
      <c r="AY334" s="39" t="n">
        <f aca="false">AY93</f>
        <v>591.693</v>
      </c>
      <c r="AZ334" s="39"/>
      <c r="BA334" s="39"/>
      <c r="BB334" s="39"/>
      <c r="BC334" s="39"/>
      <c r="BD334" s="39"/>
      <c r="BE334" s="39" t="n">
        <f aca="false">BE93</f>
        <v>699.907</v>
      </c>
      <c r="BF334" s="39"/>
      <c r="BG334" s="39"/>
      <c r="BH334" s="39"/>
      <c r="BI334" s="39"/>
      <c r="BJ334" s="39"/>
      <c r="BK334" s="39" t="n">
        <f aca="false">BK93</f>
        <v>936.495</v>
      </c>
      <c r="BL334" s="39"/>
      <c r="BM334" s="39"/>
      <c r="BN334" s="39"/>
      <c r="BO334" s="39"/>
      <c r="BP334" s="39"/>
      <c r="BQ334" s="39" t="n">
        <f aca="false">BQ93</f>
        <v>1090.13</v>
      </c>
      <c r="BR334" s="39"/>
      <c r="BS334" s="39"/>
      <c r="BT334" s="39"/>
      <c r="BU334" s="39"/>
      <c r="BV334" s="39"/>
      <c r="BW334" s="39" t="n">
        <f aca="false">BW93</f>
        <v>1237.741</v>
      </c>
      <c r="BX334" s="39"/>
      <c r="BY334" s="39"/>
      <c r="BZ334" s="39"/>
      <c r="CA334" s="39"/>
      <c r="CB334" s="39"/>
      <c r="CC334" s="39" t="n">
        <f aca="false">CC93</f>
        <v>1363.02</v>
      </c>
      <c r="CD334" s="39"/>
      <c r="CE334" s="39"/>
      <c r="CF334" s="39"/>
      <c r="CG334" s="39"/>
      <c r="CH334" s="39"/>
      <c r="CI334" s="39" t="n">
        <f aca="false">CI93</f>
        <v>1552.449</v>
      </c>
      <c r="CJ334" s="39"/>
      <c r="CK334" s="39"/>
      <c r="CL334" s="39"/>
      <c r="CM334" s="39"/>
      <c r="CN334" s="39"/>
      <c r="CO334" s="39" t="n">
        <f aca="false">CO93</f>
        <v>1484.27</v>
      </c>
      <c r="CP334" s="40" t="n">
        <f aca="false">CP93</f>
        <v>1484.66892473288</v>
      </c>
      <c r="CQ334" s="40" t="n">
        <f aca="false">CQ93</f>
        <v>1561.1086672709</v>
      </c>
      <c r="CR334" s="40" t="n">
        <f aca="false">CR93</f>
        <v>1680.54992830152</v>
      </c>
      <c r="CS334" s="40" t="n">
        <f aca="false">CS93</f>
        <v>1808.2120125569</v>
      </c>
      <c r="CT334" s="40" t="n">
        <f aca="false">CT93</f>
        <v>1945.30893238154</v>
      </c>
      <c r="CU334" s="24"/>
      <c r="CW334" s="6"/>
      <c r="CX334" s="6"/>
      <c r="CY334" s="6"/>
      <c r="CZ334" s="6"/>
    </row>
    <row r="335" customFormat="false" ht="15" hidden="false" customHeight="false" outlineLevel="0" collapsed="false">
      <c r="B335" s="28" t="s">
        <v>412</v>
      </c>
      <c r="C335" s="39" t="n">
        <f aca="false">C278</f>
        <v>809.97</v>
      </c>
      <c r="D335" s="39" t="n">
        <f aca="false">D278</f>
        <v>880.866</v>
      </c>
      <c r="E335" s="39" t="n">
        <f aca="false">E278</f>
        <v>798.996</v>
      </c>
      <c r="F335" s="39" t="n">
        <f aca="false">F278</f>
        <v>921.459</v>
      </c>
      <c r="G335" s="39" t="n">
        <f aca="false">G278</f>
        <v>1087.234</v>
      </c>
      <c r="H335" s="39" t="n">
        <f aca="false">H278</f>
        <v>555.172</v>
      </c>
      <c r="I335" s="39" t="n">
        <f aca="false">I278</f>
        <v>561.117</v>
      </c>
      <c r="J335" s="39"/>
      <c r="K335" s="39"/>
      <c r="L335" s="39"/>
      <c r="M335" s="39"/>
      <c r="N335" s="39"/>
      <c r="O335" s="39" t="n">
        <f aca="false">O278</f>
        <v>762.401</v>
      </c>
      <c r="P335" s="39"/>
      <c r="Q335" s="39"/>
      <c r="R335" s="39"/>
      <c r="S335" s="39"/>
      <c r="T335" s="39"/>
      <c r="U335" s="39" t="n">
        <f aca="false">U278</f>
        <v>1003.499</v>
      </c>
      <c r="V335" s="39"/>
      <c r="W335" s="39"/>
      <c r="X335" s="39"/>
      <c r="Y335" s="39"/>
      <c r="Z335" s="39"/>
      <c r="AA335" s="39" t="n">
        <f aca="false">AA278</f>
        <v>964.464</v>
      </c>
      <c r="AB335" s="39"/>
      <c r="AC335" s="39"/>
      <c r="AD335" s="39"/>
      <c r="AE335" s="39"/>
      <c r="AF335" s="39"/>
      <c r="AG335" s="39" t="n">
        <f aca="false">AG278</f>
        <v>774.456</v>
      </c>
      <c r="AH335" s="39"/>
      <c r="AI335" s="39"/>
      <c r="AJ335" s="39"/>
      <c r="AK335" s="39"/>
      <c r="AL335" s="39"/>
      <c r="AM335" s="39" t="n">
        <f aca="false">AM278</f>
        <v>1098.066</v>
      </c>
      <c r="AN335" s="39"/>
      <c r="AO335" s="39"/>
      <c r="AP335" s="39"/>
      <c r="AQ335" s="39"/>
      <c r="AR335" s="39"/>
      <c r="AS335" s="39" t="n">
        <f aca="false">AS278</f>
        <v>1581.099</v>
      </c>
      <c r="AT335" s="39"/>
      <c r="AU335" s="39"/>
      <c r="AV335" s="39"/>
      <c r="AW335" s="39"/>
      <c r="AX335" s="39"/>
      <c r="AY335" s="39" t="n">
        <f aca="false">AY278</f>
        <v>1778.381</v>
      </c>
      <c r="AZ335" s="39"/>
      <c r="BA335" s="39"/>
      <c r="BB335" s="39"/>
      <c r="BC335" s="39"/>
      <c r="BD335" s="39"/>
      <c r="BE335" s="39" t="n">
        <f aca="false">BE278</f>
        <v>2489.516</v>
      </c>
      <c r="BF335" s="39"/>
      <c r="BG335" s="39"/>
      <c r="BH335" s="39"/>
      <c r="BI335" s="39"/>
      <c r="BJ335" s="39"/>
      <c r="BK335" s="39" t="n">
        <f aca="false">BK278</f>
        <v>3529.201</v>
      </c>
      <c r="BL335" s="39"/>
      <c r="BM335" s="39"/>
      <c r="BN335" s="39"/>
      <c r="BO335" s="39"/>
      <c r="BP335" s="39"/>
      <c r="BQ335" s="39" t="n">
        <f aca="false">BQ278</f>
        <v>4625.599</v>
      </c>
      <c r="BR335" s="39"/>
      <c r="BS335" s="39"/>
      <c r="BT335" s="39"/>
      <c r="BU335" s="39"/>
      <c r="BV335" s="39"/>
      <c r="BW335" s="39" t="n">
        <f aca="false">BW278</f>
        <v>5987.44</v>
      </c>
      <c r="BX335" s="39"/>
      <c r="BY335" s="39"/>
      <c r="BZ335" s="39"/>
      <c r="CA335" s="39"/>
      <c r="CB335" s="39"/>
      <c r="CC335" s="39" t="n">
        <f aca="false">CC278</f>
        <v>7524.011</v>
      </c>
      <c r="CD335" s="39"/>
      <c r="CE335" s="39"/>
      <c r="CF335" s="39"/>
      <c r="CG335" s="39"/>
      <c r="CH335" s="39"/>
      <c r="CI335" s="39" t="n">
        <f aca="false">CI278</f>
        <v>9187.033</v>
      </c>
      <c r="CJ335" s="39"/>
      <c r="CK335" s="39"/>
      <c r="CL335" s="39"/>
      <c r="CM335" s="39"/>
      <c r="CN335" s="39"/>
      <c r="CO335" s="39" t="n">
        <f aca="false">CO278</f>
        <v>9097.295</v>
      </c>
      <c r="CP335" s="40" t="n">
        <f aca="false">CP278</f>
        <v>8728.58150318712</v>
      </c>
      <c r="CQ335" s="40" t="n">
        <f aca="false">CQ278</f>
        <v>9250.77199682407</v>
      </c>
      <c r="CR335" s="40" t="n">
        <f aca="false">CR278</f>
        <v>9822.45232012988</v>
      </c>
      <c r="CS335" s="40" t="n">
        <f aca="false">CS278</f>
        <v>10430.5197701029</v>
      </c>
      <c r="CT335" s="40" t="n">
        <f aca="false">CT278</f>
        <v>11080.5501901423</v>
      </c>
      <c r="CU335" s="24"/>
      <c r="CW335" s="6"/>
      <c r="CX335" s="6"/>
      <c r="CY335" s="6"/>
      <c r="CZ335" s="6"/>
    </row>
    <row r="336" customFormat="false" ht="15" hidden="false" customHeight="false" outlineLevel="0" collapsed="false">
      <c r="B336" s="41" t="s">
        <v>469</v>
      </c>
      <c r="C336" s="68" t="n">
        <f aca="false">IFERROR(C334/C335,"n/a")</f>
        <v>0.11969208736126</v>
      </c>
      <c r="D336" s="68" t="n">
        <f aca="false">IFERROR(D334/D335,"n/a")</f>
        <v>0.154777230588988</v>
      </c>
      <c r="E336" s="68" t="n">
        <f aca="false">IFERROR(E334/E335,"n/a")</f>
        <v>0.196411496428017</v>
      </c>
      <c r="F336" s="68" t="n">
        <f aca="false">IFERROR(F334/F335,"n/a")</f>
        <v>0.153129981909124</v>
      </c>
      <c r="G336" s="68" t="n">
        <f aca="false">IFERROR(G334/G335,"n/a")</f>
        <v>0.139461238335078</v>
      </c>
      <c r="H336" s="68" t="n">
        <f aca="false">IFERROR(H334/H335,"n/a")</f>
        <v>0.299681900384025</v>
      </c>
      <c r="I336" s="68" t="n">
        <f aca="false">IFERROR(I334/I335,"n/a")</f>
        <v>0.324565108524604</v>
      </c>
      <c r="J336" s="69"/>
      <c r="K336" s="69"/>
      <c r="L336" s="69"/>
      <c r="M336" s="69"/>
      <c r="N336" s="69"/>
      <c r="O336" s="68" t="n">
        <f aca="false">IFERROR(O334/O335,"n/a")</f>
        <v>0.236129018718496</v>
      </c>
      <c r="P336" s="69"/>
      <c r="Q336" s="69"/>
      <c r="R336" s="69"/>
      <c r="S336" s="69"/>
      <c r="T336" s="69"/>
      <c r="U336" s="68" t="n">
        <f aca="false">IFERROR(U334/U335,"n/a")</f>
        <v>0.17806395422417</v>
      </c>
      <c r="V336" s="69"/>
      <c r="W336" s="69"/>
      <c r="X336" s="69"/>
      <c r="Y336" s="69"/>
      <c r="Z336" s="69"/>
      <c r="AA336" s="68" t="n">
        <f aca="false">IFERROR(AA334/AA335,"n/a")</f>
        <v>0.227880978450207</v>
      </c>
      <c r="AB336" s="69"/>
      <c r="AC336" s="69"/>
      <c r="AD336" s="69"/>
      <c r="AE336" s="69"/>
      <c r="AF336" s="69"/>
      <c r="AG336" s="68" t="n">
        <f aca="false">IFERROR(AG334/AG335,"n/a")</f>
        <v>0.349096656233537</v>
      </c>
      <c r="AH336" s="69"/>
      <c r="AI336" s="69"/>
      <c r="AJ336" s="69"/>
      <c r="AK336" s="69"/>
      <c r="AL336" s="69"/>
      <c r="AM336" s="68" t="n">
        <f aca="false">IFERROR(AM334/AM335,"n/a")</f>
        <v>0.359019403205272</v>
      </c>
      <c r="AN336" s="69"/>
      <c r="AO336" s="69"/>
      <c r="AP336" s="69"/>
      <c r="AQ336" s="69"/>
      <c r="AR336" s="69"/>
      <c r="AS336" s="68" t="n">
        <f aca="false">IFERROR(AS334/AS335,"n/a")</f>
        <v>0.264288953443143</v>
      </c>
      <c r="AT336" s="69"/>
      <c r="AU336" s="69"/>
      <c r="AV336" s="69"/>
      <c r="AW336" s="69"/>
      <c r="AX336" s="69"/>
      <c r="AY336" s="68" t="n">
        <f aca="false">IFERROR(AY334/AY335,"n/a")</f>
        <v>0.332714418338927</v>
      </c>
      <c r="AZ336" s="69"/>
      <c r="BA336" s="69"/>
      <c r="BB336" s="69"/>
      <c r="BC336" s="69"/>
      <c r="BD336" s="69"/>
      <c r="BE336" s="68" t="n">
        <f aca="false">IFERROR(BE334/BE335,"n/a")</f>
        <v>0.281141796236698</v>
      </c>
      <c r="BF336" s="69"/>
      <c r="BG336" s="69"/>
      <c r="BH336" s="69"/>
      <c r="BI336" s="69"/>
      <c r="BJ336" s="69"/>
      <c r="BK336" s="68" t="n">
        <f aca="false">IFERROR(BK334/BK335,"n/a")</f>
        <v>0.265356096181544</v>
      </c>
      <c r="BL336" s="69"/>
      <c r="BM336" s="69"/>
      <c r="BN336" s="69"/>
      <c r="BO336" s="69"/>
      <c r="BP336" s="69"/>
      <c r="BQ336" s="68" t="n">
        <f aca="false">IFERROR(BQ334/BQ335,"n/a")</f>
        <v>0.235673260911722</v>
      </c>
      <c r="BR336" s="69"/>
      <c r="BS336" s="69"/>
      <c r="BT336" s="69"/>
      <c r="BU336" s="69"/>
      <c r="BV336" s="69"/>
      <c r="BW336" s="68" t="n">
        <f aca="false">IFERROR(BW334/BW335,"n/a")</f>
        <v>0.206722906617853</v>
      </c>
      <c r="BX336" s="69"/>
      <c r="BY336" s="69"/>
      <c r="BZ336" s="69"/>
      <c r="CA336" s="69"/>
      <c r="CB336" s="69"/>
      <c r="CC336" s="68" t="n">
        <f aca="false">IFERROR(CC334/CC335,"n/a")</f>
        <v>0.181156034992506</v>
      </c>
      <c r="CD336" s="69"/>
      <c r="CE336" s="69"/>
      <c r="CF336" s="69"/>
      <c r="CG336" s="69"/>
      <c r="CH336" s="69"/>
      <c r="CI336" s="68" t="n">
        <f aca="false">IFERROR(CI334/CI335,"n/a")</f>
        <v>0.168982630191924</v>
      </c>
      <c r="CJ336" s="69"/>
      <c r="CK336" s="69"/>
      <c r="CL336" s="69"/>
      <c r="CM336" s="69"/>
      <c r="CN336" s="69"/>
      <c r="CO336" s="68" t="n">
        <f aca="false">IFERROR(CO334/CO335,"n/a")</f>
        <v>0.163155091705831</v>
      </c>
      <c r="CP336" s="68" t="n">
        <f aca="false">IFERROR(CP334/CP335,"n/a")</f>
        <v>0.170092806510516</v>
      </c>
      <c r="CQ336" s="68" t="n">
        <f aca="false">IFERROR(CQ334/CQ335,"n/a")</f>
        <v>0.168754420475053</v>
      </c>
      <c r="CR336" s="68" t="n">
        <f aca="false">IFERROR(CR334/CR335,"n/a")</f>
        <v>0.17109270409564</v>
      </c>
      <c r="CS336" s="68" t="n">
        <f aca="false">IFERROR(CS334/CS335,"n/a")</f>
        <v>0.173357805019438</v>
      </c>
      <c r="CT336" s="68" t="n">
        <f aca="false">IFERROR(CT334/CT335,"n/a")</f>
        <v>0.175560680561888</v>
      </c>
      <c r="CU336" s="24"/>
      <c r="CW336" s="6"/>
      <c r="CX336" s="6"/>
      <c r="CY336" s="6"/>
      <c r="CZ336" s="6"/>
    </row>
    <row r="337" customFormat="false" ht="15" hidden="false" customHeight="false" outlineLevel="0" collapsed="false">
      <c r="B337" s="15"/>
      <c r="CP337" s="6"/>
      <c r="CQ337" s="6"/>
      <c r="CR337" s="6"/>
      <c r="CS337" s="6"/>
      <c r="CT337" s="6"/>
      <c r="CU337" s="6"/>
    </row>
    <row r="338" customFormat="false" ht="15" hidden="false" customHeight="false" outlineLevel="0" collapsed="false">
      <c r="B338" s="16" t="s">
        <v>470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7"/>
    </row>
    <row r="339" customFormat="false" ht="15" hidden="false" customHeight="false" outlineLevel="0" collapsed="false">
      <c r="B339" s="28" t="s">
        <v>471</v>
      </c>
      <c r="C339" s="39" t="n">
        <f aca="false">C318</f>
        <v>-279.85</v>
      </c>
      <c r="D339" s="39" t="n">
        <f aca="false">D318</f>
        <v>-210.246</v>
      </c>
      <c r="E339" s="39" t="n">
        <f aca="false">E318</f>
        <v>-38.954</v>
      </c>
      <c r="F339" s="39" t="n">
        <f aca="false">F318</f>
        <v>-162.691</v>
      </c>
      <c r="G339" s="39" t="n">
        <f aca="false">G318</f>
        <v>-267.587</v>
      </c>
      <c r="H339" s="39" t="n">
        <f aca="false">H318</f>
        <v>301.747</v>
      </c>
      <c r="I339" s="39" t="n">
        <f aca="false">I318</f>
        <v>304.008</v>
      </c>
      <c r="J339" s="39"/>
      <c r="K339" s="39"/>
      <c r="L339" s="39"/>
      <c r="M339" s="39"/>
      <c r="N339" s="39"/>
      <c r="O339" s="39" t="n">
        <f aca="false">O318</f>
        <v>308.826</v>
      </c>
      <c r="P339" s="39"/>
      <c r="Q339" s="39"/>
      <c r="R339" s="39"/>
      <c r="S339" s="39"/>
      <c r="T339" s="39"/>
      <c r="U339" s="39" t="n">
        <f aca="false">U318</f>
        <v>144.233</v>
      </c>
      <c r="V339" s="39"/>
      <c r="W339" s="39"/>
      <c r="X339" s="39"/>
      <c r="Y339" s="39"/>
      <c r="Z339" s="39"/>
      <c r="AA339" s="39" t="n">
        <f aca="false">AA318</f>
        <v>188.502</v>
      </c>
      <c r="AB339" s="39"/>
      <c r="AC339" s="39"/>
      <c r="AD339" s="39"/>
      <c r="AE339" s="39"/>
      <c r="AF339" s="39"/>
      <c r="AG339" s="39" t="n">
        <f aca="false">AG318</f>
        <v>484.643</v>
      </c>
      <c r="AH339" s="39"/>
      <c r="AI339" s="39"/>
      <c r="AJ339" s="39"/>
      <c r="AK339" s="39"/>
      <c r="AL339" s="39"/>
      <c r="AM339" s="39" t="n">
        <f aca="false">AM318</f>
        <v>422.938</v>
      </c>
      <c r="AN339" s="39"/>
      <c r="AO339" s="39"/>
      <c r="AP339" s="39"/>
      <c r="AQ339" s="39"/>
      <c r="AR339" s="39"/>
      <c r="AS339" s="39" t="n">
        <f aca="false">AS318</f>
        <v>125.378</v>
      </c>
      <c r="AT339" s="39"/>
      <c r="AU339" s="39"/>
      <c r="AV339" s="39"/>
      <c r="AW339" s="39"/>
      <c r="AX339" s="39"/>
      <c r="AY339" s="39" t="n">
        <f aca="false">AY318</f>
        <v>214.91</v>
      </c>
      <c r="AZ339" s="39"/>
      <c r="BA339" s="39"/>
      <c r="BB339" s="39"/>
      <c r="BC339" s="39"/>
      <c r="BD339" s="39"/>
      <c r="BE339" s="39" t="n">
        <f aca="false">BE318</f>
        <v>-80.0670000000001</v>
      </c>
      <c r="BF339" s="39"/>
      <c r="BG339" s="39"/>
      <c r="BH339" s="39"/>
      <c r="BI339" s="39"/>
      <c r="BJ339" s="39"/>
      <c r="BK339" s="39" t="n">
        <f aca="false">BK318</f>
        <v>-650.624</v>
      </c>
      <c r="BL339" s="39"/>
      <c r="BM339" s="39"/>
      <c r="BN339" s="39"/>
      <c r="BO339" s="39"/>
      <c r="BP339" s="39"/>
      <c r="BQ339" s="39" t="n">
        <f aca="false">BQ318</f>
        <v>-1382.24</v>
      </c>
      <c r="BR339" s="39"/>
      <c r="BS339" s="39"/>
      <c r="BT339" s="39"/>
      <c r="BU339" s="39"/>
      <c r="BV339" s="39"/>
      <c r="BW339" s="39" t="n">
        <f aca="false">BW318</f>
        <v>-2353.081</v>
      </c>
      <c r="BX339" s="39"/>
      <c r="BY339" s="39"/>
      <c r="BZ339" s="39"/>
      <c r="CA339" s="39"/>
      <c r="CB339" s="39"/>
      <c r="CC339" s="39" t="n">
        <f aca="false">CC318</f>
        <v>-3422.158</v>
      </c>
      <c r="CD339" s="39"/>
      <c r="CE339" s="39"/>
      <c r="CF339" s="39"/>
      <c r="CG339" s="39"/>
      <c r="CH339" s="39"/>
      <c r="CI339" s="39" t="n">
        <f aca="false">CI318</f>
        <v>-4789.07</v>
      </c>
      <c r="CJ339" s="39"/>
      <c r="CK339" s="39"/>
      <c r="CL339" s="39"/>
      <c r="CM339" s="39"/>
      <c r="CN339" s="39"/>
      <c r="CO339" s="39" t="n">
        <f aca="false">CO318</f>
        <v>-4489.802</v>
      </c>
      <c r="CP339" s="40" t="n">
        <f aca="false">CP318</f>
        <v>-3909.4057404</v>
      </c>
      <c r="CQ339" s="40" t="n">
        <f aca="false">CQ318</f>
        <v>-4190.55899061807</v>
      </c>
      <c r="CR339" s="40" t="n">
        <f aca="false">CR318</f>
        <v>-4504.77503673224</v>
      </c>
      <c r="CS339" s="40" t="n">
        <f aca="false">CS318</f>
        <v>-4839.18499754501</v>
      </c>
      <c r="CT339" s="40" t="n">
        <f aca="false">CT318</f>
        <v>-5198.1378602967</v>
      </c>
      <c r="CU339" s="24"/>
      <c r="CW339" s="6"/>
      <c r="CX339" s="6"/>
      <c r="CY339" s="6"/>
      <c r="CZ339" s="6"/>
    </row>
    <row r="340" customFormat="false" ht="15" hidden="false" customHeight="false" outlineLevel="0" collapsed="false">
      <c r="B340" s="28" t="s">
        <v>472</v>
      </c>
      <c r="C340" s="39" t="n">
        <f aca="false">C58</f>
        <v>197.868</v>
      </c>
      <c r="D340" s="39" t="n">
        <f aca="false">D58</f>
        <v>240.866</v>
      </c>
      <c r="E340" s="39" t="n">
        <f aca="false">E58</f>
        <v>284.902</v>
      </c>
      <c r="F340" s="39" t="n">
        <f aca="false">F58</f>
        <v>267.668</v>
      </c>
      <c r="G340" s="39" t="n">
        <f aca="false">G58</f>
        <v>282.748</v>
      </c>
      <c r="H340" s="39" t="n">
        <f aca="false">H58</f>
        <v>313.156</v>
      </c>
      <c r="I340" s="39" t="n">
        <f aca="false">I58</f>
        <v>337.207</v>
      </c>
      <c r="J340" s="39"/>
      <c r="K340" s="39"/>
      <c r="L340" s="39"/>
      <c r="M340" s="39"/>
      <c r="N340" s="39"/>
      <c r="O340" s="39" t="n">
        <f aca="false">O58</f>
        <v>337.475774193548</v>
      </c>
      <c r="P340" s="39"/>
      <c r="Q340" s="39"/>
      <c r="R340" s="39"/>
      <c r="S340" s="39"/>
      <c r="T340" s="39"/>
      <c r="U340" s="39" t="n">
        <f aca="false">U58</f>
        <v>361.142</v>
      </c>
      <c r="V340" s="39"/>
      <c r="W340" s="39"/>
      <c r="X340" s="39"/>
      <c r="Y340" s="39"/>
      <c r="Z340" s="39"/>
      <c r="AA340" s="39" t="n">
        <f aca="false">AA58</f>
        <v>396.807290322581</v>
      </c>
      <c r="AB340" s="39"/>
      <c r="AC340" s="39"/>
      <c r="AD340" s="39"/>
      <c r="AE340" s="39"/>
      <c r="AF340" s="39"/>
      <c r="AG340" s="39" t="n">
        <f aca="false">AG58</f>
        <v>458.835709677419</v>
      </c>
      <c r="AH340" s="39"/>
      <c r="AI340" s="39"/>
      <c r="AJ340" s="39"/>
      <c r="AK340" s="39"/>
      <c r="AL340" s="39"/>
      <c r="AM340" s="39" t="n">
        <f aca="false">AM58</f>
        <v>544.754129032258</v>
      </c>
      <c r="AN340" s="39"/>
      <c r="AO340" s="39"/>
      <c r="AP340" s="39"/>
      <c r="AQ340" s="39"/>
      <c r="AR340" s="39"/>
      <c r="AS340" s="39" t="n">
        <f aca="false">AS58</f>
        <v>675.695821917808</v>
      </c>
      <c r="AT340" s="39"/>
      <c r="AU340" s="39"/>
      <c r="AV340" s="39"/>
      <c r="AW340" s="39"/>
      <c r="AX340" s="39"/>
      <c r="AY340" s="39" t="n">
        <f aca="false">AY58</f>
        <v>807.989666666667</v>
      </c>
      <c r="AZ340" s="39"/>
      <c r="BA340" s="39"/>
      <c r="BB340" s="39"/>
      <c r="BC340" s="39"/>
      <c r="BD340" s="39"/>
      <c r="BE340" s="39" t="n">
        <f aca="false">BE58</f>
        <v>923.008</v>
      </c>
      <c r="BF340" s="39"/>
      <c r="BG340" s="39"/>
      <c r="BH340" s="39"/>
      <c r="BI340" s="39"/>
      <c r="BJ340" s="39"/>
      <c r="BK340" s="39" t="n">
        <f aca="false">BK58</f>
        <v>1267.68133333333</v>
      </c>
      <c r="BL340" s="39"/>
      <c r="BM340" s="39"/>
      <c r="BN340" s="39"/>
      <c r="BO340" s="39"/>
      <c r="BP340" s="39"/>
      <c r="BQ340" s="39" t="n">
        <f aca="false">BQ58</f>
        <v>1519.17533333333</v>
      </c>
      <c r="BR340" s="39"/>
      <c r="BS340" s="39"/>
      <c r="BT340" s="39"/>
      <c r="BU340" s="39"/>
      <c r="BV340" s="39"/>
      <c r="BW340" s="39" t="n">
        <f aca="false">BW58</f>
        <v>1647.878</v>
      </c>
      <c r="BX340" s="39"/>
      <c r="BY340" s="39"/>
      <c r="BZ340" s="39"/>
      <c r="CA340" s="39"/>
      <c r="CB340" s="39"/>
      <c r="CC340" s="39" t="n">
        <f aca="false">CC58</f>
        <v>1758.689</v>
      </c>
      <c r="CD340" s="39"/>
      <c r="CE340" s="39"/>
      <c r="CF340" s="39"/>
      <c r="CG340" s="39"/>
      <c r="CH340" s="39"/>
      <c r="CI340" s="39" t="n">
        <f aca="false">CI58</f>
        <v>1932.521</v>
      </c>
      <c r="CJ340" s="39"/>
      <c r="CK340" s="39"/>
      <c r="CL340" s="39"/>
      <c r="CM340" s="39"/>
      <c r="CN340" s="39"/>
      <c r="CO340" s="39" t="n">
        <f aca="false">CO58</f>
        <v>1882.427</v>
      </c>
      <c r="CP340" s="40" t="n">
        <f aca="false">CP58</f>
        <v>1954.7028702</v>
      </c>
      <c r="CQ340" s="40" t="n">
        <f aca="false">CQ58</f>
        <v>2095.27949530903</v>
      </c>
      <c r="CR340" s="40" t="n">
        <f aca="false">CR58</f>
        <v>2252.38751836612</v>
      </c>
      <c r="CS340" s="40" t="n">
        <f aca="false">CS58</f>
        <v>2419.5924987725</v>
      </c>
      <c r="CT340" s="40" t="n">
        <f aca="false">CT58</f>
        <v>2599.06893014835</v>
      </c>
      <c r="CU340" s="24"/>
      <c r="CW340" s="6"/>
      <c r="CX340" s="6"/>
      <c r="CY340" s="6"/>
      <c r="CZ340" s="6"/>
    </row>
    <row r="341" customFormat="false" ht="15" hidden="false" customHeight="false" outlineLevel="0" collapsed="false">
      <c r="B341" s="41" t="s">
        <v>473</v>
      </c>
      <c r="C341" s="70" t="n">
        <f aca="false">IFERROR(C339/C340,"n/a")</f>
        <v>-1.41432672286575</v>
      </c>
      <c r="D341" s="70" t="n">
        <f aca="false">IFERROR(D339/D340,"n/a")</f>
        <v>-0.872875374689662</v>
      </c>
      <c r="E341" s="70" t="n">
        <f aca="false">IFERROR(E339/E340,"n/a")</f>
        <v>-0.136727716899144</v>
      </c>
      <c r="F341" s="70" t="n">
        <f aca="false">IFERROR(F339/F340,"n/a")</f>
        <v>-0.607808927477323</v>
      </c>
      <c r="G341" s="70" t="n">
        <f aca="false">IFERROR(G339/G340,"n/a")</f>
        <v>-0.946379815241841</v>
      </c>
      <c r="H341" s="70" t="n">
        <f aca="false">IFERROR(H339/H340,"n/a")</f>
        <v>0.963567678728813</v>
      </c>
      <c r="I341" s="70" t="n">
        <f aca="false">IFERROR(I339/I340,"n/a")</f>
        <v>0.901547120907929</v>
      </c>
      <c r="J341" s="71"/>
      <c r="K341" s="71"/>
      <c r="L341" s="71"/>
      <c r="M341" s="71"/>
      <c r="N341" s="71"/>
      <c r="O341" s="70" t="n">
        <f aca="false">IFERROR(O339/O340,"n/a")</f>
        <v>0.915105686439237</v>
      </c>
      <c r="P341" s="71"/>
      <c r="Q341" s="71"/>
      <c r="R341" s="71"/>
      <c r="S341" s="71"/>
      <c r="T341" s="71"/>
      <c r="U341" s="70" t="n">
        <f aca="false">IFERROR(U339/U340,"n/a")</f>
        <v>0.399380299162102</v>
      </c>
      <c r="V341" s="71"/>
      <c r="W341" s="71"/>
      <c r="X341" s="71"/>
      <c r="Y341" s="71"/>
      <c r="Z341" s="71"/>
      <c r="AA341" s="70" t="n">
        <f aca="false">IFERROR(AA339/AA340,"n/a")</f>
        <v>0.475046715615429</v>
      </c>
      <c r="AB341" s="71"/>
      <c r="AC341" s="71"/>
      <c r="AD341" s="71"/>
      <c r="AE341" s="71"/>
      <c r="AF341" s="71"/>
      <c r="AG341" s="70" t="n">
        <f aca="false">IFERROR(AG339/AG340,"n/a")</f>
        <v>1.05624516526999</v>
      </c>
      <c r="AH341" s="71"/>
      <c r="AI341" s="71"/>
      <c r="AJ341" s="71"/>
      <c r="AK341" s="71"/>
      <c r="AL341" s="71"/>
      <c r="AM341" s="70" t="n">
        <f aca="false">IFERROR(AM339/AM340,"n/a")</f>
        <v>0.776383284604632</v>
      </c>
      <c r="AN341" s="71"/>
      <c r="AO341" s="71"/>
      <c r="AP341" s="71"/>
      <c r="AQ341" s="71"/>
      <c r="AR341" s="71"/>
      <c r="AS341" s="70" t="n">
        <f aca="false">IFERROR(AS339/AS340,"n/a")</f>
        <v>0.185553907443357</v>
      </c>
      <c r="AT341" s="71"/>
      <c r="AU341" s="71"/>
      <c r="AV341" s="71"/>
      <c r="AW341" s="71"/>
      <c r="AX341" s="71"/>
      <c r="AY341" s="70" t="n">
        <f aca="false">IFERROR(AY339/AY340,"n/a")</f>
        <v>0.265981124346062</v>
      </c>
      <c r="AZ341" s="71"/>
      <c r="BA341" s="71"/>
      <c r="BB341" s="71"/>
      <c r="BC341" s="71"/>
      <c r="BD341" s="71"/>
      <c r="BE341" s="70" t="n">
        <f aca="false">IFERROR(BE339/BE340,"n/a")</f>
        <v>-0.0867457270142838</v>
      </c>
      <c r="BF341" s="71"/>
      <c r="BG341" s="71"/>
      <c r="BH341" s="71"/>
      <c r="BI341" s="71"/>
      <c r="BJ341" s="71"/>
      <c r="BK341" s="70" t="n">
        <f aca="false">IFERROR(BK339/BK340,"n/a")</f>
        <v>-0.513239394548157</v>
      </c>
      <c r="BL341" s="71"/>
      <c r="BM341" s="71"/>
      <c r="BN341" s="71"/>
      <c r="BO341" s="71"/>
      <c r="BP341" s="71"/>
      <c r="BQ341" s="70" t="n">
        <f aca="false">IFERROR(BQ339/BQ340,"n/a")</f>
        <v>-0.909862061127024</v>
      </c>
      <c r="BR341" s="71"/>
      <c r="BS341" s="71"/>
      <c r="BT341" s="71"/>
      <c r="BU341" s="71"/>
      <c r="BV341" s="71"/>
      <c r="BW341" s="70" t="n">
        <f aca="false">IFERROR(BW339/BW340,"n/a")</f>
        <v>-1.42794612222507</v>
      </c>
      <c r="BX341" s="71"/>
      <c r="BY341" s="71"/>
      <c r="BZ341" s="71"/>
      <c r="CA341" s="71"/>
      <c r="CB341" s="71"/>
      <c r="CC341" s="70" t="n">
        <f aca="false">IFERROR(CC339/CC340,"n/a")</f>
        <v>-1.9458573971862</v>
      </c>
      <c r="CD341" s="71"/>
      <c r="CE341" s="71"/>
      <c r="CF341" s="71"/>
      <c r="CG341" s="71"/>
      <c r="CH341" s="71"/>
      <c r="CI341" s="70" t="n">
        <f aca="false">IFERROR(CI339/CI340,"n/a")</f>
        <v>-2.47814642117731</v>
      </c>
      <c r="CJ341" s="71"/>
      <c r="CK341" s="71"/>
      <c r="CL341" s="71"/>
      <c r="CM341" s="71"/>
      <c r="CN341" s="71"/>
      <c r="CO341" s="70" t="n">
        <f aca="false">IFERROR(CO339/CO340,"n/a")</f>
        <v>-2.38511347319179</v>
      </c>
      <c r="CP341" s="70" t="n">
        <f aca="false">IFERROR(CP339/CP340,"n/a")</f>
        <v>-2</v>
      </c>
      <c r="CQ341" s="70" t="n">
        <f aca="false">IFERROR(CQ339/CQ340,"n/a")</f>
        <v>-2</v>
      </c>
      <c r="CR341" s="70" t="n">
        <f aca="false">IFERROR(CR339/CR340,"n/a")</f>
        <v>-2</v>
      </c>
      <c r="CS341" s="70" t="n">
        <f aca="false">IFERROR(CS339/CS340,"n/a")</f>
        <v>-2</v>
      </c>
      <c r="CT341" s="70" t="n">
        <f aca="false">IFERROR(CT339/CT340,"n/a")</f>
        <v>-2</v>
      </c>
      <c r="CU341" s="24"/>
      <c r="CW341" s="6"/>
      <c r="CX341" s="6"/>
      <c r="CY341" s="6"/>
      <c r="CZ341" s="6"/>
    </row>
    <row r="342" customFormat="false" ht="15" hidden="false" customHeight="false" outlineLevel="0" collapsed="false">
      <c r="B342" s="15"/>
      <c r="CP342" s="6"/>
      <c r="CQ342" s="6"/>
      <c r="CR342" s="6"/>
      <c r="CS342" s="6"/>
      <c r="CT342" s="6"/>
      <c r="CU342" s="6"/>
    </row>
    <row r="343" customFormat="false" ht="15" hidden="false" customHeight="false" outlineLevel="0" collapsed="false">
      <c r="B343" s="11" t="s">
        <v>474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 t="s">
        <v>475</v>
      </c>
    </row>
    <row r="344" customFormat="false" ht="15" hidden="false" customHeight="false" outlineLevel="0" collapsed="false">
      <c r="B344" s="66" t="s">
        <v>476</v>
      </c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/>
      <c r="CF344" s="56"/>
      <c r="CG344" s="56"/>
      <c r="CH344" s="56"/>
      <c r="CI344" s="56"/>
      <c r="CJ344" s="56"/>
      <c r="CK344" s="56"/>
      <c r="CL344" s="56"/>
      <c r="CM344" s="56"/>
      <c r="CN344" s="56"/>
      <c r="CO344" s="72" t="n">
        <v>27</v>
      </c>
      <c r="CP344" s="73" t="n">
        <f aca="false">CO344</f>
        <v>27</v>
      </c>
      <c r="CQ344" s="73" t="n">
        <f aca="false">CP344</f>
        <v>27</v>
      </c>
      <c r="CR344" s="73" t="n">
        <f aca="false">CQ344</f>
        <v>27</v>
      </c>
      <c r="CS344" s="73" t="n">
        <f aca="false">CR344</f>
        <v>27</v>
      </c>
      <c r="CT344" s="73" t="n">
        <f aca="false">CS344</f>
        <v>27</v>
      </c>
      <c r="CU344" s="24"/>
      <c r="CW344" s="6"/>
      <c r="CX344" s="6"/>
      <c r="CY344" s="6"/>
      <c r="CZ344" s="6"/>
    </row>
    <row r="345" customFormat="false" ht="15" hidden="false" customHeight="false" outlineLevel="0" collapsed="false">
      <c r="B345" s="15" t="s">
        <v>477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1"/>
      <c r="M345" s="32"/>
      <c r="N345" s="32"/>
      <c r="O345" s="32"/>
      <c r="P345" s="32"/>
      <c r="Q345" s="32"/>
      <c r="R345" s="31"/>
      <c r="S345" s="32"/>
      <c r="T345" s="32"/>
      <c r="U345" s="32"/>
      <c r="V345" s="32"/>
      <c r="W345" s="32"/>
      <c r="X345" s="31"/>
      <c r="Y345" s="32"/>
      <c r="Z345" s="32"/>
      <c r="AA345" s="32"/>
      <c r="AB345" s="32"/>
      <c r="AC345" s="32"/>
      <c r="AD345" s="31"/>
      <c r="AE345" s="32"/>
      <c r="AF345" s="32"/>
      <c r="AG345" s="32"/>
      <c r="AH345" s="32"/>
      <c r="AI345" s="32"/>
      <c r="AJ345" s="31"/>
      <c r="AK345" s="32"/>
      <c r="AL345" s="32"/>
      <c r="AM345" s="32"/>
      <c r="AN345" s="32"/>
      <c r="AO345" s="32"/>
      <c r="AP345" s="31"/>
      <c r="AQ345" s="32"/>
      <c r="AR345" s="32"/>
      <c r="AS345" s="32"/>
      <c r="AT345" s="32"/>
      <c r="AU345" s="32"/>
      <c r="AV345" s="31"/>
      <c r="AW345" s="32"/>
      <c r="AX345" s="32"/>
      <c r="AY345" s="32"/>
      <c r="AZ345" s="32"/>
      <c r="BA345" s="32"/>
      <c r="BB345" s="31"/>
      <c r="BC345" s="32"/>
      <c r="BD345" s="32"/>
      <c r="BE345" s="32"/>
      <c r="BF345" s="32"/>
      <c r="BG345" s="32"/>
      <c r="BH345" s="31"/>
      <c r="BI345" s="32"/>
      <c r="BJ345" s="32"/>
      <c r="BK345" s="32"/>
      <c r="BL345" s="32"/>
      <c r="BM345" s="32"/>
      <c r="BN345" s="31"/>
      <c r="BO345" s="32"/>
      <c r="BP345" s="32"/>
      <c r="BQ345" s="32"/>
      <c r="BR345" s="32"/>
      <c r="BS345" s="32"/>
      <c r="BT345" s="31"/>
      <c r="BU345" s="32"/>
      <c r="BV345" s="32"/>
      <c r="BW345" s="32"/>
      <c r="BX345" s="32"/>
      <c r="BY345" s="32"/>
      <c r="BZ345" s="31"/>
      <c r="CA345" s="32"/>
      <c r="CB345" s="32"/>
      <c r="CC345" s="32"/>
      <c r="CD345" s="32"/>
      <c r="CE345" s="32"/>
      <c r="CF345" s="31"/>
      <c r="CG345" s="32"/>
      <c r="CH345" s="32"/>
      <c r="CI345" s="32"/>
      <c r="CJ345" s="32"/>
      <c r="CK345" s="32"/>
      <c r="CL345" s="31"/>
      <c r="CM345" s="32"/>
      <c r="CN345" s="32"/>
      <c r="CO345" s="31" t="n">
        <f aca="false">CO98</f>
        <v>956.86</v>
      </c>
      <c r="CP345" s="33" t="n">
        <f aca="false">CP98</f>
        <v>901.112476472659</v>
      </c>
      <c r="CQ345" s="33" t="n">
        <f aca="false">CQ98</f>
        <v>853.0485594711</v>
      </c>
      <c r="CR345" s="33" t="n">
        <f aca="false">CR98</f>
        <v>820.36581368535</v>
      </c>
      <c r="CS345" s="33" t="n">
        <f aca="false">CS98</f>
        <v>787.593752647945</v>
      </c>
      <c r="CT345" s="33" t="n">
        <f aca="false">CT98</f>
        <v>754.540457671242</v>
      </c>
      <c r="CU345" s="24"/>
      <c r="CW345" s="6"/>
      <c r="CX345" s="6"/>
      <c r="CY345" s="6"/>
      <c r="CZ345" s="6"/>
    </row>
    <row r="346" customFormat="false" ht="15" hidden="false" customHeight="false" outlineLevel="0" collapsed="false">
      <c r="B346" s="28" t="s">
        <v>478</v>
      </c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 t="n">
        <f aca="false">IFERROR(CO344*CO345,"n/a")</f>
        <v>25835.22</v>
      </c>
      <c r="CP346" s="40" t="n">
        <f aca="false">IFERROR(CP344*CP345,"n/a")</f>
        <v>24330.0368647618</v>
      </c>
      <c r="CQ346" s="40" t="n">
        <f aca="false">IFERROR(CQ344*CQ345,"n/a")</f>
        <v>23032.3111057197</v>
      </c>
      <c r="CR346" s="40" t="n">
        <f aca="false">IFERROR(CR344*CR345,"n/a")</f>
        <v>22149.8769695044</v>
      </c>
      <c r="CS346" s="40" t="n">
        <f aca="false">IFERROR(CS344*CS345,"n/a")</f>
        <v>21265.0313214945</v>
      </c>
      <c r="CT346" s="40" t="n">
        <f aca="false">IFERROR(CT344*CT345,"n/a")</f>
        <v>20372.5923571235</v>
      </c>
      <c r="CU346" s="24"/>
      <c r="CW346" s="6"/>
      <c r="CX346" s="6"/>
      <c r="CY346" s="6"/>
      <c r="CZ346" s="6"/>
    </row>
    <row r="347" customFormat="false" ht="15" hidden="false" customHeight="false" outlineLevel="0" collapsed="false">
      <c r="B347" s="28" t="s">
        <v>479</v>
      </c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 t="n">
        <f aca="false">CO318</f>
        <v>-4489.802</v>
      </c>
      <c r="CP347" s="40" t="n">
        <f aca="false">CP318</f>
        <v>-3909.4057404</v>
      </c>
      <c r="CQ347" s="40" t="n">
        <f aca="false">CQ318</f>
        <v>-4190.55899061807</v>
      </c>
      <c r="CR347" s="40" t="n">
        <f aca="false">CR318</f>
        <v>-4504.77503673224</v>
      </c>
      <c r="CS347" s="40" t="n">
        <f aca="false">CS318</f>
        <v>-4839.18499754501</v>
      </c>
      <c r="CT347" s="40" t="n">
        <f aca="false">CT318</f>
        <v>-5198.1378602967</v>
      </c>
      <c r="CU347" s="24"/>
      <c r="CW347" s="6"/>
      <c r="CX347" s="6"/>
      <c r="CY347" s="6"/>
      <c r="CZ347" s="6"/>
    </row>
    <row r="348" customFormat="false" ht="15" hidden="false" customHeight="false" outlineLevel="0" collapsed="false">
      <c r="B348" s="28" t="s">
        <v>480</v>
      </c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 t="n">
        <f aca="false">N(CO273)+N(CO279)</f>
        <v>16.585</v>
      </c>
      <c r="CP348" s="40" t="n">
        <f aca="false">CP273+CP279</f>
        <v>16.585</v>
      </c>
      <c r="CQ348" s="40" t="n">
        <f aca="false">CQ273+CQ279</f>
        <v>16.585</v>
      </c>
      <c r="CR348" s="40" t="n">
        <f aca="false">CR273+CR279</f>
        <v>16.585</v>
      </c>
      <c r="CS348" s="40" t="n">
        <f aca="false">CS273+CS279</f>
        <v>16.585</v>
      </c>
      <c r="CT348" s="40" t="n">
        <f aca="false">CT273+CT279</f>
        <v>16.585</v>
      </c>
      <c r="CU348" s="24"/>
      <c r="CW348" s="6"/>
      <c r="CX348" s="6"/>
      <c r="CY348" s="6"/>
      <c r="CZ348" s="6"/>
    </row>
    <row r="349" customFormat="false" ht="15" hidden="false" customHeight="false" outlineLevel="0" collapsed="false">
      <c r="B349" s="20" t="s">
        <v>481</v>
      </c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 t="n">
        <f aca="false">IFERROR(CO346+CO347+CO348,"n/a")</f>
        <v>21362.003</v>
      </c>
      <c r="CP349" s="23" t="n">
        <f aca="false">IFERROR(CP346+CP347+CP348,"n/a")</f>
        <v>20437.2161243618</v>
      </c>
      <c r="CQ349" s="23" t="n">
        <f aca="false">IFERROR(CQ346+CQ347+CQ348,"n/a")</f>
        <v>18858.3371151016</v>
      </c>
      <c r="CR349" s="23" t="n">
        <f aca="false">IFERROR(CR346+CR347+CR348,"n/a")</f>
        <v>17661.6869327722</v>
      </c>
      <c r="CS349" s="23" t="n">
        <f aca="false">IFERROR(CS346+CS347+CS348,"n/a")</f>
        <v>16442.4313239495</v>
      </c>
      <c r="CT349" s="23" t="n">
        <f aca="false">IFERROR(CT346+CT347+CT348,"n/a")</f>
        <v>15191.0394968268</v>
      </c>
      <c r="CU349" s="24"/>
      <c r="CW349" s="6"/>
      <c r="CX349" s="6"/>
      <c r="CY349" s="6"/>
      <c r="CZ349" s="6"/>
    </row>
    <row r="350" customFormat="false" ht="15" hidden="false" customHeight="false" outlineLevel="0" collapsed="false">
      <c r="B350" s="16" t="s">
        <v>482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7"/>
    </row>
    <row r="351" customFormat="false" ht="15" hidden="false" customHeight="false" outlineLevel="0" collapsed="false">
      <c r="B351" s="15" t="s">
        <v>483</v>
      </c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 t="n">
        <f aca="false">IFERROR(CO349/CO73,"n/a")</f>
        <v>4.57802104449244</v>
      </c>
      <c r="CP351" s="63" t="n">
        <f aca="false">IFERROR(CP349/CP73,"n/a")</f>
        <v>4.18216321998253</v>
      </c>
      <c r="CQ351" s="63" t="n">
        <f aca="false">IFERROR(CQ349/CQ73,"n/a")</f>
        <v>3.64515881948708</v>
      </c>
      <c r="CR351" s="63" t="n">
        <f aca="false">IFERROR(CR349/CR73,"n/a")</f>
        <v>3.21494040585407</v>
      </c>
      <c r="CS351" s="63" t="n">
        <f aca="false">IFERROR(CS349/CS73,"n/a")</f>
        <v>2.82014802199163</v>
      </c>
      <c r="CT351" s="63" t="n">
        <f aca="false">IFERROR(CT349/CT73,"n/a")</f>
        <v>2.45481622848037</v>
      </c>
      <c r="CU351" s="24"/>
      <c r="CW351" s="6"/>
      <c r="CX351" s="6"/>
      <c r="CY351" s="6"/>
      <c r="CZ351" s="6"/>
    </row>
    <row r="352" customFormat="false" ht="15" hidden="false" customHeight="false" outlineLevel="0" collapsed="false">
      <c r="B352" s="15" t="s">
        <v>484</v>
      </c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 t="n">
        <f aca="false">IFERROR(CO349/CO71,"n/a")</f>
        <v>5.38150783973881</v>
      </c>
      <c r="CP352" s="63" t="n">
        <f aca="false">IFERROR(CP349/CP71,"n/a")</f>
        <v>4.91347129959478</v>
      </c>
      <c r="CQ352" s="63" t="n">
        <f aca="false">IFERROR(CQ349/CQ71,"n/a")</f>
        <v>4.27220775616387</v>
      </c>
      <c r="CR352" s="63" t="n">
        <f aca="false">IFERROR(CR349/CR71,"n/a")</f>
        <v>3.75712222688841</v>
      </c>
      <c r="CS352" s="63" t="n">
        <f aca="false">IFERROR(CS349/CS71,"n/a")</f>
        <v>3.28674662499606</v>
      </c>
      <c r="CT352" s="63" t="n">
        <f aca="false">IFERROR(CT349/CT71,"n/a")</f>
        <v>2.85326981118727</v>
      </c>
      <c r="CU352" s="24"/>
      <c r="CW352" s="6"/>
      <c r="CX352" s="6"/>
      <c r="CY352" s="6"/>
      <c r="CZ352" s="6"/>
    </row>
    <row r="353" customFormat="false" ht="15" hidden="false" customHeight="false" outlineLevel="0" collapsed="false">
      <c r="B353" s="15" t="s">
        <v>485</v>
      </c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 t="n">
        <f aca="false">IFERROR(CO349/CO58,"n/a")</f>
        <v>11.3481176162475</v>
      </c>
      <c r="CP353" s="63" t="n">
        <f aca="false">IFERROR(CP349/CP58,"n/a")</f>
        <v>10.4554080499563</v>
      </c>
      <c r="CQ353" s="63" t="n">
        <f aca="false">IFERROR(CQ349/CQ58,"n/a")</f>
        <v>9.00039214688169</v>
      </c>
      <c r="CR353" s="63" t="n">
        <f aca="false">IFERROR(CR349/CR58,"n/a")</f>
        <v>7.8413180630587</v>
      </c>
      <c r="CS353" s="63" t="n">
        <f aca="false">IFERROR(CS349/CS58,"n/a")</f>
        <v>6.79553740238946</v>
      </c>
      <c r="CT353" s="63" t="n">
        <f aca="false">IFERROR(CT349/CT58,"n/a")</f>
        <v>5.84480054400088</v>
      </c>
      <c r="CU353" s="24"/>
      <c r="CW353" s="6"/>
      <c r="CX353" s="6"/>
      <c r="CY353" s="6"/>
      <c r="CZ353" s="6"/>
    </row>
    <row r="354" customFormat="false" ht="15" hidden="false" customHeight="false" outlineLevel="0" collapsed="false">
      <c r="B354" s="15" t="s">
        <v>486</v>
      </c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 t="n">
        <f aca="false">IFERROR(CO349/CO63,"n/a")</f>
        <v>12.9227496500417</v>
      </c>
      <c r="CP354" s="63" t="n">
        <f aca="false">IFERROR(CP349/CP63,"n/a")</f>
        <v>11.9490377713786</v>
      </c>
      <c r="CQ354" s="63" t="n">
        <f aca="false">IFERROR(CQ349/CQ63,"n/a")</f>
        <v>10.2680530126397</v>
      </c>
      <c r="CR354" s="63" t="n">
        <f aca="false">IFERROR(CR349/CR63,"n/a")</f>
        <v>8.93039001626129</v>
      </c>
      <c r="CS354" s="63" t="n">
        <f aca="false">IFERROR(CS349/CS63,"n/a")</f>
        <v>7.72643293696336</v>
      </c>
      <c r="CT354" s="63" t="n">
        <f aca="false">IFERROR(CT349/CT63,"n/a")</f>
        <v>6.63463845535235</v>
      </c>
      <c r="CU354" s="24"/>
      <c r="CW354" s="6"/>
      <c r="CX354" s="6"/>
      <c r="CY354" s="6"/>
      <c r="CZ354" s="6"/>
    </row>
    <row r="355" customFormat="false" ht="15" hidden="false" customHeight="false" outlineLevel="0" collapsed="false">
      <c r="B355" s="15" t="s">
        <v>487</v>
      </c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 t="n">
        <f aca="false">IFERROR(CO349/CO316,"n/a")</f>
        <v>4.61973240935815</v>
      </c>
      <c r="CP355" s="63" t="n">
        <f aca="false">IFERROR(CP349/CP316,"n/a")</f>
        <v>4.22626699849036</v>
      </c>
      <c r="CQ355" s="63" t="n">
        <f aca="false">IFERROR(CQ349/CQ316,"n/a")</f>
        <v>3.7146124569165</v>
      </c>
      <c r="CR355" s="63" t="n">
        <f aca="false">IFERROR(CR349/CR316,"n/a")</f>
        <v>3.31098959789481</v>
      </c>
      <c r="CS355" s="63" t="n">
        <f aca="false">IFERROR(CS349/CS316,"n/a")</f>
        <v>2.93200188141237</v>
      </c>
      <c r="CT355" s="63" t="n">
        <f aca="false">IFERROR(CT349/CT316,"n/a")</f>
        <v>2.57519009543687</v>
      </c>
      <c r="CU355" s="24"/>
      <c r="CW355" s="6"/>
      <c r="CX355" s="6"/>
      <c r="CY355" s="6"/>
      <c r="CZ355" s="6"/>
    </row>
    <row r="356" customFormat="false" ht="15" hidden="false" customHeight="false" outlineLevel="0" collapsed="false">
      <c r="B356" s="15" t="s">
        <v>488</v>
      </c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 t="n">
        <f aca="false">IFERROR(CO344/CO100,"n/a")</f>
        <v>17.406011035728</v>
      </c>
      <c r="CP356" s="63" t="n">
        <f aca="false">IFERROR(CP344/CP100,"n/a")</f>
        <v>16.3875167449466</v>
      </c>
      <c r="CQ356" s="63" t="n">
        <f aca="false">IFERROR(CQ344/CQ100,"n/a")</f>
        <v>14.7538166872037</v>
      </c>
      <c r="CR356" s="63" t="n">
        <f aca="false">IFERROR(CR344/CR100,"n/a")</f>
        <v>13.1801362140372</v>
      </c>
      <c r="CS356" s="63" t="n">
        <f aca="false">IFERROR(CS344/CS100,"n/a")</f>
        <v>11.7602533186497</v>
      </c>
      <c r="CT356" s="63" t="n">
        <f aca="false">IFERROR(CT344/CT100,"n/a")</f>
        <v>10.4726771249554</v>
      </c>
      <c r="CU356" s="24"/>
      <c r="CW356" s="6"/>
      <c r="CX356" s="6"/>
      <c r="CY356" s="6"/>
      <c r="CZ356" s="6"/>
    </row>
    <row r="357" customFormat="false" ht="15" hidden="false" customHeight="false" outlineLevel="0" collapsed="false">
      <c r="B357" s="15" t="s">
        <v>489</v>
      </c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 t="n">
        <f aca="false">IFERROR(CO344/CO152,"n/a")</f>
        <v>17.406011035728</v>
      </c>
      <c r="CP357" s="63" t="n">
        <f aca="false">IFERROR(CP344/CP152,"n/a")</f>
        <v>16.3875167449466</v>
      </c>
      <c r="CQ357" s="63" t="n">
        <f aca="false">IFERROR(CQ344/CQ152,"n/a")</f>
        <v>14.7538166872037</v>
      </c>
      <c r="CR357" s="63" t="n">
        <f aca="false">IFERROR(CR344/CR152,"n/a")</f>
        <v>13.1801362140372</v>
      </c>
      <c r="CS357" s="63" t="n">
        <f aca="false">IFERROR(CS344/CS152,"n/a")</f>
        <v>11.7602533186497</v>
      </c>
      <c r="CT357" s="63" t="n">
        <f aca="false">IFERROR(CT344/CT152,"n/a")</f>
        <v>10.4726771249554</v>
      </c>
      <c r="CU357" s="24"/>
      <c r="CW357" s="6"/>
      <c r="CX357" s="6"/>
      <c r="CY357" s="6"/>
      <c r="CZ357" s="6"/>
    </row>
    <row r="358" customFormat="false" ht="15" hidden="false" customHeight="false" outlineLevel="0" collapsed="false">
      <c r="B358" s="28" t="s">
        <v>490</v>
      </c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 t="n">
        <f aca="false">IFERROR(CO213/CO346,"n/a")</f>
        <v>0.0495333115026696</v>
      </c>
      <c r="CP358" s="45" t="n">
        <f aca="false">IFERROR(CP213/CP346,"n/a")</f>
        <v>0.0539284106572849</v>
      </c>
      <c r="CQ358" s="45" t="n">
        <f aca="false">IFERROR(CQ213/CQ346,"n/a")</f>
        <v>0.0591108575490847</v>
      </c>
      <c r="CR358" s="45" t="n">
        <f aca="false">IFERROR(CR213/CR346,"n/a")</f>
        <v>0.0662321816901409</v>
      </c>
      <c r="CS358" s="45" t="n">
        <f aca="false">IFERROR(CS213/CS346,"n/a")</f>
        <v>0.0743566866399401</v>
      </c>
      <c r="CT358" s="45" t="n">
        <f aca="false">IFERROR(CT213/CT346,"n/a")</f>
        <v>0.083628898084644</v>
      </c>
      <c r="CU358" s="24"/>
      <c r="CW358" s="6"/>
      <c r="CX358" s="6"/>
      <c r="CY358" s="6"/>
      <c r="CZ358" s="6"/>
    </row>
  </sheetData>
  <dataValidations count="1">
    <dataValidation allowBlank="false" errorStyle="stop" operator="between" showDropDown="false" showErrorMessage="false" showInputMessage="false" sqref="CU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4"/>
  <sheetViews>
    <sheetView showFormulas="false" showGridLines="false" showRowColHeaders="true" showZeros="true" rightToLeft="false" tabSelected="false" showOutlineSymbols="true" defaultGridColor="true" view="normal" topLeftCell="A2" colorId="64" zoomScale="60" zoomScaleNormal="60" zoomScalePageLayoutView="100" workbookViewId="0">
      <selection pane="topLeft" activeCell="G26" activeCellId="0" sqref="G26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1.57"/>
    <col collapsed="false" customWidth="true" hidden="false" outlineLevel="0" max="3" min="3" style="0" width="11.86"/>
    <col collapsed="false" customWidth="true" hidden="false" outlineLevel="0" max="9" min="9" style="0" width="13"/>
    <col collapsed="false" customWidth="true" hidden="false" outlineLevel="0" max="12" min="10" style="0" width="11.86"/>
    <col collapsed="false" customWidth="true" hidden="false" outlineLevel="0" max="14" min="14" style="0" width="41.57"/>
    <col collapsed="false" customWidth="true" hidden="false" outlineLevel="0" max="15" min="15" style="0" width="11.86"/>
    <col collapsed="false" customWidth="true" hidden="false" outlineLevel="0" max="21" min="21" style="0" width="13"/>
    <col collapsed="false" customWidth="true" hidden="false" outlineLevel="0" max="24" min="22" style="0" width="11.86"/>
    <col collapsed="false" customWidth="true" hidden="false" outlineLevel="0" max="26" min="26" style="0" width="41.57"/>
    <col collapsed="false" customWidth="true" hidden="false" outlineLevel="0" max="27" min="27" style="0" width="11.86"/>
    <col collapsed="false" customWidth="true" hidden="false" outlineLevel="0" max="33" min="33" style="0" width="13"/>
    <col collapsed="false" customWidth="true" hidden="false" outlineLevel="0" max="36" min="34" style="0" width="11.86"/>
  </cols>
  <sheetData>
    <row r="2" customFormat="false" ht="19.5" hidden="false" customHeight="true" outlineLevel="0" collapsed="false">
      <c r="B2" s="74" t="s">
        <v>491</v>
      </c>
      <c r="J2" s="11" t="s">
        <v>492</v>
      </c>
      <c r="K2" s="75" t="n">
        <f aca="false">Model!$CO$344</f>
        <v>27</v>
      </c>
    </row>
    <row r="3" customFormat="false" ht="15" hidden="false" customHeight="true" outlineLevel="0" collapsed="false">
      <c r="B3" s="4" t="s">
        <v>493</v>
      </c>
      <c r="J3" s="11" t="s">
        <v>494</v>
      </c>
      <c r="K3" s="76" t="n">
        <f aca="true">TODAY()</f>
        <v>46298</v>
      </c>
    </row>
    <row r="5" customFormat="false" ht="15" hidden="false" customHeight="true" outlineLevel="0" collapsed="false">
      <c r="B5" s="11" t="s">
        <v>495</v>
      </c>
      <c r="C5" s="77" t="str">
        <f aca="false">Model!CU2</f>
        <v>Base</v>
      </c>
      <c r="N5" s="11" t="s">
        <v>495</v>
      </c>
      <c r="O5" s="77" t="s">
        <v>94</v>
      </c>
      <c r="P5" s="4" t="s">
        <v>496</v>
      </c>
      <c r="Z5" s="11" t="s">
        <v>495</v>
      </c>
      <c r="AA5" s="77" t="s">
        <v>95</v>
      </c>
      <c r="AB5" s="4" t="s">
        <v>497</v>
      </c>
    </row>
    <row r="7" customFormat="false" ht="15" hidden="false" customHeight="true" outlineLevel="0" collapsed="false">
      <c r="B7" s="78" t="s">
        <v>498</v>
      </c>
      <c r="C7" s="79" t="s">
        <v>499</v>
      </c>
      <c r="D7" s="79" t="s">
        <v>78</v>
      </c>
      <c r="E7" s="79" t="s">
        <v>79</v>
      </c>
      <c r="F7" s="79" t="s">
        <v>80</v>
      </c>
      <c r="G7" s="79" t="s">
        <v>81</v>
      </c>
      <c r="H7" s="79" t="s">
        <v>82</v>
      </c>
      <c r="I7" s="79" t="s">
        <v>500</v>
      </c>
      <c r="J7" s="80" t="s">
        <v>501</v>
      </c>
      <c r="K7" s="80" t="s">
        <v>502</v>
      </c>
      <c r="L7" s="80" t="s">
        <v>503</v>
      </c>
      <c r="N7" s="78" t="s">
        <v>498</v>
      </c>
      <c r="O7" s="79" t="s">
        <v>499</v>
      </c>
      <c r="P7" s="79" t="s">
        <v>78</v>
      </c>
      <c r="Q7" s="79" t="s">
        <v>79</v>
      </c>
      <c r="R7" s="79" t="s">
        <v>80</v>
      </c>
      <c r="S7" s="79" t="s">
        <v>81</v>
      </c>
      <c r="T7" s="79" t="s">
        <v>82</v>
      </c>
      <c r="U7" s="79" t="s">
        <v>500</v>
      </c>
      <c r="V7" s="80" t="s">
        <v>501</v>
      </c>
      <c r="W7" s="80" t="s">
        <v>502</v>
      </c>
      <c r="X7" s="80" t="s">
        <v>503</v>
      </c>
      <c r="Z7" s="78" t="s">
        <v>498</v>
      </c>
      <c r="AA7" s="79" t="s">
        <v>499</v>
      </c>
      <c r="AB7" s="79" t="s">
        <v>78</v>
      </c>
      <c r="AC7" s="79" t="s">
        <v>79</v>
      </c>
      <c r="AD7" s="79" t="s">
        <v>80</v>
      </c>
      <c r="AE7" s="79" t="s">
        <v>81</v>
      </c>
      <c r="AF7" s="79" t="s">
        <v>82</v>
      </c>
      <c r="AG7" s="79" t="s">
        <v>500</v>
      </c>
      <c r="AH7" s="80" t="s">
        <v>501</v>
      </c>
      <c r="AI7" s="80" t="s">
        <v>502</v>
      </c>
      <c r="AJ7" s="80" t="s">
        <v>503</v>
      </c>
    </row>
    <row r="9" customFormat="false" ht="15" hidden="false" customHeight="true" outlineLevel="0" collapsed="false">
      <c r="B9" s="81" t="s">
        <v>504</v>
      </c>
      <c r="C9" s="82" t="n">
        <f aca="false">Model!CO73</f>
        <v>4666.209</v>
      </c>
      <c r="D9" s="83" t="n">
        <f aca="false">Model!CP73</f>
        <v>4886.7571755</v>
      </c>
      <c r="E9" s="83" t="n">
        <f aca="false">Model!CQ73</f>
        <v>5173.529618047</v>
      </c>
      <c r="F9" s="83" t="n">
        <f aca="false">Model!CR73</f>
        <v>5493.6280935759</v>
      </c>
      <c r="G9" s="83" t="n">
        <f aca="false">Model!CS73</f>
        <v>5830.34337053615</v>
      </c>
      <c r="H9" s="83" t="n">
        <f aca="false">Model!CT73</f>
        <v>6188.25935749607</v>
      </c>
      <c r="I9" s="84" t="n">
        <f aca="false">IFERROR((H9/C9)^(1/5)-1,"n/m")</f>
        <v>0.0580857465281293</v>
      </c>
      <c r="N9" s="81" t="s">
        <v>504</v>
      </c>
      <c r="O9" s="82" t="n">
        <v>4666.209</v>
      </c>
      <c r="P9" s="83" t="n">
        <v>5003.4286436</v>
      </c>
      <c r="Q9" s="83" t="n">
        <v>5423.153372212</v>
      </c>
      <c r="R9" s="83" t="n">
        <v>5896.62614073145</v>
      </c>
      <c r="S9" s="83" t="n">
        <v>6409.14788141543</v>
      </c>
      <c r="T9" s="83" t="n">
        <v>6967.9874588158</v>
      </c>
      <c r="U9" s="84" t="n">
        <v>0.0834992989849195</v>
      </c>
      <c r="Z9" s="81" t="s">
        <v>504</v>
      </c>
      <c r="AA9" s="82" t="n">
        <v>4666.209</v>
      </c>
      <c r="AB9" s="83" t="n">
        <v>4714.2911886</v>
      </c>
      <c r="AC9" s="83" t="n">
        <v>4817.30199097081</v>
      </c>
      <c r="AD9" s="83" t="n">
        <v>4938.2629054635</v>
      </c>
      <c r="AE9" s="83" t="n">
        <v>5059.95638404253</v>
      </c>
      <c r="AF9" s="83" t="n">
        <v>5185.75312419219</v>
      </c>
      <c r="AG9" s="84" t="n">
        <v>0.0213380929499012</v>
      </c>
    </row>
    <row r="10" customFormat="false" ht="15" hidden="false" customHeight="true" outlineLevel="0" collapsed="false">
      <c r="B10" s="85" t="s">
        <v>505</v>
      </c>
      <c r="C10" s="86"/>
      <c r="D10" s="87" t="n">
        <f aca="false">IFERROR(D9/C9-1,"")</f>
        <v>0.0472649586634462</v>
      </c>
      <c r="E10" s="87" t="n">
        <f aca="false">IFERROR(E9/D9-1,"")</f>
        <v>0.0586835875506038</v>
      </c>
      <c r="F10" s="87" t="n">
        <f aca="false">IFERROR(F9/E9-1,"")</f>
        <v>0.0618723577830298</v>
      </c>
      <c r="G10" s="87" t="n">
        <f aca="false">IFERROR(G9/F9-1,"")</f>
        <v>0.0612919679353607</v>
      </c>
      <c r="H10" s="87" t="n">
        <f aca="false">IFERROR(H9/G9-1,"")</f>
        <v>0.06138849193148</v>
      </c>
      <c r="N10" s="85" t="s">
        <v>505</v>
      </c>
      <c r="O10" s="86"/>
      <c r="P10" s="87" t="n">
        <v>0.0722684396691191</v>
      </c>
      <c r="Q10" s="87" t="n">
        <v>0.0838874217080881</v>
      </c>
      <c r="R10" s="87" t="n">
        <v>0.0873058045795838</v>
      </c>
      <c r="S10" s="87" t="n">
        <v>0.0869177947612607</v>
      </c>
      <c r="T10" s="87" t="n">
        <v>0.0871940525854973</v>
      </c>
      <c r="Z10" s="85" t="s">
        <v>505</v>
      </c>
      <c r="AA10" s="86"/>
      <c r="AB10" s="87" t="n">
        <v>0.010304336689591</v>
      </c>
      <c r="AC10" s="87" t="n">
        <v>0.0218507508869863</v>
      </c>
      <c r="AD10" s="87" t="n">
        <v>0.0251096806302391</v>
      </c>
      <c r="AE10" s="87" t="n">
        <v>0.02464297282439</v>
      </c>
      <c r="AF10" s="87" t="n">
        <v>0.024861230137551</v>
      </c>
    </row>
    <row r="11" customFormat="false" ht="15" hidden="false" customHeight="true" outlineLevel="0" collapsed="false">
      <c r="B11" s="81" t="s">
        <v>181</v>
      </c>
      <c r="C11" s="82" t="n">
        <f aca="false">Model!CO71</f>
        <v>3969.52</v>
      </c>
      <c r="D11" s="83" t="n">
        <f aca="false">Model!CP71</f>
        <v>4159.4251555</v>
      </c>
      <c r="E11" s="83" t="n">
        <f aca="false">Model!CQ71</f>
        <v>4414.190084247</v>
      </c>
      <c r="F11" s="83" t="n">
        <f aca="false">Model!CR71</f>
        <v>4700.8550337739</v>
      </c>
      <c r="G11" s="83" t="n">
        <f aca="false">Model!CS71</f>
        <v>5002.64644645957</v>
      </c>
      <c r="H11" s="83" t="n">
        <f aca="false">Model!CT71</f>
        <v>5324.0809674798</v>
      </c>
      <c r="I11" s="84" t="n">
        <f aca="false">IFERROR((H11/C11)^(1/5)-1,"n/m")</f>
        <v>0.0604771894698724</v>
      </c>
      <c r="N11" s="81" t="s">
        <v>181</v>
      </c>
      <c r="O11" s="82" t="n">
        <v>3969.52</v>
      </c>
      <c r="P11" s="83" t="n">
        <v>4276.0966236</v>
      </c>
      <c r="Q11" s="83" t="n">
        <v>4663.813838412</v>
      </c>
      <c r="R11" s="83" t="n">
        <v>5103.85308092945</v>
      </c>
      <c r="S11" s="83" t="n">
        <v>5581.45095733885</v>
      </c>
      <c r="T11" s="83" t="n">
        <v>6103.80906879953</v>
      </c>
      <c r="U11" s="84" t="n">
        <v>0.0898647071361218</v>
      </c>
      <c r="Z11" s="81" t="s">
        <v>181</v>
      </c>
      <c r="AA11" s="82" t="n">
        <v>3969.52</v>
      </c>
      <c r="AB11" s="83" t="n">
        <v>3986.9591686</v>
      </c>
      <c r="AC11" s="83" t="n">
        <v>4057.96245717081</v>
      </c>
      <c r="AD11" s="83" t="n">
        <v>4145.48984566151</v>
      </c>
      <c r="AE11" s="83" t="n">
        <v>4232.25945996595</v>
      </c>
      <c r="AF11" s="83" t="n">
        <v>4321.57473417592</v>
      </c>
      <c r="AG11" s="84" t="n">
        <v>0.0171401709134023</v>
      </c>
    </row>
    <row r="12" customFormat="false" ht="15" hidden="false" customHeight="true" outlineLevel="0" collapsed="false">
      <c r="B12" s="81" t="s">
        <v>450</v>
      </c>
      <c r="C12" s="82" t="n">
        <f aca="false">Model!CO63</f>
        <v>1653.054</v>
      </c>
      <c r="D12" s="83" t="n">
        <f aca="false">Model!CP63</f>
        <v>1710.365011425</v>
      </c>
      <c r="E12" s="83" t="n">
        <f aca="false">Model!CQ63</f>
        <v>1836.60301440668</v>
      </c>
      <c r="F12" s="83" t="n">
        <f aca="false">Model!CR63</f>
        <v>1977.70611368732</v>
      </c>
      <c r="G12" s="83" t="n">
        <f aca="false">Model!CS63</f>
        <v>2128.0753302457</v>
      </c>
      <c r="H12" s="83" t="n">
        <f aca="false">Model!CT63</f>
        <v>2289.65596227355</v>
      </c>
      <c r="I12" s="84" t="n">
        <f aca="false">IFERROR((H12/C12)^(1/5)-1,"n/m")</f>
        <v>0.0673248919876439</v>
      </c>
      <c r="N12" s="81" t="s">
        <v>450</v>
      </c>
      <c r="O12" s="82" t="n">
        <v>1653.054</v>
      </c>
      <c r="P12" s="83" t="n">
        <v>1826.251454914</v>
      </c>
      <c r="Q12" s="83" t="n">
        <v>2006.56674771844</v>
      </c>
      <c r="R12" s="83" t="n">
        <v>2211.23480277429</v>
      </c>
      <c r="S12" s="83" t="n">
        <v>2435.47619493786</v>
      </c>
      <c r="T12" s="83" t="n">
        <v>2682.67517164408</v>
      </c>
      <c r="U12" s="84" t="n">
        <v>0.101681888647591</v>
      </c>
      <c r="Z12" s="81" t="s">
        <v>450</v>
      </c>
      <c r="AA12" s="82" t="n">
        <v>1653.054</v>
      </c>
      <c r="AB12" s="83" t="n">
        <v>1555.716092238</v>
      </c>
      <c r="AC12" s="83" t="n">
        <v>1613.79616697522</v>
      </c>
      <c r="AD12" s="83" t="n">
        <v>1679.00938785759</v>
      </c>
      <c r="AE12" s="83" t="n">
        <v>1745.68495249467</v>
      </c>
      <c r="AF12" s="83" t="n">
        <v>1815.01359346727</v>
      </c>
      <c r="AG12" s="84" t="n">
        <v>0.018869515177947</v>
      </c>
    </row>
    <row r="13" customFormat="false" ht="15" hidden="false" customHeight="true" outlineLevel="0" collapsed="false">
      <c r="B13" s="85" t="s">
        <v>506</v>
      </c>
      <c r="C13" s="88" t="n">
        <f aca="false">IFERROR(C12/C9,"")</f>
        <v>0.354260599985984</v>
      </c>
      <c r="D13" s="89" t="n">
        <f aca="false">IFERROR(D12/D9,"")</f>
        <v>0.35</v>
      </c>
      <c r="E13" s="89" t="n">
        <f aca="false">IFERROR(E12/E9,"")</f>
        <v>0.355</v>
      </c>
      <c r="F13" s="89" t="n">
        <f aca="false">IFERROR(F12/F9,"")</f>
        <v>0.36</v>
      </c>
      <c r="G13" s="89" t="n">
        <f aca="false">IFERROR(G12/G9,"")</f>
        <v>0.365</v>
      </c>
      <c r="H13" s="89" t="n">
        <f aca="false">IFERROR(H12/H9,"")</f>
        <v>0.37</v>
      </c>
      <c r="J13" s="90" t="n">
        <f aca="false">IFERROR(AVERAGE(Model!C64,Model!D64,Model!E64,Model!F64,Model!G64,Model!H64,Model!I64,Model!O64,Model!U64,Model!AA64,Model!AG64,Model!AM64,Model!AS64,Model!AY64,Model!BE64,Model!BK64,Model!BQ64,Model!BW64,Model!CC64,Model!CI64,Model!CO64),"")</f>
        <v>0.336903069340336</v>
      </c>
      <c r="K13" s="90" t="n">
        <f aca="false">IFERROR(MIN(Model!C64,Model!D64,Model!E64,Model!F64,Model!G64,Model!H64,Model!I64,Model!O64,Model!U64,Model!AA64,Model!AG64,Model!AM64,Model!AS64,Model!AY64,Model!BE64,Model!BK64,Model!BQ64,Model!BW64,Model!CC64,Model!CI64,Model!CO64),"")</f>
        <v>0.264219085870172</v>
      </c>
      <c r="L13" s="90" t="n">
        <f aca="false">IFERROR(MAX(Model!C64,Model!D64,Model!E64,Model!F64,Model!G64,Model!H64,Model!I64,Model!O64,Model!U64,Model!AA64,Model!AG64,Model!AM64,Model!AS64,Model!AY64,Model!BE64,Model!BK64,Model!BQ64,Model!BW64,Model!CC64,Model!CI64,Model!CO64),"")</f>
        <v>0.425517419736942</v>
      </c>
      <c r="N13" s="85" t="s">
        <v>506</v>
      </c>
      <c r="O13" s="88" t="n">
        <v>0.354260599985984</v>
      </c>
      <c r="P13" s="89" t="n">
        <v>0.365</v>
      </c>
      <c r="Q13" s="89" t="n">
        <v>0.37</v>
      </c>
      <c r="R13" s="89" t="n">
        <v>0.375</v>
      </c>
      <c r="S13" s="89" t="n">
        <v>0.38</v>
      </c>
      <c r="T13" s="89" t="n">
        <v>0.385</v>
      </c>
      <c r="V13" s="90" t="n">
        <v>0.336903069340336</v>
      </c>
      <c r="W13" s="90" t="n">
        <v>0.264219085870172</v>
      </c>
      <c r="X13" s="90" t="n">
        <v>0.425517419736942</v>
      </c>
      <c r="Z13" s="85" t="s">
        <v>506</v>
      </c>
      <c r="AA13" s="88" t="n">
        <v>0.354260599985984</v>
      </c>
      <c r="AB13" s="89" t="n">
        <v>0.33</v>
      </c>
      <c r="AC13" s="89" t="n">
        <v>0.335</v>
      </c>
      <c r="AD13" s="89" t="n">
        <v>0.34</v>
      </c>
      <c r="AE13" s="89" t="n">
        <v>0.345</v>
      </c>
      <c r="AF13" s="89" t="n">
        <v>0.35</v>
      </c>
      <c r="AH13" s="90" t="n">
        <v>0.336903069340336</v>
      </c>
      <c r="AI13" s="90" t="n">
        <v>0.264219085870172</v>
      </c>
      <c r="AJ13" s="90" t="n">
        <v>0.425517419736942</v>
      </c>
    </row>
    <row r="15" customFormat="false" ht="15" hidden="false" customHeight="true" outlineLevel="0" collapsed="false">
      <c r="B15" s="81" t="s">
        <v>507</v>
      </c>
      <c r="C15" s="82" t="n">
        <f aca="false">Model!CO81</f>
        <v>1652.59</v>
      </c>
      <c r="D15" s="83" t="n">
        <f aca="false">Model!CP81</f>
        <v>1710.365011425</v>
      </c>
      <c r="E15" s="83" t="n">
        <f aca="false">Model!CQ81</f>
        <v>1836.60301440668</v>
      </c>
      <c r="F15" s="83" t="n">
        <f aca="false">Model!CR81</f>
        <v>1977.70611368732</v>
      </c>
      <c r="G15" s="83" t="n">
        <f aca="false">Model!CS81</f>
        <v>2128.0753302457</v>
      </c>
      <c r="H15" s="83" t="n">
        <f aca="false">Model!CT81</f>
        <v>2289.65596227355</v>
      </c>
      <c r="I15" s="84" t="n">
        <f aca="false">IFERROR((H15/C15)^(1/5)-1,"n/m")</f>
        <v>0.0673848201173917</v>
      </c>
      <c r="N15" s="81" t="s">
        <v>507</v>
      </c>
      <c r="O15" s="82" t="n">
        <v>1652.59</v>
      </c>
      <c r="P15" s="83" t="n">
        <v>1826.251454914</v>
      </c>
      <c r="Q15" s="83" t="n">
        <v>2006.56674771844</v>
      </c>
      <c r="R15" s="83" t="n">
        <v>2211.23480277429</v>
      </c>
      <c r="S15" s="83" t="n">
        <v>2435.47619493786</v>
      </c>
      <c r="T15" s="83" t="n">
        <v>2682.67517164408</v>
      </c>
      <c r="U15" s="84" t="n">
        <v>0.101743745853077</v>
      </c>
      <c r="Z15" s="81" t="s">
        <v>507</v>
      </c>
      <c r="AA15" s="82" t="n">
        <v>1652.59</v>
      </c>
      <c r="AB15" s="83" t="n">
        <v>1555.716092238</v>
      </c>
      <c r="AC15" s="83" t="n">
        <v>1613.79616697522</v>
      </c>
      <c r="AD15" s="83" t="n">
        <v>1679.00938785759</v>
      </c>
      <c r="AE15" s="83" t="n">
        <v>1745.68495249467</v>
      </c>
      <c r="AF15" s="83" t="n">
        <v>1815.01359346727</v>
      </c>
      <c r="AG15" s="84" t="n">
        <v>0.018926722636482</v>
      </c>
    </row>
    <row r="16" customFormat="false" ht="15" hidden="false" customHeight="true" outlineLevel="0" collapsed="false">
      <c r="B16" s="85" t="s">
        <v>508</v>
      </c>
      <c r="C16" s="86"/>
      <c r="D16" s="87" t="n">
        <f aca="false">IFERROR(D15/C15-1,"")</f>
        <v>0.0349602813916337</v>
      </c>
      <c r="E16" s="87" t="n">
        <f aca="false">IFERROR(E15/D15-1,"")</f>
        <v>0.0738076388013265</v>
      </c>
      <c r="F16" s="87" t="n">
        <f aca="false">IFERROR(F15/E15-1,"")</f>
        <v>0.0768283064841993</v>
      </c>
      <c r="G16" s="87" t="n">
        <f aca="false">IFERROR(G15/F15-1,"")</f>
        <v>0.0760321341566852</v>
      </c>
      <c r="H16" s="87" t="n">
        <f aca="false">IFERROR(H15/G15-1,"")</f>
        <v>0.075928060314103</v>
      </c>
      <c r="N16" s="85" t="s">
        <v>508</v>
      </c>
      <c r="O16" s="86"/>
      <c r="P16" s="87" t="n">
        <v>0.105084415925305</v>
      </c>
      <c r="Q16" s="87" t="n">
        <v>0.0987351946081989</v>
      </c>
      <c r="R16" s="87" t="n">
        <v>0.101999126263092</v>
      </c>
      <c r="S16" s="87" t="n">
        <v>0.101410032024744</v>
      </c>
      <c r="T16" s="87" t="n">
        <v>0.101499237487938</v>
      </c>
      <c r="Z16" s="85" t="s">
        <v>508</v>
      </c>
      <c r="AA16" s="86"/>
      <c r="AB16" s="87" t="n">
        <v>-0.0586194444853232</v>
      </c>
      <c r="AC16" s="87" t="n">
        <v>0.0373333380216376</v>
      </c>
      <c r="AD16" s="87" t="n">
        <v>0.0404098251172576</v>
      </c>
      <c r="AE16" s="87" t="n">
        <v>0.0397112518365135</v>
      </c>
      <c r="AF16" s="87" t="n">
        <v>0.0397142914438924</v>
      </c>
    </row>
    <row r="17" customFormat="false" ht="15" hidden="false" customHeight="true" outlineLevel="0" collapsed="false">
      <c r="B17" s="85" t="s">
        <v>509</v>
      </c>
      <c r="C17" s="88" t="n">
        <f aca="false">IFERROR(C15/C9,"")</f>
        <v>0.354161161662497</v>
      </c>
      <c r="D17" s="89" t="n">
        <f aca="false">IFERROR(D15/D9,"")</f>
        <v>0.35</v>
      </c>
      <c r="E17" s="89" t="n">
        <f aca="false">IFERROR(E15/E9,"")</f>
        <v>0.355</v>
      </c>
      <c r="F17" s="89" t="n">
        <f aca="false">IFERROR(F15/F9,"")</f>
        <v>0.36</v>
      </c>
      <c r="G17" s="89" t="n">
        <f aca="false">IFERROR(G15/G9,"")</f>
        <v>0.365</v>
      </c>
      <c r="H17" s="89" t="n">
        <f aca="false">IFERROR(H15/H9,"")</f>
        <v>0.37</v>
      </c>
      <c r="J17" s="90" t="n">
        <f aca="false">IFERROR(AVERAGE(Model!C171,Model!D171,Model!E171,Model!F171,Model!G171,Model!H171,Model!I171,Model!O171,Model!U171,Model!AA171,Model!AG171,Model!AM171,Model!AS171,Model!AY171,Model!BE171,Model!BK171,Model!BQ171,Model!BW171,Model!CC171,Model!CI171,Model!CO171),"")</f>
        <v>0.333175154303018</v>
      </c>
      <c r="K17" s="90" t="n">
        <f aca="false">IFERROR(MIN(Model!C171,Model!D171,Model!E171,Model!F171,Model!G171,Model!H171,Model!I171,Model!O171,Model!U171,Model!AA171,Model!AG171,Model!AM171,Model!AS171,Model!AY171,Model!BE171,Model!BK171,Model!BQ171,Model!BW171,Model!CC171,Model!CI171,Model!CO171),"")</f>
        <v>0.236301331598322</v>
      </c>
      <c r="L17" s="90" t="n">
        <f aca="false">IFERROR(MAX(Model!C171,Model!D171,Model!E171,Model!F171,Model!G171,Model!H171,Model!I171,Model!O171,Model!U171,Model!AA171,Model!AG171,Model!AM171,Model!AS171,Model!AY171,Model!BE171,Model!BK171,Model!BQ171,Model!BW171,Model!CC171,Model!CI171,Model!CO171),"")</f>
        <v>0.422069213459109</v>
      </c>
      <c r="N17" s="85" t="s">
        <v>509</v>
      </c>
      <c r="O17" s="88" t="n">
        <v>0.354161161662497</v>
      </c>
      <c r="P17" s="89" t="n">
        <v>0.365</v>
      </c>
      <c r="Q17" s="89" t="n">
        <v>0.37</v>
      </c>
      <c r="R17" s="89" t="n">
        <v>0.375</v>
      </c>
      <c r="S17" s="89" t="n">
        <v>0.38</v>
      </c>
      <c r="T17" s="89" t="n">
        <v>0.385</v>
      </c>
      <c r="V17" s="90" t="n">
        <v>0.333175154303018</v>
      </c>
      <c r="W17" s="90" t="n">
        <v>0.236301331598322</v>
      </c>
      <c r="X17" s="90" t="n">
        <v>0.422069213459109</v>
      </c>
      <c r="Z17" s="85" t="s">
        <v>509</v>
      </c>
      <c r="AA17" s="88" t="n">
        <v>0.354161161662497</v>
      </c>
      <c r="AB17" s="89" t="n">
        <v>0.33</v>
      </c>
      <c r="AC17" s="89" t="n">
        <v>0.335</v>
      </c>
      <c r="AD17" s="89" t="n">
        <v>0.34</v>
      </c>
      <c r="AE17" s="89" t="n">
        <v>0.345</v>
      </c>
      <c r="AF17" s="89" t="n">
        <v>0.35</v>
      </c>
      <c r="AH17" s="90" t="n">
        <v>0.333175154303018</v>
      </c>
      <c r="AI17" s="90" t="n">
        <v>0.236301331598322</v>
      </c>
      <c r="AJ17" s="90" t="n">
        <v>0.422069213459109</v>
      </c>
    </row>
    <row r="19" customFormat="false" ht="15" hidden="false" customHeight="true" outlineLevel="0" collapsed="false">
      <c r="B19" s="81" t="s">
        <v>510</v>
      </c>
      <c r="C19" s="82" t="n">
        <f aca="false">Model!CO148</f>
        <v>1484.27</v>
      </c>
      <c r="D19" s="83" t="n">
        <f aca="false">Model!CP148</f>
        <v>1484.66892473288</v>
      </c>
      <c r="E19" s="83" t="n">
        <f aca="false">Model!CQ148</f>
        <v>1561.1086672709</v>
      </c>
      <c r="F19" s="83" t="n">
        <f aca="false">Model!CR148</f>
        <v>1680.54992830152</v>
      </c>
      <c r="G19" s="83" t="n">
        <f aca="false">Model!CS148</f>
        <v>1808.2120125569</v>
      </c>
      <c r="H19" s="83" t="n">
        <f aca="false">Model!CT148</f>
        <v>1945.30893238154</v>
      </c>
      <c r="I19" s="84" t="n">
        <f aca="false">IFERROR((H19/C19)^(1/5)-1,"n/m")</f>
        <v>0.0555896765896544</v>
      </c>
      <c r="N19" s="81" t="s">
        <v>510</v>
      </c>
      <c r="O19" s="82" t="n">
        <v>1484.27</v>
      </c>
      <c r="P19" s="83" t="n">
        <v>1576.79864730663</v>
      </c>
      <c r="Q19" s="83" t="n">
        <v>1675.6949289541</v>
      </c>
      <c r="R19" s="83" t="n">
        <v>1844.45144563156</v>
      </c>
      <c r="S19" s="83" t="n">
        <v>2032.59303716181</v>
      </c>
      <c r="T19" s="83" t="n">
        <v>2239.53641261606</v>
      </c>
      <c r="U19" s="84" t="n">
        <v>0.085748014107248</v>
      </c>
      <c r="Z19" s="81" t="s">
        <v>510</v>
      </c>
      <c r="AA19" s="82" t="n">
        <v>1484.27</v>
      </c>
      <c r="AB19" s="83" t="n">
        <v>1361.72303397921</v>
      </c>
      <c r="AC19" s="83" t="n">
        <v>1423.01952041729</v>
      </c>
      <c r="AD19" s="83" t="n">
        <v>1506.4471573915</v>
      </c>
      <c r="AE19" s="83" t="n">
        <v>1593.0484247464</v>
      </c>
      <c r="AF19" s="83" t="n">
        <v>1683.87738839538</v>
      </c>
      <c r="AG19" s="84" t="n">
        <v>0.0255563100854461</v>
      </c>
    </row>
    <row r="21" customFormat="false" ht="15" hidden="false" customHeight="true" outlineLevel="0" collapsed="false">
      <c r="B21" s="81" t="s">
        <v>511</v>
      </c>
      <c r="C21" s="91" t="n">
        <f aca="false">Model!CO98</f>
        <v>956.86</v>
      </c>
      <c r="D21" s="92" t="n">
        <f aca="false">Model!CP98</f>
        <v>901.112476472659</v>
      </c>
      <c r="E21" s="92" t="n">
        <f aca="false">Model!CQ98</f>
        <v>853.0485594711</v>
      </c>
      <c r="F21" s="92" t="n">
        <f aca="false">Model!CR98</f>
        <v>820.36581368535</v>
      </c>
      <c r="G21" s="92" t="n">
        <f aca="false">Model!CS98</f>
        <v>787.593752647945</v>
      </c>
      <c r="H21" s="92" t="n">
        <f aca="false">Model!CT98</f>
        <v>754.540457671242</v>
      </c>
      <c r="I21" s="84" t="n">
        <f aca="false">IFERROR((H21/C21)^(1/5)-1,"n/m")</f>
        <v>-0.0463987180372968</v>
      </c>
      <c r="N21" s="81" t="s">
        <v>511</v>
      </c>
      <c r="O21" s="91" t="n">
        <v>956.86</v>
      </c>
      <c r="P21" s="92" t="n">
        <v>885.956510454562</v>
      </c>
      <c r="Q21" s="92" t="n">
        <v>820.396238828725</v>
      </c>
      <c r="R21" s="92" t="n">
        <v>784.281965561038</v>
      </c>
      <c r="S21" s="92" t="n">
        <v>748.670857228159</v>
      </c>
      <c r="T21" s="92" t="n">
        <v>711.231822835067</v>
      </c>
      <c r="U21" s="84" t="n">
        <v>-0.0576059053179184</v>
      </c>
      <c r="Z21" s="81" t="s">
        <v>511</v>
      </c>
      <c r="AA21" s="91" t="n">
        <v>956.86</v>
      </c>
      <c r="AB21" s="92" t="n">
        <v>929.106185004154</v>
      </c>
      <c r="AC21" s="92" t="n">
        <v>926.105337445091</v>
      </c>
      <c r="AD21" s="92" t="n">
        <v>927.540766514384</v>
      </c>
      <c r="AE21" s="92" t="n">
        <v>929.078550691293</v>
      </c>
      <c r="AF21" s="92" t="n">
        <v>930.711993847283</v>
      </c>
      <c r="AG21" s="84" t="n">
        <v>-0.00552611697757888</v>
      </c>
    </row>
    <row r="23" customFormat="false" ht="15" hidden="false" customHeight="true" outlineLevel="0" collapsed="false">
      <c r="B23" s="81" t="s">
        <v>512</v>
      </c>
      <c r="C23" s="93" t="n">
        <f aca="false">Model!CO152</f>
        <v>1.55118826160567</v>
      </c>
      <c r="D23" s="94" t="n">
        <f aca="false">Model!CP152</f>
        <v>1.64759557047141</v>
      </c>
      <c r="E23" s="94" t="n">
        <f aca="false">Model!CQ152</f>
        <v>1.83003493756417</v>
      </c>
      <c r="F23" s="94" t="n">
        <f aca="false">Model!CR152</f>
        <v>2.04853725041508</v>
      </c>
      <c r="G23" s="94" t="n">
        <f aca="false">Model!CS152</f>
        <v>2.29586891271999</v>
      </c>
      <c r="H23" s="94" t="n">
        <f aca="false">Model!CT152</f>
        <v>2.57813734519338</v>
      </c>
      <c r="I23" s="84" t="n">
        <f aca="false">IFERROR((H23/C23)^(1/5)-1,"n/m")</f>
        <v>0.106950773406091</v>
      </c>
      <c r="N23" s="81" t="s">
        <v>512</v>
      </c>
      <c r="O23" s="93" t="n">
        <v>1.55118826160567</v>
      </c>
      <c r="P23" s="94" t="n">
        <v>1.77976980664391</v>
      </c>
      <c r="Q23" s="94" t="n">
        <v>2.04254340725218</v>
      </c>
      <c r="R23" s="94" t="n">
        <v>2.35177082557563</v>
      </c>
      <c r="S23" s="94" t="n">
        <v>2.71493543195628</v>
      </c>
      <c r="T23" s="94" t="n">
        <v>3.14881356642475</v>
      </c>
      <c r="U23" s="84" t="n">
        <v>0.152116742065884</v>
      </c>
      <c r="Z23" s="81" t="s">
        <v>512</v>
      </c>
      <c r="AA23" s="93" t="n">
        <v>1.55118826160567</v>
      </c>
      <c r="AB23" s="94" t="n">
        <v>1.46562691752302</v>
      </c>
      <c r="AC23" s="94" t="n">
        <v>1.53656335071242</v>
      </c>
      <c r="AD23" s="94" t="n">
        <v>1.62413040135432</v>
      </c>
      <c r="AE23" s="94" t="n">
        <v>1.71465418458005</v>
      </c>
      <c r="AF23" s="94" t="n">
        <v>1.80923572439928</v>
      </c>
      <c r="AG23" s="84" t="n">
        <v>0.0312551466596174</v>
      </c>
    </row>
    <row r="24" customFormat="false" ht="15" hidden="false" customHeight="true" outlineLevel="0" collapsed="false">
      <c r="B24" s="85" t="s">
        <v>513</v>
      </c>
      <c r="C24" s="86"/>
      <c r="D24" s="87" t="n">
        <f aca="false">IFERROR(D23/C23-1,"")</f>
        <v>0.0621506178534041</v>
      </c>
      <c r="E24" s="87" t="n">
        <f aca="false">IFERROR(E23/D23-1,"")</f>
        <v>0.110730673450742</v>
      </c>
      <c r="F24" s="87" t="n">
        <f aca="false">IFERROR(F23/E23-1,"")</f>
        <v>0.119397891464163</v>
      </c>
      <c r="G24" s="87" t="n">
        <f aca="false">IFERROR(G23/F23-1,"")</f>
        <v>0.120735740711962</v>
      </c>
      <c r="H24" s="87" t="n">
        <f aca="false">IFERROR(H23/G23-1,"")</f>
        <v>0.122946232212787</v>
      </c>
      <c r="N24" s="85" t="s">
        <v>513</v>
      </c>
      <c r="O24" s="86"/>
      <c r="P24" s="87" t="n">
        <v>0.147358996129608</v>
      </c>
      <c r="Q24" s="87" t="n">
        <v>0.147644712044967</v>
      </c>
      <c r="R24" s="87" t="n">
        <v>0.151393315425034</v>
      </c>
      <c r="S24" s="87" t="n">
        <v>0.154421766964369</v>
      </c>
      <c r="T24" s="87" t="n">
        <v>0.159811584968647</v>
      </c>
      <c r="Z24" s="85" t="s">
        <v>513</v>
      </c>
      <c r="AA24" s="86"/>
      <c r="AB24" s="87" t="n">
        <v>-0.0551585814568264</v>
      </c>
      <c r="AC24" s="87" t="n">
        <v>0.0484000616673215</v>
      </c>
      <c r="AD24" s="87" t="n">
        <v>0.0569888970743084</v>
      </c>
      <c r="AE24" s="87" t="n">
        <v>0.0557367703666178</v>
      </c>
      <c r="AF24" s="87" t="n">
        <v>0.0551607085964032</v>
      </c>
    </row>
    <row r="26" customFormat="false" ht="15" hidden="false" customHeight="true" outlineLevel="0" collapsed="false">
      <c r="B26" s="85" t="s">
        <v>514</v>
      </c>
      <c r="E26" s="95"/>
      <c r="F26" s="95"/>
      <c r="G26" s="96" t="n">
        <v>20</v>
      </c>
      <c r="H26" s="96" t="n">
        <v>20</v>
      </c>
      <c r="N26" s="85" t="s">
        <v>514</v>
      </c>
      <c r="Q26" s="95"/>
      <c r="R26" s="95"/>
      <c r="S26" s="95" t="n">
        <v>20</v>
      </c>
      <c r="T26" s="96" t="n">
        <v>20</v>
      </c>
      <c r="Z26" s="85" t="s">
        <v>514</v>
      </c>
      <c r="AC26" s="95"/>
      <c r="AD26" s="95"/>
      <c r="AE26" s="95" t="n">
        <v>20</v>
      </c>
      <c r="AF26" s="96" t="n">
        <v>20</v>
      </c>
    </row>
    <row r="27" customFormat="false" ht="15" hidden="false" customHeight="true" outlineLevel="0" collapsed="false">
      <c r="B27" s="11" t="s">
        <v>515</v>
      </c>
      <c r="C27" s="97"/>
      <c r="D27" s="97"/>
      <c r="E27" s="98"/>
      <c r="F27" s="98"/>
      <c r="G27" s="98" t="n">
        <f aca="false">G26*G23</f>
        <v>45.9173782543998</v>
      </c>
      <c r="H27" s="98" t="n">
        <f aca="false">H26*H23</f>
        <v>51.5627469038677</v>
      </c>
      <c r="I27" s="97"/>
      <c r="J27" s="97"/>
      <c r="K27" s="97"/>
      <c r="L27" s="97"/>
      <c r="N27" s="11" t="s">
        <v>515</v>
      </c>
      <c r="O27" s="97"/>
      <c r="P27" s="97"/>
      <c r="Q27" s="98"/>
      <c r="R27" s="98"/>
      <c r="S27" s="98" t="n">
        <v>54.2987086391255</v>
      </c>
      <c r="T27" s="98" t="n">
        <v>62.9762713284949</v>
      </c>
      <c r="U27" s="97"/>
      <c r="V27" s="97"/>
      <c r="W27" s="97"/>
      <c r="X27" s="97"/>
      <c r="Z27" s="11" t="s">
        <v>515</v>
      </c>
      <c r="AA27" s="97"/>
      <c r="AB27" s="97"/>
      <c r="AC27" s="98"/>
      <c r="AD27" s="98"/>
      <c r="AE27" s="98" t="n">
        <v>34.2930836916011</v>
      </c>
      <c r="AF27" s="98" t="n">
        <v>36.1847144879855</v>
      </c>
      <c r="AG27" s="97"/>
      <c r="AH27" s="97"/>
      <c r="AI27" s="97"/>
      <c r="AJ27" s="97"/>
    </row>
    <row r="28" customFormat="false" ht="15" hidden="false" customHeight="true" outlineLevel="0" collapsed="false">
      <c r="B28" s="0" t="s">
        <v>516</v>
      </c>
      <c r="E28" s="99"/>
      <c r="F28" s="99"/>
      <c r="G28" s="99" t="n">
        <f aca="false">IFERROR(G27/$K$2-1,"")</f>
        <v>0.700643639051846</v>
      </c>
      <c r="H28" s="99" t="n">
        <f aca="false">IFERROR(H27/$K$2-1,"")</f>
        <v>0.909731366809913</v>
      </c>
      <c r="N28" s="0" t="s">
        <v>516</v>
      </c>
      <c r="Q28" s="99"/>
      <c r="R28" s="99"/>
      <c r="S28" s="99" t="n">
        <v>1.01106328293057</v>
      </c>
      <c r="T28" s="99" t="n">
        <v>1.33245449364796</v>
      </c>
      <c r="Z28" s="0" t="s">
        <v>516</v>
      </c>
      <c r="AC28" s="99"/>
      <c r="AD28" s="99"/>
      <c r="AE28" s="99" t="n">
        <v>0.27011421080004</v>
      </c>
      <c r="AF28" s="99" t="n">
        <v>0.340174610666131</v>
      </c>
    </row>
    <row r="29" customFormat="false" ht="15" hidden="false" customHeight="true" outlineLevel="0" collapsed="false">
      <c r="B29" s="77" t="s">
        <v>517</v>
      </c>
      <c r="C29" s="100"/>
      <c r="D29" s="100"/>
      <c r="E29" s="100"/>
      <c r="F29" s="101"/>
      <c r="G29" s="101" t="n">
        <f aca="false">IFERROR((G27/$K$2)^(1/((DATE(2029,7,31)-$K$3)/365.25))-1,"")</f>
        <v>0.206756605869813</v>
      </c>
      <c r="H29" s="101" t="n">
        <f aca="false">IFERROR((H27/$K$2)^(1/((DATE(2030,7,31)-$K$3)/365.25))-1,"")</f>
        <v>0.18429822357711</v>
      </c>
      <c r="I29" s="100"/>
      <c r="J29" s="100"/>
      <c r="K29" s="100"/>
      <c r="L29" s="100"/>
      <c r="N29" s="77" t="s">
        <v>517</v>
      </c>
      <c r="O29" s="100"/>
      <c r="P29" s="100"/>
      <c r="Q29" s="100"/>
      <c r="R29" s="101"/>
      <c r="S29" s="101" t="n">
        <v>0.280530059102693</v>
      </c>
      <c r="T29" s="101" t="n">
        <v>0.24786010737898</v>
      </c>
      <c r="U29" s="100"/>
      <c r="V29" s="100"/>
      <c r="W29" s="100"/>
      <c r="X29" s="100"/>
      <c r="Z29" s="77" t="s">
        <v>517</v>
      </c>
      <c r="AA29" s="100"/>
      <c r="AB29" s="100"/>
      <c r="AC29" s="100"/>
      <c r="AD29" s="101"/>
      <c r="AE29" s="101" t="n">
        <v>0.0883096845245592</v>
      </c>
      <c r="AF29" s="101" t="n">
        <v>0.0795598898698064</v>
      </c>
      <c r="AG29" s="100"/>
      <c r="AH29" s="100"/>
      <c r="AI29" s="100"/>
      <c r="AJ29" s="100"/>
    </row>
    <row r="31" customFormat="false" ht="15" hidden="false" customHeight="true" outlineLevel="0" collapsed="false">
      <c r="B31" s="81" t="s">
        <v>518</v>
      </c>
      <c r="C31" s="82" t="n">
        <f aca="false">Model!CO213</f>
        <v>1279.704</v>
      </c>
      <c r="D31" s="83" t="n">
        <f aca="false">Model!CP213</f>
        <v>1312.08021934975</v>
      </c>
      <c r="E31" s="83" t="n">
        <f aca="false">Model!CQ213</f>
        <v>1361.4596607964</v>
      </c>
      <c r="F31" s="83" t="n">
        <f aca="false">Model!CR213</f>
        <v>1467.03467585848</v>
      </c>
      <c r="G31" s="83" t="n">
        <f aca="false">Model!CS213</f>
        <v>1581.19727036088</v>
      </c>
      <c r="H31" s="83" t="n">
        <f aca="false">Model!CT213</f>
        <v>1703.73744995388</v>
      </c>
      <c r="I31" s="84" t="n">
        <f aca="false">IFERROR((H31/C31)^(1/5)-1,"n/m")</f>
        <v>0.0589089730316139</v>
      </c>
      <c r="N31" s="81" t="s">
        <v>518</v>
      </c>
      <c r="O31" s="82" t="n">
        <v>1279.704</v>
      </c>
      <c r="P31" s="83" t="n">
        <v>1393.02052611643</v>
      </c>
      <c r="Q31" s="83" t="n">
        <v>1458.97824511126</v>
      </c>
      <c r="R31" s="83" t="n">
        <v>1606.99070189478</v>
      </c>
      <c r="S31" s="83" t="n">
        <v>1773.80659006435</v>
      </c>
      <c r="T31" s="83" t="n">
        <v>1957.27951976889</v>
      </c>
      <c r="U31" s="84" t="n">
        <v>0.0887011079152404</v>
      </c>
      <c r="Z31" s="81" t="s">
        <v>518</v>
      </c>
      <c r="AA31" s="82" t="n">
        <v>1279.704</v>
      </c>
      <c r="AB31" s="83" t="n">
        <v>1205.67473621613</v>
      </c>
      <c r="AC31" s="83" t="n">
        <v>1247.37547644838</v>
      </c>
      <c r="AD31" s="83" t="n">
        <v>1325.21068092546</v>
      </c>
      <c r="AE31" s="83" t="n">
        <v>1407.2039313315</v>
      </c>
      <c r="AF31" s="83" t="n">
        <v>1493.07169774576</v>
      </c>
      <c r="AG31" s="84" t="n">
        <v>0.0313218693852544</v>
      </c>
    </row>
    <row r="32" customFormat="false" ht="15" hidden="false" customHeight="true" outlineLevel="0" collapsed="false">
      <c r="B32" s="85" t="s">
        <v>519</v>
      </c>
      <c r="C32" s="88" t="n">
        <f aca="false">IFERROR(C31/C9,"")</f>
        <v>0.274249181723322</v>
      </c>
      <c r="D32" s="89" t="n">
        <f aca="false">IFERROR(D31/D9,"")</f>
        <v>0.26849711827875</v>
      </c>
      <c r="E32" s="89" t="n">
        <f aca="false">IFERROR(E31/E9,"")</f>
        <v>0.263158764192085</v>
      </c>
      <c r="F32" s="89" t="n">
        <f aca="false">IFERROR(F31/F9,"")</f>
        <v>0.267042954286257</v>
      </c>
      <c r="G32" s="89" t="n">
        <f aca="false">IFERROR(G31/G9,"")</f>
        <v>0.271201397562881</v>
      </c>
      <c r="H32" s="89" t="n">
        <f aca="false">IFERROR(H31/H9,"")</f>
        <v>0.275317718849337</v>
      </c>
      <c r="J32" s="90" t="n">
        <f aca="false">IFERROR(AVERAGE(Model!C215,Model!D215,Model!E215,Model!F215,Model!G215,Model!H215,Model!I215,Model!O215,Model!U215,Model!AA215,Model!AG215,Model!AM215,Model!AS215,Model!AY215,Model!BE215,Model!BK215,Model!BQ215,Model!BW215,Model!CC215,Model!CI215,Model!CO215),"")</f>
        <v>0.181430936386193</v>
      </c>
      <c r="K32" s="90" t="n">
        <f aca="false">IFERROR(MIN(Model!C215,Model!D215,Model!E215,Model!F215,Model!G215,Model!H215,Model!I215,Model!O215,Model!U215,Model!AA215,Model!AG215,Model!AM215,Model!AS215,Model!AY215,Model!BE215,Model!BK215,Model!BQ215,Model!BW215,Model!CC215,Model!CI215,Model!CO215),"")</f>
        <v>0.0689401425477788</v>
      </c>
      <c r="L32" s="90" t="n">
        <f aca="false">IFERROR(MAX(Model!C215,Model!D215,Model!E215,Model!F215,Model!G215,Model!H215,Model!I215,Model!O215,Model!U215,Model!AA215,Model!AG215,Model!AM215,Model!AS215,Model!AY215,Model!BE215,Model!BK215,Model!BQ215,Model!BW215,Model!CC215,Model!CI215,Model!CO215),"")</f>
        <v>0.274249181723322</v>
      </c>
      <c r="N32" s="85" t="s">
        <v>519</v>
      </c>
      <c r="O32" s="88" t="n">
        <v>0.274249181723322</v>
      </c>
      <c r="P32" s="89" t="n">
        <v>0.278413189303354</v>
      </c>
      <c r="Q32" s="89" t="n">
        <v>0.269027656969282</v>
      </c>
      <c r="R32" s="89" t="n">
        <v>0.272527147480889</v>
      </c>
      <c r="S32" s="89" t="n">
        <v>0.276761688587004</v>
      </c>
      <c r="T32" s="89" t="n">
        <v>0.28089595903227</v>
      </c>
      <c r="V32" s="90" t="n">
        <v>0.181430936386193</v>
      </c>
      <c r="W32" s="90" t="n">
        <v>0.0689401425477788</v>
      </c>
      <c r="X32" s="90" t="n">
        <v>0.274249181723322</v>
      </c>
      <c r="Z32" s="85" t="s">
        <v>519</v>
      </c>
      <c r="AA32" s="88" t="n">
        <v>0.274249181723322</v>
      </c>
      <c r="AB32" s="89" t="n">
        <v>0.255748889489827</v>
      </c>
      <c r="AC32" s="89" t="n">
        <v>0.258936533102215</v>
      </c>
      <c r="AD32" s="89" t="n">
        <v>0.268355635634404</v>
      </c>
      <c r="AE32" s="89" t="n">
        <v>0.278105940946322</v>
      </c>
      <c r="AF32" s="89" t="n">
        <v>0.287918005733901</v>
      </c>
      <c r="AH32" s="90" t="n">
        <v>0.181430936386193</v>
      </c>
      <c r="AI32" s="90" t="n">
        <v>0.0689401425477788</v>
      </c>
      <c r="AJ32" s="90" t="n">
        <v>0.274249181723322</v>
      </c>
    </row>
    <row r="33" customFormat="false" ht="15" hidden="false" customHeight="true" outlineLevel="0" collapsed="false">
      <c r="B33" s="85" t="s">
        <v>520</v>
      </c>
      <c r="C33" s="102" t="n">
        <f aca="false">IFERROR(C31/C21,"")</f>
        <v>1.33739941057208</v>
      </c>
      <c r="D33" s="103" t="n">
        <f aca="false">IFERROR(D31/D21,"")</f>
        <v>1.45606708774669</v>
      </c>
      <c r="E33" s="103" t="n">
        <f aca="false">IFERROR(E31/E21,"")</f>
        <v>1.59599315382529</v>
      </c>
      <c r="F33" s="103" t="n">
        <f aca="false">IFERROR(F31/F21,"")</f>
        <v>1.7882689056338</v>
      </c>
      <c r="G33" s="103" t="n">
        <f aca="false">IFERROR(G31/G21,"")</f>
        <v>2.00763053927838</v>
      </c>
      <c r="H33" s="103" t="n">
        <f aca="false">IFERROR(H31/H21,"")</f>
        <v>2.25798024828539</v>
      </c>
      <c r="N33" s="85" t="s">
        <v>520</v>
      </c>
      <c r="O33" s="102" t="n">
        <v>1.33739941057208</v>
      </c>
      <c r="P33" s="103" t="n">
        <v>1.57233510864061</v>
      </c>
      <c r="Q33" s="103" t="n">
        <v>1.77838241578756</v>
      </c>
      <c r="R33" s="103" t="n">
        <v>2.04899611677953</v>
      </c>
      <c r="S33" s="103" t="n">
        <v>2.36927425842593</v>
      </c>
      <c r="T33" s="103" t="n">
        <v>2.75195717757244</v>
      </c>
      <c r="Z33" s="85" t="s">
        <v>520</v>
      </c>
      <c r="AA33" s="102" t="n">
        <v>1.33739941057208</v>
      </c>
      <c r="AB33" s="103" t="n">
        <v>1.29767162857789</v>
      </c>
      <c r="AC33" s="103" t="n">
        <v>1.34690453236086</v>
      </c>
      <c r="AD33" s="103" t="n">
        <v>1.4287357804288</v>
      </c>
      <c r="AE33" s="103" t="n">
        <v>1.51462320412462</v>
      </c>
      <c r="AF33" s="103" t="n">
        <v>1.60422526798419</v>
      </c>
    </row>
    <row r="34" customFormat="false" ht="15" hidden="false" customHeight="true" outlineLevel="0" collapsed="false">
      <c r="B34" s="85" t="s">
        <v>521</v>
      </c>
      <c r="E34" s="104" t="str">
        <f aca="false">IFERROR(E33/E$27,"")</f>
        <v/>
      </c>
      <c r="F34" s="104" t="str">
        <f aca="false">IFERROR(F33/F$27,"")</f>
        <v/>
      </c>
      <c r="G34" s="104" t="n">
        <f aca="false">IFERROR(G33/G$27,"")</f>
        <v>0.0437226735410576</v>
      </c>
      <c r="H34" s="104" t="n">
        <f aca="false">IFERROR(H33/H$27,"")</f>
        <v>0.0437909223978139</v>
      </c>
      <c r="N34" s="85" t="s">
        <v>521</v>
      </c>
      <c r="Q34" s="104" t="str">
        <f aca="false">IFERROR(Q33/Q$27,"")</f>
        <v/>
      </c>
      <c r="R34" s="104" t="str">
        <f aca="false">IFERROR(R33/R$27,"")</f>
        <v/>
      </c>
      <c r="S34" s="104" t="n">
        <v>0.0436340811375894</v>
      </c>
      <c r="T34" s="104" t="n">
        <v>0.04369831874005</v>
      </c>
      <c r="Z34" s="85" t="s">
        <v>521</v>
      </c>
      <c r="AC34" s="104" t="str">
        <f aca="false">IFERROR(AC33/AC$27,"")</f>
        <v/>
      </c>
      <c r="AD34" s="104" t="str">
        <f aca="false">IFERROR(AD33/AD$27,"")</f>
        <v/>
      </c>
      <c r="AE34" s="104" t="n">
        <v>0.0441670168173173</v>
      </c>
      <c r="AF34" s="104" t="n">
        <v>0.0443343353867514</v>
      </c>
    </row>
    <row r="35" customFormat="false" ht="15" hidden="false" customHeight="true" outlineLevel="0" collapsed="false">
      <c r="B35" s="81" t="s">
        <v>472</v>
      </c>
      <c r="C35" s="82" t="n">
        <f aca="false">Model!CO58</f>
        <v>1882.427</v>
      </c>
      <c r="D35" s="83" t="n">
        <f aca="false">Model!CP58</f>
        <v>1954.7028702</v>
      </c>
      <c r="E35" s="83" t="n">
        <f aca="false">Model!CQ58</f>
        <v>2095.27949530903</v>
      </c>
      <c r="F35" s="83" t="n">
        <f aca="false">Model!CR58</f>
        <v>2252.38751836612</v>
      </c>
      <c r="G35" s="83" t="n">
        <f aca="false">Model!CS58</f>
        <v>2419.5924987725</v>
      </c>
      <c r="H35" s="83" t="n">
        <f aca="false">Model!CT58</f>
        <v>2599.06893014835</v>
      </c>
      <c r="I35" s="84" t="n">
        <f aca="false">IFERROR((H35/C35)^(1/5)-1,"n/m")</f>
        <v>0.0666450710871882</v>
      </c>
      <c r="N35" s="81" t="s">
        <v>472</v>
      </c>
      <c r="O35" s="82" t="n">
        <v>1882.427</v>
      </c>
      <c r="P35" s="83" t="n">
        <v>2076.422887094</v>
      </c>
      <c r="Q35" s="83" t="n">
        <v>2277.72441632904</v>
      </c>
      <c r="R35" s="83" t="n">
        <v>2506.06610981087</v>
      </c>
      <c r="S35" s="83" t="n">
        <v>2755.93358900864</v>
      </c>
      <c r="T35" s="83" t="n">
        <v>3031.07454458487</v>
      </c>
      <c r="U35" s="84" t="n">
        <v>0.0999569668812246</v>
      </c>
      <c r="Z35" s="81" t="s">
        <v>472</v>
      </c>
      <c r="AA35" s="82" t="n">
        <v>1882.427</v>
      </c>
      <c r="AB35" s="83" t="n">
        <v>1791.430651668</v>
      </c>
      <c r="AC35" s="83" t="n">
        <v>1854.66126652376</v>
      </c>
      <c r="AD35" s="83" t="n">
        <v>1925.92253313077</v>
      </c>
      <c r="AE35" s="83" t="n">
        <v>1998.6827716968</v>
      </c>
      <c r="AF35" s="83" t="n">
        <v>2074.30124967687</v>
      </c>
      <c r="AG35" s="84" t="n">
        <v>0.0196021371874828</v>
      </c>
    </row>
    <row r="36" customFormat="false" ht="15" hidden="false" customHeight="true" outlineLevel="0" collapsed="false">
      <c r="B36" s="85" t="s">
        <v>522</v>
      </c>
      <c r="C36" s="88" t="n">
        <f aca="false">IFERROR(C35/C9,"")</f>
        <v>0.403416777945437</v>
      </c>
      <c r="D36" s="89" t="n">
        <f aca="false">IFERROR(D35/D9,"")</f>
        <v>0.4</v>
      </c>
      <c r="E36" s="89" t="n">
        <f aca="false">IFERROR(E35/E9,"")</f>
        <v>0.405</v>
      </c>
      <c r="F36" s="89" t="n">
        <f aca="false">IFERROR(F35/F9,"")</f>
        <v>0.41</v>
      </c>
      <c r="G36" s="89" t="n">
        <f aca="false">IFERROR(G35/G9,"")</f>
        <v>0.415</v>
      </c>
      <c r="H36" s="89" t="n">
        <f aca="false">IFERROR(H35/H9,"")</f>
        <v>0.42</v>
      </c>
      <c r="J36" s="90" t="n">
        <f aca="false">IFERROR(AVERAGE(Model!C170,Model!D170,Model!E170,Model!F170,Model!G170,Model!H170,Model!I170,Model!O170,Model!U170,Model!AA170,Model!AG170,Model!AM170,Model!AS170,Model!AY170,Model!BE170,Model!BK170,Model!BQ170,Model!BW170,Model!CC170,Model!CI170,Model!CO170),"")</f>
        <v>0.385111969629223</v>
      </c>
      <c r="K36" s="90" t="n">
        <f aca="false">IFERROR(MIN(Model!C170,Model!D170,Model!E170,Model!F170,Model!G170,Model!H170,Model!I170,Model!O170,Model!U170,Model!AA170,Model!AG170,Model!AM170,Model!AS170,Model!AY170,Model!BE170,Model!BK170,Model!BQ170,Model!BW170,Model!CC170,Model!CI170,Model!CO170),"")</f>
        <v>0.31039571495734</v>
      </c>
      <c r="L36" s="90" t="n">
        <f aca="false">IFERROR(MAX(Model!C170,Model!D170,Model!E170,Model!F170,Model!G170,Model!H170,Model!I170,Model!O170,Model!U170,Model!AA170,Model!AG170,Model!AM170,Model!AS170,Model!AY170,Model!BE170,Model!BK170,Model!BQ170,Model!BW170,Model!CC170,Model!CI170,Model!CO170),"")</f>
        <v>0.470817513218454</v>
      </c>
      <c r="N36" s="85" t="s">
        <v>522</v>
      </c>
      <c r="O36" s="88" t="n">
        <v>0.403416777945437</v>
      </c>
      <c r="P36" s="89" t="n">
        <v>0.415</v>
      </c>
      <c r="Q36" s="89" t="n">
        <v>0.42</v>
      </c>
      <c r="R36" s="89" t="n">
        <v>0.425</v>
      </c>
      <c r="S36" s="89" t="n">
        <v>0.43</v>
      </c>
      <c r="T36" s="89" t="n">
        <v>0.435</v>
      </c>
      <c r="V36" s="90" t="n">
        <v>0.385111969629223</v>
      </c>
      <c r="W36" s="90" t="n">
        <v>0.31039571495734</v>
      </c>
      <c r="X36" s="90" t="n">
        <v>0.470817513218454</v>
      </c>
      <c r="Z36" s="85" t="s">
        <v>522</v>
      </c>
      <c r="AA36" s="88" t="n">
        <v>0.403416777945437</v>
      </c>
      <c r="AB36" s="89" t="n">
        <v>0.38</v>
      </c>
      <c r="AC36" s="89" t="n">
        <v>0.385</v>
      </c>
      <c r="AD36" s="89" t="n">
        <v>0.39</v>
      </c>
      <c r="AE36" s="89" t="n">
        <v>0.395</v>
      </c>
      <c r="AF36" s="89" t="n">
        <v>0.4</v>
      </c>
      <c r="AH36" s="90" t="n">
        <v>0.385111969629223</v>
      </c>
      <c r="AI36" s="90" t="n">
        <v>0.31039571495734</v>
      </c>
      <c r="AJ36" s="90" t="n">
        <v>0.470817513218454</v>
      </c>
    </row>
    <row r="38" customFormat="false" ht="15" hidden="false" customHeight="true" outlineLevel="0" collapsed="false">
      <c r="B38" s="81" t="s">
        <v>523</v>
      </c>
      <c r="C38" s="82" t="n">
        <f aca="false">Model!CO318</f>
        <v>-4489.802</v>
      </c>
      <c r="D38" s="83" t="n">
        <f aca="false">Model!CP318</f>
        <v>-3909.4057404</v>
      </c>
      <c r="E38" s="83" t="n">
        <f aca="false">Model!CQ318</f>
        <v>-4190.55899061807</v>
      </c>
      <c r="F38" s="83" t="n">
        <f aca="false">Model!CR318</f>
        <v>-4504.77503673224</v>
      </c>
      <c r="G38" s="83" t="n">
        <f aca="false">Model!CS318</f>
        <v>-4839.18499754501</v>
      </c>
      <c r="H38" s="83" t="n">
        <f aca="false">Model!CT318</f>
        <v>-5198.1378602967</v>
      </c>
      <c r="N38" s="81" t="s">
        <v>523</v>
      </c>
      <c r="O38" s="82" t="n">
        <v>-4489.802</v>
      </c>
      <c r="P38" s="83" t="n">
        <v>-3114.634330641</v>
      </c>
      <c r="Q38" s="83" t="n">
        <v>-3348.61257575226</v>
      </c>
      <c r="R38" s="83" t="n">
        <v>-3730.60327764704</v>
      </c>
      <c r="S38" s="83" t="n">
        <v>-4133.90038351295</v>
      </c>
      <c r="T38" s="83" t="n">
        <v>-4546.61181687731</v>
      </c>
      <c r="Z38" s="81" t="s">
        <v>523</v>
      </c>
      <c r="AA38" s="82" t="n">
        <v>-4489.802</v>
      </c>
      <c r="AB38" s="83" t="n">
        <v>-5420.47673621613</v>
      </c>
      <c r="AC38" s="83" t="n">
        <v>-6642.85221266451</v>
      </c>
      <c r="AD38" s="83" t="n">
        <v>-7943.06289358996</v>
      </c>
      <c r="AE38" s="83" t="n">
        <v>-9325.26682492146</v>
      </c>
      <c r="AF38" s="83" t="n">
        <v>-10793.3385226672</v>
      </c>
    </row>
    <row r="39" customFormat="false" ht="15" hidden="false" customHeight="true" outlineLevel="0" collapsed="false">
      <c r="B39" s="85" t="s">
        <v>524</v>
      </c>
      <c r="C39" s="105" t="n">
        <f aca="false">IFERROR(C38/C35,"")</f>
        <v>-2.38511347319179</v>
      </c>
      <c r="D39" s="106" t="n">
        <f aca="false">IFERROR(D38/D35,"")</f>
        <v>-2</v>
      </c>
      <c r="E39" s="106" t="n">
        <f aca="false">IFERROR(E38/E35,"")</f>
        <v>-2</v>
      </c>
      <c r="F39" s="106" t="n">
        <f aca="false">IFERROR(F38/F35,"")</f>
        <v>-2</v>
      </c>
      <c r="G39" s="106" t="n">
        <f aca="false">IFERROR(G38/G35,"")</f>
        <v>-2</v>
      </c>
      <c r="H39" s="106" t="n">
        <f aca="false">IFERROR(H38/H35,"")</f>
        <v>-2</v>
      </c>
      <c r="N39" s="85" t="s">
        <v>524</v>
      </c>
      <c r="O39" s="105" t="n">
        <v>-2.38511347319179</v>
      </c>
      <c r="P39" s="106" t="n">
        <v>-1.5</v>
      </c>
      <c r="Q39" s="106" t="n">
        <v>-1.47015703556848</v>
      </c>
      <c r="R39" s="106" t="n">
        <v>-1.48862923569426</v>
      </c>
      <c r="S39" s="106" t="n">
        <v>-1.5</v>
      </c>
      <c r="T39" s="106" t="n">
        <v>-1.5</v>
      </c>
      <c r="Z39" s="85" t="s">
        <v>524</v>
      </c>
      <c r="AA39" s="105" t="n">
        <v>-2.38511347319179</v>
      </c>
      <c r="AB39" s="106" t="n">
        <v>-3.02578094841077</v>
      </c>
      <c r="AC39" s="106" t="n">
        <v>-3.58170644557395</v>
      </c>
      <c r="AD39" s="106" t="n">
        <v>-4.12428992181621</v>
      </c>
      <c r="AE39" s="106" t="n">
        <v>-4.66570631266546</v>
      </c>
      <c r="AF39" s="106" t="n">
        <v>-5.20336114358923</v>
      </c>
    </row>
    <row r="41" customFormat="false" ht="15" hidden="false" customHeight="true" outlineLevel="0" collapsed="false">
      <c r="B41" s="81" t="s">
        <v>525</v>
      </c>
      <c r="C41" s="107" t="n">
        <f aca="false">Model!CO319</f>
        <v>0.288409433053147</v>
      </c>
      <c r="D41" s="108" t="n">
        <f aca="false">Model!CP319</f>
        <v>0.281184337022326</v>
      </c>
      <c r="E41" s="108" t="n">
        <f aca="false">Model!CQ319</f>
        <v>0.287602420791304</v>
      </c>
      <c r="F41" s="108" t="n">
        <f aca="false">Model!CR319</f>
        <v>0.294750478482278</v>
      </c>
      <c r="G41" s="108" t="n">
        <f aca="false">Model!CS319</f>
        <v>0.301684039030686</v>
      </c>
      <c r="H41" s="108" t="n">
        <f aca="false">Model!CT319</f>
        <v>0.308573879292657</v>
      </c>
      <c r="J41" s="90" t="n">
        <f aca="false">IFERROR(AVERAGE(Model!C319,Model!D319,Model!E319,Model!F319,Model!G319,Model!H319,Model!I319,Model!O319,Model!U319,Model!AA319,Model!AG319,Model!AM319,Model!AS319,Model!AY319,Model!BE319,Model!BK319,Model!BQ319,Model!BW319,Model!CC319,Model!CI319,Model!CO319),"")</f>
        <v>0.248103523537292</v>
      </c>
      <c r="K41" s="90" t="n">
        <f aca="false">IFERROR(MIN(Model!C319,Model!D319,Model!E319,Model!F319,Model!G319,Model!H319,Model!I319,Model!O319,Model!U319,Model!AA319,Model!AG319,Model!AM319,Model!AS319,Model!AY319,Model!BE319,Model!BK319,Model!BQ319,Model!BW319,Model!CC319,Model!CI319,Model!CO319),"")</f>
        <v>0.17040745606171</v>
      </c>
      <c r="L41" s="90" t="n">
        <f aca="false">IFERROR(MAX(Model!C319,Model!D319,Model!E319,Model!F319,Model!G319,Model!H319,Model!I319,Model!O319,Model!U319,Model!AA319,Model!AG319,Model!AM319,Model!AS319,Model!AY319,Model!BE319,Model!BK319,Model!BQ319,Model!BW319,Model!CC319,Model!CI319,Model!CO319),"")</f>
        <v>0.346196696253066</v>
      </c>
      <c r="N41" s="81" t="s">
        <v>525</v>
      </c>
      <c r="O41" s="107" t="n">
        <v>0.288409433053147</v>
      </c>
      <c r="P41" s="108" t="n">
        <v>0.29948530973998</v>
      </c>
      <c r="Q41" s="108" t="n">
        <v>0.312299354915164</v>
      </c>
      <c r="R41" s="108" t="n">
        <v>0.325988466538579</v>
      </c>
      <c r="S41" s="108" t="n">
        <v>0.339525270120149</v>
      </c>
      <c r="T41" s="108" t="n">
        <v>0.353060729872799</v>
      </c>
      <c r="V41" s="90" t="n">
        <v>0.248103523537292</v>
      </c>
      <c r="W41" s="90" t="n">
        <v>0.17040745606171</v>
      </c>
      <c r="X41" s="90" t="n">
        <v>0.346196696253066</v>
      </c>
      <c r="Z41" s="81" t="s">
        <v>525</v>
      </c>
      <c r="AA41" s="107" t="n">
        <v>0.288409433053147</v>
      </c>
      <c r="AB41" s="108" t="n">
        <v>0.256711333772273</v>
      </c>
      <c r="AC41" s="108" t="n">
        <v>0.254960665028906</v>
      </c>
      <c r="AD41" s="108" t="n">
        <v>0.25411612624632</v>
      </c>
      <c r="AE41" s="108" t="n">
        <v>0.253293810653449</v>
      </c>
      <c r="AF41" s="108" t="n">
        <v>0.252642167220477</v>
      </c>
      <c r="AH41" s="90" t="n">
        <v>0.248103523537292</v>
      </c>
      <c r="AI41" s="90" t="n">
        <v>0.17040745606171</v>
      </c>
      <c r="AJ41" s="90" t="n">
        <v>0.346196696253066</v>
      </c>
    </row>
    <row r="42" customFormat="false" ht="15" hidden="false" customHeight="true" outlineLevel="0" collapsed="false">
      <c r="B42" s="81" t="s">
        <v>526</v>
      </c>
      <c r="C42" s="107" t="n">
        <f aca="false">Model!CO331</f>
        <v>0.152200732156762</v>
      </c>
      <c r="D42" s="108" t="n">
        <f aca="false">Model!CP331</f>
        <v>0.161574121000185</v>
      </c>
      <c r="E42" s="108" t="n">
        <f aca="false">Model!CQ331</f>
        <v>0.162979858955103</v>
      </c>
      <c r="F42" s="108" t="n">
        <f aca="false">Model!CR331</f>
        <v>0.164645710316509</v>
      </c>
      <c r="G42" s="108" t="n">
        <f aca="false">Model!CS331</f>
        <v>0.16628007274767</v>
      </c>
      <c r="H42" s="108" t="n">
        <f aca="false">Model!CT331</f>
        <v>0.167929153708137</v>
      </c>
      <c r="J42" s="90" t="n">
        <f aca="false">IFERROR(AVERAGE(Model!C331,Model!D331,Model!E331,Model!F331,Model!G331,Model!H331,Model!I331,Model!O331,Model!U331,Model!AA331,Model!AG331,Model!AM331,Model!AS331,Model!AY331,Model!BE331,Model!BK331,Model!BQ331,Model!BW331,Model!CC331,Model!CI331,Model!CO331),"")</f>
        <v>0.217327156579303</v>
      </c>
      <c r="K42" s="90" t="n">
        <f aca="false">IFERROR(MIN(Model!C331,Model!D331,Model!E331,Model!F331,Model!G331,Model!H331,Model!I331,Model!O331,Model!U331,Model!AA331,Model!AG331,Model!AM331,Model!AS331,Model!AY331,Model!BE331,Model!BK331,Model!BQ331,Model!BW331,Model!CC331,Model!CI331,Model!CO331),"")</f>
        <v>0.152200732156762</v>
      </c>
      <c r="L42" s="90" t="n">
        <f aca="false">IFERROR(MAX(Model!C331,Model!D331,Model!E331,Model!F331,Model!G331,Model!H331,Model!I331,Model!O331,Model!U331,Model!AA331,Model!AG331,Model!AM331,Model!AS331,Model!AY331,Model!BE331,Model!BK331,Model!BQ331,Model!BW331,Model!CC331,Model!CI331,Model!CO331),"")</f>
        <v>0.324552129125985</v>
      </c>
      <c r="N42" s="81" t="s">
        <v>526</v>
      </c>
      <c r="O42" s="107" t="n">
        <v>0.152200732156762</v>
      </c>
      <c r="P42" s="108" t="n">
        <v>0.190211276490384</v>
      </c>
      <c r="Q42" s="108" t="n">
        <v>0.195780315668318</v>
      </c>
      <c r="R42" s="108" t="n">
        <v>0.199004279931504</v>
      </c>
      <c r="S42" s="108" t="n">
        <v>0.202447171012617</v>
      </c>
      <c r="T42" s="108" t="n">
        <v>0.206465379344909</v>
      </c>
      <c r="V42" s="90" t="n">
        <v>0.217327156579303</v>
      </c>
      <c r="W42" s="90" t="n">
        <v>0.152200732156762</v>
      </c>
      <c r="X42" s="90" t="n">
        <v>0.324552129125985</v>
      </c>
      <c r="Z42" s="81" t="s">
        <v>526</v>
      </c>
      <c r="AA42" s="107" t="n">
        <v>0.152200732156762</v>
      </c>
      <c r="AB42" s="108" t="n">
        <v>0.124818619371191</v>
      </c>
      <c r="AC42" s="108" t="n">
        <v>0.112874818335772</v>
      </c>
      <c r="AD42" s="108" t="n">
        <v>0.10342377757656</v>
      </c>
      <c r="AE42" s="108" t="n">
        <v>0.0955024323233767</v>
      </c>
      <c r="AF42" s="108" t="n">
        <v>0.0888117075653444</v>
      </c>
      <c r="AH42" s="90" t="n">
        <v>0.217327156579303</v>
      </c>
      <c r="AI42" s="90" t="n">
        <v>0.152200732156762</v>
      </c>
      <c r="AJ42" s="90" t="n">
        <v>0.324552129125985</v>
      </c>
    </row>
    <row r="44" customFormat="false" ht="15" hidden="false" customHeight="true" outlineLevel="0" collapsed="false">
      <c r="B44" s="85" t="s">
        <v>527</v>
      </c>
      <c r="E44" s="109"/>
      <c r="F44" s="109"/>
      <c r="G44" s="109"/>
      <c r="H44" s="109" t="n">
        <f aca="false">H27*H21</f>
        <v>38906.1786476307</v>
      </c>
      <c r="N44" s="85" t="s">
        <v>527</v>
      </c>
      <c r="Q44" s="109"/>
      <c r="R44" s="109"/>
      <c r="S44" s="109"/>
      <c r="T44" s="109" t="n">
        <v>44790.7282523212</v>
      </c>
      <c r="Z44" s="85" t="s">
        <v>527</v>
      </c>
      <c r="AC44" s="109"/>
      <c r="AD44" s="109"/>
      <c r="AE44" s="109"/>
      <c r="AF44" s="109" t="n">
        <v>33677.5477679077</v>
      </c>
    </row>
    <row r="45" customFormat="false" ht="15" hidden="false" customHeight="true" outlineLevel="0" collapsed="false">
      <c r="B45" s="85" t="s">
        <v>528</v>
      </c>
      <c r="E45" s="109"/>
      <c r="F45" s="109"/>
      <c r="G45" s="109"/>
      <c r="H45" s="109" t="n">
        <f aca="false">H38+Model!CT348</f>
        <v>-5181.5528602967</v>
      </c>
      <c r="N45" s="85" t="s">
        <v>528</v>
      </c>
      <c r="Q45" s="109"/>
      <c r="R45" s="109"/>
      <c r="S45" s="109"/>
      <c r="T45" s="109" t="n">
        <v>-4530.02681687731</v>
      </c>
      <c r="Z45" s="85" t="s">
        <v>528</v>
      </c>
      <c r="AC45" s="109"/>
      <c r="AD45" s="109"/>
      <c r="AE45" s="109"/>
      <c r="AF45" s="109" t="n">
        <v>-10776.7535226672</v>
      </c>
    </row>
    <row r="46" customFormat="false" ht="15" hidden="false" customHeight="true" outlineLevel="0" collapsed="false">
      <c r="B46" s="85" t="s">
        <v>529</v>
      </c>
      <c r="E46" s="109"/>
      <c r="F46" s="109"/>
      <c r="G46" s="109"/>
      <c r="H46" s="109" t="n">
        <f aca="false">H44+H45</f>
        <v>33724.6257873341</v>
      </c>
      <c r="N46" s="85" t="s">
        <v>529</v>
      </c>
      <c r="Q46" s="109"/>
      <c r="R46" s="109"/>
      <c r="S46" s="109"/>
      <c r="T46" s="109" t="n">
        <v>40260.7014354439</v>
      </c>
      <c r="Z46" s="85" t="s">
        <v>529</v>
      </c>
      <c r="AC46" s="109"/>
      <c r="AD46" s="109"/>
      <c r="AE46" s="109"/>
      <c r="AF46" s="109" t="n">
        <v>22900.7942452405</v>
      </c>
    </row>
    <row r="47" customFormat="false" ht="15" hidden="false" customHeight="true" outlineLevel="0" collapsed="false">
      <c r="B47" s="85" t="s">
        <v>530</v>
      </c>
      <c r="E47" s="110"/>
      <c r="F47" s="110"/>
      <c r="G47" s="110"/>
      <c r="H47" s="110" t="n">
        <f aca="false">IFERROR(H46/H35,"")</f>
        <v>12.975656549982</v>
      </c>
      <c r="N47" s="85" t="s">
        <v>530</v>
      </c>
      <c r="Q47" s="110"/>
      <c r="R47" s="110"/>
      <c r="S47" s="110"/>
      <c r="T47" s="110" t="n">
        <v>13.2826497148911</v>
      </c>
      <c r="Z47" s="85" t="s">
        <v>530</v>
      </c>
      <c r="AC47" s="110"/>
      <c r="AD47" s="110"/>
      <c r="AE47" s="110"/>
      <c r="AF47" s="110" t="n">
        <v>11.0402451181128</v>
      </c>
    </row>
    <row r="49" customFormat="false" ht="15.75" hidden="false" customHeight="true" outlineLevel="0" collapsed="false">
      <c r="B49" s="11" t="s">
        <v>531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  <c r="N49" s="11" t="s">
        <v>531</v>
      </c>
      <c r="O49" s="97"/>
      <c r="P49" s="97"/>
      <c r="Q49" s="97"/>
      <c r="R49" s="97"/>
      <c r="S49" s="97"/>
      <c r="T49" s="97"/>
      <c r="U49" s="97"/>
      <c r="V49" s="97"/>
      <c r="W49" s="97"/>
      <c r="X49" s="97"/>
      <c r="Z49" s="11" t="s">
        <v>531</v>
      </c>
      <c r="AA49" s="97"/>
      <c r="AB49" s="97"/>
      <c r="AC49" s="97"/>
      <c r="AD49" s="97"/>
      <c r="AE49" s="97"/>
      <c r="AF49" s="97"/>
      <c r="AG49" s="97"/>
      <c r="AH49" s="97"/>
      <c r="AI49" s="97"/>
      <c r="AJ49" s="97"/>
    </row>
    <row r="50" customFormat="false" ht="15" hidden="false" customHeight="false" outlineLevel="0" collapsed="false">
      <c r="B50" s="0" t="s">
        <v>532</v>
      </c>
      <c r="C50" s="111" t="n">
        <v>2</v>
      </c>
      <c r="N50" s="0" t="s">
        <v>532</v>
      </c>
      <c r="O50" s="111" t="n">
        <v>2</v>
      </c>
      <c r="Z50" s="0" t="s">
        <v>532</v>
      </c>
      <c r="AA50" s="111" t="n">
        <v>2</v>
      </c>
    </row>
    <row r="51" customFormat="false" ht="15" hidden="false" customHeight="false" outlineLevel="0" collapsed="false">
      <c r="B51" s="0" t="s">
        <v>533</v>
      </c>
      <c r="D51" s="112" t="n">
        <f aca="false">E51-$C$50</f>
        <v>16</v>
      </c>
      <c r="E51" s="112" t="n">
        <f aca="false">F51-$C$50</f>
        <v>18</v>
      </c>
      <c r="F51" s="113" t="n">
        <f aca="false">$H$26</f>
        <v>20</v>
      </c>
      <c r="G51" s="112" t="n">
        <f aca="false">F51+$C$50</f>
        <v>22</v>
      </c>
      <c r="H51" s="112" t="n">
        <f aca="false">G51+$C$50</f>
        <v>24</v>
      </c>
      <c r="N51" s="0" t="s">
        <v>533</v>
      </c>
      <c r="P51" s="112" t="n">
        <v>16</v>
      </c>
      <c r="Q51" s="112" t="n">
        <v>18</v>
      </c>
      <c r="R51" s="113" t="n">
        <v>20</v>
      </c>
      <c r="S51" s="112" t="n">
        <v>22</v>
      </c>
      <c r="T51" s="112" t="n">
        <v>24</v>
      </c>
      <c r="Z51" s="0" t="s">
        <v>533</v>
      </c>
      <c r="AB51" s="112" t="n">
        <v>16</v>
      </c>
      <c r="AC51" s="112" t="n">
        <v>18</v>
      </c>
      <c r="AD51" s="113" t="n">
        <v>20</v>
      </c>
      <c r="AE51" s="112" t="n">
        <v>22</v>
      </c>
      <c r="AF51" s="112" t="n">
        <v>24</v>
      </c>
    </row>
    <row r="52" customFormat="false" ht="15" hidden="false" customHeight="false" outlineLevel="0" collapsed="false">
      <c r="B52" s="114" t="s">
        <v>534</v>
      </c>
      <c r="C52" s="114"/>
      <c r="D52" s="115" t="n">
        <f aca="false">D51*$H$23</f>
        <v>41.2501975230941</v>
      </c>
      <c r="E52" s="115" t="n">
        <f aca="false">E51*$H$23</f>
        <v>46.4064722134809</v>
      </c>
      <c r="F52" s="116" t="n">
        <f aca="false">F51*$H$23</f>
        <v>51.5627469038677</v>
      </c>
      <c r="G52" s="115" t="n">
        <f aca="false">G51*$H$23</f>
        <v>56.7190215942544</v>
      </c>
      <c r="H52" s="115" t="n">
        <f aca="false">H51*$H$23</f>
        <v>61.8752962846412</v>
      </c>
      <c r="N52" s="114" t="s">
        <v>534</v>
      </c>
      <c r="O52" s="114"/>
      <c r="P52" s="115" t="n">
        <v>50.3810170627959</v>
      </c>
      <c r="Q52" s="115" t="n">
        <v>56.6786441956454</v>
      </c>
      <c r="R52" s="116" t="n">
        <v>62.9762713284949</v>
      </c>
      <c r="S52" s="115" t="n">
        <v>69.2738984613444</v>
      </c>
      <c r="T52" s="115" t="n">
        <v>75.5715255941939</v>
      </c>
      <c r="Z52" s="114" t="s">
        <v>534</v>
      </c>
      <c r="AA52" s="114"/>
      <c r="AB52" s="115" t="n">
        <v>28.9477715903884</v>
      </c>
      <c r="AC52" s="115" t="n">
        <v>32.566243039187</v>
      </c>
      <c r="AD52" s="116" t="n">
        <v>36.1847144879855</v>
      </c>
      <c r="AE52" s="115" t="n">
        <v>39.8031859367841</v>
      </c>
      <c r="AF52" s="115" t="n">
        <v>43.4216573855827</v>
      </c>
    </row>
    <row r="53" customFormat="false" ht="15" hidden="false" customHeight="false" outlineLevel="0" collapsed="false">
      <c r="B53" s="0" t="s">
        <v>516</v>
      </c>
      <c r="D53" s="117" t="n">
        <f aca="false">IFERROR(D52/$K$2-1,"")</f>
        <v>0.527785093447931</v>
      </c>
      <c r="E53" s="117" t="n">
        <f aca="false">IFERROR(E52/$K$2-1,"")</f>
        <v>0.718758230128922</v>
      </c>
      <c r="F53" s="118" t="n">
        <f aca="false">IFERROR(F52/$K$2-1,"")</f>
        <v>0.909731366809913</v>
      </c>
      <c r="G53" s="117" t="n">
        <f aca="false">IFERROR(G52/$K$2-1,"")</f>
        <v>1.1007045034909</v>
      </c>
      <c r="H53" s="117" t="n">
        <f aca="false">IFERROR(H52/$K$2-1,"")</f>
        <v>1.2916776401719</v>
      </c>
      <c r="N53" s="0" t="s">
        <v>516</v>
      </c>
      <c r="P53" s="117" t="n">
        <v>0.865963594918368</v>
      </c>
      <c r="Q53" s="117" t="n">
        <v>1.09920904428316</v>
      </c>
      <c r="R53" s="118" t="n">
        <v>1.33245449364796</v>
      </c>
      <c r="S53" s="117" t="n">
        <v>1.56569994301276</v>
      </c>
      <c r="T53" s="117" t="n">
        <v>1.79894539237755</v>
      </c>
      <c r="Z53" s="0" t="s">
        <v>516</v>
      </c>
      <c r="AB53" s="117" t="n">
        <v>0.0721396885329051</v>
      </c>
      <c r="AC53" s="117" t="n">
        <v>0.206157149599518</v>
      </c>
      <c r="AD53" s="118" t="n">
        <v>0.340174610666131</v>
      </c>
      <c r="AE53" s="117" t="n">
        <v>0.474192071732744</v>
      </c>
      <c r="AF53" s="117" t="n">
        <v>0.608209532799357</v>
      </c>
    </row>
    <row r="54" customFormat="false" ht="15" hidden="false" customHeight="false" outlineLevel="0" collapsed="false">
      <c r="B54" s="114" t="s">
        <v>535</v>
      </c>
      <c r="C54" s="114"/>
      <c r="D54" s="119" t="n">
        <f aca="false">IFERROR((D52/$K$2)^(1/((DATE(2030,7,31)-$K$3)/365.25))-1,"")</f>
        <v>0.11718128857529</v>
      </c>
      <c r="E54" s="119" t="n">
        <f aca="false">IFERROR((E52/$K$2)^(1/((DATE(2030,7,31)-$K$3)/365.25))-1,"")</f>
        <v>0.152119797641381</v>
      </c>
      <c r="F54" s="120" t="n">
        <f aca="false">IFERROR((F52/$K$2)^(1/((DATE(2030,7,31)-$K$3)/365.25))-1,"")</f>
        <v>0.18429822357711</v>
      </c>
      <c r="G54" s="119" t="n">
        <f aca="false">IFERROR((G52/$K$2)^(1/((DATE(2030,7,31)-$K$3)/365.25))-1,"")</f>
        <v>0.214180697215902</v>
      </c>
      <c r="H54" s="119" t="n">
        <f aca="false">IFERROR((H52/$K$2)^(1/((DATE(2030,7,31)-$K$3)/365.25))-1,"")</f>
        <v>0.242119160706001</v>
      </c>
      <c r="N54" s="114" t="s">
        <v>535</v>
      </c>
      <c r="O54" s="114"/>
      <c r="P54" s="119" t="n">
        <v>0.177140972577486</v>
      </c>
      <c r="Q54" s="119" t="n">
        <v>0.213954649071222</v>
      </c>
      <c r="R54" s="120" t="n">
        <v>0.24786010737898</v>
      </c>
      <c r="S54" s="119" t="n">
        <v>0.279346388470429</v>
      </c>
      <c r="T54" s="119" t="n">
        <v>0.308784323406661</v>
      </c>
      <c r="Z54" s="114" t="s">
        <v>535</v>
      </c>
      <c r="AA54" s="114"/>
      <c r="AB54" s="119" t="n">
        <v>0.0183787198600158</v>
      </c>
      <c r="AC54" s="119" t="n">
        <v>0.0502272967207311</v>
      </c>
      <c r="AD54" s="120" t="n">
        <v>0.0795598898698064</v>
      </c>
      <c r="AE54" s="119" t="n">
        <v>0.106799582802126</v>
      </c>
      <c r="AF54" s="119" t="n">
        <v>0.132267192199868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82" activeCellId="0" sqref="C82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50"/>
    <col collapsed="false" customWidth="true" hidden="false" outlineLevel="0" max="14" min="3" style="0" width="12.57"/>
  </cols>
  <sheetData>
    <row r="2" customFormat="false" ht="17.25" hidden="false" customHeight="true" outlineLevel="0" collapsed="false">
      <c r="B2" s="121" t="s">
        <v>536</v>
      </c>
    </row>
    <row r="4" customFormat="false" ht="15" hidden="false" customHeight="true" outlineLevel="0" collapsed="false">
      <c r="B4" s="17" t="s">
        <v>537</v>
      </c>
    </row>
    <row r="5" customFormat="false" ht="15" hidden="false" customHeight="true" outlineLevel="0" collapsed="false">
      <c r="B5" s="15" t="s">
        <v>538</v>
      </c>
      <c r="C5" s="122" t="n">
        <v>0.055</v>
      </c>
      <c r="D5" s="4" t="s">
        <v>539</v>
      </c>
    </row>
    <row r="6" customFormat="false" ht="15" hidden="false" customHeight="true" outlineLevel="0" collapsed="false">
      <c r="B6" s="15" t="s">
        <v>540</v>
      </c>
      <c r="C6" s="122" t="n">
        <v>0.055</v>
      </c>
      <c r="D6" s="4" t="s">
        <v>541</v>
      </c>
    </row>
    <row r="7" customFormat="false" ht="15" hidden="false" customHeight="true" outlineLevel="0" collapsed="false">
      <c r="B7" s="15" t="s">
        <v>542</v>
      </c>
      <c r="C7" s="123" t="n">
        <v>1</v>
      </c>
      <c r="D7" s="4" t="s">
        <v>543</v>
      </c>
    </row>
    <row r="8" customFormat="false" ht="15" hidden="false" customHeight="true" outlineLevel="0" collapsed="false">
      <c r="B8" s="15" t="s">
        <v>544</v>
      </c>
      <c r="C8" s="124" t="n">
        <f aca="false">C5+C7*C6</f>
        <v>0.11</v>
      </c>
    </row>
    <row r="9" customFormat="false" ht="15" hidden="false" customHeight="true" outlineLevel="0" collapsed="false">
      <c r="B9" s="15" t="s">
        <v>545</v>
      </c>
      <c r="C9" s="122" t="n">
        <v>0.055</v>
      </c>
      <c r="D9" s="4" t="s">
        <v>546</v>
      </c>
    </row>
    <row r="10" customFormat="false" ht="15" hidden="false" customHeight="true" outlineLevel="0" collapsed="false">
      <c r="B10" s="15" t="s">
        <v>547</v>
      </c>
      <c r="C10" s="122" t="n">
        <v>0.205</v>
      </c>
      <c r="D10" s="4" t="s">
        <v>548</v>
      </c>
    </row>
    <row r="11" customFormat="false" ht="15" hidden="false" customHeight="true" outlineLevel="0" collapsed="false">
      <c r="B11" s="15" t="s">
        <v>549</v>
      </c>
      <c r="C11" s="124" t="n">
        <f aca="false">C9*(1-C10)</f>
        <v>0.043725</v>
      </c>
    </row>
    <row r="12" customFormat="false" ht="15" hidden="false" customHeight="true" outlineLevel="0" collapsed="false">
      <c r="B12" s="15" t="s">
        <v>550</v>
      </c>
      <c r="C12" s="122" t="n">
        <v>0</v>
      </c>
      <c r="D12" s="4" t="s">
        <v>551</v>
      </c>
    </row>
    <row r="13" customFormat="false" ht="15" hidden="false" customHeight="true" outlineLevel="0" collapsed="false">
      <c r="B13" s="125" t="s">
        <v>552</v>
      </c>
      <c r="C13" s="126" t="n">
        <f aca="false">C8*(1-C12)+C11*C12</f>
        <v>0.11</v>
      </c>
    </row>
    <row r="15" customFormat="false" ht="15" hidden="false" customHeight="true" outlineLevel="0" collapsed="false">
      <c r="B15" s="0" t="s">
        <v>553</v>
      </c>
      <c r="C15" s="76" t="n">
        <f aca="true">TODAY()</f>
        <v>46298</v>
      </c>
      <c r="D15" s="4" t="s">
        <v>554</v>
      </c>
    </row>
    <row r="16" customFormat="false" ht="15" hidden="false" customHeight="true" outlineLevel="0" collapsed="false">
      <c r="B16" s="17" t="s">
        <v>555</v>
      </c>
    </row>
    <row r="17" customFormat="false" ht="15" hidden="false" customHeight="true" outlineLevel="0" collapsed="false">
      <c r="D17" s="11" t="s">
        <v>78</v>
      </c>
      <c r="E17" s="11" t="s">
        <v>79</v>
      </c>
      <c r="F17" s="11" t="s">
        <v>80</v>
      </c>
      <c r="G17" s="11" t="s">
        <v>81</v>
      </c>
      <c r="H17" s="11" t="s">
        <v>82</v>
      </c>
      <c r="I17" s="11" t="s">
        <v>556</v>
      </c>
      <c r="J17" s="11" t="s">
        <v>557</v>
      </c>
      <c r="K17" s="11" t="s">
        <v>558</v>
      </c>
      <c r="L17" s="11" t="s">
        <v>559</v>
      </c>
      <c r="M17" s="11" t="s">
        <v>560</v>
      </c>
      <c r="N17" s="11" t="s">
        <v>561</v>
      </c>
    </row>
    <row r="18" customFormat="false" ht="15" hidden="false" customHeight="true" outlineLevel="0" collapsed="false">
      <c r="B18" s="0" t="s">
        <v>562</v>
      </c>
      <c r="D18" s="127" t="n">
        <f aca="false">Model!CP63</f>
        <v>1710.365011425</v>
      </c>
      <c r="E18" s="127" t="n">
        <f aca="false">Model!CQ63</f>
        <v>1836.60301440668</v>
      </c>
      <c r="F18" s="127" t="n">
        <f aca="false">Model!CR63</f>
        <v>1977.70611368732</v>
      </c>
      <c r="G18" s="127" t="n">
        <f aca="false">Model!CS63</f>
        <v>2128.0753302457</v>
      </c>
      <c r="H18" s="127" t="n">
        <f aca="false">Model!CT63</f>
        <v>2289.65596227355</v>
      </c>
      <c r="I18" s="128" t="n">
        <f aca="false">H18*(1+I$29)</f>
        <v>2427.03532000996</v>
      </c>
      <c r="J18" s="128" t="n">
        <f aca="false">I18*(1+J$29)</f>
        <v>2560.52226261051</v>
      </c>
      <c r="K18" s="128" t="n">
        <f aca="false">J18*(1+K$29)</f>
        <v>2688.54837574103</v>
      </c>
      <c r="L18" s="128" t="n">
        <f aca="false">K18*(1+L$29)</f>
        <v>2809.53305264938</v>
      </c>
      <c r="M18" s="128" t="n">
        <f aca="false">L18*(1+M$29)</f>
        <v>2921.91437475535</v>
      </c>
    </row>
    <row r="19" customFormat="false" ht="15" hidden="false" customHeight="true" outlineLevel="0" collapsed="false">
      <c r="B19" s="0" t="s">
        <v>563</v>
      </c>
      <c r="D19" s="127" t="n">
        <f aca="false">-Model!CP103</f>
        <v>-39.094057404</v>
      </c>
      <c r="E19" s="127" t="n">
        <f aca="false">-Model!CQ103</f>
        <v>-41.388236944376</v>
      </c>
      <c r="F19" s="127" t="n">
        <f aca="false">-Model!CR103</f>
        <v>-43.9490247486072</v>
      </c>
      <c r="G19" s="127" t="n">
        <f aca="false">-Model!CS103</f>
        <v>-46.6427469642892</v>
      </c>
      <c r="H19" s="127" t="n">
        <f aca="false">-Model!CT103</f>
        <v>-49.5060748599685</v>
      </c>
      <c r="I19" s="128" t="n">
        <f aca="false">H19*(1+I$29)</f>
        <v>-52.4764393515667</v>
      </c>
      <c r="J19" s="128" t="n">
        <f aca="false">I19*(1+J$29)</f>
        <v>-55.3626435159028</v>
      </c>
      <c r="K19" s="128" t="n">
        <f aca="false">J19*(1+K$29)</f>
        <v>-58.130775691698</v>
      </c>
      <c r="L19" s="128" t="n">
        <f aca="false">K19*(1+L$29)</f>
        <v>-60.7466605978244</v>
      </c>
      <c r="M19" s="128" t="n">
        <f aca="false">L19*(1+M$29)</f>
        <v>-63.1765270217373</v>
      </c>
    </row>
    <row r="20" customFormat="false" ht="15" hidden="false" customHeight="true" outlineLevel="0" collapsed="false">
      <c r="B20" s="0" t="s">
        <v>564</v>
      </c>
      <c r="D20" s="129" t="n">
        <f aca="false">1-$C$10</f>
        <v>0.795</v>
      </c>
      <c r="E20" s="129" t="n">
        <f aca="false">1-$C$10</f>
        <v>0.795</v>
      </c>
      <c r="F20" s="129" t="n">
        <f aca="false">1-$C$10</f>
        <v>0.795</v>
      </c>
      <c r="G20" s="129" t="n">
        <f aca="false">1-$C$10</f>
        <v>0.795</v>
      </c>
      <c r="H20" s="129" t="n">
        <f aca="false">1-$C$10</f>
        <v>0.795</v>
      </c>
      <c r="I20" s="129" t="n">
        <f aca="false">1-$C$10</f>
        <v>0.795</v>
      </c>
      <c r="J20" s="129" t="n">
        <f aca="false">1-$C$10</f>
        <v>0.795</v>
      </c>
      <c r="K20" s="129" t="n">
        <f aca="false">1-$C$10</f>
        <v>0.795</v>
      </c>
      <c r="L20" s="129" t="n">
        <f aca="false">1-$C$10</f>
        <v>0.795</v>
      </c>
      <c r="M20" s="129" t="n">
        <f aca="false">1-$C$10</f>
        <v>0.795</v>
      </c>
    </row>
    <row r="21" customFormat="false" ht="15" hidden="false" customHeight="true" outlineLevel="0" collapsed="false">
      <c r="B21" s="0" t="s">
        <v>565</v>
      </c>
      <c r="D21" s="128" t="n">
        <f aca="false">(D18+D19)*D20</f>
        <v>1328.66040844669</v>
      </c>
      <c r="E21" s="128" t="n">
        <f aca="false">(E18+E19)*E20</f>
        <v>1427.19574808253</v>
      </c>
      <c r="F21" s="128" t="n">
        <f aca="false">(F18+F19)*F20</f>
        <v>1537.33688570628</v>
      </c>
      <c r="G21" s="128" t="n">
        <f aca="false">(G18+G19)*G20</f>
        <v>1654.73890370872</v>
      </c>
      <c r="H21" s="128" t="n">
        <f aca="false">(H18+H19)*H20</f>
        <v>1780.91916049379</v>
      </c>
      <c r="I21" s="128" t="n">
        <f aca="false">(I18+I19)*I20</f>
        <v>1887.77431012342</v>
      </c>
      <c r="J21" s="128" t="n">
        <f aca="false">(J18+J19)*J20</f>
        <v>1991.60189718021</v>
      </c>
      <c r="K21" s="128" t="n">
        <f aca="false">(K18+K19)*K20</f>
        <v>2091.18199203922</v>
      </c>
      <c r="L21" s="128" t="n">
        <f aca="false">(L18+L19)*L20</f>
        <v>2185.28518168098</v>
      </c>
      <c r="M21" s="128" t="n">
        <f aca="false">(M18+M19)*M20</f>
        <v>2272.69658894822</v>
      </c>
    </row>
    <row r="22" customFormat="false" ht="15" hidden="false" customHeight="true" outlineLevel="0" collapsed="false">
      <c r="B22" s="0" t="s">
        <v>566</v>
      </c>
      <c r="D22" s="127" t="n">
        <f aca="false">Model!CP102</f>
        <v>244.337858775</v>
      </c>
      <c r="E22" s="127" t="n">
        <f aca="false">Model!CQ102</f>
        <v>258.67648090235</v>
      </c>
      <c r="F22" s="127" t="n">
        <f aca="false">Model!CR102</f>
        <v>274.681404678795</v>
      </c>
      <c r="G22" s="127" t="n">
        <f aca="false">Model!CS102</f>
        <v>291.517168526808</v>
      </c>
      <c r="H22" s="127" t="n">
        <f aca="false">Model!CT102</f>
        <v>309.412967874803</v>
      </c>
      <c r="I22" s="128" t="n">
        <f aca="false">H22*(1+I$29)</f>
        <v>327.977745947292</v>
      </c>
      <c r="J22" s="128" t="n">
        <f aca="false">I22*(1+J$29)</f>
        <v>346.016521974393</v>
      </c>
      <c r="K22" s="128" t="n">
        <f aca="false">J22*(1+K$29)</f>
        <v>363.317348073112</v>
      </c>
      <c r="L22" s="128" t="n">
        <f aca="false">K22*(1+L$29)</f>
        <v>379.666628736402</v>
      </c>
      <c r="M22" s="128" t="n">
        <f aca="false">L22*(1+M$29)</f>
        <v>394.853293885858</v>
      </c>
    </row>
    <row r="23" customFormat="false" ht="15" hidden="false" customHeight="true" outlineLevel="0" collapsed="false">
      <c r="B23" s="0" t="s">
        <v>567</v>
      </c>
      <c r="D23" s="127" t="n">
        <f aca="false">Model!CP190+0+Model!CP191</f>
        <v>-464.2419316725</v>
      </c>
      <c r="E23" s="127" t="n">
        <f aca="false">Model!CQ190+0+Model!CQ191</f>
        <v>-491.485313714465</v>
      </c>
      <c r="F23" s="127" t="n">
        <f aca="false">Model!CR190+0+Model!CR191</f>
        <v>-521.894668889711</v>
      </c>
      <c r="G23" s="127" t="n">
        <f aca="false">Model!CS190+0+Model!CS191</f>
        <v>-553.882620200934</v>
      </c>
      <c r="H23" s="127" t="n">
        <f aca="false">Model!CT190+0+Model!CT191</f>
        <v>-587.884638962126</v>
      </c>
      <c r="I23" s="128" t="n">
        <f aca="false">H23*(1+I$29)</f>
        <v>-623.157717299854</v>
      </c>
      <c r="J23" s="128" t="n">
        <f aca="false">I23*(1+J$29)</f>
        <v>-657.431391751346</v>
      </c>
      <c r="K23" s="128" t="n">
        <f aca="false">J23*(1+K$29)</f>
        <v>-690.302961338913</v>
      </c>
      <c r="L23" s="128" t="n">
        <f aca="false">K23*(1+L$29)</f>
        <v>-721.366594599164</v>
      </c>
      <c r="M23" s="128" t="n">
        <f aca="false">L23*(1+M$29)</f>
        <v>-750.221258383131</v>
      </c>
    </row>
    <row r="24" customFormat="false" ht="15" hidden="false" customHeight="true" outlineLevel="0" collapsed="false">
      <c r="B24" s="0" t="s">
        <v>568</v>
      </c>
      <c r="D24" s="127" t="n">
        <f aca="false">Model!CP188</f>
        <v>-1.7786898896215</v>
      </c>
      <c r="E24" s="127" t="n">
        <f aca="false">Model!CQ188</f>
        <v>-18.2284106067607</v>
      </c>
      <c r="F24" s="127" t="n">
        <f aca="false">Model!CR188</f>
        <v>-20.2510129807234</v>
      </c>
      <c r="G24" s="127" t="n">
        <f aca="false">Model!CS188</f>
        <v>-21.2920374861799</v>
      </c>
      <c r="H24" s="127" t="n">
        <f aca="false">Model!CT188</f>
        <v>-22.6058862003006</v>
      </c>
      <c r="I24" s="128" t="n">
        <f aca="false">H24*(1+I$29)</f>
        <v>-23.9622393723186</v>
      </c>
      <c r="J24" s="128" t="n">
        <f aca="false">I24*(1+J$29)</f>
        <v>-25.2801625377961</v>
      </c>
      <c r="K24" s="128" t="n">
        <f aca="false">J24*(1+K$29)</f>
        <v>-26.544170664686</v>
      </c>
      <c r="L24" s="128" t="n">
        <f aca="false">K24*(1+L$29)</f>
        <v>-27.7386583445968</v>
      </c>
      <c r="M24" s="128" t="n">
        <f aca="false">L24*(1+M$29)</f>
        <v>-28.8482046783807</v>
      </c>
    </row>
    <row r="25" customFormat="false" ht="15" hidden="false" customHeight="true" outlineLevel="0" collapsed="false">
      <c r="B25" s="130" t="s">
        <v>569</v>
      </c>
      <c r="D25" s="131" t="n">
        <f aca="false">D21+D22+D23+D24</f>
        <v>1106.97764565957</v>
      </c>
      <c r="E25" s="131" t="n">
        <f aca="false">E21+E22+E23+E24</f>
        <v>1176.15850466366</v>
      </c>
      <c r="F25" s="131" t="n">
        <f aca="false">F21+F22+F23+F24</f>
        <v>1269.87260851464</v>
      </c>
      <c r="G25" s="131" t="n">
        <f aca="false">G21+G22+G23+G24</f>
        <v>1371.08141454841</v>
      </c>
      <c r="H25" s="131" t="n">
        <f aca="false">H21+H22+H23+H24</f>
        <v>1479.84160320617</v>
      </c>
      <c r="I25" s="131" t="n">
        <f aca="false">I21+I22+I23+I24</f>
        <v>1568.63209939854</v>
      </c>
      <c r="J25" s="131" t="n">
        <f aca="false">J21+J22+J23+J24</f>
        <v>1654.90686486546</v>
      </c>
      <c r="K25" s="131" t="n">
        <f aca="false">K21+K22+K23+K24</f>
        <v>1737.65220810873</v>
      </c>
      <c r="L25" s="131" t="n">
        <f aca="false">L21+L22+L23+L24</f>
        <v>1815.84655747363</v>
      </c>
      <c r="M25" s="131" t="n">
        <f aca="false">M21+M22+M23+M24</f>
        <v>1888.48041977257</v>
      </c>
      <c r="N25" s="131" t="n">
        <f aca="false">M25*(1+$C$30)</f>
        <v>1964.01963656347</v>
      </c>
    </row>
    <row r="26" customFormat="false" ht="15" hidden="false" customHeight="true" outlineLevel="0" collapsed="false">
      <c r="B26" s="0" t="s">
        <v>570</v>
      </c>
      <c r="N26" s="131" t="n">
        <f aca="false">N25/($C$13-$C$30)</f>
        <v>28057.4233794782</v>
      </c>
    </row>
    <row r="29" customFormat="false" ht="15" hidden="false" customHeight="true" outlineLevel="0" collapsed="false">
      <c r="B29" s="0" t="s">
        <v>571</v>
      </c>
      <c r="I29" s="132" t="n">
        <v>0.06</v>
      </c>
      <c r="J29" s="133" t="n">
        <f aca="false">I29+($M29-$I29)/(COLUMNS($I29:$M29)-1)</f>
        <v>0.055</v>
      </c>
      <c r="K29" s="133" t="n">
        <f aca="false">J29+($M29-$I29)/(COLUMNS($I29:$M29)-1)</f>
        <v>0.05</v>
      </c>
      <c r="L29" s="133" t="n">
        <f aca="false">K29+($M29-$I29)/(COLUMNS($I29:$M29)-1)</f>
        <v>0.045</v>
      </c>
      <c r="M29" s="132" t="n">
        <v>0.04</v>
      </c>
    </row>
    <row r="30" customFormat="false" ht="15" hidden="false" customHeight="true" outlineLevel="0" collapsed="false">
      <c r="B30" s="0" t="s">
        <v>572</v>
      </c>
      <c r="C30" s="134" t="n">
        <v>0.04</v>
      </c>
    </row>
    <row r="32" customFormat="false" ht="15" hidden="false" customHeight="true" outlineLevel="0" collapsed="false">
      <c r="B32" s="0" t="s">
        <v>573</v>
      </c>
      <c r="D32" s="135" t="n">
        <f aca="false">(DATE(2027,7,31)-$C$15)/365.25</f>
        <v>0.824093086926763</v>
      </c>
      <c r="E32" s="135" t="n">
        <f aca="false">(DATE(2028,7,31)-$C$15)/365.25</f>
        <v>1.82614647501711</v>
      </c>
      <c r="F32" s="135" t="n">
        <f aca="false">(DATE(2029,7,31)-$C$15)/365.25</f>
        <v>2.82546201232033</v>
      </c>
      <c r="G32" s="135" t="n">
        <f aca="false">(DATE(2030,7,31)-$C$15)/365.25</f>
        <v>3.82477754962355</v>
      </c>
      <c r="H32" s="135" t="n">
        <f aca="false">(DATE(2031,7,31)-$C$15)/365.25</f>
        <v>4.82409308692676</v>
      </c>
      <c r="I32" s="135" t="n">
        <f aca="false">(DATE(2032,7,31)-$C$15)/365.25</f>
        <v>5.82614647501711</v>
      </c>
      <c r="J32" s="135" t="n">
        <f aca="false">(DATE(2033,7,31)-$C$15)/365.25</f>
        <v>6.82546201232033</v>
      </c>
      <c r="K32" s="135" t="n">
        <f aca="false">(DATE(2034,7,31)-$C$15)/365.25</f>
        <v>7.82477754962355</v>
      </c>
      <c r="L32" s="135" t="n">
        <f aca="false">(DATE(2035,7,31)-$C$15)/365.25</f>
        <v>8.82409308692676</v>
      </c>
      <c r="M32" s="135" t="n">
        <f aca="false">(DATE(2036,7,31)-$C$15)/365.25</f>
        <v>9.82614647501711</v>
      </c>
      <c r="N32" s="135" t="n">
        <f aca="false">M32</f>
        <v>9.82614647501711</v>
      </c>
    </row>
    <row r="33" customFormat="false" ht="15" hidden="false" customHeight="true" outlineLevel="0" collapsed="false">
      <c r="B33" s="0" t="s">
        <v>574</v>
      </c>
      <c r="D33" s="136" t="n">
        <f aca="false">1/(1+$C$13)^D32</f>
        <v>0.917592059111753</v>
      </c>
      <c r="E33" s="136" t="n">
        <f aca="false">1/(1+$C$13)^E32</f>
        <v>0.826482385492378</v>
      </c>
      <c r="F33" s="136" t="n">
        <f aca="false">1/(1+$C$13)^F32</f>
        <v>0.744631913226998</v>
      </c>
      <c r="G33" s="136" t="n">
        <f aca="false">1/(1+$C$13)^G32</f>
        <v>0.670887481607693</v>
      </c>
      <c r="H33" s="136" t="n">
        <f aca="false">1/(1+$C$13)^H32</f>
        <v>0.604446310966402</v>
      </c>
      <c r="I33" s="136" t="n">
        <f aca="false">1/(1+$C$13)^I32</f>
        <v>0.544429546909077</v>
      </c>
      <c r="J33" s="136" t="n">
        <f aca="false">1/(1+$C$13)^J32</f>
        <v>0.490512105579476</v>
      </c>
      <c r="K33" s="136" t="n">
        <f aca="false">1/(1+$C$13)^K32</f>
        <v>0.441934364301121</v>
      </c>
      <c r="L33" s="136" t="n">
        <f aca="false">1/(1+$C$13)^L32</f>
        <v>0.398167507241249</v>
      </c>
      <c r="M33" s="136" t="n">
        <f aca="false">1/(1+$C$13)^M32</f>
        <v>0.358632605788738</v>
      </c>
      <c r="N33" s="136" t="n">
        <f aca="false">1/(1+$C$13)^N32</f>
        <v>0.358632605788738</v>
      </c>
    </row>
    <row r="34" customFormat="false" ht="15" hidden="false" customHeight="true" outlineLevel="0" collapsed="false">
      <c r="B34" s="0" t="s">
        <v>575</v>
      </c>
      <c r="D34" s="128" t="n">
        <f aca="false">D25*D33</f>
        <v>1015.75389727145</v>
      </c>
      <c r="E34" s="128" t="n">
        <f aca="false">E25*E33</f>
        <v>972.074286651568</v>
      </c>
      <c r="F34" s="128" t="n">
        <f aca="false">F25*F33</f>
        <v>945.587670032816</v>
      </c>
      <c r="G34" s="128" t="n">
        <f aca="false">G25*G33</f>
        <v>919.841357285497</v>
      </c>
      <c r="H34" s="128" t="n">
        <f aca="false">H25*H33</f>
        <v>894.484797872575</v>
      </c>
      <c r="I34" s="128" t="n">
        <f aca="false">I25*I33</f>
        <v>854.009663142582</v>
      </c>
      <c r="J34" s="128" t="n">
        <f aca="false">J25*J33</f>
        <v>811.751850823086</v>
      </c>
      <c r="K34" s="128" t="n">
        <f aca="false">K25*K33</f>
        <v>767.928223966973</v>
      </c>
      <c r="L34" s="128" t="n">
        <f aca="false">L25*L33</f>
        <v>723.011097321878</v>
      </c>
      <c r="M34" s="128" t="n">
        <f aca="false">M25*M33</f>
        <v>677.270653924046</v>
      </c>
      <c r="N34" s="128" t="n">
        <f aca="false">N26*N33</f>
        <v>10062.3068583001</v>
      </c>
    </row>
    <row r="35" customFormat="false" ht="15" hidden="false" customHeight="true" outlineLevel="0" collapsed="false">
      <c r="D35" s="4" t="s">
        <v>576</v>
      </c>
    </row>
    <row r="37" customFormat="false" ht="15.75" hidden="false" customHeight="true" outlineLevel="0" collapsed="false">
      <c r="B37" s="17" t="s">
        <v>577</v>
      </c>
    </row>
    <row r="38" customFormat="false" ht="15.75" hidden="false" customHeight="true" outlineLevel="0" collapsed="false">
      <c r="D38" s="11" t="str">
        <f aca="false">D17</f>
        <v>2027E</v>
      </c>
      <c r="E38" s="11" t="str">
        <f aca="false">E17</f>
        <v>2028E</v>
      </c>
      <c r="F38" s="11" t="str">
        <f aca="false">F17</f>
        <v>2029E</v>
      </c>
      <c r="G38" s="11" t="str">
        <f aca="false">G17</f>
        <v>2030E</v>
      </c>
      <c r="H38" s="11" t="str">
        <f aca="false">H17</f>
        <v>2031E</v>
      </c>
      <c r="I38" s="11" t="str">
        <f aca="false">I17</f>
        <v>2032E</v>
      </c>
      <c r="J38" s="11" t="str">
        <f aca="false">J17</f>
        <v>2033E</v>
      </c>
      <c r="K38" s="11" t="str">
        <f aca="false">K17</f>
        <v>2034E</v>
      </c>
      <c r="L38" s="11" t="str">
        <f aca="false">L17</f>
        <v>2035E</v>
      </c>
      <c r="M38" s="11" t="str">
        <f aca="false">M17</f>
        <v>2036E</v>
      </c>
      <c r="N38" s="11"/>
    </row>
    <row r="39" customFormat="false" ht="15" hidden="false" customHeight="false" outlineLevel="0" collapsed="false">
      <c r="B39" s="0" t="s">
        <v>565</v>
      </c>
      <c r="D39" s="137" t="n">
        <f aca="false">D21</f>
        <v>1328.66040844669</v>
      </c>
      <c r="E39" s="137" t="n">
        <f aca="false">E21</f>
        <v>1427.19574808253</v>
      </c>
      <c r="F39" s="137" t="n">
        <f aca="false">F21</f>
        <v>1537.33688570628</v>
      </c>
      <c r="G39" s="137" t="n">
        <f aca="false">G21</f>
        <v>1654.73890370872</v>
      </c>
      <c r="H39" s="137" t="n">
        <f aca="false">H21</f>
        <v>1780.91916049379</v>
      </c>
      <c r="I39" s="137" t="n">
        <f aca="false">I21</f>
        <v>1887.77431012342</v>
      </c>
      <c r="J39" s="137" t="n">
        <f aca="false">J21</f>
        <v>1991.60189718021</v>
      </c>
      <c r="K39" s="137" t="n">
        <f aca="false">K21</f>
        <v>2091.18199203922</v>
      </c>
      <c r="L39" s="137" t="n">
        <f aca="false">L21</f>
        <v>2185.28518168098</v>
      </c>
      <c r="M39" s="137" t="n">
        <f aca="false">M21</f>
        <v>2272.69658894822</v>
      </c>
    </row>
    <row r="40" customFormat="false" ht="15" hidden="false" customHeight="false" outlineLevel="0" collapsed="false">
      <c r="B40" s="0" t="s">
        <v>578</v>
      </c>
      <c r="D40" s="137" t="n">
        <f aca="false">-D23</f>
        <v>464.2419316725</v>
      </c>
      <c r="E40" s="137" t="n">
        <f aca="false">-E23</f>
        <v>491.485313714465</v>
      </c>
      <c r="F40" s="137" t="n">
        <f aca="false">-F23</f>
        <v>521.894668889711</v>
      </c>
      <c r="G40" s="137" t="n">
        <f aca="false">-G23</f>
        <v>553.882620200934</v>
      </c>
      <c r="H40" s="137" t="n">
        <f aca="false">-H23</f>
        <v>587.884638962126</v>
      </c>
      <c r="I40" s="137" t="n">
        <f aca="false">-I23</f>
        <v>623.157717299854</v>
      </c>
      <c r="J40" s="137" t="n">
        <f aca="false">-J23</f>
        <v>657.431391751346</v>
      </c>
      <c r="K40" s="137" t="n">
        <f aca="false">-K23</f>
        <v>690.302961338913</v>
      </c>
      <c r="L40" s="137" t="n">
        <f aca="false">-L23</f>
        <v>721.366594599164</v>
      </c>
      <c r="M40" s="137" t="n">
        <f aca="false">-M23</f>
        <v>750.221258383131</v>
      </c>
    </row>
    <row r="41" customFormat="false" ht="15" hidden="false" customHeight="false" outlineLevel="0" collapsed="false">
      <c r="B41" s="0" t="s">
        <v>579</v>
      </c>
      <c r="D41" s="137" t="n">
        <f aca="false">-D22</f>
        <v>-244.337858775</v>
      </c>
      <c r="E41" s="137" t="n">
        <f aca="false">-E22</f>
        <v>-258.67648090235</v>
      </c>
      <c r="F41" s="137" t="n">
        <f aca="false">-F22</f>
        <v>-274.681404678795</v>
      </c>
      <c r="G41" s="137" t="n">
        <f aca="false">-G22</f>
        <v>-291.517168526808</v>
      </c>
      <c r="H41" s="137" t="n">
        <f aca="false">-H22</f>
        <v>-309.412967874803</v>
      </c>
      <c r="I41" s="137" t="n">
        <f aca="false">-I22</f>
        <v>-327.977745947292</v>
      </c>
      <c r="J41" s="137" t="n">
        <f aca="false">-J22</f>
        <v>-346.016521974393</v>
      </c>
      <c r="K41" s="137" t="n">
        <f aca="false">-K22</f>
        <v>-363.317348073112</v>
      </c>
      <c r="L41" s="137" t="n">
        <f aca="false">-L22</f>
        <v>-379.666628736402</v>
      </c>
      <c r="M41" s="137" t="n">
        <f aca="false">-M22</f>
        <v>-394.853293885858</v>
      </c>
    </row>
    <row r="42" customFormat="false" ht="15" hidden="false" customHeight="false" outlineLevel="0" collapsed="false">
      <c r="B42" s="0" t="s">
        <v>580</v>
      </c>
      <c r="D42" s="137" t="n">
        <f aca="false">D40+D41</f>
        <v>219.9040728975</v>
      </c>
      <c r="E42" s="137" t="n">
        <f aca="false">E40+E41</f>
        <v>232.808832812115</v>
      </c>
      <c r="F42" s="137" t="n">
        <f aca="false">F40+F41</f>
        <v>247.213264210916</v>
      </c>
      <c r="G42" s="137" t="n">
        <f aca="false">G40+G41</f>
        <v>262.365451674127</v>
      </c>
      <c r="H42" s="137" t="n">
        <f aca="false">H40+H41</f>
        <v>278.471671087323</v>
      </c>
      <c r="I42" s="137" t="n">
        <f aca="false">I40+I41</f>
        <v>295.179971352562</v>
      </c>
      <c r="J42" s="137" t="n">
        <f aca="false">J40+J41</f>
        <v>311.414869776953</v>
      </c>
      <c r="K42" s="137" t="n">
        <f aca="false">K40+K41</f>
        <v>326.985613265801</v>
      </c>
      <c r="L42" s="137" t="n">
        <f aca="false">L40+L41</f>
        <v>341.699965862762</v>
      </c>
      <c r="M42" s="137" t="n">
        <f aca="false">M40+M41</f>
        <v>355.367964497273</v>
      </c>
    </row>
    <row r="43" customFormat="false" ht="15" hidden="false" customHeight="false" outlineLevel="0" collapsed="false">
      <c r="B43" s="114" t="s">
        <v>581</v>
      </c>
      <c r="C43" s="114"/>
      <c r="D43" s="138" t="n">
        <f aca="false">Model!CP316</f>
        <v>4835.76076278712</v>
      </c>
      <c r="E43" s="138" t="n">
        <f aca="false">Model!CQ316</f>
        <v>5076.798006206</v>
      </c>
      <c r="F43" s="138" t="n">
        <f aca="false">Model!CR316</f>
        <v>5334.26228339764</v>
      </c>
      <c r="G43" s="138" t="n">
        <f aca="false">Model!CS316</f>
        <v>5607.91977255794</v>
      </c>
      <c r="H43" s="138" t="n">
        <f aca="false">Model!CT316</f>
        <v>5898.99732984556</v>
      </c>
      <c r="I43" s="139" t="n">
        <f aca="false">H43+I42</f>
        <v>6194.17730119813</v>
      </c>
      <c r="J43" s="139" t="n">
        <f aca="false">I43+J42</f>
        <v>6505.59217097508</v>
      </c>
      <c r="K43" s="139" t="n">
        <f aca="false">J43+K42</f>
        <v>6832.57778424088</v>
      </c>
      <c r="L43" s="139" t="n">
        <f aca="false">K43+L42</f>
        <v>7174.27775010364</v>
      </c>
      <c r="M43" s="139" t="n">
        <f aca="false">L43+M42</f>
        <v>7529.64571460092</v>
      </c>
    </row>
    <row r="44" customFormat="false" ht="15" hidden="false" customHeight="false" outlineLevel="0" collapsed="false">
      <c r="B44" s="100" t="s">
        <v>582</v>
      </c>
      <c r="C44" s="100"/>
      <c r="D44" s="140" t="n">
        <f aca="false">IFERROR(D39/D43,"n/a")</f>
        <v>0.274757266461816</v>
      </c>
      <c r="E44" s="140" t="n">
        <f aca="false">IFERROR(E39/E43,"n/a")</f>
        <v>0.281121239477698</v>
      </c>
      <c r="F44" s="140" t="n">
        <f aca="false">IFERROR(F39/F43,"n/a")</f>
        <v>0.288200467849339</v>
      </c>
      <c r="G44" s="140" t="n">
        <f aca="false">IFERROR(G39/G43,"n/a")</f>
        <v>0.295071786120425</v>
      </c>
      <c r="H44" s="140" t="n">
        <f aca="false">IFERROR(H39/H43,"n/a")</f>
        <v>0.301902011632275</v>
      </c>
      <c r="I44" s="140" t="n">
        <f aca="false">IFERROR(I39/I43,"n/a")</f>
        <v>0.304765946844672</v>
      </c>
      <c r="J44" s="140" t="n">
        <f aca="false">IFERROR(J39/J43,"n/a")</f>
        <v>0.306136911881106</v>
      </c>
      <c r="K44" s="140" t="n">
        <f aca="false">IFERROR(K39/K43,"n/a")</f>
        <v>0.306060473524716</v>
      </c>
      <c r="L44" s="140" t="n">
        <f aca="false">IFERROR(L39/L43,"n/a")</f>
        <v>0.304600024950165</v>
      </c>
      <c r="M44" s="140" t="n">
        <f aca="false">IFERROR(M39/M43,"n/a")</f>
        <v>0.301833137320284</v>
      </c>
    </row>
    <row r="45" customFormat="false" ht="15" hidden="false" customHeight="false" outlineLevel="0" collapsed="false">
      <c r="B45" s="100" t="s">
        <v>583</v>
      </c>
      <c r="C45" s="100"/>
      <c r="D45" s="141" t="s">
        <v>584</v>
      </c>
      <c r="E45" s="140" t="n">
        <f aca="false">IFERROR((E39-D39)/D42,"n/a")</f>
        <v>0.448083286214385</v>
      </c>
      <c r="F45" s="140" t="n">
        <f aca="false">IFERROR((F39-E39)/E42,"n/a")</f>
        <v>0.473096902266735</v>
      </c>
      <c r="G45" s="140" t="n">
        <f aca="false">IFERROR((G39-F39)/F42,"n/a")</f>
        <v>0.474901775101655</v>
      </c>
      <c r="H45" s="140" t="n">
        <f aca="false">IFERROR((H39-G39)/G42,"n/a")</f>
        <v>0.480933202065791</v>
      </c>
      <c r="I45" s="140" t="n">
        <f aca="false">IFERROR((I39-H39)/H42,"n/a")</f>
        <v>0.38372</v>
      </c>
      <c r="J45" s="140" t="n">
        <f aca="false">IFERROR((J39-I39)/I42,"n/a")</f>
        <v>0.351743333333333</v>
      </c>
      <c r="K45" s="140" t="n">
        <f aca="false">IFERROR((K39-J39)/J42,"n/a")</f>
        <v>0.319766666666666</v>
      </c>
      <c r="L45" s="140" t="n">
        <f aca="false">IFERROR((L39-K39)/K42,"n/a")</f>
        <v>0.28779</v>
      </c>
      <c r="M45" s="140" t="n">
        <f aca="false">IFERROR((M39-L39)/L42,"n/a")</f>
        <v>0.255813333333333</v>
      </c>
    </row>
    <row r="46" customFormat="false" ht="15" hidden="false" customHeight="false" outlineLevel="0" collapsed="false">
      <c r="B46" s="142" t="s">
        <v>585</v>
      </c>
    </row>
    <row r="48" customFormat="false" ht="15" hidden="false" customHeight="true" outlineLevel="0" collapsed="false">
      <c r="B48" s="17" t="s">
        <v>586</v>
      </c>
    </row>
    <row r="49" customFormat="false" ht="15" hidden="false" customHeight="true" outlineLevel="0" collapsed="false">
      <c r="B49" s="15" t="s">
        <v>587</v>
      </c>
      <c r="C49" s="128" t="n">
        <f aca="false">SUM(D34:M34)</f>
        <v>8581.71349829247</v>
      </c>
    </row>
    <row r="50" customFormat="false" ht="15" hidden="false" customHeight="true" outlineLevel="0" collapsed="false">
      <c r="B50" s="15" t="s">
        <v>588</v>
      </c>
      <c r="C50" s="128" t="n">
        <f aca="false">N34</f>
        <v>10062.3068583001</v>
      </c>
    </row>
    <row r="51" customFormat="false" ht="15" hidden="false" customHeight="true" outlineLevel="0" collapsed="false">
      <c r="B51" s="125" t="s">
        <v>589</v>
      </c>
      <c r="C51" s="131" t="n">
        <f aca="false">C49+C50</f>
        <v>18644.0203565926</v>
      </c>
    </row>
    <row r="52" customFormat="false" ht="15" hidden="false" customHeight="true" outlineLevel="0" collapsed="false">
      <c r="B52" s="15" t="s">
        <v>590</v>
      </c>
      <c r="C52" s="128" t="n">
        <f aca="false">Model!CO318</f>
        <v>-4489.802</v>
      </c>
    </row>
    <row r="53" customFormat="false" ht="15" hidden="false" customHeight="true" outlineLevel="0" collapsed="false">
      <c r="B53" s="15" t="s">
        <v>591</v>
      </c>
      <c r="C53" s="128" t="n">
        <f aca="false">Model!CO348</f>
        <v>16.585</v>
      </c>
    </row>
    <row r="54" customFormat="false" ht="15" hidden="false" customHeight="true" outlineLevel="0" collapsed="false">
      <c r="B54" s="125" t="s">
        <v>592</v>
      </c>
      <c r="C54" s="131" t="n">
        <f aca="false">C51-C52-C53</f>
        <v>23117.2373565926</v>
      </c>
    </row>
    <row r="55" customFormat="false" ht="15" hidden="false" customHeight="true" outlineLevel="0" collapsed="false">
      <c r="B55" s="15" t="s">
        <v>593</v>
      </c>
      <c r="C55" s="143" t="n">
        <f aca="false">Model!CO98</f>
        <v>956.86</v>
      </c>
    </row>
    <row r="56" customFormat="false" ht="15" hidden="false" customHeight="true" outlineLevel="0" collapsed="false">
      <c r="B56" s="125" t="s">
        <v>594</v>
      </c>
      <c r="C56" s="144" t="n">
        <f aca="false">C54/C55</f>
        <v>24.1594772031359</v>
      </c>
    </row>
    <row r="57" customFormat="false" ht="15" hidden="false" customHeight="true" outlineLevel="0" collapsed="false">
      <c r="B57" s="15" t="s">
        <v>595</v>
      </c>
      <c r="C57" s="145" t="n">
        <f aca="false">Model!CO344</f>
        <v>27</v>
      </c>
    </row>
    <row r="58" customFormat="false" ht="15" hidden="false" customHeight="true" outlineLevel="0" collapsed="false">
      <c r="B58" s="15" t="s">
        <v>596</v>
      </c>
      <c r="C58" s="146" t="n">
        <f aca="false">C56/C57-1</f>
        <v>-0.105204548032005</v>
      </c>
    </row>
    <row r="61" customFormat="false" ht="15" hidden="false" customHeight="true" outlineLevel="0" collapsed="false">
      <c r="B61" s="17" t="s">
        <v>597</v>
      </c>
    </row>
    <row r="63" customFormat="false" ht="15" hidden="false" customHeight="true" outlineLevel="0" collapsed="false">
      <c r="B63" s="0" t="s">
        <v>598</v>
      </c>
      <c r="J63" s="0" t="s">
        <v>599</v>
      </c>
      <c r="K63" s="147" t="n">
        <v>0.005</v>
      </c>
    </row>
    <row r="64" customFormat="false" ht="15" hidden="false" customHeight="true" outlineLevel="0" collapsed="false">
      <c r="B64" s="0" t="s">
        <v>600</v>
      </c>
      <c r="C64" s="148" t="n">
        <f aca="false">D64-$K$63</f>
        <v>0.1</v>
      </c>
      <c r="D64" s="148" t="n">
        <f aca="false">E64-$K$63</f>
        <v>0.105</v>
      </c>
      <c r="E64" s="148" t="n">
        <f aca="false">$C$13</f>
        <v>0.11</v>
      </c>
      <c r="F64" s="148" t="n">
        <f aca="false">E64+$K$63</f>
        <v>0.115</v>
      </c>
      <c r="G64" s="148" t="n">
        <f aca="false">F64+$K$63</f>
        <v>0.12</v>
      </c>
      <c r="J64" s="0" t="s">
        <v>601</v>
      </c>
      <c r="K64" s="147" t="n">
        <v>0.005</v>
      </c>
    </row>
    <row r="65" customFormat="false" ht="15" hidden="false" customHeight="true" outlineLevel="0" collapsed="false">
      <c r="B65" s="149" t="n">
        <f aca="false">B66-$K$64</f>
        <v>0.03</v>
      </c>
      <c r="C65" s="150" t="n">
        <f aca="false">IFERROR((SUMPRODUCT($D$25:$M$25/(1+C$64)^$D$32:$M$32)+($M$25*(1+$B65)/(C$64-$B65))/(1+C$64)^$M$32-$C$52-$C$53)/$C$55,"")</f>
        <v>25.4428783621661</v>
      </c>
      <c r="D65" s="150" t="n">
        <f aca="false">IFERROR((SUMPRODUCT($D$25:$M$25/(1+D$64)^$D$32:$M$32)+($M$25*(1+$B65)/(D$64-$B65))/(1+D$64)^$M$32-$C$52-$C$53)/$C$55,"")</f>
        <v>24.0093579785272</v>
      </c>
      <c r="E65" s="150" t="n">
        <f aca="false">IFERROR((SUMPRODUCT($D$25:$M$25/(1+E$64)^$D$32:$M$32)+($M$25*(1+$B65)/(E$64-$B65))/(1+E$64)^$M$32-$C$52-$C$53)/$C$55,"")</f>
        <v>22.7565058290289</v>
      </c>
      <c r="F65" s="150" t="n">
        <f aca="false">IFERROR((SUMPRODUCT($D$25:$M$25/(1+F$64)^$D$32:$M$32)+($M$25*(1+$B65)/(F$64-$B65))/(1+F$64)^$M$32-$C$52-$C$53)/$C$55,"")</f>
        <v>21.6523907020111</v>
      </c>
      <c r="G65" s="150" t="n">
        <f aca="false">IFERROR((SUMPRODUCT($D$25:$M$25/(1+G$64)^$D$32:$M$32)+($M$25*(1+$B65)/(G$64-$B65))/(1+G$64)^$M$32-$C$52-$C$53)/$C$55,"")</f>
        <v>20.6721790932581</v>
      </c>
    </row>
    <row r="66" customFormat="false" ht="15" hidden="false" customHeight="true" outlineLevel="0" collapsed="false">
      <c r="B66" s="149" t="n">
        <f aca="false">B67-$K$64</f>
        <v>0.035</v>
      </c>
      <c r="C66" s="150" t="n">
        <f aca="false">IFERROR((SUMPRODUCT($D$25:$M$25/(1+C$64)^$D$32:$M$32)+($M$25*(1+$B66)/(C$64-$B66))/(1+C$64)^$M$32-$C$52-$C$53)/$C$55,"")</f>
        <v>26.3780359279457</v>
      </c>
      <c r="D66" s="150" t="n">
        <f aca="false">IFERROR((SUMPRODUCT($D$25:$M$25/(1+D$64)^$D$32:$M$32)+($M$25*(1+$B66)/(D$64-$B66))/(1+D$64)^$M$32-$C$52-$C$53)/$C$55,"")</f>
        <v>24.7880271306581</v>
      </c>
      <c r="E66" s="150" t="n">
        <f aca="false">IFERROR((SUMPRODUCT($D$25:$M$25/(1+E$64)^$D$32:$M$32)+($M$25*(1+$B66)/(E$64-$B66))/(1+E$64)^$M$32-$C$52-$C$53)/$C$55,"")</f>
        <v>23.4112258036121</v>
      </c>
      <c r="F66" s="150" t="n">
        <f aca="false">IFERROR((SUMPRODUCT($D$25:$M$25/(1+F$64)^$D$32:$M$32)+($M$25*(1+$B66)/(F$64-$B66))/(1+F$64)^$M$32-$C$52-$C$53)/$C$55,"")</f>
        <v>22.2076173142386</v>
      </c>
      <c r="G66" s="150" t="n">
        <f aca="false">IFERROR((SUMPRODUCT($D$25:$M$25/(1+G$64)^$D$32:$M$32)+($M$25*(1+$B66)/(G$64-$B66))/(1+G$64)^$M$32-$C$52-$C$53)/$C$55,"")</f>
        <v>21.1466036693586</v>
      </c>
    </row>
    <row r="67" customFormat="false" ht="15" hidden="false" customHeight="true" outlineLevel="0" collapsed="false">
      <c r="B67" s="149" t="n">
        <f aca="false">$C$30</f>
        <v>0.04</v>
      </c>
      <c r="C67" s="150" t="n">
        <f aca="false">IFERROR((SUMPRODUCT($D$25:$M$25/(1+C$64)^$D$32:$M$32)+($M$25*(1+$B67)/(C$64-$B67))/(1+C$64)^$M$32-$C$52-$C$53)/$C$55,"")</f>
        <v>27.4690530880219</v>
      </c>
      <c r="D67" s="150" t="n">
        <f aca="false">IFERROR((SUMPRODUCT($D$25:$M$25/(1+D$64)^$D$32:$M$32)+($M$25*(1+$B67)/(D$64-$B67))/(1+D$64)^$M$32-$C$52-$C$53)/$C$55,"")</f>
        <v>25.686491536963</v>
      </c>
      <c r="E67" s="151" t="n">
        <f aca="false">IFERROR((SUMPRODUCT($D$25:$M$25/(1+E$64)^$D$32:$M$32)+($M$25*(1+$B67)/(E$64-$B67))/(1+E$64)^$M$32-$C$52-$C$53)/$C$55,"")</f>
        <v>24.1594772031359</v>
      </c>
      <c r="F67" s="150" t="n">
        <f aca="false">IFERROR((SUMPRODUCT($D$25:$M$25/(1+F$64)^$D$32:$M$32)+($M$25*(1+$B67)/(F$64-$B67))/(1+F$64)^$M$32-$C$52-$C$53)/$C$55,"")</f>
        <v>22.8368741414298</v>
      </c>
      <c r="G67" s="150" t="n">
        <f aca="false">IFERROR((SUMPRODUCT($D$25:$M$25/(1+G$64)^$D$32:$M$32)+($M$25*(1+$B67)/(G$64-$B67))/(1+G$64)^$M$32-$C$52-$C$53)/$C$55,"")</f>
        <v>21.6803313174717</v>
      </c>
    </row>
    <row r="68" customFormat="false" ht="15" hidden="false" customHeight="true" outlineLevel="0" collapsed="false">
      <c r="B68" s="149" t="n">
        <f aca="false">B67+$K$64</f>
        <v>0.045</v>
      </c>
      <c r="C68" s="150" t="n">
        <f aca="false">IFERROR((SUMPRODUCT($D$25:$M$25/(1+C$64)^$D$32:$M$32)+($M$25*(1+$B68)/(C$64-$B68))/(1+C$64)^$M$32-$C$52-$C$53)/$C$55,"")</f>
        <v>28.7584370044756</v>
      </c>
      <c r="D68" s="150" t="n">
        <f aca="false">IFERROR((SUMPRODUCT($D$25:$M$25/(1+D$64)^$D$32:$M$32)+($M$25*(1+$B68)/(D$64-$B68))/(1+D$64)^$M$32-$C$52-$C$53)/$C$55,"")</f>
        <v>26.7347000109855</v>
      </c>
      <c r="E68" s="150" t="n">
        <f aca="false">IFERROR((SUMPRODUCT($D$25:$M$25/(1+E$64)^$D$32:$M$32)+($M$25*(1+$B68)/(E$64-$B68))/(1+E$64)^$M$32-$C$52-$C$53)/$C$55,"")</f>
        <v>25.0228442025863</v>
      </c>
      <c r="F68" s="150" t="n">
        <f aca="false">IFERROR((SUMPRODUCT($D$25:$M$25/(1+F$64)^$D$32:$M$32)+($M$25*(1+$B68)/(F$64-$B68))/(1+F$64)^$M$32-$C$52-$C$53)/$C$55,"")</f>
        <v>23.5560248010769</v>
      </c>
      <c r="G68" s="150" t="n">
        <f aca="false">IFERROR((SUMPRODUCT($D$25:$M$25/(1+G$64)^$D$32:$M$32)+($M$25*(1+$B68)/(G$64-$B68))/(1+G$64)^$M$32-$C$52-$C$53)/$C$55,"")</f>
        <v>22.2852226519999</v>
      </c>
    </row>
    <row r="69" customFormat="false" ht="15" hidden="false" customHeight="true" outlineLevel="0" collapsed="false">
      <c r="B69" s="149" t="n">
        <f aca="false">B68+$K$64</f>
        <v>0.05</v>
      </c>
      <c r="C69" s="150" t="n">
        <f aca="false">IFERROR((SUMPRODUCT($D$25:$M$25/(1+C$64)^$D$32:$M$32)+($M$25*(1+$B69)/(C$64-$B69))/(1+C$64)^$M$32-$C$52-$C$53)/$C$55,"")</f>
        <v>30.30569770422</v>
      </c>
      <c r="D69" s="150" t="n">
        <f aca="false">IFERROR((SUMPRODUCT($D$25:$M$25/(1+D$64)^$D$32:$M$32)+($M$25*(1+$B69)/(D$64-$B69))/(1+D$64)^$M$32-$C$52-$C$53)/$C$55,"")</f>
        <v>27.973491843921</v>
      </c>
      <c r="E69" s="150" t="n">
        <f aca="false">IFERROR((SUMPRODUCT($D$25:$M$25/(1+E$64)^$D$32:$M$32)+($M$25*(1+$B69)/(E$64-$B69))/(1+E$64)^$M$32-$C$52-$C$53)/$C$55,"")</f>
        <v>26.0301057019452</v>
      </c>
      <c r="F69" s="150" t="n">
        <f aca="false">IFERROR((SUMPRODUCT($D$25:$M$25/(1+F$64)^$D$32:$M$32)+($M$25*(1+$B69)/(F$64-$B69))/(1+F$64)^$M$32-$C$52-$C$53)/$C$55,"")</f>
        <v>24.3858140237467</v>
      </c>
      <c r="G69" s="150" t="n">
        <f aca="false">IFERROR((SUMPRODUCT($D$25:$M$25/(1+G$64)^$D$32:$M$32)+($M$25*(1+$B69)/(G$64-$B69))/(1+G$64)^$M$32-$C$52-$C$53)/$C$55,"")</f>
        <v>22.9765270343178</v>
      </c>
    </row>
    <row r="72" customFormat="false" ht="15" hidden="false" customHeight="true" outlineLevel="0" collapsed="false">
      <c r="B72" s="17" t="s">
        <v>602</v>
      </c>
    </row>
    <row r="73" customFormat="false" ht="15" hidden="false" customHeight="true" outlineLevel="0" collapsed="false">
      <c r="B73" s="4" t="s">
        <v>603</v>
      </c>
    </row>
    <row r="75" customFormat="false" ht="15" hidden="false" customHeight="true" outlineLevel="0" collapsed="false">
      <c r="B75" s="17" t="s">
        <v>604</v>
      </c>
    </row>
    <row r="76" customFormat="false" ht="15" hidden="false" customHeight="true" outlineLevel="0" collapsed="false">
      <c r="B76" s="4" t="s">
        <v>605</v>
      </c>
    </row>
    <row r="77" customFormat="false" ht="15" hidden="false" customHeight="true" outlineLevel="0" collapsed="false">
      <c r="B77" s="4" t="s">
        <v>606</v>
      </c>
    </row>
    <row r="79" customFormat="false" ht="15" hidden="false" customHeight="true" outlineLevel="0" collapsed="false">
      <c r="B79" s="17" t="s">
        <v>607</v>
      </c>
      <c r="C79" s="17" t="s">
        <v>608</v>
      </c>
      <c r="D79" s="17" t="s">
        <v>609</v>
      </c>
    </row>
    <row r="80" customFormat="false" ht="15" hidden="false" customHeight="true" outlineLevel="0" collapsed="false">
      <c r="B80" s="0" t="s">
        <v>610</v>
      </c>
      <c r="C80" s="152" t="n">
        <f aca="false">$C$13</f>
        <v>0.11</v>
      </c>
      <c r="D80" s="4" t="s">
        <v>611</v>
      </c>
    </row>
    <row r="81" customFormat="false" ht="15" hidden="false" customHeight="true" outlineLevel="0" collapsed="false">
      <c r="B81" s="0" t="s">
        <v>612</v>
      </c>
      <c r="C81" s="122" t="n">
        <v>0.07</v>
      </c>
      <c r="D81" s="4" t="s">
        <v>613</v>
      </c>
    </row>
    <row r="82" customFormat="false" ht="15" hidden="false" customHeight="true" outlineLevel="0" collapsed="false">
      <c r="B82" s="0" t="s">
        <v>614</v>
      </c>
      <c r="C82" s="153" t="n">
        <v>0.35</v>
      </c>
      <c r="D82" s="4" t="s">
        <v>615</v>
      </c>
    </row>
    <row r="83" customFormat="false" ht="15" hidden="false" customHeight="true" outlineLevel="0" collapsed="false">
      <c r="B83" s="0" t="s">
        <v>616</v>
      </c>
      <c r="C83" s="154" t="n">
        <v>12</v>
      </c>
      <c r="D83" s="4" t="s">
        <v>617</v>
      </c>
    </row>
    <row r="85" customFormat="false" ht="15" hidden="false" customHeight="true" outlineLevel="0" collapsed="false">
      <c r="B85" s="17" t="s">
        <v>618</v>
      </c>
      <c r="C85" s="17" t="s">
        <v>608</v>
      </c>
    </row>
    <row r="86" customFormat="false" ht="15" hidden="false" customHeight="true" outlineLevel="0" collapsed="false">
      <c r="B86" s="0" t="s">
        <v>619</v>
      </c>
      <c r="C86" s="135" t="n">
        <f aca="false">1/C80</f>
        <v>9.09090909090909</v>
      </c>
    </row>
    <row r="87" customFormat="false" ht="15" hidden="false" customHeight="true" outlineLevel="0" collapsed="false">
      <c r="B87" s="0" t="s">
        <v>620</v>
      </c>
      <c r="C87" s="135" t="n">
        <f aca="false">1-C80/C82</f>
        <v>0.685714285714286</v>
      </c>
    </row>
    <row r="88" customFormat="false" ht="15" hidden="false" customHeight="true" outlineLevel="0" collapsed="false">
      <c r="B88" s="0" t="s">
        <v>621</v>
      </c>
      <c r="C88" s="135" t="n">
        <f aca="false">C81*C87/(C80*(C80-C81))</f>
        <v>10.9090909090909</v>
      </c>
    </row>
    <row r="89" customFormat="false" ht="15" hidden="false" customHeight="true" outlineLevel="0" collapsed="false">
      <c r="B89" s="0" t="s">
        <v>622</v>
      </c>
      <c r="C89" s="135" t="n">
        <f aca="false">1-((1+C81)/(1+C80))^C83</f>
        <v>0.356231701275541</v>
      </c>
    </row>
    <row r="90" customFormat="false" ht="15" hidden="false" customHeight="true" outlineLevel="0" collapsed="false">
      <c r="B90" s="0" t="s">
        <v>623</v>
      </c>
      <c r="C90" s="135" t="n">
        <f aca="false">C88*C89</f>
        <v>3.88616401391499</v>
      </c>
    </row>
    <row r="91" customFormat="false" ht="15" hidden="false" customHeight="true" outlineLevel="0" collapsed="false">
      <c r="B91" s="11" t="s">
        <v>624</v>
      </c>
      <c r="C91" s="155" t="n">
        <f aca="false">C86+C90</f>
        <v>12.9770731048241</v>
      </c>
    </row>
    <row r="93" customFormat="false" ht="15" hidden="false" customHeight="true" outlineLevel="0" collapsed="false">
      <c r="B93" s="17" t="s">
        <v>625</v>
      </c>
      <c r="C93" s="17" t="s">
        <v>626</v>
      </c>
    </row>
    <row r="94" customFormat="false" ht="15" hidden="false" customHeight="true" outlineLevel="0" collapsed="false">
      <c r="B94" s="0" t="s">
        <v>627</v>
      </c>
      <c r="C94" s="128" t="n">
        <f aca="false">Model!CR63</f>
        <v>1977.70611368732</v>
      </c>
    </row>
    <row r="95" customFormat="false" ht="15" hidden="false" customHeight="true" outlineLevel="0" collapsed="false">
      <c r="B95" s="0" t="s">
        <v>628</v>
      </c>
      <c r="C95" s="128" t="n">
        <f aca="false">-Model!CR103</f>
        <v>-43.9490247486072</v>
      </c>
    </row>
    <row r="96" customFormat="false" ht="15" hidden="false" customHeight="true" outlineLevel="0" collapsed="false">
      <c r="B96" s="0" t="s">
        <v>629</v>
      </c>
      <c r="C96" s="146" t="n">
        <f aca="false">$C$10</f>
        <v>0.205</v>
      </c>
    </row>
    <row r="97" customFormat="false" ht="15" hidden="false" customHeight="true" outlineLevel="0" collapsed="false">
      <c r="B97" s="0" t="s">
        <v>630</v>
      </c>
      <c r="C97" s="128" t="n">
        <f aca="false">(C94+C95)*(1-C96)</f>
        <v>1537.33688570628</v>
      </c>
    </row>
    <row r="98" customFormat="false" ht="15" hidden="false" customHeight="true" outlineLevel="0" collapsed="false">
      <c r="B98" s="0" t="s">
        <v>631</v>
      </c>
      <c r="C98" s="156" t="n">
        <f aca="false">C91</f>
        <v>12.9770731048241</v>
      </c>
    </row>
    <row r="99" customFormat="false" ht="15" hidden="false" customHeight="true" outlineLevel="0" collapsed="false">
      <c r="B99" s="0" t="s">
        <v>632</v>
      </c>
      <c r="C99" s="128" t="n">
        <f aca="false">C97*C98</f>
        <v>19950.133152553</v>
      </c>
    </row>
    <row r="100" customFormat="false" ht="15" hidden="false" customHeight="true" outlineLevel="0" collapsed="false">
      <c r="B100" s="0" t="s">
        <v>633</v>
      </c>
      <c r="C100" s="128" t="n">
        <f aca="false">Model!CQ318+Model!CQ348</f>
        <v>-4173.97399061807</v>
      </c>
    </row>
    <row r="101" customFormat="false" ht="15" hidden="false" customHeight="true" outlineLevel="0" collapsed="false">
      <c r="B101" s="0" t="s">
        <v>634</v>
      </c>
      <c r="C101" s="128" t="n">
        <f aca="false">C99-C100</f>
        <v>24124.1071431711</v>
      </c>
    </row>
    <row r="102" customFormat="false" ht="15" hidden="false" customHeight="true" outlineLevel="0" collapsed="false">
      <c r="B102" s="0" t="s">
        <v>635</v>
      </c>
      <c r="C102" s="128" t="n">
        <f aca="false">Model!CR98</f>
        <v>820.36581368535</v>
      </c>
    </row>
    <row r="103" customFormat="false" ht="15" hidden="false" customHeight="true" outlineLevel="0" collapsed="false">
      <c r="B103" s="0" t="s">
        <v>636</v>
      </c>
      <c r="C103" s="145" t="n">
        <f aca="false">C101/C102</f>
        <v>29.4065241880299</v>
      </c>
    </row>
    <row r="105" customFormat="false" ht="15" hidden="false" customHeight="true" outlineLevel="0" collapsed="false">
      <c r="B105" s="0" t="s">
        <v>595</v>
      </c>
      <c r="C105" s="145" t="n">
        <f aca="false">C57</f>
        <v>27</v>
      </c>
    </row>
    <row r="106" customFormat="false" ht="15" hidden="false" customHeight="true" outlineLevel="0" collapsed="false">
      <c r="B106" s="0" t="s">
        <v>596</v>
      </c>
      <c r="C106" s="146" t="n">
        <f aca="false">C103/C105-1</f>
        <v>0.0891305254825883</v>
      </c>
    </row>
    <row r="108" customFormat="false" ht="15" hidden="false" customHeight="true" outlineLevel="0" collapsed="false">
      <c r="B108" s="17" t="s">
        <v>637</v>
      </c>
      <c r="C108" s="17" t="s">
        <v>626</v>
      </c>
    </row>
    <row r="109" customFormat="false" ht="15" hidden="false" customHeight="true" outlineLevel="0" collapsed="false">
      <c r="B109" s="0" t="s">
        <v>638</v>
      </c>
      <c r="C109" s="128" t="n">
        <f aca="false">C57*C55</f>
        <v>25835.22</v>
      </c>
    </row>
    <row r="110" customFormat="false" ht="15" hidden="false" customHeight="true" outlineLevel="0" collapsed="false">
      <c r="B110" s="0" t="s">
        <v>639</v>
      </c>
      <c r="C110" s="128" t="n">
        <f aca="false">C52+C53</f>
        <v>-4473.217</v>
      </c>
    </row>
    <row r="111" customFormat="false" ht="15" hidden="false" customHeight="true" outlineLevel="0" collapsed="false">
      <c r="B111" s="0" t="s">
        <v>640</v>
      </c>
      <c r="C111" s="128" t="n">
        <f aca="false">C109+C110</f>
        <v>21362.003</v>
      </c>
    </row>
    <row r="112" customFormat="false" ht="15" hidden="false" customHeight="true" outlineLevel="0" collapsed="false">
      <c r="B112" s="0" t="s">
        <v>641</v>
      </c>
      <c r="C112" s="156" t="n">
        <f aca="false">C111/C97</f>
        <v>13.8954598686975</v>
      </c>
    </row>
    <row r="114" customFormat="false" ht="15" hidden="false" customHeight="true" outlineLevel="0" collapsed="false">
      <c r="B114" s="0" t="s">
        <v>642</v>
      </c>
      <c r="C114" s="156" t="n">
        <f aca="false">C91-C112</f>
        <v>-0.918386763873409</v>
      </c>
    </row>
    <row r="115" customFormat="false" ht="15" hidden="false" customHeight="true" outlineLevel="0" collapsed="false">
      <c r="B115" s="0" t="s">
        <v>643</v>
      </c>
      <c r="C115" s="146" t="n">
        <f aca="false">C91/C112-1</f>
        <v>-0.0660925779032525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21"/>
  <sheetViews>
    <sheetView showFormulas="false" showGridLines="true" showRowColHeaders="true" showZeros="true" rightToLeft="false" tabSelected="false" showOutlineSymbols="true" defaultGridColor="true" view="normal" topLeftCell="A32" colorId="64" zoomScale="70" zoomScaleNormal="70" zoomScalePageLayoutView="100" workbookViewId="0">
      <selection pane="topLeft" activeCell="Q15" activeCellId="0" sqref="Q15"/>
    </sheetView>
  </sheetViews>
  <sheetFormatPr defaultColWidth="8.57421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23" min="22" style="0" width="13"/>
  </cols>
  <sheetData>
    <row r="2" customFormat="false" ht="17.25" hidden="false" customHeight="true" outlineLevel="0" collapsed="false">
      <c r="B2" s="157" t="s">
        <v>644</v>
      </c>
    </row>
    <row r="3" customFormat="false" ht="15" hidden="false" customHeight="true" outlineLevel="0" collapsed="false">
      <c r="B3" s="4" t="s">
        <v>645</v>
      </c>
    </row>
    <row r="7" customFormat="false" ht="15" hidden="false" customHeight="true" outlineLevel="0" collapsed="false">
      <c r="C7" s="11" t="n">
        <v>2006</v>
      </c>
      <c r="D7" s="11" t="n">
        <v>2007</v>
      </c>
      <c r="E7" s="11" t="n">
        <v>2008</v>
      </c>
      <c r="F7" s="11" t="n">
        <v>2009</v>
      </c>
      <c r="G7" s="11" t="n">
        <v>2010</v>
      </c>
      <c r="H7" s="11" t="n">
        <v>2011</v>
      </c>
      <c r="I7" s="11" t="n">
        <v>2012</v>
      </c>
      <c r="J7" s="11" t="n">
        <v>2013</v>
      </c>
      <c r="K7" s="11" t="n">
        <v>2014</v>
      </c>
      <c r="L7" s="11" t="n">
        <v>2015</v>
      </c>
      <c r="M7" s="11" t="n">
        <v>2016</v>
      </c>
      <c r="N7" s="11" t="n">
        <v>2017</v>
      </c>
      <c r="O7" s="11" t="n">
        <v>2018</v>
      </c>
      <c r="P7" s="11" t="n">
        <v>2019</v>
      </c>
      <c r="Q7" s="11" t="n">
        <v>2020</v>
      </c>
      <c r="R7" s="11" t="n">
        <v>2021</v>
      </c>
      <c r="S7" s="11" t="n">
        <v>2022</v>
      </c>
      <c r="T7" s="11" t="n">
        <v>2023</v>
      </c>
      <c r="U7" s="11" t="n">
        <v>2024</v>
      </c>
      <c r="V7" s="11" t="n">
        <v>2025</v>
      </c>
      <c r="W7" s="11" t="n">
        <v>2026</v>
      </c>
    </row>
    <row r="8" customFormat="false" ht="15" hidden="false" customHeight="true" outlineLevel="0" collapsed="false">
      <c r="B8" s="0" t="s">
        <v>646</v>
      </c>
      <c r="C8" s="158" t="n">
        <f aca="false">IFERROR(Model!C160+0,0)</f>
        <v>0</v>
      </c>
      <c r="D8" s="158" t="n">
        <f aca="false">IFERROR(Model!D160+0,0)</f>
        <v>0.0607468060109238</v>
      </c>
      <c r="E8" s="158" t="n">
        <f aca="false">IFERROR(Model!E160+0,0)</f>
        <v>0.399814510950988</v>
      </c>
      <c r="F8" s="158" t="n">
        <f aca="false">IFERROR(Model!F160+0,0)</f>
        <v>-0.053215399669745</v>
      </c>
      <c r="G8" s="158" t="n">
        <f aca="false">IFERROR(Model!G160+0,0)</f>
        <v>0.0400992084319094</v>
      </c>
      <c r="H8" s="158" t="n">
        <f aca="false">IFERROR(Model!H160+0,0)</f>
        <v>0.128567343659227</v>
      </c>
      <c r="I8" s="158" t="n">
        <f aca="false">IFERROR(Model!I160+0,0)</f>
        <v>0.0595531535828195</v>
      </c>
      <c r="J8" s="158" t="n">
        <f aca="false">IFERROR(Model!O160+0,0)</f>
        <v>0.132218340148303</v>
      </c>
      <c r="K8" s="158" t="n">
        <f aca="false">IFERROR(Model!U160+0,0)</f>
        <v>0.111911856618877</v>
      </c>
      <c r="L8" s="158" t="n">
        <f aca="false">IFERROR(Model!AA160+0,0)</f>
        <v>-0.0149636137513977</v>
      </c>
      <c r="M8" s="158" t="n">
        <f aca="false">IFERROR(Model!AG160+0,0)</f>
        <v>0.106772744287261</v>
      </c>
      <c r="N8" s="158" t="n">
        <f aca="false">IFERROR(Model!AM160+0,0)</f>
        <v>0.141536632533117</v>
      </c>
      <c r="O8" s="158" t="n">
        <f aca="false">IFERROR(Model!AS160+0,0)</f>
        <v>0.24704329683884</v>
      </c>
      <c r="P8" s="158" t="n">
        <f aca="false">IFERROR(Model!AY160+0,0)</f>
        <v>0.130842694918023</v>
      </c>
      <c r="Q8" s="158" t="n">
        <f aca="false">IFERROR(Model!BE160+0,0)</f>
        <v>0.0801319518481536</v>
      </c>
      <c r="R8" s="158" t="n">
        <f aca="false">IFERROR(Model!BK160+0,0)</f>
        <v>0.220770653382802</v>
      </c>
      <c r="S8" s="158" t="n">
        <f aca="false">IFERROR(Model!BQ160+0,0)</f>
        <v>0.300243898725019</v>
      </c>
      <c r="T8" s="158" t="n">
        <f aca="false">IFERROR(Model!BW160+0,0)</f>
        <v>0.105285723385361</v>
      </c>
      <c r="U8" s="158" t="n">
        <f aca="false">IFERROR(Model!CC160+0,0)</f>
        <v>0.0949226751238785</v>
      </c>
      <c r="V8" s="158" t="n">
        <f aca="false">IFERROR(Model!CI160+0,0)</f>
        <v>0.0968024862025152</v>
      </c>
      <c r="W8" s="158" t="n">
        <f aca="false">IFERROR(Model!CO160+0,0)</f>
        <v>0.00414271013424261</v>
      </c>
    </row>
    <row r="9" customFormat="false" ht="15" hidden="false" customHeight="true" outlineLevel="0" collapsed="false">
      <c r="B9" s="0" t="s">
        <v>647</v>
      </c>
      <c r="C9" s="158" t="n">
        <v>0</v>
      </c>
      <c r="D9" s="158" t="n">
        <v>0</v>
      </c>
      <c r="E9" s="158" t="n">
        <v>0</v>
      </c>
      <c r="F9" s="158" t="n">
        <v>0</v>
      </c>
      <c r="G9" s="158" t="n">
        <v>0</v>
      </c>
      <c r="H9" s="158" t="n">
        <v>0</v>
      </c>
      <c r="I9" s="158" t="n">
        <v>0</v>
      </c>
      <c r="J9" s="158" t="n">
        <v>0</v>
      </c>
      <c r="K9" s="158" t="n">
        <v>0</v>
      </c>
      <c r="L9" s="158" t="n">
        <v>0</v>
      </c>
      <c r="M9" s="158" t="n">
        <v>0</v>
      </c>
      <c r="N9" s="158" t="n">
        <v>0</v>
      </c>
      <c r="O9" s="158" t="n">
        <v>0</v>
      </c>
      <c r="P9" s="158" t="n">
        <v>0</v>
      </c>
      <c r="Q9" s="158" t="n">
        <v>0</v>
      </c>
      <c r="R9" s="158" t="n">
        <v>0</v>
      </c>
      <c r="S9" s="158" t="n">
        <v>0</v>
      </c>
      <c r="T9" s="158" t="n">
        <v>0</v>
      </c>
      <c r="U9" s="158" t="n">
        <v>0</v>
      </c>
      <c r="V9" s="158" t="n">
        <v>0</v>
      </c>
      <c r="W9" s="158" t="n">
        <v>0</v>
      </c>
    </row>
    <row r="11" customFormat="false" ht="15" hidden="false" customHeight="true" outlineLevel="0" collapsed="false">
      <c r="C11" s="11" t="n">
        <f aca="false">C7</f>
        <v>2006</v>
      </c>
      <c r="D11" s="11" t="n">
        <f aca="false">D7</f>
        <v>2007</v>
      </c>
      <c r="E11" s="11" t="n">
        <f aca="false">E7</f>
        <v>2008</v>
      </c>
      <c r="F11" s="11" t="n">
        <f aca="false">F7</f>
        <v>2009</v>
      </c>
      <c r="G11" s="11" t="n">
        <f aca="false">G7</f>
        <v>2010</v>
      </c>
      <c r="H11" s="11" t="n">
        <f aca="false">H7</f>
        <v>2011</v>
      </c>
      <c r="I11" s="11" t="n">
        <f aca="false">I7</f>
        <v>2012</v>
      </c>
      <c r="J11" s="11" t="n">
        <f aca="false">J7</f>
        <v>2013</v>
      </c>
      <c r="K11" s="11" t="n">
        <f aca="false">K7</f>
        <v>2014</v>
      </c>
      <c r="L11" s="11" t="n">
        <f aca="false">L7</f>
        <v>2015</v>
      </c>
      <c r="M11" s="11" t="n">
        <f aca="false">M7</f>
        <v>2016</v>
      </c>
      <c r="N11" s="11" t="n">
        <f aca="false">N7</f>
        <v>2017</v>
      </c>
      <c r="O11" s="11" t="n">
        <f aca="false">O7</f>
        <v>2018</v>
      </c>
      <c r="P11" s="11" t="n">
        <f aca="false">P7</f>
        <v>2019</v>
      </c>
      <c r="Q11" s="11" t="n">
        <f aca="false">Q7</f>
        <v>2020</v>
      </c>
      <c r="R11" s="11" t="n">
        <f aca="false">R7</f>
        <v>2021</v>
      </c>
      <c r="S11" s="11" t="n">
        <f aca="false">S7</f>
        <v>2022</v>
      </c>
      <c r="T11" s="11" t="n">
        <f aca="false">T7</f>
        <v>2023</v>
      </c>
      <c r="U11" s="11" t="n">
        <f aca="false">U7</f>
        <v>2024</v>
      </c>
      <c r="V11" s="11" t="n">
        <f aca="false">V7</f>
        <v>2025</v>
      </c>
    </row>
    <row r="12" customFormat="false" ht="15" hidden="false" customHeight="true" outlineLevel="0" collapsed="false">
      <c r="B12" s="0" t="s">
        <v>472</v>
      </c>
      <c r="C12" s="127" t="n">
        <f aca="false">IFERROR(Model!C58+0,0)</f>
        <v>197.868</v>
      </c>
      <c r="D12" s="127" t="n">
        <f aca="false">IFERROR(Model!D58+0,0)</f>
        <v>240.866</v>
      </c>
      <c r="E12" s="127" t="n">
        <f aca="false">IFERROR(Model!E58+0,0)</f>
        <v>284.902</v>
      </c>
      <c r="F12" s="127" t="n">
        <f aca="false">IFERROR(Model!F58+0,0)</f>
        <v>267.668</v>
      </c>
      <c r="G12" s="127" t="n">
        <f aca="false">IFERROR(Model!G58+0,0)</f>
        <v>282.748</v>
      </c>
      <c r="H12" s="127" t="n">
        <f aca="false">IFERROR(Model!H58+0,0)</f>
        <v>313.156</v>
      </c>
      <c r="I12" s="127" t="n">
        <f aca="false">IFERROR(Model!I58+0,0)</f>
        <v>337.207</v>
      </c>
      <c r="J12" s="127" t="n">
        <f aca="false">IFERROR(Model!O58+0,0)</f>
        <v>337.475774193548</v>
      </c>
      <c r="K12" s="127" t="n">
        <f aca="false">IFERROR(Model!U58+0,0)</f>
        <v>361.142</v>
      </c>
      <c r="L12" s="127" t="n">
        <f aca="false">IFERROR(Model!AA58+0,0)</f>
        <v>396.807290322581</v>
      </c>
      <c r="M12" s="127" t="n">
        <f aca="false">IFERROR(Model!AG58+0,0)</f>
        <v>458.835709677419</v>
      </c>
      <c r="N12" s="127" t="n">
        <f aca="false">IFERROR(Model!AM58+0,0)</f>
        <v>544.754129032258</v>
      </c>
      <c r="O12" s="127" t="n">
        <f aca="false">IFERROR(Model!AS58+0,0)</f>
        <v>675.695821917808</v>
      </c>
      <c r="P12" s="127" t="n">
        <f aca="false">IFERROR(Model!AY58+0,0)</f>
        <v>807.989666666667</v>
      </c>
      <c r="Q12" s="127" t="n">
        <f aca="false">IFERROR(Model!BE58+0,0)</f>
        <v>923.008</v>
      </c>
      <c r="R12" s="127" t="n">
        <f aca="false">IFERROR(Model!BK58+0,0)</f>
        <v>1267.68133333333</v>
      </c>
      <c r="S12" s="127" t="n">
        <f aca="false">IFERROR(Model!BQ58+0,0)</f>
        <v>1519.17533333333</v>
      </c>
      <c r="T12" s="127" t="n">
        <f aca="false">IFERROR(Model!BW58+0,0)</f>
        <v>1647.878</v>
      </c>
      <c r="U12" s="127" t="n">
        <f aca="false">IFERROR(Model!CC58+0,0)</f>
        <v>1758.689</v>
      </c>
      <c r="V12" s="127" t="n">
        <f aca="false">IFERROR(Model!CI58+0,0)</f>
        <v>1932.521</v>
      </c>
      <c r="W12" s="127" t="n">
        <f aca="false">IFERROR(Model!CO58+0,0)</f>
        <v>1882.427</v>
      </c>
    </row>
    <row r="13" customFormat="false" ht="15" hidden="false" customHeight="true" outlineLevel="0" collapsed="false">
      <c r="B13" s="0" t="s">
        <v>507</v>
      </c>
      <c r="C13" s="127" t="n">
        <f aca="false">IFERROR(Model!C81+0,0)</f>
        <v>171.562</v>
      </c>
      <c r="D13" s="127" t="n">
        <f aca="false">IFERROR(Model!D81+0,0)</f>
        <v>203.145</v>
      </c>
      <c r="E13" s="127" t="n">
        <f aca="false">IFERROR(Model!E81+0,0)</f>
        <v>237.917</v>
      </c>
      <c r="F13" s="127" t="n">
        <f aca="false">IFERROR(Model!F81+0,0)</f>
        <v>225.325</v>
      </c>
      <c r="G13" s="127" t="n">
        <f aca="false">IFERROR(Model!G81+0,0)</f>
        <v>239.07</v>
      </c>
      <c r="H13" s="127" t="n">
        <f aca="false">IFERROR(Model!H81+0,0)</f>
        <v>265.29</v>
      </c>
      <c r="I13" s="127" t="n">
        <f aca="false">IFERROR(Model!I81+0,0)</f>
        <v>286.353</v>
      </c>
      <c r="J13" s="127" t="n">
        <f aca="false">IFERROR(Model!O81+0,0)</f>
        <v>282.992</v>
      </c>
      <c r="K13" s="127" t="n">
        <f aca="false">IFERROR(Model!U81+0,0)</f>
        <v>274.934</v>
      </c>
      <c r="L13" s="127" t="n">
        <f aca="false">IFERROR(Model!AA81+0,0)</f>
        <v>344.401</v>
      </c>
      <c r="M13" s="127" t="n">
        <f aca="false">IFERROR(Model!AG81+0,0)</f>
        <v>406.47</v>
      </c>
      <c r="N13" s="127" t="n">
        <f aca="false">IFERROR(Model!AM81+0,0)</f>
        <v>461.299</v>
      </c>
      <c r="O13" s="127" t="n">
        <f aca="false">IFERROR(Model!AS81+0,0)</f>
        <v>584.345</v>
      </c>
      <c r="P13" s="127" t="n">
        <f aca="false">IFERROR(Model!AY81+0,0)</f>
        <v>716.475</v>
      </c>
      <c r="Q13" s="127" t="n">
        <f aca="false">IFERROR(Model!BE81+0,0)</f>
        <v>816.099</v>
      </c>
      <c r="R13" s="127" t="n">
        <f aca="false">IFERROR(Model!BK81+0,0)</f>
        <v>1136.426</v>
      </c>
      <c r="S13" s="127" t="n">
        <f aca="false">IFERROR(Model!BQ81+0,0)</f>
        <v>1374.997</v>
      </c>
      <c r="T13" s="127" t="n">
        <f aca="false">IFERROR(Model!BW81+0,0)</f>
        <v>1486.569</v>
      </c>
      <c r="U13" s="127" t="n">
        <f aca="false">IFERROR(Model!CC81+0,0)</f>
        <v>1572.023</v>
      </c>
      <c r="V13" s="127" t="n">
        <f aca="false">IFERROR(Model!CI81+0,0)</f>
        <v>1696.714</v>
      </c>
      <c r="W13" s="127" t="n">
        <f aca="false">IFERROR(Model!CO81+0,0)</f>
        <v>1652.59</v>
      </c>
    </row>
    <row r="14" customFormat="false" ht="15" hidden="false" customHeight="true" outlineLevel="0" collapsed="false">
      <c r="B14" s="0" t="s">
        <v>648</v>
      </c>
      <c r="C14" s="158" t="n">
        <f aca="false">IFERROR(Model!C170+0,0)</f>
        <v>0.374345168387974</v>
      </c>
      <c r="D14" s="158" t="n">
        <f aca="false">IFERROR(Model!D170+0,0)</f>
        <v>0.429596204608689</v>
      </c>
      <c r="E14" s="158" t="n">
        <f aca="false">IFERROR(Model!E170+0,0)</f>
        <v>0.363002772511365</v>
      </c>
      <c r="F14" s="158" t="n">
        <f aca="false">IFERROR(Model!F170+0,0)</f>
        <v>0.360213273905168</v>
      </c>
      <c r="G14" s="158" t="n">
        <f aca="false">IFERROR(Model!G170+0,0)</f>
        <v>0.365837343232252</v>
      </c>
      <c r="H14" s="158" t="n">
        <f aca="false">IFERROR(Model!H170+0,0)</f>
        <v>0.35902256932104</v>
      </c>
      <c r="I14" s="158" t="n">
        <f aca="false">IFERROR(Model!I170+0,0)</f>
        <v>0.364867219005595</v>
      </c>
      <c r="J14" s="158" t="n">
        <f aca="false">IFERROR(Model!O170+0,0)</f>
        <v>0.322515567098134</v>
      </c>
      <c r="K14" s="158" t="n">
        <f aca="false">IFERROR(Model!U170+0,0)</f>
        <v>0.31039571495734</v>
      </c>
      <c r="L14" s="158" t="n">
        <f aca="false">IFERROR(Model!AA170+0,0)</f>
        <v>0.346230312502524</v>
      </c>
      <c r="M14" s="158" t="n">
        <f aca="false">IFERROR(Model!AG170+0,0)</f>
        <v>0.361729726364575</v>
      </c>
      <c r="N14" s="158" t="n">
        <f aca="false">IFERROR(Model!AM170+0,0)</f>
        <v>0.376216351618052</v>
      </c>
      <c r="O14" s="158" t="n">
        <f aca="false">IFERROR(Model!AS170+0,0)</f>
        <v>0.374202632181962</v>
      </c>
      <c r="P14" s="158" t="n">
        <f aca="false">IFERROR(Model!AY170+0,0)</f>
        <v>0.395693771546936</v>
      </c>
      <c r="Q14" s="158" t="n">
        <f aca="false">IFERROR(Model!BE170+0,0)</f>
        <v>0.418487084820657</v>
      </c>
      <c r="R14" s="158" t="n">
        <f aca="false">IFERROR(Model!BK170+0,0)</f>
        <v>0.470817513218454</v>
      </c>
      <c r="S14" s="158" t="n">
        <f aca="false">IFERROR(Model!BQ170+0,0)</f>
        <v>0.43393590810342</v>
      </c>
      <c r="T14" s="158" t="n">
        <f aca="false">IFERROR(Model!BW170+0,0)</f>
        <v>0.42586130882451</v>
      </c>
      <c r="U14" s="158" t="n">
        <f aca="false">IFERROR(Model!CC170+0,0)</f>
        <v>0.415096169936766</v>
      </c>
      <c r="V14" s="158" t="n">
        <f aca="false">IFERROR(Model!CI170+0,0)</f>
        <v>0.415867972122838</v>
      </c>
      <c r="W14" s="158" t="n">
        <f aca="false">IFERROR(Model!CO170+0,0)</f>
        <v>0.403416777945437</v>
      </c>
    </row>
    <row r="15" customFormat="false" ht="15" hidden="false" customHeight="true" outlineLevel="0" collapsed="false">
      <c r="B15" s="0" t="s">
        <v>649</v>
      </c>
      <c r="C15" s="158" t="n">
        <f aca="false">IFERROR(Model!C171+0,0)</f>
        <v>0.324577019927313</v>
      </c>
      <c r="D15" s="158" t="n">
        <f aca="false">IFERROR(Model!D171+0,0)</f>
        <v>0.362318969822358</v>
      </c>
      <c r="E15" s="158" t="n">
        <f aca="false">IFERROR(Model!E171+0,0)</f>
        <v>0.303137677614009</v>
      </c>
      <c r="F15" s="158" t="n">
        <f aca="false">IFERROR(Model!F171+0,0)</f>
        <v>0.303230329896297</v>
      </c>
      <c r="G15" s="158" t="n">
        <f aca="false">IFERROR(Model!G171+0,0)</f>
        <v>0.309323969211222</v>
      </c>
      <c r="H15" s="158" t="n">
        <f aca="false">IFERROR(Model!H171+0,0)</f>
        <v>0.304145848762849</v>
      </c>
      <c r="I15" s="158" t="n">
        <f aca="false">IFERROR(Model!I171+0,0)</f>
        <v>0.309841796771447</v>
      </c>
      <c r="J15" s="158" t="n">
        <f aca="false">IFERROR(Model!O171+0,0)</f>
        <v>0.270447043442859</v>
      </c>
      <c r="K15" s="158" t="n">
        <f aca="false">IFERROR(Model!U171+0,0)</f>
        <v>0.236301331598322</v>
      </c>
      <c r="L15" s="158" t="n">
        <f aca="false">IFERROR(Model!AA171+0,0)</f>
        <v>0.300503717457523</v>
      </c>
      <c r="M15" s="158" t="n">
        <f aca="false">IFERROR(Model!AG171+0,0)</f>
        <v>0.320446466511464</v>
      </c>
      <c r="N15" s="158" t="n">
        <f aca="false">IFERROR(Model!AM171+0,0)</f>
        <v>0.318580837731987</v>
      </c>
      <c r="O15" s="158" t="n">
        <f aca="false">IFERROR(Model!AS171+0,0)</f>
        <v>0.323612237947162</v>
      </c>
      <c r="P15" s="158" t="n">
        <f aca="false">IFERROR(Model!AY171+0,0)</f>
        <v>0.350876634522666</v>
      </c>
      <c r="Q15" s="158" t="n">
        <f aca="false">IFERROR(Model!BE171+0,0)</f>
        <v>0.370015093514957</v>
      </c>
      <c r="R15" s="158" t="n">
        <f aca="false">IFERROR(Model!BK171+0,0)</f>
        <v>0.422069213459109</v>
      </c>
      <c r="S15" s="158" t="n">
        <f aca="false">IFERROR(Model!BQ171+0,0)</f>
        <v>0.392752935584665</v>
      </c>
      <c r="T15" s="158" t="n">
        <f aca="false">IFERROR(Model!BW171+0,0)</f>
        <v>0.384174204642542</v>
      </c>
      <c r="U15" s="158" t="n">
        <f aca="false">IFERROR(Model!CC171+0,0)</f>
        <v>0.371038157600636</v>
      </c>
      <c r="V15" s="158" t="n">
        <f aca="false">IFERROR(Model!CI171+0,0)</f>
        <v>0.365123592681492</v>
      </c>
      <c r="W15" s="158" t="n">
        <f aca="false">IFERROR(Model!CO171+0,0)</f>
        <v>0.354161161662497</v>
      </c>
    </row>
    <row r="17" customFormat="false" ht="15" hidden="false" customHeight="true" outlineLevel="0" collapsed="false">
      <c r="C17" s="11" t="n">
        <f aca="false">C7</f>
        <v>2006</v>
      </c>
      <c r="D17" s="11" t="n">
        <f aca="false">D7</f>
        <v>2007</v>
      </c>
      <c r="E17" s="11" t="n">
        <f aca="false">E7</f>
        <v>2008</v>
      </c>
      <c r="F17" s="11" t="n">
        <f aca="false">F7</f>
        <v>2009</v>
      </c>
      <c r="G17" s="11" t="n">
        <f aca="false">G7</f>
        <v>2010</v>
      </c>
      <c r="H17" s="11" t="n">
        <f aca="false">H7</f>
        <v>2011</v>
      </c>
      <c r="I17" s="11" t="n">
        <f aca="false">I7</f>
        <v>2012</v>
      </c>
      <c r="J17" s="11" t="n">
        <f aca="false">J7</f>
        <v>2013</v>
      </c>
      <c r="K17" s="11" t="n">
        <f aca="false">K7</f>
        <v>2014</v>
      </c>
      <c r="L17" s="11" t="n">
        <f aca="false">L7</f>
        <v>2015</v>
      </c>
      <c r="M17" s="11" t="n">
        <f aca="false">M7</f>
        <v>2016</v>
      </c>
      <c r="N17" s="11" t="n">
        <f aca="false">N7</f>
        <v>2017</v>
      </c>
      <c r="O17" s="11" t="n">
        <f aca="false">O7</f>
        <v>2018</v>
      </c>
      <c r="P17" s="11" t="n">
        <f aca="false">P7</f>
        <v>2019</v>
      </c>
      <c r="Q17" s="11" t="n">
        <f aca="false">Q7</f>
        <v>2020</v>
      </c>
      <c r="R17" s="11" t="n">
        <f aca="false">R7</f>
        <v>2021</v>
      </c>
      <c r="S17" s="11" t="n">
        <f aca="false">S7</f>
        <v>2022</v>
      </c>
      <c r="T17" s="11" t="n">
        <f aca="false">T7</f>
        <v>2023</v>
      </c>
      <c r="U17" s="11" t="n">
        <f aca="false">U7</f>
        <v>2024</v>
      </c>
      <c r="V17" s="11" t="n">
        <f aca="false">V7</f>
        <v>2025</v>
      </c>
    </row>
    <row r="18" customFormat="false" ht="15" hidden="false" customHeight="true" outlineLevel="0" collapsed="false">
      <c r="B18" s="0" t="s">
        <v>525</v>
      </c>
      <c r="C18" s="158" t="n">
        <f aca="false">IFERROR(Model!C319+0,0)</f>
        <v>0.202642258176006</v>
      </c>
      <c r="D18" s="158" t="n">
        <f aca="false">IFERROR(Model!D319+0,0)</f>
        <v>0.190543480095592</v>
      </c>
      <c r="E18" s="158" t="n">
        <f aca="false">IFERROR(Model!E319+0,0)</f>
        <v>0.200232029278376</v>
      </c>
      <c r="F18" s="158" t="n">
        <f aca="false">IFERROR(Model!F319+0,0)</f>
        <v>0.182766142574505</v>
      </c>
      <c r="G18" s="158" t="n">
        <f aca="false">IFERROR(Model!G319+0,0)</f>
        <v>0.184999108426826</v>
      </c>
      <c r="H18" s="158" t="n">
        <f aca="false">IFERROR(Model!H319+0,0)</f>
        <v>0.196792637335163</v>
      </c>
      <c r="I18" s="158" t="n">
        <f aca="false">IFERROR(Model!I319+0,0)</f>
        <v>0.218827587479538</v>
      </c>
      <c r="J18" s="158" t="n">
        <f aca="false">IFERROR(Model!O319+0,0)</f>
        <v>0.17040745606171</v>
      </c>
      <c r="K18" s="158" t="n">
        <f aca="false">IFERROR(Model!U319+0,0)</f>
        <v>0.177238830817125</v>
      </c>
      <c r="L18" s="158" t="n">
        <f aca="false">IFERROR(Model!AA319+0,0)</f>
        <v>0.201051781882616</v>
      </c>
      <c r="M18" s="158" t="n">
        <f aca="false">IFERROR(Model!AG319+0,0)</f>
        <v>0.222533490473229</v>
      </c>
      <c r="N18" s="158" t="n">
        <f aca="false">IFERROR(Model!AM319+0,0)</f>
        <v>0.287177626578603</v>
      </c>
      <c r="O18" s="158" t="n">
        <f aca="false">IFERROR(Model!AS319+0,0)</f>
        <v>0.260014509112254</v>
      </c>
      <c r="P18" s="158" t="n">
        <f aca="false">IFERROR(Model!AY319+0,0)</f>
        <v>0.304482230868151</v>
      </c>
      <c r="Q18" s="158" t="n">
        <f aca="false">IFERROR(Model!BE319+0,0)</f>
        <v>0.298021316894148</v>
      </c>
      <c r="R18" s="158" t="n">
        <f aca="false">IFERROR(Model!BK319+0,0)</f>
        <v>0.33225321977019</v>
      </c>
      <c r="S18" s="158" t="n">
        <f aca="false">IFERROR(Model!BQ319+0,0)</f>
        <v>0.346196696253066</v>
      </c>
      <c r="T18" s="158" t="n">
        <f aca="false">IFERROR(Model!BW319+0,0)</f>
        <v>0.326121133745102</v>
      </c>
      <c r="U18" s="158" t="n">
        <f aca="false">IFERROR(Model!CC319+0,0)</f>
        <v>0.302104136457213</v>
      </c>
      <c r="V18" s="158" t="n">
        <f aca="false">IFERROR(Model!CI319+0,0)</f>
        <v>0.317358888950565</v>
      </c>
      <c r="W18" s="158" t="n">
        <f aca="false">IFERROR(Model!CO319+0,0)</f>
        <v>0.288409433053147</v>
      </c>
    </row>
    <row r="19" customFormat="false" ht="15" hidden="false" customHeight="true" outlineLevel="0" collapsed="false">
      <c r="B19" s="0" t="s">
        <v>526</v>
      </c>
      <c r="C19" s="158" t="n">
        <f aca="false">IFERROR(Model!C331+0,0)</f>
        <v>0.154078650822875</v>
      </c>
      <c r="D19" s="158" t="n">
        <f aca="false">IFERROR(Model!D331+0,0)</f>
        <v>0.180062521396603</v>
      </c>
      <c r="E19" s="158" t="n">
        <f aca="false">IFERROR(Model!E331+0,0)</f>
        <v>0.241974070241196</v>
      </c>
      <c r="F19" s="158" t="n">
        <f aca="false">IFERROR(Model!F331+0,0)</f>
        <v>0.179422287059631</v>
      </c>
      <c r="G19" s="158" t="n">
        <f aca="false">IFERROR(Model!G331+0,0)</f>
        <v>0.162574931998348</v>
      </c>
      <c r="H19" s="158" t="n">
        <f aca="false">IFERROR(Model!H331+0,0)</f>
        <v>0.222823303531934</v>
      </c>
      <c r="I19" s="158" t="n">
        <f aca="false">IFERROR(Model!I331+0,0)</f>
        <v>0.225795436958493</v>
      </c>
      <c r="J19" s="158" t="n">
        <f aca="false">IFERROR(Model!O331+0,0)</f>
        <v>0.205846941739533</v>
      </c>
      <c r="K19" s="158" t="n">
        <f aca="false">IFERROR(Model!U331+0,0)</f>
        <v>0.19702164165565</v>
      </c>
      <c r="L19" s="158" t="n">
        <f aca="false">IFERROR(Model!AA331+0,0)</f>
        <v>0.171771924634251</v>
      </c>
      <c r="M19" s="158" t="n">
        <f aca="false">IFERROR(Model!AG331+0,0)</f>
        <v>0.238414551820413</v>
      </c>
      <c r="N19" s="158" t="n">
        <f aca="false">IFERROR(Model!AM331+0,0)</f>
        <v>0.324552129125985</v>
      </c>
      <c r="O19" s="158" t="n">
        <f aca="false">IFERROR(Model!AS331+0,0)</f>
        <v>0.272303183660385</v>
      </c>
      <c r="P19" s="158" t="n">
        <f aca="false">IFERROR(Model!AY331+0,0)</f>
        <v>0.323127344811996</v>
      </c>
      <c r="Q19" s="158" t="n">
        <f aca="false">IFERROR(Model!BE331+0,0)</f>
        <v>0.265108933324062</v>
      </c>
      <c r="R19" s="158" t="n">
        <f aca="false">IFERROR(Model!BK331+0,0)</f>
        <v>0.255759018560772</v>
      </c>
      <c r="S19" s="158" t="n">
        <f aca="false">IFERROR(Model!BQ331+0,0)</f>
        <v>0.254534884191145</v>
      </c>
      <c r="T19" s="158" t="n">
        <f aca="false">IFERROR(Model!BW331+0,0)</f>
        <v>0.204771408037173</v>
      </c>
      <c r="U19" s="158" t="n">
        <f aca="false">IFERROR(Model!CC331+0,0)</f>
        <v>0.172870202236054</v>
      </c>
      <c r="V19" s="158" t="n">
        <f aca="false">IFERROR(Model!CI331+0,0)</f>
        <v>0.158856190202101</v>
      </c>
      <c r="W19" s="158" t="n">
        <f aca="false">IFERROR(Model!CO331+0,0)</f>
        <v>0.152200732156762</v>
      </c>
    </row>
    <row r="20" customFormat="false" ht="15" hidden="false" customHeight="true" outlineLevel="0" collapsed="false">
      <c r="B20" s="0" t="s">
        <v>650</v>
      </c>
      <c r="C20" s="158" t="n">
        <f aca="false">IFERROR(Model!C170+0,0)</f>
        <v>0.374345168387974</v>
      </c>
      <c r="D20" s="158" t="n">
        <f aca="false">IFERROR(Model!D170+0,0)</f>
        <v>0.429596204608689</v>
      </c>
      <c r="E20" s="158" t="n">
        <f aca="false">IFERROR(Model!E170+0,0)</f>
        <v>0.363002772511365</v>
      </c>
      <c r="F20" s="158" t="n">
        <f aca="false">IFERROR(Model!F170+0,0)</f>
        <v>0.360213273905168</v>
      </c>
      <c r="G20" s="158" t="n">
        <f aca="false">IFERROR(Model!G170+0,0)</f>
        <v>0.365837343232252</v>
      </c>
      <c r="H20" s="158" t="n">
        <f aca="false">IFERROR(Model!H170+0,0)</f>
        <v>0.35902256932104</v>
      </c>
      <c r="I20" s="158" t="n">
        <f aca="false">IFERROR(Model!I170+0,0)</f>
        <v>0.364867219005595</v>
      </c>
      <c r="J20" s="158" t="n">
        <f aca="false">IFERROR(Model!O170+0,0)</f>
        <v>0.322515567098134</v>
      </c>
      <c r="K20" s="158" t="n">
        <f aca="false">IFERROR(Model!U170+0,0)</f>
        <v>0.31039571495734</v>
      </c>
      <c r="L20" s="158" t="n">
        <f aca="false">IFERROR(Model!AA170+0,0)</f>
        <v>0.346230312502524</v>
      </c>
      <c r="M20" s="158" t="n">
        <f aca="false">IFERROR(Model!AG170+0,0)</f>
        <v>0.361729726364575</v>
      </c>
      <c r="N20" s="158" t="n">
        <f aca="false">IFERROR(Model!AM170+0,0)</f>
        <v>0.376216351618052</v>
      </c>
      <c r="O20" s="158" t="n">
        <f aca="false">IFERROR(Model!AS170+0,0)</f>
        <v>0.374202632181962</v>
      </c>
      <c r="P20" s="158" t="n">
        <f aca="false">IFERROR(Model!AY170+0,0)</f>
        <v>0.395693771546936</v>
      </c>
      <c r="Q20" s="158" t="n">
        <f aca="false">IFERROR(Model!BE170+0,0)</f>
        <v>0.418487084820657</v>
      </c>
      <c r="R20" s="158" t="n">
        <f aca="false">IFERROR(Model!BK170+0,0)</f>
        <v>0.470817513218454</v>
      </c>
      <c r="S20" s="158" t="n">
        <f aca="false">IFERROR(Model!BQ170+0,0)</f>
        <v>0.43393590810342</v>
      </c>
      <c r="T20" s="158" t="n">
        <f aca="false">IFERROR(Model!BW170+0,0)</f>
        <v>0.42586130882451</v>
      </c>
      <c r="U20" s="158" t="n">
        <f aca="false">IFERROR(Model!CC170+0,0)</f>
        <v>0.415096169936766</v>
      </c>
      <c r="V20" s="158" t="n">
        <f aca="false">IFERROR(Model!CI170+0,0)</f>
        <v>0.415867972122838</v>
      </c>
      <c r="W20" s="158" t="n">
        <f aca="false">IFERROR(Model!CO170+0,0)</f>
        <v>0.403416777945437</v>
      </c>
    </row>
    <row r="21" customFormat="false" ht="15" hidden="false" customHeight="true" outlineLevel="0" collapsed="false">
      <c r="B21" s="0" t="s">
        <v>651</v>
      </c>
      <c r="C21" s="158" t="n">
        <f aca="false">IFERROR(Model!C66+0,0)</f>
        <v>0.436172245545064</v>
      </c>
      <c r="D21" s="158" t="n">
        <f aca="false">IFERROR(Model!D66+0,0)</f>
        <v>0.47581864878362</v>
      </c>
      <c r="E21" s="158" t="n">
        <f aca="false">IFERROR(Model!E66+0,0)</f>
        <v>0.410600523923104</v>
      </c>
      <c r="F21" s="158" t="n">
        <f aca="false">IFERROR(Model!F66+0,0)</f>
        <v>0.420222801790381</v>
      </c>
      <c r="G21" s="158" t="n">
        <f aca="false">IFERROR(Model!G66+0,0)</f>
        <v>0.450256767230058</v>
      </c>
      <c r="H21" s="158" t="n">
        <f aca="false">IFERROR(Model!H66+0,0)</f>
        <v>0.427511275488796</v>
      </c>
      <c r="I21" s="158" t="n">
        <f aca="false">IFERROR(Model!I66+0,0)</f>
        <v>0.443215742200476</v>
      </c>
      <c r="J21" s="158" t="n">
        <f aca="false">IFERROR(Model!O66+0,0)</f>
        <v>0.402262644951289</v>
      </c>
      <c r="K21" s="158" t="n">
        <f aca="false">IFERROR(Model!U66+0,0)</f>
        <v>0.402730923970919</v>
      </c>
      <c r="L21" s="158" t="n">
        <f aca="false">IFERROR(Model!AA66+0,0)</f>
        <v>0.421764991767583</v>
      </c>
      <c r="M21" s="158" t="n">
        <f aca="false">IFERROR(Model!AG66+0,0)</f>
        <v>0.429332200190942</v>
      </c>
      <c r="N21" s="158" t="n">
        <f aca="false">IFERROR(Model!AM66+0,0)</f>
        <v>0.436489152827282</v>
      </c>
      <c r="O21" s="158" t="n">
        <f aca="false">IFERROR(Model!AS66+0,0)</f>
        <v>0.422200870025115</v>
      </c>
      <c r="P21" s="158" t="n">
        <f aca="false">IFERROR(Model!AY66+0,0)</f>
        <v>0.4399416833949</v>
      </c>
      <c r="Q21" s="158" t="n">
        <f aca="false">IFERROR(Model!BE66+0,0)</f>
        <v>0.456932248752371</v>
      </c>
      <c r="R21" s="158" t="n">
        <f aca="false">IFERROR(Model!BK66+0,0)</f>
        <v>0.498824703037425</v>
      </c>
      <c r="S21" s="158" t="n">
        <f aca="false">IFERROR(Model!BQ66+0,0)</f>
        <v>0.458799555888293</v>
      </c>
      <c r="T21" s="158" t="n">
        <f aca="false">IFERROR(Model!BW66+0,0)</f>
        <v>0.448890792083148</v>
      </c>
      <c r="U21" s="158" t="n">
        <f aca="false">IFERROR(Model!CC66+0,0)</f>
        <v>0.450160887060895</v>
      </c>
      <c r="V21" s="158" t="n">
        <f aca="false">IFERROR(Model!CI66+0,0)</f>
        <v>0.451831714424791</v>
      </c>
      <c r="W21" s="158" t="n">
        <f aca="false">IFERROR(Model!CO66+0,0)</f>
        <v>0.446584797209041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2026-10-03T12:07:39Z</dcterms:created>
  <dc:creator>openpyxl</dc:creator>
  <dc:description/>
  <dc:language>en-US</dc:language>
  <cp:lastModifiedBy/>
  <dcterms:modified xsi:type="dcterms:W3CDTF">2026-10-03T18:10:46Z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