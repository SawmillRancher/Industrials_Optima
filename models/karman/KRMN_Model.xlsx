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Bull-Base-Bear" sheetId="2" state="visible" r:id="rId4"/>
    <sheet name="DCF" sheetId="3" state="visible" r:id="rId5"/>
    <sheet name="Cha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Source: Karman earnings releases (Form 8-K Ex. 99.1) — end-market revenue tables; FY2022–23 from the IPO prospectus (424B4, 13-Feb-2025) MD&amp;A. 2024 quarters on the recast basis shown as prior-year comparatives in the 2025 releases (FY2024 = $114.6m / $115.0m / $115.6m, unchanged vs the FY2024 release).</t>
        </r>
      </text>
    </comment>
    <comment ref="B16" authorId="0">
      <text>
        <r>
          <rPr>
            <sz val="10"/>
            <rFont val="Arial"/>
            <family val="2"/>
          </rPr>
          <t xml:space="preserve">Source: Karman earnings releases (Form 8-K Ex. 99.1) — end-market revenue tables; FY2022–23 from the IPO prospectus (424B4, 13-Feb-2025) MD&amp;A. 2024 quarters on the recast basis shown as prior-year comparatives in the 2025 releases (FY2024 = $114.6m / $115.0m / $115.6m, unchanged vs the FY2024 release).</t>
        </r>
      </text>
    </comment>
    <comment ref="B21" authorId="0">
      <text>
        <r>
          <rPr>
            <sz val="10"/>
            <rFont val="Arial"/>
            <family val="2"/>
          </rPr>
          <t xml:space="preserve">Source: Karman earnings releases (Form 8-K Ex. 99.1) — end-market revenue tables; FY2022–23 from the IPO prospectus (424B4, 13-Feb-2025) MD&amp;A. 2024 quarters on the recast basis shown as prior-year comparatives in the 2025 releases (FY2024 = $114.6m / $115.0m / $115.6m, unchanged vs the FY2024 release).</t>
        </r>
      </text>
    </comment>
    <comment ref="B27" authorId="0">
      <text>
        <r>
          <rPr>
            <sz val="10"/>
            <rFont val="Arial"/>
            <family val="2"/>
          </rPr>
          <t xml:space="preserve">Source: Karman earnings releases (Form 8-K Ex. 99.1) — end-market revenue tables; FY2022–23 from the IPO prospectus (424B4, 13-Feb-2025) MD&amp;A. 2024 quarters on the recast basis shown as prior-year comparatives in the 2025 releases (FY2024 = $114.6m / $115.0m / $115.6m, unchanged vs the FY2024 release).</t>
        </r>
      </text>
    </comment>
    <comment ref="B58" authorId="0">
      <text>
        <r>
          <rPr>
            <sz val="10"/>
            <rFont val="Arial"/>
            <family val="2"/>
          </rPr>
          <t xml:space="preserve">Source: Reconciliation of GAAP to non-GAAP measures in each earnings release (8-K Ex. 99.1); FY2022–23 and 9M from the IPO prospectus (424B4) “Summary Consolidated Financial Data”.</t>
        </r>
      </text>
    </comment>
    <comment ref="B59" authorId="0">
      <text>
        <r>
          <rPr>
            <sz val="10"/>
            <rFont val="Arial"/>
            <family val="2"/>
          </rPr>
          <t xml:space="preserve">Source: Reconciliation of GAAP to non-GAAP measures in each earnings release (8-K Ex. 99.1); FY2022–23 and 9M from the IPO prospectus (424B4) “Summary Consolidated Financial Data”. Called “Acquisition related expenses” before Q1-25.</t>
        </r>
      </text>
    </comment>
    <comment ref="B60" authorId="0">
      <text>
        <r>
          <rPr>
            <sz val="10"/>
            <rFont val="Arial"/>
            <family val="2"/>
          </rPr>
          <t xml:space="preserve">Source: Reconciliation of GAAP to non-GAAP measures in each earnings release (8-K Ex. 99.1); FY2022–23 and 9M from the IPO prospectus (424B4) “Summary Consolidated Financial Data”.</t>
        </r>
      </text>
    </comment>
    <comment ref="B61" authorId="0">
      <text>
        <r>
          <rPr>
            <sz val="10"/>
            <rFont val="Arial"/>
            <family val="2"/>
          </rPr>
          <t xml:space="preserve">Source: Reconciliation of GAAP to non-GAAP measures in each earnings release (8-K Ex. 99.1); FY2022–23 and 9M from the IPO prospectus (424B4) “Summary Consolidated Financial Data”.</t>
        </r>
      </text>
    </comment>
    <comment ref="B62" authorId="0">
      <text>
        <r>
          <rPr>
            <sz val="10"/>
            <rFont val="Arial"/>
            <family val="2"/>
          </rPr>
          <t xml:space="preserve">Source: Reconciliation of GAAP to non-GAAP measures in each earnings release (8-K Ex. 99.1); FY2022–23 and 9M from the IPO prospectus (424B4) “Summary Consolidated Financial Data”. 2023: non-cash impairment; 2025–26: estimated legal settlements &amp; related professional fees.</t>
        </r>
      </text>
    </comment>
    <comment ref="B65" authorId="0">
      <text>
        <r>
          <rPr>
            <sz val="10"/>
            <rFont val="Arial"/>
            <family val="2"/>
          </rPr>
          <t xml:space="preserve">Source: SEC EDGAR XBRL company facts, CIK 0002040127 (Forms 10-K / 10-Q); Q4 = FY − 9M; 1H = Q1 + Q2. (FinanceLeaseRightOfUseAssetAmortization). Most facilities are finance leases; ROU amortization sits in the D&amp;A line, lease interest in interest expense.</t>
        </r>
      </text>
    </comment>
    <comment ref="B66" authorId="0">
      <text>
        <r>
          <rPr>
            <sz val="10"/>
            <rFont val="Arial"/>
            <family val="2"/>
          </rPr>
          <t xml:space="preserve">Source: intangible-asset notes in each 10-Q / 10-K (“Amortization expense was $x million for the three months ended …”); Q4 = FY − 9M. FY2022–23 per the IPO prospectus.</t>
        </r>
      </text>
    </comment>
    <comment ref="B72" authorId="0">
      <text>
        <r>
          <rPr>
            <sz val="10"/>
            <rFont val="Arial"/>
            <family val="2"/>
          </rPr>
          <t xml:space="preserve">FY2024: RMS revenue since acquisition (16-Feb-24) $11.7m (FY2024 10-K). Q2/26: derived from the release — total growth 58.2% vs organic growth 24.4% on Q2/25 revenue of $115.1m ⇒ $38.9m. Other periods: not disclosed (“impact … not significant” per 10-Q acquisition notes).</t>
        </r>
      </text>
    </comment>
    <comment ref="B73" authorId="0">
      <text>
        <r>
          <rPr>
            <sz val="10"/>
            <rFont val="Arial"/>
            <family val="2"/>
          </rPr>
          <t xml:space="preserve">Source: earnings releases / 10-Q KPI tables (Q1/26 $1,026.9m; Q2/26 $1,322.1m); FY2022–23 and 30-Sep-24 per the IPO prospectus. Backlog = firm contractual commitments (POs, task orders, binding ATPs); excludes options, IDIQ ceilings.</t>
        </r>
      </text>
    </comment>
    <comment ref="B92" authorId="0">
      <text>
        <r>
          <rPr>
            <sz val="10"/>
            <rFont val="Arial"/>
            <family val="2"/>
          </rPr>
          <t xml:space="preserve">Source: SEC EDGAR XBRL company facts, CIK 0002040127 (Forms 10-K / 10-Q); Q4 = FY − 9M; 1H = Q1 + Q2. Q1/25 = $100.124m per the income statement (the Q1-25 end-market table printed $100.128m).</t>
        </r>
      </text>
    </comment>
    <comment ref="B93" authorId="0">
      <text>
        <r>
          <rPr>
            <sz val="10"/>
            <rFont val="Arial"/>
            <family val="2"/>
          </rPr>
          <t xml:space="preserve">Source: SEC EDGAR XBRL company facts, CIK 0002040127 (Forms 10-K / 10-Q); Q4 = FY − 9M; 1H = Q1 + Q2.</t>
        </r>
      </text>
    </comment>
    <comment ref="B95" authorId="0">
      <text>
        <r>
          <rPr>
            <sz val="10"/>
            <rFont val="Arial"/>
            <family val="2"/>
          </rPr>
          <t xml:space="preserve">Source: SEC EDGAR XBRL company facts, CIK 0002040127 (Forms 10-K / 10-Q); Q4 = FY − 9M; 1H = Q1 + Q2.</t>
        </r>
      </text>
    </comment>
    <comment ref="B96" authorId="0">
      <text>
        <r>
          <rPr>
            <sz val="10"/>
            <rFont val="Arial"/>
            <family val="2"/>
          </rPr>
          <t xml:space="preserve">Source: SEC EDGAR XBRL company facts, CIK 0002040127 (Forms 10-K / 10-Q); Q4 = FY − 9M; 1H = Q1 + Q2. (OperatingExpenses − GeneralAndAdministrativeExpense). Includes acquired-intangible and ROU amortization.</t>
        </r>
      </text>
    </comment>
    <comment ref="B98" authorId="0">
      <text>
        <r>
          <rPr>
            <sz val="10"/>
            <rFont val="Arial"/>
            <family val="2"/>
          </rPr>
          <t xml:space="preserve">Source: SEC EDGAR XBRL company facts, CIK 0002040127 (Forms 10-K / 10-Q); Q4 = FY − 9M; 1H = Q1 + Q2.</t>
        </r>
      </text>
    </comment>
    <comment ref="B99" authorId="0">
      <text>
        <r>
          <rPr>
            <sz val="10"/>
            <rFont val="Arial"/>
            <family val="2"/>
          </rPr>
          <t xml:space="preserve">Source: SEC EDGAR XBRL company facts, CIK 0002040127 (Forms 10-K / 10-Q); Q4 = FY − 9M; 1H = Q1 + Q2.</t>
        </r>
      </text>
    </comment>
    <comment ref="B101" authorId="0">
      <text>
        <r>
          <rPr>
            <sz val="10"/>
            <rFont val="Arial"/>
            <family val="2"/>
          </rPr>
          <t xml:space="preserve">Source: SEC EDGAR XBRL company facts, CIK 0002040127 (Forms 10-K / 10-Q); Q4 = FY − 9M; 1H = Q1 + Q2.</t>
        </r>
      </text>
    </comment>
    <comment ref="B105" authorId="0">
      <text>
        <r>
          <rPr>
            <sz val="10"/>
            <rFont val="Arial"/>
            <family val="2"/>
          </rPr>
          <t xml:space="preserve">Source: SEC EDGAR XBRL company facts, CIK 0002040127 (Forms 10-K / 10-Q); Q4 = FY − 9M; 1H = Q1 + Q2.</t>
        </r>
      </text>
    </comment>
    <comment ref="B106" authorId="0">
      <text>
        <r>
          <rPr>
            <sz val="10"/>
            <rFont val="Arial"/>
            <family val="2"/>
          </rPr>
          <t xml:space="preserve">Source: Reconciliation of GAAP to non-GAAP measures in each earnings release (8-K Ex. 99.1); FY2022–23 and 9M from the IPO prospectus (424B4) “Summary Consolidated Financial Data”.</t>
        </r>
      </text>
    </comment>
    <comment ref="B107" authorId="0">
      <text>
        <r>
          <rPr>
            <sz val="10"/>
            <rFont val="Arial"/>
            <family val="2"/>
          </rPr>
          <t xml:space="preserve">Source: footnote 1 to the Adj. EBITDA reconciliation in each release / 10-K MD&amp;A (e.g. $3.1m in Q2-26).</t>
        </r>
      </text>
    </comment>
    <comment ref="B109" authorId="0">
      <text>
        <r>
          <rPr>
            <sz val="10"/>
            <rFont val="Arial"/>
            <family val="2"/>
          </rPr>
          <t xml:space="preserve">Source: SEC EDGAR XBRL company facts, CIK 0002040127 (Forms 10-K / 10-Q); Q4 = FY − 9M; 1H = Q1 + Q2. Q4: three-month column of the FY25 release.</t>
        </r>
      </text>
    </comment>
    <comment ref="B110" authorId="0">
      <text>
        <r>
          <rPr>
            <sz val="10"/>
            <rFont val="Arial"/>
            <family val="2"/>
          </rPr>
          <t xml:space="preserve">Source: SEC EDGAR XBRL company facts, CIK 0002040127 (Forms 10-K / 10-Q); Q4 = FY − 9M; 1H = Q1 + Q2.</t>
        </r>
      </text>
    </comment>
    <comment ref="B113" authorId="0">
      <text>
        <r>
          <rPr>
            <sz val="10"/>
            <rFont val="Arial"/>
            <family val="2"/>
          </rPr>
          <t xml:space="preserve">Source: SEC EDGAR XBRL company facts, CIK 0002040127 (Forms 10-K / 10-Q); Q4 = FY − 9M; 1H = Q1 + Q2.</t>
        </r>
      </text>
    </comment>
    <comment ref="B129" authorId="0">
      <text>
        <r>
          <rPr>
            <sz val="10"/>
            <rFont val="Arial"/>
            <family val="2"/>
          </rPr>
          <t xml:space="preserve">Source: Reconciliation of GAAP to non-GAAP measures in each earnings release (8-K Ex. 99.1); FY2022–23 and 9M from the IPO prospectus (424B4) “Summary Consolidated Financial Data”.</t>
        </r>
      </text>
    </comment>
    <comment ref="B139" authorId="0">
      <text>
        <r>
          <rPr>
            <sz val="10"/>
            <rFont val="Arial"/>
            <family val="2"/>
          </rPr>
          <t xml:space="preserve">Source: Reconciliation of GAAP to non-GAAP measures in each earnings release (8-K Ex. 99.1); FY2022–23 and 9M from the IPO prospectus (424B4) “Summary Consolidated Financial Data”.</t>
        </r>
      </text>
    </comment>
    <comment ref="B164" authorId="0">
      <text>
        <r>
          <rPr>
            <sz val="10"/>
            <rFont val="Arial"/>
            <family val="2"/>
          </rPr>
          <t xml:space="preserve">FY2025 release fn. 7: $2.5m write-off of unamortized issuance costs on the TCW term loan refinanced by the Citi Term Loan B (Q2-25).</t>
        </r>
      </text>
    </comment>
    <comment ref="B165" authorId="0">
      <text>
        <r>
          <rPr>
            <sz val="10"/>
            <rFont val="Arial"/>
            <family val="2"/>
          </rPr>
          <t xml:space="preserve">FY2025 release fn. 7: one-time $1.5m tax expense due to the change in entity tax status (Q4-25 per the 9M vs FY per-share bridge). The tax-refund write-off is disclosed only per share (in the rounding line).</t>
        </r>
      </text>
    </comment>
    <comment ref="B170" authorId="0">
      <text>
        <r>
          <rPr>
            <sz val="10"/>
            <rFont val="Arial"/>
            <family val="2"/>
          </rPr>
          <t xml:space="preserve">Source: Reconciliation of GAAP to non-GAAP measures in each earnings release (8-K Ex. 99.1); FY2022–23 and 9M from the IPO prospectus (424B4) “Summary Consolidated Financial Data”. FY2024 Adj. EPS ($0.13) first published in the FY2025 release; 2024 quarters per the 2025 releases (per unit).</t>
        </r>
      </text>
    </comment>
    <comment ref="B196" authorId="0">
      <text>
        <r>
          <rPr>
            <sz val="10"/>
            <rFont val="Arial"/>
            <family val="2"/>
          </rPr>
          <t xml:space="preserve">Source: SEC EDGAR XBRL company facts, CIK 0002040127 (Forms 10-K / 10-Q); Q4 = FY − 9M; 1H = Q1 + Q2.</t>
        </r>
      </text>
    </comment>
    <comment ref="B199" authorId="0">
      <text>
        <r>
          <rPr>
            <sz val="10"/>
            <rFont val="Arial"/>
            <family val="2"/>
          </rPr>
          <t xml:space="preserve">Per the Adj. EBITDA reconciliation (non-cash P-Unit / RSU expense).</t>
        </r>
      </text>
    </comment>
    <comment ref="B200" authorId="0">
      <text>
        <r>
          <rPr>
            <sz val="10"/>
            <rFont val="Arial"/>
            <family val="2"/>
          </rPr>
          <t xml:space="preserve">Source: SEC EDGAR XBRL company facts, CIK 0002040127 (Forms 10-K / 10-Q); Q4 = FY − 9M; 1H = Q1 + Q2. (AmortizationOfFinancingCosts).</t>
        </r>
      </text>
    </comment>
    <comment ref="B201" authorId="0">
      <text>
        <r>
          <rPr>
            <sz val="10"/>
            <rFont val="Arial"/>
            <family val="2"/>
          </rPr>
          <t xml:space="preserve">Source: SEC EDGAR XBRL company facts, CIK 0002040127 (Forms 10-K / 10-Q); Q4 = FY − 9M; 1H = Q1 + Q2.</t>
        </r>
      </text>
    </comment>
    <comment ref="B203" authorId="0">
      <text>
        <r>
          <rPr>
            <sz val="10"/>
            <rFont val="Arial"/>
            <family val="2"/>
          </rPr>
          <t xml:space="preserve">Source: SEC EDGAR XBRL company facts, CIK 0002040127 (Forms 10-K / 10-Q); Q4 = FY − 9M; 1H = Q1 + Q2.</t>
        </r>
      </text>
    </comment>
    <comment ref="B204" authorId="0">
      <text>
        <r>
          <rPr>
            <sz val="10"/>
            <rFont val="Arial"/>
            <family val="2"/>
          </rPr>
          <t xml:space="preserve">Source: SEC EDGAR XBRL company facts, CIK 0002040127 (Forms 10-K / 10-Q); Q4 = FY − 9M; 1H = Q1 + Q2.</t>
        </r>
      </text>
    </comment>
    <comment ref="B205" authorId="0">
      <text>
        <r>
          <rPr>
            <sz val="10"/>
            <rFont val="Arial"/>
            <family val="2"/>
          </rPr>
          <t xml:space="preserve">Source: SEC EDGAR XBRL company facts, CIK 0002040127 (Forms 10-K / 10-Q); Q4 = FY − 9M; 1H = Q1 + Q2. Q2/25 = 6M ($126.3m: MTI, ISP).</t>
        </r>
      </text>
    </comment>
    <comment ref="B207" authorId="0">
      <text>
        <r>
          <rPr>
            <sz val="10"/>
            <rFont val="Arial"/>
            <family val="2"/>
          </rPr>
          <t xml:space="preserve">Source: SEC EDGAR XBRL company facts, CIK 0002040127 (Forms 10-K / 10-Q); Q4 = FY − 9M; 1H = Q1 + Q2.</t>
        </r>
      </text>
    </comment>
    <comment ref="B208" authorId="0">
      <text>
        <r>
          <rPr>
            <sz val="10"/>
            <rFont val="Arial"/>
            <family val="2"/>
          </rPr>
          <t xml:space="preserve">Source: SEC EDGAR XBRL company facts, CIK 0002040127 (Forms 10-K / 10-Q); Q4 = FY − 9M; 1H = Q1 + Q2. Q2/25: $375m Citi Term Loan B + $30m revolver draw (6M).</t>
        </r>
      </text>
    </comment>
    <comment ref="B212" authorId="0">
      <text>
        <r>
          <rPr>
            <sz val="10"/>
            <rFont val="Arial"/>
            <family val="2"/>
          </rPr>
          <t xml:space="preserve">Feb-2025 IPO: net proceeds $153.8m (primary).</t>
        </r>
      </text>
    </comment>
    <comment ref="B215" authorId="0">
      <text>
        <r>
          <rPr>
            <sz val="10"/>
            <rFont val="Arial"/>
            <family val="2"/>
          </rPr>
          <t xml:space="preserve">Source: SEC EDGAR XBRL company facts, CIK 0002040127 (Forms 10-K / 10-Q); Q4 = FY − 9M; 1H = Q1 + Q2.</t>
        </r>
      </text>
    </comment>
    <comment ref="B217" authorId="0">
      <text>
        <r>
          <rPr>
            <sz val="10"/>
            <rFont val="Arial"/>
            <family val="2"/>
          </rPr>
          <t xml:space="preserve">31-Dec-2021 cash $17.0m = 31-Dec-2022 cash $6.6m + FY2022 decrease $10.4m (IPO prospectus cash-flow statement).</t>
        </r>
      </text>
    </comment>
    <comment ref="B242" authorId="0">
      <text>
        <r>
          <rPr>
            <sz val="10"/>
            <rFont val="Arial"/>
            <family val="2"/>
          </rPr>
          <t xml:space="preserve">Source: SEC EDGAR XBRL company facts, CIK 0002040127 (Forms 10-K / 10-Q); Q4 = FY − 9M; 1H = Q1 + Q2. Balance sheets: 10-K / 10-Q; 31-Dec-22 and 30-Sep-24 from the IPO prospectus.</t>
        </r>
      </text>
    </comment>
    <comment ref="B282" authorId="0">
      <text>
        <r>
          <rPr>
            <sz val="10"/>
            <rFont val="Arial"/>
            <family val="2"/>
          </rPr>
          <t xml:space="preserve">Balance-sheet cover data (10-Q / 10-K).</t>
        </r>
      </text>
    </comment>
    <comment ref="B304" authorId="0">
      <text>
        <r>
          <rPr>
            <sz val="10"/>
            <rFont val="Arial"/>
            <family val="2"/>
          </rPr>
          <t xml:space="preserve">Debt note in each 10-Q / 10-K: Term note $502.8m (31-Dec-25); $772m after the $265m Third-Amendment add-on (2-Feb-26); $764.0m at 30-Jun-26; +$100m Sixth Amendment (26-Aug-26) ⇒ $863.96m original principal.</t>
        </r>
      </text>
    </comment>
    <comment ref="B362" authorId="0">
      <text>
        <r>
          <rPr>
            <sz val="10"/>
            <rFont val="Arial"/>
            <family val="2"/>
          </rPr>
          <t xml:space="preserve">KRMN closing price on 2-Oct-2026 ($34.14), per MarketBeat (marketbeat.com, 2-Oct-2026). User-updatable input.</t>
        </r>
      </text>
    </comment>
    <comment ref="AA2" authorId="0">
      <text>
        <r>
          <rPr>
            <sz val="10"/>
            <rFont val="Arial"/>
            <family val="2"/>
          </rPr>
          <t xml:space="preserve">Scenario toggle. Choose Bull / Base / Bear. Drives: FY26 outlook end-points (revenue and Adj. EBITDA — high / mid / low), 2027E–30E end-market growth, Adj. EBITDA margin, acquisition spend (M&amp;A lever), buybacks and the leverage floor (scenario input table to the right, columns AG:AK). Bull / Bear = Base + Δ.</t>
        </r>
      </text>
    </comment>
    <comment ref="AG11" authorId="0">
      <text>
        <r>
          <rPr>
            <sz val="10"/>
            <rFont val="Arial"/>
            <family val="2"/>
          </rPr>
          <t xml:space="preserve">FY26 outlook per Karman Q2-2026 earnings release (Form 8-K Ex. 99.1, 6-Aug-2026): revenue $730–745m and non-GAAP Adjusted EBITDA $215.0–222.5m, excluding the impact of any future acquisitions (raised from $720–735m / $208.5–219.5m in the Q1-26 release of 12-May-2026).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26" authorId="0">
      <text>
        <r>
          <rPr>
            <sz val="10"/>
            <rFont val="Arial"/>
            <family val="2"/>
          </rPr>
          <t xml:space="preserve">Bull P/E on Adjusted EPS (company definition — pre-tax add-backs, no amortization add-back). KRMN has traded at very high multiples since the Feb-2025 IPO (52-week range $31.66–$118.38); 50x assumes the growth premium is sustained. Base 40x, Bear 28x.</t>
        </r>
      </text>
    </comment>
  </commentList>
</comments>
</file>

<file path=xl/sharedStrings.xml><?xml version="1.0" encoding="utf-8"?>
<sst xmlns="http://schemas.openxmlformats.org/spreadsheetml/2006/main" count="825" uniqueCount="634">
  <si>
    <t xml:space="preserve">SCENARIO SWITCH ▼ (Bull / Base / Bear) — drives all scenario-linked forecast drivers</t>
  </si>
  <si>
    <t xml:space="preserve">Karman Holdings Inc. (NYSE: KRMN) — 3-Statement Financial Model</t>
  </si>
  <si>
    <t xml:space="preserve">Base</t>
  </si>
  <si>
    <t xml:space="preserve">US GAAP as reported · USD millions (per-share data in USD) · Source: Karman Forms 10-K / 10-Q, IPO prospectus (Form 424B4, 13-Feb-2025) and Form 8-K earnings releases (Ex. 99.1), SEC EDGAR CIK 0002040127 (investor-relations releases at investors.karman-sd.com are the same documents as filed on EDGAR)</t>
  </si>
  <si>
    <t xml:space="preserve">Basis notes: calendar fiscal year. IPO 14-Feb-2025 with Corporate Conversion (TCFIII Spaceco Holdings LLC → Karman Holdings Inc.) — pre-IPO per-unit data (159–167m units) not comparable with ~132m post-IPO shares. One reportable segment; revenue by end market (2024 quarters on the 2025 recast basis; Maritime Defense Systems disclosed from Q1-26). Quarterly data from Q1/24 (first quarters reported, as comparatives in the 2025 10-Qs); FY2022–23 annual only. Acquisitions: RMS (Feb-24), MTI (Apr-25), ISP (May-25), Five Axis (Oct-25), Seemann Composites &amp; Materials Sciences (Q1-26), Walker Precision Engineering (28-Aug-26, after the FY26 outlook). Q3/26E–Q4/26E = FY26 revenue / Adj. EBITDA outlook less 1H/26 actuals.</t>
  </si>
  <si>
    <t xml:space="preserve">Forecast</t>
  </si>
  <si>
    <t xml:space="preserve">Historical</t>
  </si>
  <si>
    <t xml:space="preserve">(USDm)</t>
  </si>
  <si>
    <t xml:space="preserve">Q1/24</t>
  </si>
  <si>
    <t xml:space="preserve">Q2/24</t>
  </si>
  <si>
    <t xml:space="preserve">1H/24</t>
  </si>
  <si>
    <t xml:space="preserve">Q3/24</t>
  </si>
  <si>
    <t xml:space="preserve">Q4/24</t>
  </si>
  <si>
    <t xml:space="preserve">Q1/25</t>
  </si>
  <si>
    <t xml:space="preserve">Q2/25</t>
  </si>
  <si>
    <t xml:space="preserve">1H/25</t>
  </si>
  <si>
    <t xml:space="preserve">Q3/25</t>
  </si>
  <si>
    <t xml:space="preserve">Q4/25</t>
  </si>
  <si>
    <t xml:space="preserve">Q1/26</t>
  </si>
  <si>
    <t xml:space="preserve">Q2/26</t>
  </si>
  <si>
    <t xml:space="preserve">1H/26</t>
  </si>
  <si>
    <t xml:space="preserve">Q3/26E</t>
  </si>
  <si>
    <t xml:space="preserve">Q4/26E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</si>
  <si>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</si>
  <si>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</si>
  <si>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</si>
  <si>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</si>
  <si>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</si>
  <si>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Modelling Notes</t>
  </si>
  <si>
    <t xml:space="preserve">5Y CAGR</t>
  </si>
  <si>
    <t xml:space="preserve">3Y CAGR</t>
  </si>
  <si>
    <t xml:space="preserve">25-'30</t>
  </si>
  <si>
    <t xml:space="preserve">22-'25</t>
  </si>
  <si>
    <t xml:space="preserve">END-MARKET REVENUE BUILD — one reportable segment (revenue disaggregated by end market; no segment profit is disclosed)</t>
  </si>
  <si>
    <t xml:space="preserve">END-MARKET BUILD — Karman reports a single operating / reportable segment (ASC 280; CODM = CEO). Revenue is disaggregated by end market in every release; profitability is managed and guided at the consolidated level (Adj. EBITDA), so margins are modelled at group level below.</t>
  </si>
  <si>
    <t xml:space="preserve">SCENARIO INPUT TABLE — driver assumptions per Bull / Base / Bear</t>
  </si>
  <si>
    <t xml:space="preserve">Bull</t>
  </si>
  <si>
    <t xml:space="preserve">Bear</t>
  </si>
  <si>
    <t xml:space="preserve">Bull / Bear = Base + Δ (Δ inputs on each block header). Outlook block = high / mid / low end of FY26 ranges.</t>
  </si>
  <si>
    <t xml:space="preserve">Hypersonics &amp; Strategic Missile Defense (interceptors — THAAD, SM-3, GMD/NGI; hypersonic test &amp; strategic deterrent programs)</t>
  </si>
  <si>
    <t xml:space="preserve">HYPERSONICS &amp; STRATEGIC MISSILE DEFENSE — modelling logic</t>
  </si>
  <si>
    <t xml:space="preserve">  Revenue</t>
  </si>
  <si>
    <t xml:space="preserve">Q3/26E–Q4/26E: end-market share of 1H/26 revenue × the outlook-implied 2H/26 quarterly revenue (group block). 2027E–2030E: prior year × (1 + scenario growth lever).</t>
  </si>
  <si>
    <t xml:space="preserve">FY26 outlook — Q2-26 release (6-Aug-26)</t>
  </si>
  <si>
    <t xml:space="preserve">High</t>
  </si>
  <si>
    <t xml:space="preserve">Mid</t>
  </si>
  <si>
    <t xml:space="preserve">Low</t>
  </si>
  <si>
    <t xml:space="preserve">  Revenue y/y %</t>
  </si>
  <si>
    <t xml:space="preserve">2027E–2030E: scenario lever (HSMD_growth, Bull / Base / Bear table →). Q1-26 onward includes acquisitions (no end-market organic split disclosed).</t>
  </si>
  <si>
    <t xml:space="preserve">  FY26 revenue ($m)</t>
  </si>
  <si>
    <t xml:space="preserve">Raised from $720–735m (Q1-26) and $715–730m (FY25 release); excludes acquisitions after 6-Aug-26 (Walker).</t>
  </si>
  <si>
    <t xml:space="preserve">  Mix — % of total revenue</t>
  </si>
  <si>
    <t xml:space="preserve">  FY26 Adjusted EBITDA ($m)</t>
  </si>
  <si>
    <t xml:space="preserve">Raised from $208.5–219.5m (Q1-26) and $207–218m (FY25 release).</t>
  </si>
  <si>
    <t xml:space="preserve">Space &amp; Launch (payload fairings / separation systems, interstage &amp; propulsion components for legacy and new-space launch providers)</t>
  </si>
  <si>
    <t xml:space="preserve">SPACE &amp; LAUNCH — modelling logic</t>
  </si>
  <si>
    <t xml:space="preserve">FY26 point estimates (all cases)</t>
  </si>
  <si>
    <t xml:space="preserve">Not guided — analyst estimates.</t>
  </si>
  <si>
    <t xml:space="preserve">  Tax rate (GAAP), 2H/26E</t>
  </si>
  <si>
    <t xml:space="preserve">1H/26 ETR 21.8%; Q2-26 27.2% (§162(m)).</t>
  </si>
  <si>
    <t xml:space="preserve">2027E–2030E: scenario lever (SL_growth, Bull / Base / Bear table →). Q1-26 onward includes acquisitions (no end-market organic split disclosed).</t>
  </si>
  <si>
    <t xml:space="preserve">  Capital expenditures ($m)</t>
  </si>
  <si>
    <t xml:space="preserve">Investor Update 16-Sep-26: ~$35–38m 2026 capital investments.</t>
  </si>
  <si>
    <t xml:space="preserve">  Share-based compensation per quarter, 2H/26E ($m)</t>
  </si>
  <si>
    <t xml:space="preserve">Q2-26 RSU / PSU expense $1.4m.</t>
  </si>
  <si>
    <t xml:space="preserve">  Transaction + integration costs, 2H/26E total ($m)</t>
  </si>
  <si>
    <t xml:space="preserve">Walker deal / integration; 1H/26 $7.0m.</t>
  </si>
  <si>
    <t xml:space="preserve">Tactical Missiles &amp; Integrated Defense Systems (tactical SRMs, PrSM / GMLRS content, UAS / counter-UAS launchers; “Missile &amp; Integrated Defense Systems” in the S-1)</t>
  </si>
  <si>
    <t xml:space="preserve">TACTICAL MISSILES &amp; INTEGRATED DEFENSE SYSTEMS — modelling logic</t>
  </si>
  <si>
    <t xml:space="preserve">HSMD_growth (Hypersonics &amp; Strategic Missile Defense revenue y/y)</t>
  </si>
  <si>
    <t xml:space="preserve">Δ →</t>
  </si>
  <si>
    <t xml:space="preserve">Interceptor ramps (THAAD, SM-3, PAC-3 MSE content; $90bn+ prime awards), NGI and hypersonic test programs; FY25 +30.9%, 1H/26 +21.7%.</t>
  </si>
  <si>
    <t xml:space="preserve">2027E–2030E: scenario lever (TMIDS_growth, Bull / Base / Bear table →). Q1-26 onward includes acquisitions (no end-market organic split disclosed).</t>
  </si>
  <si>
    <t xml:space="preserve">  2027E</t>
  </si>
  <si>
    <t xml:space="preserve">  2028E</t>
  </si>
  <si>
    <t xml:space="preserve">  Memo: as originally reported in the IPO prospectus (9M/24 basis before the 2025 recast)</t>
  </si>
  <si>
    <t xml:space="preserve">The 2025 recast moved c.$7m of 9M/24 revenue from Space &amp; Launch into Hypersonics; FY2022–23 were not restated.</t>
  </si>
  <si>
    <t xml:space="preserve">  2029E</t>
  </si>
  <si>
    <t xml:space="preserve">  2030E</t>
  </si>
  <si>
    <t xml:space="preserve">Maritime Defense Systems (Columbia / Virginia-class submarine content — Seemann Composites &amp; Materials Sciences, acquired Q1-26; separately disclosed from Q1-26)</t>
  </si>
  <si>
    <t xml:space="preserve">MARITIME DEFENSE SYSTEMS — modelling logic</t>
  </si>
  <si>
    <t xml:space="preserve">SL_growth (Space &amp; Launch revenue y/y)</t>
  </si>
  <si>
    <t xml:space="preserve">Legacy + emerging launch providers; new multi-year LTA (Q2-26) vs launch-schedule timing; FY25 +30.2%, 1H/26 +17.0%.</t>
  </si>
  <si>
    <t xml:space="preserve">2027E–2030E: scenario lever (MDS_growth, Bull / Base / Bear table →). Q1-26 onward includes acquisitions (no end-market organic split disclosed).</t>
  </si>
  <si>
    <t xml:space="preserve">Acquisitions after the FY26 outlook &amp; future acquisitions (M&amp;A lever — Walker Precision Engineering closed 28-Aug-26; scenario spend 2027E+)</t>
  </si>
  <si>
    <t xml:space="preserve">M&amp;A LEVER — Walker (closed 28-Aug-26, ~$95m / £70m cash, funded by a $100m term-loan add-on) is excluded from the FY26 outlook (“excluding the impact of any future acquisitions”). Acquired sales = spend ÷ EV/sales; mid-year convention 2027E+.</t>
  </si>
  <si>
    <t xml:space="preserve">  Acquisition spend (USDm; 2026E = Walker, scenario 2027E+)</t>
  </si>
  <si>
    <t xml:space="preserve">2026E: Walker ~$95m (8-K 28-Aug-26). 2027E+: scenario lever (M&amp;A_spend). Since IPO Karman has closed ~2.5 deals p.a. at ~10x EBITDA (Investor Update 16-Sep-26).</t>
  </si>
  <si>
    <t xml:space="preserve">  Purchase multiple — EV / sales (x)</t>
  </si>
  <si>
    <t xml:space="preserve">~10x EBITDA × ~27% acquired EBITDA margin ≈ 2.6–2.8x sales (Investor Update 16-Sep-26: average ~10x, ~27% margin).</t>
  </si>
  <si>
    <t xml:space="preserve">TMIDS_growth (Tactical Missiles &amp; Integrated Defense Systems revenue y/y)</t>
  </si>
  <si>
    <t xml:space="preserve">UAS / C-UAS, tactical SRMs (ISP), PrSM / GMLRS munitions replenishment, European footprint; FY25 +48.5%, 1H/26 +41.1% (incl. acquisitions).</t>
  </si>
  <si>
    <t xml:space="preserve">  Annualised sales acquired in the year</t>
  </si>
  <si>
    <t xml:space="preserve">  Growth of acquired businesses after acquisition %</t>
  </si>
  <si>
    <t xml:space="preserve">Acquired businesses grew ~25% under Karman ownership (Investor Update); 12% assumed post-integration.</t>
  </si>
  <si>
    <t xml:space="preserve">  Run-rate sales of businesses acquired (year end)</t>
  </si>
  <si>
    <t xml:space="preserve">  Net sales from post-outlook / future acquisitions</t>
  </si>
  <si>
    <t xml:space="preserve">Q3/26E: ~1 month of Walker (~$36m annual run-rate est. = $95m ÷ 2.6x); Q4/26E full quarter. 2027E+: opening run-rate × (1+g) + ½ of sales acquired in the year.</t>
  </si>
  <si>
    <t xml:space="preserve">  Adjusted EBITDA margin of acquired businesses %</t>
  </si>
  <si>
    <t xml:space="preserve">  Adjusted EBITDA from post-outlook / future acquisitions</t>
  </si>
  <si>
    <t xml:space="preserve">MDS_growth (Maritime Defense Systems revenue y/y)</t>
  </si>
  <si>
    <t xml:space="preserve">Columbia / Virginia-class submarine build-rate ramp ($76bn+ awards); disclosed from Q1-26 (Seemann / MSC).</t>
  </si>
  <si>
    <t xml:space="preserve">  Acquired intangibles % of spend</t>
  </si>
  <si>
    <t xml:space="preserve">Karman acquisitions 2024–26: identified intangibles ≈ 30–55% of consideration (customer relationships, backlog, know-how).</t>
  </si>
  <si>
    <t xml:space="preserve">  Amortization life (years)</t>
  </si>
  <si>
    <t xml:space="preserve">  Cumulative acquired intangibles (gross)</t>
  </si>
  <si>
    <t xml:space="preserve">  Amortization of post-outlook / future-acquisition intangibles</t>
  </si>
  <si>
    <t xml:space="preserve">  Adjusted EBITA from post-outlook / future acquisitions</t>
  </si>
  <si>
    <t xml:space="preserve">  Incremental acquisition sales (first 12 months of ownership)</t>
  </si>
  <si>
    <t xml:space="preserve">ADJ_EBITDA_margin (Adjusted EBITDA margin, outlook / organic basis)</t>
  </si>
  <si>
    <t xml:space="preserve">FY25 30.8%; FY26 outlook mid 29.7%; IPO target ~30%+; operating leverage vs capacity-ramp costs.</t>
  </si>
  <si>
    <t xml:space="preserve">Group Total — Adjusted EBITDA (Karman's primary profit measure and guidance metric)</t>
  </si>
  <si>
    <t xml:space="preserve">GROUP TOTAL — Q3/26E–Q4/26E are calibrated to the FY26 outlook (scenario end-point: High / Mid / Low) less 1H/26 actuals; 2H split by the prior-year Q3:Q4 revenue pattern. 2027E+: end-market revenue × Adj. EBITDA margin lever + M&amp;A lever.</t>
  </si>
  <si>
    <t xml:space="preserve">  Net sales — end-market build (outlook basis)</t>
  </si>
  <si>
    <t xml:space="preserve">  Net sales (end-market build + post-outlook / future acquisitions)</t>
  </si>
  <si>
    <t xml:space="preserve">  Net sales y/y %</t>
  </si>
  <si>
    <t xml:space="preserve">  Adjusted EBITDA — outlook basis</t>
  </si>
  <si>
    <t xml:space="preserve">Historical = company-published Adj. EBITDA. 2H/26E = FY26 Adj. EBITDA outlook − 1H/26 actual, split pro rata to quarterly revenue.</t>
  </si>
  <si>
    <t xml:space="preserve">M&amp;A_spend (acquisition spend, $m)</t>
  </si>
  <si>
    <t xml:space="preserve">Since IPO: ~2.5 deals p.a., $5–15m EBITDA each at ~10x (~$300m in 2026). Funded by revolver / term-loan add-ons.</t>
  </si>
  <si>
    <t xml:space="preserve">  Adjusted EBITDA margin — outlook basis %</t>
  </si>
  <si>
    <t xml:space="preserve">2027E–2030E: scenario lever (ADJ_EBITDA_margin). FY25 30.8%; 1H/26 29.8%; FY26 outlook mid-point 29.7% (incl. Seemann / MSC dilution).</t>
  </si>
  <si>
    <t xml:space="preserve">  Adjusted EBITDA — post-outlook / future acquisitions</t>
  </si>
  <si>
    <t xml:space="preserve">  Adjusted EBITDA (group build)</t>
  </si>
  <si>
    <t xml:space="preserve">  Adjusted EBITDA margin %</t>
  </si>
  <si>
    <t xml:space="preserve">  Adjusted EBITDA y/y %</t>
  </si>
  <si>
    <t xml:space="preserve">  Incremental Adj. EBITDA margin (ΔAdj. EBITDA / ΔSales)</t>
  </si>
  <si>
    <t xml:space="preserve">Buybacks ($m)</t>
  </si>
  <si>
    <t xml:space="preserve">No repurchase authorisation; capital priority is organic capacity and M&amp;A.</t>
  </si>
  <si>
    <t xml:space="preserve">  (−) Share-based compensation (excluded from Adj. EBITDA)</t>
  </si>
  <si>
    <t xml:space="preserve">Pre-IPO P / Phantom Units (fully vested at IPO — $8.1m in Q1-25); RSU / PSU expense from Q2-26. 2H/26E per quarter from the point-estimate table; 2027E+ % of sales.</t>
  </si>
  <si>
    <t xml:space="preserve">  (−) Transaction-related expenses</t>
  </si>
  <si>
    <t xml:space="preserve">  (−) Integration expenses and non-recurring restructuring costs</t>
  </si>
  <si>
    <t xml:space="preserve">  (−) Lender and administrative agent fees</t>
  </si>
  <si>
    <t xml:space="preserve">Q3/26E: Fifth / Sixth credit-agreement amendments (repricing 3-Aug-26; $100m incremental 26-Aug-26).</t>
  </si>
  <si>
    <t xml:space="preserve">  (−) Other non-recurring costs (included in Adj. EBITDA bridge)</t>
  </si>
  <si>
    <t xml:space="preserve">  EBITDA (company definition: NI + tax + D&amp;A + interest)</t>
  </si>
  <si>
    <t xml:space="preserve">Min. net debt / adj. EBITDA (x) — buyback plug</t>
  </si>
  <si>
    <t xml:space="preserve">Surplus cash below this leverage floor goes to buybacks (Model leverage-targeted buyback rows).</t>
  </si>
  <si>
    <t xml:space="preserve">  (−) Depreciation of PP&amp;E (total D&amp;A − ROU − acquired-intangible amortization)</t>
  </si>
  <si>
    <t xml:space="preserve">Q3/Q4-26E: Q2/26 run-rate +4% q/q (capacity additions — capex ~$35–38m in 2026 per the Investor Update); 2027E+ % of sales.</t>
  </si>
  <si>
    <t xml:space="preserve">  (−) Amortization of finance-lease right-of-use assets</t>
  </si>
  <si>
    <t xml:space="preserve">  (−) Amortization of acquired intangible assets</t>
  </si>
  <si>
    <t xml:space="preserve">Existing intangibles: FY2025 10-K schedule ($29.3m 2026E) + Seemann / MSC (Q2-26 run-rate $9.2m / qtr) — see schedule row; plus post-outlook / future acquisitions.</t>
  </si>
  <si>
    <t xml:space="preserve">  Total depreciation &amp; amortization</t>
  </si>
  <si>
    <t xml:space="preserve">  (−) Other income (expense) — inside company EBITDA</t>
  </si>
  <si>
    <t xml:space="preserve">  Operating income (GAAP; EBITDA − D&amp;A − other income)</t>
  </si>
  <si>
    <t xml:space="preserve">  Adjusted EBITA (model: Adj. EBITDA − depreciation − ROU amortization − other income)</t>
  </si>
  <si>
    <t xml:space="preserve">Model measure analogous to TDY non-GAAP operating income: operating income before acquired-intangible amortization and the company’s Adj. EBITDA add-backs (incl. SBC).</t>
  </si>
  <si>
    <t xml:space="preserve">  Adjusted EBITA margin %</t>
  </si>
  <si>
    <t xml:space="preserve">  Incremental sales from acquisitions (disclosed / derived)</t>
  </si>
  <si>
    <t xml:space="preserve">Q3/26E: Five Axis, Seemann / MSC (not in the Q3/25 base) ≈ Q2/26 level; Q4/26E lower as Five Axis (closed 28-Oct-25) laps. Excludes Walker (in M&amp;A lever). 2027E+: M&amp;A lever first-12-month sales.</t>
  </si>
  <si>
    <t xml:space="preserve">  Backlog (period end; “funded backlog” to Q3-25 — same definition)</t>
  </si>
  <si>
    <t xml:space="preserve">  Implied book-to-bill ((revenue + Δ backlog) / revenue; incl. acquired backlog)</t>
  </si>
  <si>
    <t xml:space="preserve">Q2/26 includes ~$345m of acquired backlog (Seemann / MSC); Investor Update: ~1.6x organic book-to-bill over the last 18 months.</t>
  </si>
  <si>
    <t xml:space="preserve">  Memo: FY26 outlook (scenario end-point; Q2-26 release 6-Aug-26 — revenue / Adj. EBITDA)</t>
  </si>
  <si>
    <t xml:space="preserve">    FY26 revenue outlook ($m)</t>
  </si>
  <si>
    <t xml:space="preserve">    FY26 Adjusted EBITDA outlook ($m)</t>
  </si>
  <si>
    <t xml:space="preserve">  Check: end-market build vs consolidated revenue (should be 0)</t>
  </si>
  <si>
    <t xml:space="preserve">  Check: group Adj. EBITDA vs company-definition bridge (should be 0)</t>
  </si>
  <si>
    <t xml:space="preserve">  Check: group operating income vs income statement (should be 0)</t>
  </si>
  <si>
    <t xml:space="preserve">Cost drivers (% of sales)</t>
  </si>
  <si>
    <t xml:space="preserve">% OF SALES drivers — inputs that drive the forecast cost lines (blue = input).</t>
  </si>
  <si>
    <t xml:space="preserve">  Cost of goods sold % of revenue</t>
  </si>
  <si>
    <t xml:space="preserve">COGS includes allocated depreciation (~$3m / qtr). Q3/Q4-26E at the 1H/26 ratio; 2027E+ input (FY25 59.7%, 1H/26 57.4%).</t>
  </si>
  <si>
    <t xml:space="preserve">  D&amp;A allocated to cost of goods sold % of revenue</t>
  </si>
  <si>
    <t xml:space="preserve">  Depreciation of PP&amp;E % of revenue</t>
  </si>
  <si>
    <t xml:space="preserve">Rising with the 2026 capacity build (capex 5%+ of sales vs depreciation ~2%).</t>
  </si>
  <si>
    <t xml:space="preserve">  Finance-lease ROU amortization growth %</t>
  </si>
  <si>
    <t xml:space="preserve">  Share-based compensation % of revenue</t>
  </si>
  <si>
    <t xml:space="preserve">Q2/26 RSU / PSU run-rate 0.8% of sales.</t>
  </si>
  <si>
    <t xml:space="preserve">  Transaction-related expenses % of acquisition spend</t>
  </si>
  <si>
    <t xml:space="preserve">  G&amp;A % of revenue (incl. adjusting items &amp; SBC)</t>
  </si>
  <si>
    <t xml:space="preserve">CONSOLIDATED INCOME STATEMENT (US GAAP)</t>
  </si>
  <si>
    <t xml:space="preserve">CONSOLIDATED IS — forecast logic</t>
  </si>
  <si>
    <t xml:space="preserve">Revenue</t>
  </si>
  <si>
    <t xml:space="preserve">Forecast linked to the end-market build.</t>
  </si>
  <si>
    <t xml:space="preserve">Cost of goods sold (incl. allocated D&amp;A)</t>
  </si>
  <si>
    <t xml:space="preserve">Gross profit</t>
  </si>
  <si>
    <t xml:space="preserve">General and administrative expenses (incl. transaction, integration, SBC)</t>
  </si>
  <si>
    <t xml:space="preserve">Forecast G&amp;A is the balancing line so that operating income equals the group build (Adj. EBITDA − add-backs − D&amp;A − other income).</t>
  </si>
  <si>
    <t xml:space="preserve">Depreciation and amortization expense (opex line; excl. D&amp;A in COGS)</t>
  </si>
  <si>
    <t xml:space="preserve">Net operating income</t>
  </si>
  <si>
    <t xml:space="preserve">Interest expense, net (incl. finance-lease interest &amp; debt-cost amortization)</t>
  </si>
  <si>
    <t xml:space="preserve">Q3/26E: term loan $764m (30-Jun) + $100m add-on from 26-Aug; SOFR + 2.75% to 3-Aug, SOFR + 2.25% after (Fifth Amendment). 2027E+: rate × average principal + finance-lease rate × opening lease liability + revolver − interest income on opening cash.</t>
  </si>
  <si>
    <t xml:space="preserve">Other income (expense), net</t>
  </si>
  <si>
    <t xml:space="preserve">Income before provision for income taxes</t>
  </si>
  <si>
    <t xml:space="preserve">Provision for income taxes</t>
  </si>
  <si>
    <t xml:space="preserve">Q3/Q4-26E at the point-estimate rate (1H/26 ETR 21.8%; Q2-26 27.2% incl. §162(m)); 2027E+ input.</t>
  </si>
  <si>
    <t xml:space="preserve">  Effective tax rate</t>
  </si>
  <si>
    <t xml:space="preserve">Net income</t>
  </si>
  <si>
    <t xml:space="preserve">  Check: net income vs reported (should be 0)</t>
  </si>
  <si>
    <t xml:space="preserve">  Memo: net income as reported</t>
  </si>
  <si>
    <t xml:space="preserve">  Memo: depreciation and amortization (total; Adj. EBITDA reconciliation)</t>
  </si>
  <si>
    <t xml:space="preserve">  Memo: D&amp;A allocated to cost of goods sold</t>
  </si>
  <si>
    <t xml:space="preserve">(Earnings per share — per unit before the Feb-2025 IPO)</t>
  </si>
  <si>
    <t xml:space="preserve">  Weighted-average basic shares / units (m)</t>
  </si>
  <si>
    <t xml:space="preserve">Pre-IPO: LLC common units (159–167m). Corporate Conversion at the IPO (14-Feb-25) → 132.3m shares. 2027E+: average of opening / closing shares (buyback schedule).</t>
  </si>
  <si>
    <t xml:space="preserve">  Weighted-average diluted shares / units (m)</t>
  </si>
  <si>
    <t xml:space="preserve">EPS – basic ($)</t>
  </si>
  <si>
    <t xml:space="preserve">EPS – diluted ($)</t>
  </si>
  <si>
    <t xml:space="preserve">EPS computed as NI / weighted diluted shares (units pre-IPO).</t>
  </si>
  <si>
    <t xml:space="preserve">  Memo: EPS – diluted as reported ($)</t>
  </si>
  <si>
    <t xml:space="preserve">RECONCILIATION: GAAP OPERATING INCOME → ADJUSTED EBITA (model) → ADJUSTED EBITDA (company)</t>
  </si>
  <si>
    <t xml:space="preserve">ADJUSTED EBITA BRIDGE — Karman does not publish an adjusted operating income. The model measure adds back acquired-intangible amortization plus the company’s Adj. EBITDA adjusting items; adding depreciation, ROU amortization and other income must land on company-published Adj. EBITDA (check row).</t>
  </si>
  <si>
    <t xml:space="preserve">Operating income (GAAP)</t>
  </si>
  <si>
    <t xml:space="preserve">  (+) Amortization of acquired intangible assets</t>
  </si>
  <si>
    <t xml:space="preserve">  (+) Transaction-related expenses</t>
  </si>
  <si>
    <t xml:space="preserve">  (+) Integration expenses and non-recurring restructuring costs</t>
  </si>
  <si>
    <t xml:space="preserve">  (+) Lender and administrative agent fees</t>
  </si>
  <si>
    <t xml:space="preserve">  (+) Share-based compensation</t>
  </si>
  <si>
    <t xml:space="preserve">  (+) Other non-recurring costs (impairment, legal settlements)</t>
  </si>
  <si>
    <t xml:space="preserve">  Total adjusting items</t>
  </si>
  <si>
    <t xml:space="preserve">  = Adjusted EBITA (model bridge)</t>
  </si>
  <si>
    <t xml:space="preserve">  (+) Depreciation of PP&amp;E and finance-lease ROU amortization</t>
  </si>
  <si>
    <t xml:space="preserve">  (+) Other income (expense), net (inside company EBITDA)</t>
  </si>
  <si>
    <t xml:space="preserve">  = Adjusted EBITDA (via EBITA bridge)</t>
  </si>
  <si>
    <t xml:space="preserve">  Company-published Adjusted EBITDA</t>
  </si>
  <si>
    <t xml:space="preserve">  Check: EBITA bridge vs company-published Adj. EBITDA (should be 0)</t>
  </si>
  <si>
    <t xml:space="preserve">  Check: EBITA bridge vs group build Adj. EBITA (should be 0)</t>
  </si>
  <si>
    <t xml:space="preserve">RECONCILIATION: GAAP NET INCOME → EBITDA → ADJUSTED EBITDA (company definition, as published)</t>
  </si>
  <si>
    <t xml:space="preserve">ADJ. EBITDA BRIDGE — line items and order exactly as in Karman’s releases. EBITDA = NI + income-tax provision + D&amp;A + interest expense, net (other income stays inside EBITDA).</t>
  </si>
  <si>
    <t xml:space="preserve">Net income (GAAP)</t>
  </si>
  <si>
    <t xml:space="preserve">  (+) Income tax provision (benefit)</t>
  </si>
  <si>
    <t xml:space="preserve">  (+) Depreciation and amortization</t>
  </si>
  <si>
    <t xml:space="preserve">  (+) Interest expense, net</t>
  </si>
  <si>
    <t xml:space="preserve">  = EBITDA</t>
  </si>
  <si>
    <t xml:space="preserve">  Company-published EBITDA</t>
  </si>
  <si>
    <t xml:space="preserve">  Check: model EBITDA vs company-published (should be 0)</t>
  </si>
  <si>
    <t xml:space="preserve">  (+) Other non-recurring costs</t>
  </si>
  <si>
    <t xml:space="preserve">  = Adjusted EBITDA (model bridge)</t>
  </si>
  <si>
    <t xml:space="preserve">  Check: model bridge vs company-published Adj. EBITDA (should be 0)</t>
  </si>
  <si>
    <t xml:space="preserve">  Definition basis: unchanged since the S-1 (Jan-2025) — EBITDA plus SBC, transaction / acquisition costs, integration &amp; restructuring, lender fees on discrete amendments, impairments &amp; other non-recurring items</t>
  </si>
  <si>
    <t xml:space="preserve">Definition changes flagged here: “Acquisition related expenses” renamed “Transaction-related expenses” (Q1-25) and widened to IPO / secondary-offering professional fees; no other changes.</t>
  </si>
  <si>
    <t xml:space="preserve">To Adjusted EBITA:</t>
  </si>
  <si>
    <t xml:space="preserve">  (−) Depreciation and amortization</t>
  </si>
  <si>
    <t xml:space="preserve">  (−) Other income (expense), net</t>
  </si>
  <si>
    <t xml:space="preserve">  = Adjusted EBITA (model; via Adj. EBITDA)</t>
  </si>
  <si>
    <t xml:space="preserve">  Check: Adj. EBITA via Adj. EBITDA − EBITA bridge (should be 0)</t>
  </si>
  <si>
    <t xml:space="preserve">RECONCILIATION: GAAP NET INCOME → ADJUSTED NET INCOME → ADJUSTED EPS (company definition — adjustments are NOT tax-effected)</t>
  </si>
  <si>
    <t xml:space="preserve">ADJ. EPS BRIDGE — Karman reconciles per share: GAAP EPS + transaction, integration, lender fees, SBC and “other non-recurring costs” (which in EPS also include items outside EBITDA: the $2.5m Q2-25 debt-cost write-off in interest expense and discrete tax items). No tax effect is deducted. Rebuilt here in $ and divided by diluted shares.</t>
  </si>
  <si>
    <t xml:space="preserve">  (+) Other non-recurring costs (EBITDA items)</t>
  </si>
  <si>
    <t xml:space="preserve">  (+) Write-off of unamortized debt issuance costs (in interest expense)</t>
  </si>
  <si>
    <t xml:space="preserve">  (+) Discrete / non-recurring tax items (entity-status change, tax-refund write-off)</t>
  </si>
  <si>
    <t xml:space="preserve">  (+/−) Per-share rounding &amp; items disclosed only per share (published Adj. EPS × diluted shares − Σ above)</t>
  </si>
  <si>
    <t xml:space="preserve">Company reconciles in per-share amounts rounded to $0.01 (±$0.005 × ~132m shares ≈ ±$0.7m per period). Forecast = 0.</t>
  </si>
  <si>
    <t xml:space="preserve">  = Adjusted net income (model bridge; company definition)</t>
  </si>
  <si>
    <t xml:space="preserve">Adjusted EPS – diluted ($) (model bridge)</t>
  </si>
  <si>
    <t xml:space="preserve">  Company-published Adjusted EPS ($)</t>
  </si>
  <si>
    <t xml:space="preserve">  Check: model bridge vs company-published Adj. EPS (should be 0)</t>
  </si>
  <si>
    <t xml:space="preserve">  Definition basis: Adjusted EPS first published Q1-25 (2024 comparatives per unit); adjustments pre-tax; no amortization add-back</t>
  </si>
  <si>
    <t xml:space="preserve">Memo — model measure (tax-effected, excl. acquired-intangible amortization; comparable to peers’ “cash EPS”):</t>
  </si>
  <si>
    <t xml:space="preserve">  Tax rate applied to adjustments (model)</t>
  </si>
  <si>
    <t xml:space="preserve">Blended federal + state rate assumed on add-backs (historical 25%); forecast = model ETR.</t>
  </si>
  <si>
    <t xml:space="preserve">  Adjusted net income ex-amortization, tax-effected (model)</t>
  </si>
  <si>
    <t xml:space="preserve">  Adjusted EPS ex-amortization, tax-effected — diluted ($) (model)</t>
  </si>
  <si>
    <t xml:space="preserve">GROWTH &amp; MARGINS</t>
  </si>
  <si>
    <t xml:space="preserve">GROWTH &amp; MARGINS (consolidated) — forecast outputs</t>
  </si>
  <si>
    <t xml:space="preserve">  Revenue — organic y/y %</t>
  </si>
  <si>
    <t xml:space="preserve">Organic = total growth less disclosed / derived incremental acquisition sales (available FY24, Q2/26 and forecast). Company: organic growth 25%+ in 2025A and 2026E; 24.4% in Q2-26.</t>
  </si>
  <si>
    <t xml:space="preserve">  Revenue — acquisition y/y %</t>
  </si>
  <si>
    <t xml:space="preserve">  Adjusted EBITA y/y %</t>
  </si>
  <si>
    <t xml:space="preserve">  Operating income (GAAP) y/y %</t>
  </si>
  <si>
    <t xml:space="preserve">  Net income y/y %</t>
  </si>
  <si>
    <t xml:space="preserve">  Adjusted EPS (company definition) y/y %</t>
  </si>
  <si>
    <t xml:space="preserve">Not meaningful before 2026 (per-unit pre-IPO vs post-IPO shares).</t>
  </si>
  <si>
    <t xml:space="preserve">  Gross margin %</t>
  </si>
  <si>
    <t xml:space="preserve">  Adjusted EBITA margin (model) %</t>
  </si>
  <si>
    <t xml:space="preserve">  Operating margin (GAAP) %</t>
  </si>
  <si>
    <t xml:space="preserve">  Net margin %</t>
  </si>
  <si>
    <t xml:space="preserve">  G&amp;A % of revenue</t>
  </si>
  <si>
    <t xml:space="preserve">CONSOLIDATED CASH FLOW STATEMENT</t>
  </si>
  <si>
    <t xml:space="preserve">CONSOLIDATED CASH FLOW — historical quarters derived from YTD filings (Q2 = 6M − 3M, Q4 = FY − 9M). Forecast annual 2026E–2030E linked to the IS / BS roll-forward.</t>
  </si>
  <si>
    <t xml:space="preserve">Adjustments:</t>
  </si>
  <si>
    <t xml:space="preserve">  Depreciation and amortization</t>
  </si>
  <si>
    <t xml:space="preserve">  Share-based / unit-based compensation</t>
  </si>
  <si>
    <t xml:space="preserve">  Amortization (and write-off) of debt issuance costs</t>
  </si>
  <si>
    <t xml:space="preserve">  Deferred income taxes</t>
  </si>
  <si>
    <t xml:space="preserve">Deferred tax benefit from book amortization of acquired intangibles (stock acquisitions; no tax step-up) ≈ 15% of amortization.</t>
  </si>
  <si>
    <t xml:space="preserve">  Changes in operating assets &amp; liabilities (incl. other non-cash items)</t>
  </si>
  <si>
    <t xml:space="preserve">Historical = CFO less the items above (residual). Forecast linked to the BS: −Δ(receivables, contract assets, inventory) + Δ(payables, accrued payroll, contract liabilities). Contract-asset build is the main driver.</t>
  </si>
  <si>
    <t xml:space="preserve">Net cash provided by (used in) operating activities</t>
  </si>
  <si>
    <t xml:space="preserve">Purchases of property, plant and equipment</t>
  </si>
  <si>
    <t xml:space="preserve">2026E: ~$35–38m capital investment plan (Investor Update 16-Sep-26; 1H/26 actual $21.9m). 2027E+: % of sales.</t>
  </si>
  <si>
    <t xml:space="preserve">Acquisitions, net of cash acquired</t>
  </si>
  <si>
    <t xml:space="preserve">2026E = 1H/26 actual (Seemann / MSC $210.0m) + Walker; 2027E+ = M&amp;A lever spend.</t>
  </si>
  <si>
    <t xml:space="preserve">Other investing activities, net</t>
  </si>
  <si>
    <t xml:space="preserve">Net cash used in investing activities</t>
  </si>
  <si>
    <t xml:space="preserve">Proceeds from term loans / revolver borrowings</t>
  </si>
  <si>
    <t xml:space="preserve">Repayments of notes payable / revolver</t>
  </si>
  <si>
    <t xml:space="preserve">Finance-lease principal payments</t>
  </si>
  <si>
    <t xml:space="preserve">Payments of debt issuance costs</t>
  </si>
  <si>
    <t xml:space="preserve">Proceeds from IPO / equity issuance, net</t>
  </si>
  <si>
    <t xml:space="preserve">Share repurchases (model; none to date)</t>
  </si>
  <si>
    <t xml:space="preserve">Other financing activities, net (member distributions, contingent consideration, taxes on vested awards; pre-2024 note proceeds)</t>
  </si>
  <si>
    <t xml:space="preserve">Net cash provided by (used in) financing activities</t>
  </si>
  <si>
    <t xml:space="preserve">Change in cash and cash equivalents (incl. restricted)</t>
  </si>
  <si>
    <t xml:space="preserve">Cash — beginning</t>
  </si>
  <si>
    <t xml:space="preserve">Cash — end</t>
  </si>
  <si>
    <t xml:space="preserve">  Check: CFO + CFI + CFF = change in cash (should be 0)</t>
  </si>
  <si>
    <t xml:space="preserve">  Check: cash-flow ending cash vs balance-sheet cash (should be 0)</t>
  </si>
  <si>
    <t xml:space="preserve">(Memo)</t>
  </si>
  <si>
    <t xml:space="preserve">Free cash flow (CFO − capex; model definition — Karman does not publish FCF)</t>
  </si>
  <si>
    <t xml:space="preserve">  FCF y/y %</t>
  </si>
  <si>
    <t xml:space="preserve">  FCF % of revenue</t>
  </si>
  <si>
    <t xml:space="preserve">  FCF / Adjusted net income (company definition) conversion %</t>
  </si>
  <si>
    <t xml:space="preserve">  FCF per diluted share ($)</t>
  </si>
  <si>
    <t xml:space="preserve">Capex ratios</t>
  </si>
  <si>
    <t xml:space="preserve">  Capex % of revenue</t>
  </si>
  <si>
    <t xml:space="preserve">Elevated in 2025–26 (new Salt Lake City nozzle / launcher facility, Skagit energetics expansion); fading toward ~3.5% maintenance + growth.</t>
  </si>
  <si>
    <t xml:space="preserve">  Capex / depreciation of PP&amp;E (x)</t>
  </si>
  <si>
    <t xml:space="preserve">SHARE BUYBACK SCHEDULE (no programme authorised to date — leverage-floor plug only)</t>
  </si>
  <si>
    <t xml:space="preserve">  Avg buyback price ($)</t>
  </si>
  <si>
    <t xml:space="preserve">  Buyback cash deployed (USDm)</t>
  </si>
  <si>
    <t xml:space="preserve">  Implied shares repurchased (m)</t>
  </si>
  <si>
    <t xml:space="preserve">  Shares issued under equity plans (m)</t>
  </si>
  <si>
    <t xml:space="preserve">  Beginning shares outstanding (m)</t>
  </si>
  <si>
    <t xml:space="preserve">  Ending shares outstanding (m)</t>
  </si>
  <si>
    <t xml:space="preserve">  % of shares repurchased</t>
  </si>
  <si>
    <t xml:space="preserve">CONSOLIDATED BALANCE SHEET</t>
  </si>
  <si>
    <t xml:space="preserve">BS — historical at each reported quarter-end (1H column = 30-Jun; Q4 = 31-Dec). 30-Sep-24 and 31-Dec-22 from the IPO prospectus; 31-Mar / 30-Jun-24 not published (pre-IPO). Forecast = first-principles roll-forward from 31-Dec-25 (2026E) onward.</t>
  </si>
  <si>
    <t xml:space="preserve">ASSETS</t>
  </si>
  <si>
    <t xml:space="preserve">  Cash and cash equivalents (incl. restricted)</t>
  </si>
  <si>
    <t xml:space="preserve">  Accounts receivable, net</t>
  </si>
  <si>
    <t xml:space="preserve">  Contract assets (unbilled)</t>
  </si>
  <si>
    <t xml:space="preserve">  Inventory</t>
  </si>
  <si>
    <t xml:space="preserve">31-Dec-22 / 30-Sep-24: inventory included within prepaid &amp; other in the prospectus presentation.</t>
  </si>
  <si>
    <t xml:space="preserve">  Prepaid and other current assets</t>
  </si>
  <si>
    <t xml:space="preserve">Total current assets</t>
  </si>
  <si>
    <t xml:space="preserve">  Property, plant and equipment, net</t>
  </si>
  <si>
    <t xml:space="preserve">PP&amp;E roll-forward: prior + capex − depreciation of PP&amp;E.</t>
  </si>
  <si>
    <t xml:space="preserve">  Goodwill</t>
  </si>
  <si>
    <t xml:space="preserve">Goodwill + acquisition consideration not allocated to identified intangibles.</t>
  </si>
  <si>
    <t xml:space="preserve">  Intangible assets, net</t>
  </si>
  <si>
    <t xml:space="preserve">Intangibles roll-forward: prior + acquired intangibles − amortization.</t>
  </si>
  <si>
    <t xml:space="preserve">  Operating lease right-of-use assets</t>
  </si>
  <si>
    <t xml:space="preserve">  Finance lease right-of-use assets</t>
  </si>
  <si>
    <t xml:space="preserve">  Other assets (incl. deferred offering costs, marketable securities)</t>
  </si>
  <si>
    <t xml:space="preserve">TOTAL ASSETS</t>
  </si>
  <si>
    <t xml:space="preserve">LIABILITIES AND STOCKHOLDERS' EQUITY</t>
  </si>
  <si>
    <t xml:space="preserve">  Accounts payable</t>
  </si>
  <si>
    <t xml:space="preserve">  Accrued payroll and related expenses</t>
  </si>
  <si>
    <t xml:space="preserve">  Contract liabilities</t>
  </si>
  <si>
    <t xml:space="preserve">  Current portion of operating lease liabilities</t>
  </si>
  <si>
    <t xml:space="preserve">  Current portion of finance lease liabilities</t>
  </si>
  <si>
    <t xml:space="preserve">  Current portion of term note / notes payable</t>
  </si>
  <si>
    <t xml:space="preserve">  Income taxes payable</t>
  </si>
  <si>
    <t xml:space="preserve">  Other current liabilities</t>
  </si>
  <si>
    <t xml:space="preserve">Total current liabilities</t>
  </si>
  <si>
    <t xml:space="preserve">  Revolving line of credit</t>
  </si>
  <si>
    <t xml:space="preserve">  Term note, net of current portion and issuance costs</t>
  </si>
  <si>
    <t xml:space="preserve">  Operating lease liabilities, net of current</t>
  </si>
  <si>
    <t xml:space="preserve">  Finance lease liabilities, net of current</t>
  </si>
  <si>
    <t xml:space="preserve">  Other liabilities</t>
  </si>
  <si>
    <t xml:space="preserve">  Deferred tax liabilities</t>
  </si>
  <si>
    <t xml:space="preserve">Total liabilities</t>
  </si>
  <si>
    <t xml:space="preserve">Stockholders' / members' equity:</t>
  </si>
  <si>
    <t xml:space="preserve">  Common stock &amp; APIC (members' equity before the IPO)</t>
  </si>
  <si>
    <t xml:space="preserve">Pre-IPO members' equity shown entirely here (retained earnings = 0). 2026E: + SBC + taxes withheld on vested awards (1H actual).</t>
  </si>
  <si>
    <t xml:space="preserve">  Retained earnings</t>
  </si>
  <si>
    <t xml:space="preserve">  Accumulated other comprehensive income</t>
  </si>
  <si>
    <t xml:space="preserve">Total stockholders' equity</t>
  </si>
  <si>
    <t xml:space="preserve">TOTAL LIABILITIES AND STOCKHOLDERS' EQUITY</t>
  </si>
  <si>
    <t xml:space="preserve">BS tie-out check (TA − TL&amp;E)</t>
  </si>
  <si>
    <t xml:space="preserve">  Check: model total assets vs reported (should be 0)</t>
  </si>
  <si>
    <t xml:space="preserve">  Memo: total assets as reported</t>
  </si>
  <si>
    <t xml:space="preserve">  Memo: common shares outstanding at period end (m)</t>
  </si>
  <si>
    <t xml:space="preserve">WORKING CAPITAL &amp; CASH CONVERSION</t>
  </si>
  <si>
    <t xml:space="preserve">WORKING CAPITAL — forecast drivers (blue = input). Historical ratios annualise quarters (×4) and half-years (×2).</t>
  </si>
  <si>
    <t xml:space="preserve">  DSO — receivables / revenue × 365</t>
  </si>
  <si>
    <t xml:space="preserve">  Contract assets % of revenue</t>
  </si>
  <si>
    <t xml:space="preserve">Contract assets 33% of FY25 sales, 25.7% of Q2-26 annualised sales; Karman targets faster conversion (Investor Update: 94 days vs peers 97).</t>
  </si>
  <si>
    <t xml:space="preserve">  Inventory days — inventory / COGS × 365</t>
  </si>
  <si>
    <t xml:space="preserve">  Payable days — payables / COGS × 365</t>
  </si>
  <si>
    <t xml:space="preserve">  Accrued payroll % of revenue</t>
  </si>
  <si>
    <t xml:space="preserve">  Contract liabilities % of revenue</t>
  </si>
  <si>
    <t xml:space="preserve">  Operating NWC (receivables + contract assets + inventory − payables − accrued payroll − contract liabilities)</t>
  </si>
  <si>
    <t xml:space="preserve">  NWC % of revenue (annualised)</t>
  </si>
  <si>
    <t xml:space="preserve">  ΔNWC (y/y)</t>
  </si>
  <si>
    <t xml:space="preserve">BALANCE SHEET FORECAST SCHEDULES</t>
  </si>
  <si>
    <t xml:space="preserve">BS FORECAST SCHEDULES — explicit driver assumptions (blue = input).</t>
  </si>
  <si>
    <t xml:space="preserve">Asset roll-forwards &amp; non-cash items</t>
  </si>
  <si>
    <t xml:space="preserve">  Amortization of existing acquired intangibles (USDm)</t>
  </si>
  <si>
    <t xml:space="preserve">FY2025 10-K schedule: 2026 $29.3m, 2027 $23.9m, 2028–30 ~$22.6m (pre-Seemann / MSC). Seemann / MSC added ~$61m of intangibles (Q2-26 amortization $9.2m / qtr incl. short-lived backlog). 2026E = 1H actual $20.1m + 2 × $9.2m.</t>
  </si>
  <si>
    <t xml:space="preserve">  Acquired intangibles % of 2026 acquisition consideration</t>
  </si>
  <si>
    <t xml:space="preserve">Seemann / MSC: Δ intangibles + 1H amortization ≈ $61m on $210m (29%); Walker assumed 45% ⇒ blended ~34%.</t>
  </si>
  <si>
    <t xml:space="preserve">  Dilutive securities (m shares — RSU / PSU)</t>
  </si>
  <si>
    <t xml:space="preserve">  Share-price appreciation % (buyback pricing)</t>
  </si>
  <si>
    <t xml:space="preserve">  New finance-lease ROU assets / liabilities (non-cash)</t>
  </si>
  <si>
    <t xml:space="preserve">2026E: 1H/26 additions (incl. Seemann facilities) ~$21m + 2H est.; 2027E+ = ROU amortization (flat asset base).</t>
  </si>
  <si>
    <t xml:space="preserve">  Amortization of debt issuance costs (non-cash interest)</t>
  </si>
  <si>
    <t xml:space="preserve">Debt schedule (Citi Term Loan B + revolver; finance leases)</t>
  </si>
  <si>
    <t xml:space="preserve">  Term-loan principal (period end)</t>
  </si>
  <si>
    <t xml:space="preserve">  Incremental term loans (input)</t>
  </si>
  <si>
    <t xml:space="preserve">2026E: $265m (Feb-26, Seemann / MSC) + $100m (Aug-26, Walker).</t>
  </si>
  <si>
    <t xml:space="preserve">  Scheduled amortization (input, negative)</t>
  </si>
  <si>
    <t xml:space="preserve">1% p.a. of original principal (~$8.6m on $864m); 2026E = 1H actual $3.9m + 2H.</t>
  </si>
  <si>
    <t xml:space="preserve">  Debt issuance costs paid (input, negative)</t>
  </si>
  <si>
    <t xml:space="preserve">1H/26 $4.9m + est. $1.5m on the Aug-26 repricing / add-on.</t>
  </si>
  <si>
    <t xml:space="preserve">  Term note &amp; other notes — carrying value (current + LT, net of issuance costs)</t>
  </si>
  <si>
    <t xml:space="preserve">  Finance-lease liabilities (current + LT)</t>
  </si>
  <si>
    <t xml:space="preserve">  Finance-lease principal payments (negative)</t>
  </si>
  <si>
    <t xml:space="preserve">  Cash before revolver (opening cash + CFO + CFI + non-revolver financing)</t>
  </si>
  <si>
    <t xml:space="preserve">  Minimum cash balance</t>
  </si>
  <si>
    <t xml:space="preserve">  Revolver / incremental borrowings outstanding (year end; $150m revolver + assumed add-ons)</t>
  </si>
  <si>
    <t xml:space="preserve">Draws when cash would fall below the minimum (funds M&amp;A above FCF); repaid as cash builds. Balances above the $150m revolver commitment assume further term-loan add-ons (uncapped incremental capacity per the Fourth Amendment), priced at the revolver rate.</t>
  </si>
  <si>
    <t xml:space="preserve">  Term-loan interest rate (SOFR + margin)</t>
  </si>
  <si>
    <t xml:space="preserve">6.46% at 30-Jun-26 (SOFR + 2.75%) ⇒ SOFR ≈ 3.71%; SOFR + 2.25% from 3-Aug-26 ⇒ ~5.96%. Q3 blended. 2027E+ 5.8% (modest SOFR decline).</t>
  </si>
  <si>
    <t xml:space="preserve">  Finance-lease implicit rate</t>
  </si>
  <si>
    <t xml:space="preserve">Weighted-average discount rate for finance leases 8.21% (FY2025 10-K).</t>
  </si>
  <si>
    <t xml:space="preserve">  Revolver interest rate</t>
  </si>
  <si>
    <t xml:space="preserve">  Interest income yield on opening cash</t>
  </si>
  <si>
    <t xml:space="preserve">Leverage-targeted buybacks (repurchases plug to a minimum net debt / Adj. EBITDA)</t>
  </si>
  <si>
    <t xml:space="preserve">  Minimum net debt / adjusted EBITDA (x) (input)</t>
  </si>
  <si>
    <t xml:space="preserve">Scenario-driven floor (single value per case); surplus cash below this leverage goes to buybacks.</t>
  </si>
  <si>
    <t xml:space="preserve">  Net debt before buybacks (year end)</t>
  </si>
  <si>
    <t xml:space="preserve">Approximation using CFO before any buyback-driven interest effect.</t>
  </si>
  <si>
    <t xml:space="preserve">  Target minimum net debt  =  min. leverage × adjusted EBITDA</t>
  </si>
  <si>
    <t xml:space="preserve">  Share repurchases: plug to minimum leverage</t>
  </si>
  <si>
    <t xml:space="preserve">Historical reference (driver context)</t>
  </si>
  <si>
    <t xml:space="preserve">  Total D&amp;A % of revenue</t>
  </si>
  <si>
    <t xml:space="preserve">  Acquired-intangible amortization % of revenue</t>
  </si>
  <si>
    <t xml:space="preserve">  Interest expense / average total debt (incl. finance leases)</t>
  </si>
  <si>
    <t xml:space="preserve">RATIO ANALYSIS</t>
  </si>
  <si>
    <t xml:space="preserve">DuPont decomposition of ROIC</t>
  </si>
  <si>
    <t xml:space="preserve">Adjusted EBITA (model)</t>
  </si>
  <si>
    <t xml:space="preserve">Tax rate (cash-tax proxy: 25% historical / model ETR forecast)</t>
  </si>
  <si>
    <t xml:space="preserve">NOPAT  =  Adj. EBITA × (1 − tax rate)</t>
  </si>
  <si>
    <t xml:space="preserve">Invested capital (IC)  =  Equity + Net debt (incl. finance leases)</t>
  </si>
  <si>
    <t xml:space="preserve">  Total equity</t>
  </si>
  <si>
    <t xml:space="preserve">  Net debt  =  Term debt + revolver + finance leases − cash</t>
  </si>
  <si>
    <t xml:space="preserve">ROIC  =  NOPAT / IC</t>
  </si>
  <si>
    <t xml:space="preserve">  Margin  =  Adj. EBITA / Sales</t>
  </si>
  <si>
    <t xml:space="preserve">  Capital turnover  =  Sales / IC</t>
  </si>
  <si>
    <t xml:space="preserve">  Tax burden  =  (1 − tax rate)</t>
  </si>
  <si>
    <t xml:space="preserve">  Check: Margin × Turnover × Tax burden  =  ROIC</t>
  </si>
  <si>
    <t xml:space="preserve">RONTA decomposition</t>
  </si>
  <si>
    <t xml:space="preserve">  Total assets</t>
  </si>
  <si>
    <t xml:space="preserve">  − Goodwill &amp; intangible assets</t>
  </si>
  <si>
    <t xml:space="preserve">  − Non-interest-bearing current liabilities (total CL excl. debt &amp; lease liabilities)</t>
  </si>
  <si>
    <t xml:space="preserve">  = Net tangible assets</t>
  </si>
  <si>
    <t xml:space="preserve">RONTA  =  NOPAT / NTA</t>
  </si>
  <si>
    <t xml:space="preserve">Return on Equity (ROE)</t>
  </si>
  <si>
    <t xml:space="preserve">Stockholders' equity</t>
  </si>
  <si>
    <t xml:space="preserve">ROE  =  NI / Equity</t>
  </si>
  <si>
    <t xml:space="preserve">Leverage</t>
  </si>
  <si>
    <t xml:space="preserve">Net debt  =  term debt (carrying) + revolver + finance leases − cash</t>
  </si>
  <si>
    <t xml:space="preserve">Adjusted EBITDA (LTM for quarters)</t>
  </si>
  <si>
    <t xml:space="preserve">Net debt / adjusted EBITDA (x)</t>
  </si>
  <si>
    <t xml:space="preserve">  Memo: covenant — springing first-lien net leverage ≤ 6.50x (only if revolver usage exceeds threshold; not tested at 30-Jun-26)</t>
  </si>
  <si>
    <t xml:space="preserve">VALUATION</t>
  </si>
  <si>
    <t xml:space="preserve">VALUATION — current share price input $34.14 (NYSE close 2-Oct-2026; MarketBeat). Update as required.</t>
  </si>
  <si>
    <t xml:space="preserve">Share price ($) — current</t>
  </si>
  <si>
    <t xml:space="preserve">Diluted shares (m)</t>
  </si>
  <si>
    <t xml:space="preserve">Market capitalisation (USDm)</t>
  </si>
  <si>
    <t xml:space="preserve">Net debt incl. finance leases (USDm)</t>
  </si>
  <si>
    <t xml:space="preserve">Enterprise value (USDm)</t>
  </si>
  <si>
    <t xml:space="preserve">Multiples</t>
  </si>
  <si>
    <t xml:space="preserve">  EV / Sales</t>
  </si>
  <si>
    <t xml:space="preserve">  EV / Adjusted EBITDA</t>
  </si>
  <si>
    <t xml:space="preserve">  EV / Adjusted EBITA (model)</t>
  </si>
  <si>
    <t xml:space="preserve">  EV / IC</t>
  </si>
  <si>
    <t xml:space="preserve">  P / E (GAAP diluted)</t>
  </si>
  <si>
    <t xml:space="preserve">  P / E (Adjusted EPS, company definition)</t>
  </si>
  <si>
    <t xml:space="preserve">  P / E (Adjusted EPS ex-amortization, tax-effected — model)</t>
  </si>
  <si>
    <t xml:space="preserve">  FCF yield</t>
  </si>
  <si>
    <t xml:space="preserve">Karman Holdings (KRMN) — Bull / Base / Bear Case P&amp;L Summary</t>
  </si>
  <si>
    <t xml:space="preserve">Share price ($):</t>
  </si>
  <si>
    <t xml:space="preserve">Company non-GAAP definitions (Adj. EBITDA, Adj. EPS) plus model Adj. EBITA · USD millions · Live panel linked to Model — toggle scenario via Model!AA2. Bull and Bear panels are value snapshots generated from the Model with the switch set to each case.</t>
  </si>
  <si>
    <t xml:space="preserve">As of:</t>
  </si>
  <si>
    <t xml:space="preserve">Scenario:</t>
  </si>
  <si>
    <t xml:space="preserve">Snapshot (values) — Model run with switch = Bull</t>
  </si>
  <si>
    <t xml:space="preserve">Snapshot (values) — Model run with switch = Bear</t>
  </si>
  <si>
    <t xml:space="preserve">(USDm, except EPS and shares)</t>
  </si>
  <si>
    <t xml:space="preserve">2025A</t>
  </si>
  <si>
    <t xml:space="preserve">25-'30 CAGR</t>
  </si>
  <si>
    <t xml:space="preserve">LT Hist Avg</t>
  </si>
  <si>
    <t xml:space="preserve">LT Hist Min</t>
  </si>
  <si>
    <t xml:space="preserve">LT Hist Max</t>
  </si>
  <si>
    <t xml:space="preserve">   Revenue y/y %</t>
  </si>
  <si>
    <t xml:space="preserve">   Organic growth % (where disclosed / modelled)</t>
  </si>
  <si>
    <t xml:space="preserve">Adjusted EBITDA (company definition)</t>
  </si>
  <si>
    <t xml:space="preserve">   Adjusted EBITDA margin %</t>
  </si>
  <si>
    <t xml:space="preserve">Operating Income (GAAP)</t>
  </si>
  <si>
    <t xml:space="preserve">   Operating income y/y %</t>
  </si>
  <si>
    <t xml:space="preserve">   Operating margin (GAAP) %</t>
  </si>
  <si>
    <t xml:space="preserve">Adjusted Net Income (company definition, not tax-effected)</t>
  </si>
  <si>
    <t xml:space="preserve">FDSO (m)</t>
  </si>
  <si>
    <t xml:space="preserve">Adjusted EPS — Diluted ($, company definition)</t>
  </si>
  <si>
    <t xml:space="preserve">   EPS y/y %</t>
  </si>
  <si>
    <t xml:space="preserve">P / E (x) — assumed (Adjusted EPS, company definition)</t>
  </si>
  <si>
    <t xml:space="preserve">Price Target ($)</t>
  </si>
  <si>
    <t xml:space="preserve">   Upside / (Downside) vs current</t>
  </si>
  <si>
    <t xml:space="preserve">IRR (to Dec-Y-1)</t>
  </si>
  <si>
    <t xml:space="preserve">Free Cash Flow (CFO − capex)</t>
  </si>
  <si>
    <t xml:space="preserve">   FCF %</t>
  </si>
  <si>
    <t xml:space="preserve">   FCF / share ($)</t>
  </si>
  <si>
    <t xml:space="preserve">   FCF Yield (on PT)</t>
  </si>
  <si>
    <t xml:space="preserve">Adjusted EBITA (model, ex-amortization)</t>
  </si>
  <si>
    <t xml:space="preserve">   Adjusted EBITA margin %</t>
  </si>
  <si>
    <t xml:space="preserve">Net Debt (incl. finance leases)</t>
  </si>
  <si>
    <t xml:space="preserve">   Net Debt / Adjusted EBITDA (x)</t>
  </si>
  <si>
    <t xml:space="preserve">ROIC (Adj. EBITA NOPAT / book IC)</t>
  </si>
  <si>
    <t xml:space="preserve">RONTA</t>
  </si>
  <si>
    <t xml:space="preserve">Implied Market Cap (USDm)</t>
  </si>
  <si>
    <t xml:space="preserve">(+) Net Debt (incl. finance leases)</t>
  </si>
  <si>
    <t xml:space="preserve">Implied Enterprise Value (USDm)</t>
  </si>
  <si>
    <t xml:space="preserve">Implied EV / Adjusted EBITDA (x)</t>
  </si>
  <si>
    <t xml:space="preserve">DCF VALUATION — KARMAN HOLDINGS (KRMN)</t>
  </si>
  <si>
    <t xml:space="preserve">1. WACC BUILD</t>
  </si>
  <si>
    <t xml:space="preserve">Risk-free rate (US 10Y govt)</t>
  </si>
  <si>
    <t xml:space="preserve">Assumption (~US 10Y Treasury yield); update to market</t>
  </si>
  <si>
    <t xml:space="preserve">Equity risk premium</t>
  </si>
  <si>
    <t xml:space="preserve">US implied ERP ~4.5–5.5% (Damodaran)</t>
  </si>
  <si>
    <t xml:space="preserve">Levered beta</t>
  </si>
  <si>
    <t xml:space="preserve">Short trading history since the Feb-2025 IPO; high-growth defense-tech peers (AVAV, KTOS, MRCY) ~1.2–1.5</t>
  </si>
  <si>
    <t xml:space="preserve">Cost of equity</t>
  </si>
  <si>
    <t xml:space="preserve">Pre-tax cost of debt</t>
  </si>
  <si>
    <t xml:space="preserve">Citi Term Loan B at SOFR + 2.25% (Fifth Amendment, 3-Aug-26) ≈ 5.9–6.0%; finance leases ~8.2%</t>
  </si>
  <si>
    <t xml:space="preserve">Tax rate</t>
  </si>
  <si>
    <t xml:space="preserve">Model 2027E+ effective tax rate</t>
  </si>
  <si>
    <t xml:space="preserve">After-tax cost of debt</t>
  </si>
  <si>
    <t xml:space="preserve">Target D/V</t>
  </si>
  <si>
    <t xml:space="preserve">Net debt incl. leases ~$0.95bn vs ~$4.5bn market cap at $34.14; ~4x Adj. EBITDA, deleveraging with growth</t>
  </si>
  <si>
    <t xml:space="preserve">WACC</t>
  </si>
  <si>
    <t xml:space="preserve">Valuation date (live)</t>
  </si>
  <si>
    <t xml:space="preserve">Periods = (Dec-31-Year − today) / 365.25; cash flows assumed at year-end</t>
  </si>
  <si>
    <t xml:space="preserve">2. UNLEVERED FREE CASH FLOW BUILD (USDm)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</si>
  <si>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</si>
  <si>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</si>
  <si>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</si>
  <si>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</si>
  <si>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</si>
  <si>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Terminal</t>
  </si>
  <si>
    <t xml:space="preserve">CAGR 26–30E</t>
  </si>
  <si>
    <t xml:space="preserve">CAGR 26–35E</t>
  </si>
  <si>
    <t xml:space="preserve">Adjusted EBITA (Model; before acquired-intangible amortization)</t>
  </si>
  <si>
    <t xml:space="preserve">   y/y %</t>
  </si>
  <si>
    <t xml:space="preserve">(−) SBC, transaction, integration &amp; other items excluded from Adj. EBITA</t>
  </si>
  <si>
    <t xml:space="preserve">× (1 − tax rate)</t>
  </si>
  <si>
    <t xml:space="preserve">NOPAT  =  (Adj. EBITA − excluded costs) × (1 − t)</t>
  </si>
  <si>
    <t xml:space="preserve">plus depreciation of PP&amp;E and finance-lease ROU amortization</t>
  </si>
  <si>
    <t xml:space="preserve">− Capex (PP&amp;E) and acquisitions (M&amp;A lever, 2027E+)</t>
  </si>
  <si>
    <t xml:space="preserve">− Δ Working capital (CF statement)</t>
  </si>
  <si>
    <t xml:space="preserve">Unlevered FCF</t>
  </si>
  <si>
    <t xml:space="preserve">Terminal Value (Gordon Growth)</t>
  </si>
  <si>
    <t xml:space="preserve">   memo: PP&amp;E capex only (fade years carry no new acquisitions)</t>
  </si>
  <si>
    <t xml:space="preserve">Fade-period growth (2031E–35E)</t>
  </si>
  <si>
    <t xml:space="preserve">Terminal growth rate</t>
  </si>
  <si>
    <t xml:space="preserve">Discount period (years)</t>
  </si>
  <si>
    <t xml:space="preserve">Discount factor</t>
  </si>
  <si>
    <t xml:space="preserve">PV of UFCF</t>
  </si>
  <si>
    <t xml:space="preserve">Adjusted EBITA follows Karman’s Adj. EBITDA definition, which excludes SBC and transaction / integration costs; those are deducted again here (row 20) so NOPAT bears them. Acquisition spend from the M&amp;A lever is deducted in 2027E–30E so that acquired sales / profit in the Model are paid for; the fade period and terminal value assume no new acquisitions. Finance-lease liabilities are treated as debt (net debt) and lease ROU amortization is added back with depreciation; lease interest sits below EBITA.</t>
  </si>
  <si>
    <t xml:space="preserve">Implied ROIC &amp; incremental ROIC (USDm)</t>
  </si>
  <si>
    <t xml:space="preserve">NOPAT (row 22)</t>
  </si>
  <si>
    <t xml:space="preserve">Net investment  =  NOPAT − UFCF</t>
  </si>
  <si>
    <t xml:space="preserve">Opening invested capital</t>
  </si>
  <si>
    <t xml:space="preserve">Closing invested capital</t>
  </si>
  <si>
    <t xml:space="preserve">Implied ROIC  =  NOPAT / opening IC</t>
  </si>
  <si>
    <t xml:space="preserve">Reinvestment rate  =  net inv. / NOPAT</t>
  </si>
  <si>
    <t xml:space="preserve">Incremental ROIC  =  Δ NOPAT / prior-yr net inv.</t>
  </si>
  <si>
    <t xml:space="preserve">Cumulative incremental ROIC 2026E–35E</t>
  </si>
  <si>
    <t xml:space="preserve">Opening IC = Model 2025A book IC (equity + net debt incl. finance leases), rolled forward with DCF net investment (capex + M&amp;A − D&amp;A + ΔWC). Terminal incremental ROIC = g ÷ reinvestment rate. Cumulative = (NOPAT 2035E − 2026E) / Σ net investment 2026E–34E.</t>
  </si>
  <si>
    <t xml:space="preserve">3. VALUATION SUMMARY</t>
  </si>
  <si>
    <t xml:space="preserve">Sum of PV (explicit + fade)</t>
  </si>
  <si>
    <t xml:space="preserve">PV of Terminal Value</t>
  </si>
  <si>
    <t xml:space="preserve">Enterprise Value</t>
  </si>
  <si>
    <t xml:space="preserve">Less: net debt incl. finance leases (Model 2026E YE)</t>
  </si>
  <si>
    <t xml:space="preserve">Less: non-controlling interests (none)</t>
  </si>
  <si>
    <t xml:space="preserve">Equity Value</t>
  </si>
  <si>
    <t xml:space="preserve">Diluted shares (m, Model 2026E)</t>
  </si>
  <si>
    <t xml:space="preserve">Implied share price ($)</t>
  </si>
  <si>
    <t xml:space="preserve">Current share price ($)</t>
  </si>
  <si>
    <t xml:space="preserve">Implied upside / (downside)</t>
  </si>
  <si>
    <t xml:space="preserve">4. SENSITIVITY: IMPLIED PRICE ($) — WACC × Terminal Growth</t>
  </si>
  <si>
    <t xml:space="preserve">WACC step (across)</t>
  </si>
  <si>
    <t xml:space="preserve">Terminal growth step (down)</t>
  </si>
  <si>
    <t xml:space="preserve">g (down) / WACC</t>
  </si>
  <si>
    <t xml:space="preserve">5. REVERSE DCF</t>
  </si>
  <si>
    <t xml:space="preserve">To solve for the market-implied path: Data ▸ What-If Analysis ▸ Goal Seek — set C57 (implied price) to the current price (C58) by changing C32 (terminal growth) or the Model scenario levers (end-market growth, Adj. EBITDA margin, M&amp;A spend).</t>
  </si>
  <si>
    <t xml:space="preserve">6. MAUBOUSSIN EV / NOPAT — TWO-STAGE FRAMEWORK</t>
  </si>
  <si>
    <t xml:space="preserve">EV/NOPAT  =  1/r  +  [g × (1 − r/ROIIC) / (r × (r − g))] × [1 − ((1+g)/(1+r))^N]</t>
  </si>
  <si>
    <t xml:space="preserve">Formula source: Mauboussin &amp; Rappaport, "Expectations Investing" (2021); Counterpoint Global, "What Does a Price-Earnings Multiple Mean?" (2020).</t>
  </si>
  <si>
    <t xml:space="preserve">Input</t>
  </si>
  <si>
    <t xml:space="preserve">Value</t>
  </si>
  <si>
    <t xml:space="preserve">Rationale (Karman characteristics)</t>
  </si>
  <si>
    <t xml:space="preserve">r  (Cost of capital / WACC)</t>
  </si>
  <si>
    <t xml:space="preserve">Linked from Section 1 WACC build</t>
  </si>
  <si>
    <t xml:space="preserve">g  (NOPAT growth, Stage 1)</t>
  </si>
  <si>
    <t xml:space="preserve">Model Adj. EBITA CAGR 2025–30E well above this; 12% assumes growth normalises after the munitions / interceptor ramp</t>
  </si>
  <si>
    <t xml:space="preserve">ROIIC  (Return on incremental invested capital)</t>
  </si>
  <si>
    <t xml:space="preserve">Organic growth needs contract-asset and capacity investment (capex ~4–5% of sales); acquisitions at ~10x EBITDA earn ~7–8% after tax</t>
  </si>
  <si>
    <t xml:space="preserve">N  (Years of value creation / CAP)</t>
  </si>
  <si>
    <t xml:space="preserve">IP-rich, sole-source subsystem positions on long-lived missile, launch and submarine programs; high qualification barriers</t>
  </si>
  <si>
    <t xml:space="preserve">Calculation</t>
  </si>
  <si>
    <t xml:space="preserve">Steady-state component:  1 / r</t>
  </si>
  <si>
    <t xml:space="preserve">Value-creation factor: 1 − r / ROIIC</t>
  </si>
  <si>
    <t xml:space="preserve">Growth multiplier: g × (1 − r/ROIIC) / (r × (r − g))</t>
  </si>
  <si>
    <t xml:space="preserve">Time decay: 1 − ((1+g)/(1+r))^N</t>
  </si>
  <si>
    <t xml:space="preserve">PVGO component (growth value)</t>
  </si>
  <si>
    <t xml:space="preserve">Mauboussin EV / NOPAT (steady-state + PVGO)</t>
  </si>
  <si>
    <t xml:space="preserve">VALUATION  —  Applied to 2028E NOPAT</t>
  </si>
  <si>
    <t xml:space="preserve">USDm</t>
  </si>
  <si>
    <t xml:space="preserve">2028E Adjusted EBITA (Model)</t>
  </si>
  <si>
    <t xml:space="preserve">(−) 2028E SBC, transaction &amp; integration costs</t>
  </si>
  <si>
    <t xml:space="preserve">Tax rate (from WACC build)</t>
  </si>
  <si>
    <t xml:space="preserve">2028E NOPAT  =  (EBITA − excluded costs) × (1 − t)</t>
  </si>
  <si>
    <t xml:space="preserve">× Mauboussin EV/NOPAT multiple</t>
  </si>
  <si>
    <t xml:space="preserve">Implied Enterprise Value (2028E basis)</t>
  </si>
  <si>
    <t xml:space="preserve">Less: YE2027 net debt incl. finance leases (Model)</t>
  </si>
  <si>
    <t xml:space="preserve">Implied Equity Value</t>
  </si>
  <si>
    <t xml:space="preserve">Diluted shares 2028E (m, Model)</t>
  </si>
  <si>
    <t xml:space="preserve">Implied share price 2028 ($)</t>
  </si>
  <si>
    <t xml:space="preserve">MARKET-IMPLIED EV/NOPAT TODAY</t>
  </si>
  <si>
    <t xml:space="preserve">Current market cap (spot × diluted shares)</t>
  </si>
  <si>
    <t xml:space="preserve">Plus: YE2026 net debt incl. finance leases</t>
  </si>
  <si>
    <t xml:space="preserve">Implied Enterprise Value (today)</t>
  </si>
  <si>
    <t xml:space="preserve">KRMN's market-implied EV/NOPAT (on 2028E NOPAT)</t>
  </si>
  <si>
    <t xml:space="preserve">Multiple gap (Mauboussin − Market)</t>
  </si>
  <si>
    <t xml:space="preserve">Implied re-rating headroom</t>
  </si>
  <si>
    <t xml:space="preserve">Karman Holdings — Operating Performance (2022A–2030E)</t>
  </si>
  <si>
    <t xml:space="preserve">USDm · Linked to Model (Base / live scenario). 2022–25 actual, 2026E–30E forecast. M&amp;A % = disclosed / derived incremental acquisition sales (FY24 RMS) and the M&amp;A lever; organic split not disclosed for 2022–23 and 2025. Adj. EBITDA = company definition; Adj. EBITA = model.</t>
  </si>
  <si>
    <t xml:space="preserve">2022</t>
  </si>
  <si>
    <t xml:space="preserve">2023</t>
  </si>
  <si>
    <t xml:space="preserve">2024</t>
  </si>
  <si>
    <t xml:space="preserve">2025</t>
  </si>
  <si>
    <t xml:space="preserve">Organic %</t>
  </si>
  <si>
    <t xml:space="preserve">M&amp;A %</t>
  </si>
  <si>
    <t xml:space="preserve">Adjusted EBITDA</t>
  </si>
  <si>
    <t xml:space="preserve">Adj. EBITDA Margin %</t>
  </si>
  <si>
    <t xml:space="preserve">GAAP Op. Margin %</t>
  </si>
  <si>
    <t xml:space="preserve">ROIC</t>
  </si>
  <si>
    <t xml:space="preserve">Adj. EBITDA margin %</t>
  </si>
  <si>
    <t xml:space="preserve">FCF margin %</t>
  </si>
</sst>
</file>

<file path=xl/styles.xml><?xml version="1.0" encoding="utf-8"?>
<styleSheet xmlns="http://schemas.openxmlformats.org/spreadsheetml/2006/main">
  <numFmts count="25">
    <numFmt numFmtId="164" formatCode="General"/>
    <numFmt numFmtId="165" formatCode="#,##0.0;\(#,##0.0\);\-"/>
    <numFmt numFmtId="166" formatCode="0%;\(0%\);&quot;n/m&quot;"/>
    <numFmt numFmtId="167" formatCode="0.0%;\(0.0%\);\-"/>
    <numFmt numFmtId="168" formatCode="0.0%;\(0.0%\);&quot;n/m&quot;"/>
    <numFmt numFmtId="169" formatCode="#,##0;\(#,##0\);\-"/>
    <numFmt numFmtId="170" formatCode="\+0.0%;\-0.0%"/>
    <numFmt numFmtId="171" formatCode="0.00\x;\(0.00&quot;x)&quot;;\-"/>
    <numFmt numFmtId="172" formatCode="0.0"/>
    <numFmt numFmtId="173" formatCode="\+#,##0;\-#,##0"/>
    <numFmt numFmtId="174" formatCode="0.0\x"/>
    <numFmt numFmtId="175" formatCode="0.00\x"/>
    <numFmt numFmtId="176" formatCode="0.00;\(0.00\);\-"/>
    <numFmt numFmtId="177" formatCode="0\d;\(0&quot;)d&quot;;\-"/>
    <numFmt numFmtId="178" formatCode="0.00"/>
    <numFmt numFmtId="179" formatCode="0.0\x;\(0.0&quot;x)&quot;;\-"/>
    <numFmt numFmtId="180" formatCode="#,##0.00"/>
    <numFmt numFmtId="181" formatCode="dd\-mmm\-yy"/>
    <numFmt numFmtId="182" formatCode="0%;\(0%\);\-"/>
    <numFmt numFmtId="183" formatCode="0.00%"/>
    <numFmt numFmtId="184" formatCode="0.0%"/>
    <numFmt numFmtId="185" formatCode="0.000"/>
    <numFmt numFmtId="186" formatCode="#,##0"/>
    <numFmt numFmtId="187" formatCode="0"/>
    <numFmt numFmtId="188" formatCode="0%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00000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sz val="10"/>
      <color rgb="FF595959"/>
      <name val="Calibri"/>
      <family val="0"/>
      <charset val="1"/>
    </font>
    <font>
      <sz val="10"/>
      <color rgb="FFC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9"/>
      <color rgb="FF666666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name val="Calibri"/>
      <family val="0"/>
      <charset val="1"/>
    </font>
    <font>
      <sz val="12"/>
      <color rgb="FF404040"/>
      <name val="Calibri"/>
      <family val="0"/>
      <charset val="1"/>
    </font>
    <font>
      <sz val="12"/>
      <color rgb="FFA6A6A6"/>
      <name val="Calibri"/>
      <family val="0"/>
      <charset val="1"/>
    </font>
    <font>
      <sz val="12"/>
      <color rgb="FF000000"/>
      <name val="Calibri"/>
      <family val="0"/>
      <charset val="1"/>
    </font>
    <font>
      <sz val="12"/>
      <name val="Calibri"/>
      <family val="0"/>
      <charset val="1"/>
    </font>
    <font>
      <sz val="12"/>
      <color rgb="FF0000FF"/>
      <name val="Calibri"/>
      <family val="0"/>
      <charset val="1"/>
    </font>
    <font>
      <b val="true"/>
      <i val="true"/>
      <sz val="12"/>
      <color rgb="FF666666"/>
      <name val="Calibri"/>
      <family val="0"/>
      <charset val="1"/>
    </font>
    <font>
      <b val="true"/>
      <sz val="12"/>
      <color rgb="FF595959"/>
      <name val="Calibri"/>
      <family val="0"/>
      <charset val="1"/>
    </font>
    <font>
      <b val="true"/>
      <i val="true"/>
      <sz val="11"/>
      <color rgb="FFC00000"/>
      <name val="Calibri"/>
      <family val="0"/>
      <charset val="1"/>
    </font>
    <font>
      <b val="true"/>
      <i val="true"/>
      <sz val="10"/>
      <color rgb="FFC00000"/>
      <name val="Calibri"/>
      <family val="0"/>
      <charset val="1"/>
    </font>
    <font>
      <sz val="10"/>
      <name val="Arial"/>
      <family val="2"/>
    </font>
    <font>
      <b val="true"/>
      <sz val="16"/>
      <color rgb="FF2F3E46"/>
      <name val="Calibri"/>
      <family val="0"/>
      <charset val="1"/>
    </font>
    <font>
      <b val="true"/>
      <sz val="12"/>
      <color rgb="FF008000"/>
      <name val="Calibri"/>
      <family val="0"/>
      <charset val="1"/>
    </font>
    <font>
      <b val="true"/>
      <sz val="12"/>
      <color rgb="FF2F3E46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2"/>
      <color rgb="FF595959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2"/>
      <color rgb="FF008000"/>
      <name val="Calibri"/>
      <family val="0"/>
      <charset val="1"/>
    </font>
    <font>
      <sz val="11"/>
      <color rgb="FF000000"/>
      <name val="Calibri"/>
      <family val="2"/>
      <charset val="1"/>
    </font>
    <font>
      <i val="true"/>
      <sz val="11"/>
      <color theme="1"/>
      <name val="Calibri"/>
      <family val="2"/>
      <charset val="1"/>
    </font>
    <font>
      <i val="true"/>
      <sz val="12"/>
      <color rgb="FF000000"/>
      <name val="Calibri"/>
      <family val="0"/>
      <charset val="1"/>
    </font>
    <font>
      <i val="true"/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8000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2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3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993366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99CCFF"/>
      <rgbColor rgb="FFFF99CC"/>
      <rgbColor rgb="FFCC99FF"/>
      <rgbColor rgb="FFF5F5F5"/>
      <rgbColor rgb="FF3366FF"/>
      <rgbColor rgb="FF33CCCC"/>
      <rgbColor rgb="FF99CC00"/>
      <rgbColor rgb="FFFFCC00"/>
      <rgbColor rgb="FFE9A23B"/>
      <rgbColor rgb="FFFF6600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595959"/>
      <rgbColor rgb="FF2F3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Growth Decomposition: Organic vs M&amp;A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Charts!B8</c:f>
              <c:strCache>
                <c:ptCount val="1"/>
                <c:pt idx="0">
                  <c:v>Organic %</c:v>
                </c:pt>
              </c:strCache>
            </c:strRef>
          </c:tx>
          <c:spPr>
            <a:solidFill>
              <a:srgbClr val="2f3e46"/>
            </a:solidFill>
            <a:ln w="0">
              <a:solidFill>
                <a:srgbClr val="2f3e4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Charts!$C$7:$K$7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  <c:pt idx="8">
                  <c:v>2030E</c:v>
                </c:pt>
              </c:strCache>
            </c:strRef>
          </c:cat>
          <c:val>
            <c:numRef>
              <c:f>Charts!$C$8:$K$8</c:f>
              <c:numCache>
                <c:formatCode>0.0%;\(0.0%\);\-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0.188290197894587</c:v>
                </c:pt>
                <c:pt idx="3">
                  <c:v>0</c:v>
                </c:pt>
                <c:pt idx="4">
                  <c:v>0.362922587486745</c:v>
                </c:pt>
                <c:pt idx="5">
                  <c:v>0.206443413366148</c:v>
                </c:pt>
                <c:pt idx="6">
                  <c:v>0.160134664903112</c:v>
                </c:pt>
                <c:pt idx="7">
                  <c:v>0.13597377230726</c:v>
                </c:pt>
                <c:pt idx="8">
                  <c:v>0.118038416347607</c:v>
                </c:pt>
              </c:numCache>
            </c:numRef>
          </c:val>
        </c:ser>
        <c:ser>
          <c:idx val="1"/>
          <c:order val="1"/>
          <c:tx>
            <c:strRef>
              <c:f>Charts!B9</c:f>
              <c:strCache>
                <c:ptCount val="1"/>
                <c:pt idx="0">
                  <c:v>M&amp;A %</c:v>
                </c:pt>
              </c:strCache>
            </c:strRef>
          </c:tx>
          <c:spPr>
            <a:solidFill>
              <a:srgbClr val="84a98c"/>
            </a:solidFill>
            <a:ln w="0">
              <a:solidFill>
                <a:srgbClr val="84a98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Charts!$C$7:$K$7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  <c:pt idx="8">
                  <c:v>2030E</c:v>
                </c:pt>
              </c:strCache>
            </c:strRef>
          </c:cat>
          <c:val>
            <c:numRef>
              <c:f>Charts!$C$9:$K$9</c:f>
              <c:numCache>
                <c:formatCode>0.0%;\(0.0%\);\-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0.0416522683956467</c:v>
                </c:pt>
                <c:pt idx="3">
                  <c:v>0</c:v>
                </c:pt>
                <c:pt idx="4">
                  <c:v>0.226685047720042</c:v>
                </c:pt>
                <c:pt idx="5">
                  <c:v>0.0720260393375804</c:v>
                </c:pt>
                <c:pt idx="6">
                  <c:v>0.0792025036635344</c:v>
                </c:pt>
                <c:pt idx="7">
                  <c:v>0.0714256358286964</c:v>
                </c:pt>
                <c:pt idx="8">
                  <c:v>0.0622700982898067</c:v>
                </c:pt>
              </c:numCache>
            </c:numRef>
          </c:val>
        </c:ser>
        <c:gapWidth val="150"/>
        <c:overlap val="100"/>
        <c:axId val="54275343"/>
        <c:axId val="14122963"/>
      </c:barChart>
      <c:catAx>
        <c:axId val="5427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22963"/>
        <c:crosses val="autoZero"/>
        <c:auto val="1"/>
        <c:lblAlgn val="ctr"/>
        <c:lblOffset val="100"/>
        <c:noMultiLvlLbl val="0"/>
      </c:catAx>
      <c:valAx>
        <c:axId val="141229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2753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Adjusted EBITDA &amp; GAAP Operating Income (USDm) with Margins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Charts!B12</c:f>
              <c:strCache>
                <c:ptCount val="1"/>
                <c:pt idx="0">
                  <c:v>Adjusted EBITDA</c:v>
                </c:pt>
              </c:strCache>
            </c:strRef>
          </c:tx>
          <c:spPr>
            <a:solidFill>
              <a:srgbClr val="2f3e46"/>
            </a:solidFill>
            <a:ln w="0">
              <a:solidFill>
                <a:srgbClr val="2f3e4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Charts!$C$7:$K$7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  <c:pt idx="8">
                  <c:v>2030E</c:v>
                </c:pt>
              </c:strCache>
            </c:strRef>
          </c:cat>
          <c:val>
            <c:numRef>
              <c:f>Charts!$C$12:$K$12</c:f>
              <c:numCache>
                <c:formatCode>#,##0;\(#,##0\);\-</c:formatCode>
                <c:ptCount val="9"/>
                <c:pt idx="0">
                  <c:v>60.291</c:v>
                </c:pt>
                <c:pt idx="1">
                  <c:v>81.861</c:v>
                </c:pt>
                <c:pt idx="2">
                  <c:v>106.145</c:v>
                </c:pt>
                <c:pt idx="3">
                  <c:v>145.302</c:v>
                </c:pt>
                <c:pt idx="4">
                  <c:v>221.99</c:v>
                </c:pt>
                <c:pt idx="5">
                  <c:v>285.164735561312</c:v>
                </c:pt>
                <c:pt idx="6">
                  <c:v>354.348878544977</c:v>
                </c:pt>
                <c:pt idx="7">
                  <c:v>428.836028598715</c:v>
                </c:pt>
                <c:pt idx="8">
                  <c:v>508.506345534929</c:v>
                </c:pt>
              </c:numCache>
            </c:numRef>
          </c:val>
        </c:ser>
        <c:ser>
          <c:idx val="1"/>
          <c:order val="1"/>
          <c:tx>
            <c:strRef>
              <c:f>Charts!B13</c:f>
              <c:strCache>
                <c:ptCount val="1"/>
                <c:pt idx="0">
                  <c:v>Operating Income (GAAP)</c:v>
                </c:pt>
              </c:strCache>
            </c:strRef>
          </c:tx>
          <c:spPr>
            <a:solidFill>
              <a:srgbClr val="84a98c"/>
            </a:solidFill>
            <a:ln w="0">
              <a:solidFill>
                <a:srgbClr val="84a98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Charts!$C$7:$K$7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  <c:pt idx="8">
                  <c:v>2030E</c:v>
                </c:pt>
              </c:strCache>
            </c:strRef>
          </c:cat>
          <c:val>
            <c:numRef>
              <c:f>Charts!$C$13:$K$13</c:f>
              <c:numCache>
                <c:formatCode>#,##0;\(#,##0\);\-</c:formatCode>
                <c:ptCount val="9"/>
                <c:pt idx="0">
                  <c:v>20.435</c:v>
                </c:pt>
                <c:pt idx="1">
                  <c:v>48.494</c:v>
                </c:pt>
                <c:pt idx="2">
                  <c:v>63.56</c:v>
                </c:pt>
                <c:pt idx="3">
                  <c:v>72.942</c:v>
                </c:pt>
                <c:pt idx="4">
                  <c:v>137.3715608</c:v>
                </c:pt>
                <c:pt idx="5">
                  <c:v>198.239874207666</c:v>
                </c:pt>
                <c:pt idx="6">
                  <c:v>255.593941628948</c:v>
                </c:pt>
                <c:pt idx="7">
                  <c:v>312.199549316371</c:v>
                </c:pt>
                <c:pt idx="8">
                  <c:v>371.815556232729</c:v>
                </c:pt>
              </c:numCache>
            </c:numRef>
          </c:val>
        </c:ser>
        <c:gapWidth val="150"/>
        <c:overlap val="0"/>
        <c:axId val="38572109"/>
        <c:axId val="68534704"/>
      </c:barChart>
      <c:lineChart>
        <c:grouping val="standard"/>
        <c:varyColors val="0"/>
        <c:ser>
          <c:idx val="2"/>
          <c:order val="2"/>
          <c:tx>
            <c:strRef>
              <c:f>Charts!B14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Charts!$C$7:$K$7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  <c:pt idx="8">
                  <c:v>2030E</c:v>
                </c:pt>
              </c:strCache>
            </c:strRef>
          </c:cat>
          <c:val>
            <c:numRef>
              <c:f>Charts!$C$14:$K$14</c:f>
              <c:numCache>
                <c:formatCode>0.0%;\(0.0%\);\-</c:formatCode>
                <c:ptCount val="9"/>
                <c:pt idx="0">
                  <c:v>0.266408908134859</c:v>
                </c:pt>
                <c:pt idx="1">
                  <c:v>0.291626440569281</c:v>
                </c:pt>
                <c:pt idx="2">
                  <c:v>0.307442990751656</c:v>
                </c:pt>
                <c:pt idx="3">
                  <c:v>0.30816967126193</c:v>
                </c:pt>
                <c:pt idx="4">
                  <c:v>0.296184122748499</c:v>
                </c:pt>
                <c:pt idx="5">
                  <c:v>0.297600615700781</c:v>
                </c:pt>
                <c:pt idx="6">
                  <c:v>0.298386791893598</c:v>
                </c:pt>
                <c:pt idx="7">
                  <c:v>0.299081010491786</c:v>
                </c:pt>
                <c:pt idx="8">
                  <c:v>0.300468127542391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Charts!B15</c:f>
              <c:strCache>
                <c:ptCount val="1"/>
                <c:pt idx="0">
                  <c:v>GAAP Op. Margin %</c:v>
                </c:pt>
              </c:strCache>
            </c:strRef>
          </c:tx>
          <c:spPr>
            <a:solidFill>
              <a:srgbClr val="e9a23b"/>
            </a:solidFill>
            <a:ln w="28440">
              <a:solidFill>
                <a:srgbClr val="e9a2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Charts!$C$7:$K$7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  <c:pt idx="8">
                  <c:v>2030E</c:v>
                </c:pt>
              </c:strCache>
            </c:strRef>
          </c:cat>
          <c:val>
            <c:numRef>
              <c:f>Charts!$C$15:$K$15</c:f>
              <c:numCache>
                <c:formatCode>0.0%;\(0.0%\);\-</c:formatCode>
                <c:ptCount val="9"/>
                <c:pt idx="0">
                  <c:v>0.0902964959568733</c:v>
                </c:pt>
                <c:pt idx="1">
                  <c:v>0.172757877487042</c:v>
                </c:pt>
                <c:pt idx="2">
                  <c:v>0.184097946131945</c:v>
                </c:pt>
                <c:pt idx="3">
                  <c:v>0.154702014846235</c:v>
                </c:pt>
                <c:pt idx="4">
                  <c:v>0.183284270580387</c:v>
                </c:pt>
                <c:pt idx="5">
                  <c:v>0.206885008079697</c:v>
                </c:pt>
                <c:pt idx="6">
                  <c:v>0.215228157580922</c:v>
                </c:pt>
                <c:pt idx="7">
                  <c:v>0.217735802165994</c:v>
                </c:pt>
                <c:pt idx="8">
                  <c:v>0.219699763736197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92071"/>
        <c:axId val="86823897"/>
      </c:lineChart>
      <c:catAx>
        <c:axId val="385721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534704"/>
        <c:crosses val="autoZero"/>
        <c:auto val="1"/>
        <c:lblAlgn val="ctr"/>
        <c:lblOffset val="100"/>
        <c:noMultiLvlLbl val="0"/>
      </c:catAx>
      <c:valAx>
        <c:axId val="685347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572109"/>
        <c:crosses val="autoZero"/>
        <c:crossBetween val="between"/>
      </c:valAx>
      <c:catAx>
        <c:axId val="719207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23897"/>
        <c:crosses val="autoZero"/>
        <c:auto val="1"/>
        <c:lblAlgn val="ctr"/>
        <c:lblOffset val="100"/>
        <c:noMultiLvlLbl val="0"/>
      </c:catAx>
      <c:valAx>
        <c:axId val="8682389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9207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Returns Profile: ROIC, RONTA, Adj. EBITDA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Charts!B18</c:f>
              <c:strCache>
                <c:ptCount val="1"/>
                <c:pt idx="0">
                  <c:v>ROIC</c:v>
                </c:pt>
              </c:strCache>
            </c:strRef>
          </c:tx>
          <c:spPr>
            <a:solidFill>
              <a:srgbClr val="2f3e46"/>
            </a:solidFill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Charts!$C$7:$K$7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  <c:pt idx="8">
                  <c:v>2030E</c:v>
                </c:pt>
              </c:strCache>
            </c:strRef>
          </c:cat>
          <c:val>
            <c:numRef>
              <c:f>Charts!$C$18:$K$18</c:f>
              <c:numCache>
                <c:formatCode>0.0%;\(0.0%\);\-</c:formatCode>
                <c:ptCount val="9"/>
                <c:pt idx="0">
                  <c:v>0.0659728831555289</c:v>
                </c:pt>
                <c:pt idx="1">
                  <c:v>0.0887352140349908</c:v>
                </c:pt>
                <c:pt idx="2">
                  <c:v>0.106222110660423</c:v>
                </c:pt>
                <c:pt idx="3">
                  <c:v>0.0981554457448594</c:v>
                </c:pt>
                <c:pt idx="4">
                  <c:v>0.116022194714778</c:v>
                </c:pt>
                <c:pt idx="5">
                  <c:v>0.124438020729321</c:v>
                </c:pt>
                <c:pt idx="6">
                  <c:v>0.131538620468775</c:v>
                </c:pt>
                <c:pt idx="7">
                  <c:v>0.137329755169484</c:v>
                </c:pt>
                <c:pt idx="8">
                  <c:v>0.143456819876811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Charts!B19</c:f>
              <c:strCache>
                <c:ptCount val="1"/>
                <c:pt idx="0">
                  <c:v>RONTA</c:v>
                </c:pt>
              </c:strCache>
            </c:strRef>
          </c:tx>
          <c:spPr>
            <a:solidFill>
              <a:srgbClr val="84a98c"/>
            </a:solidFill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Charts!$C$7:$K$7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  <c:pt idx="8">
                  <c:v>2030E</c:v>
                </c:pt>
              </c:strCache>
            </c:strRef>
          </c:cat>
          <c:val>
            <c:numRef>
              <c:f>Charts!$C$19:$K$19</c:f>
              <c:numCache>
                <c:formatCode>0.0%;\(0.0%\);\-</c:formatCode>
                <c:ptCount val="9"/>
                <c:pt idx="0">
                  <c:v>0.191466474076327</c:v>
                </c:pt>
                <c:pt idx="1">
                  <c:v>0.246092683837789</c:v>
                </c:pt>
                <c:pt idx="2">
                  <c:v>0.279259209442305</c:v>
                </c:pt>
                <c:pt idx="3">
                  <c:v>0.235645086287072</c:v>
                </c:pt>
                <c:pt idx="4">
                  <c:v>0.271585445966661</c:v>
                </c:pt>
                <c:pt idx="5">
                  <c:v>0.329665816135172</c:v>
                </c:pt>
                <c:pt idx="6">
                  <c:v>0.361233234395667</c:v>
                </c:pt>
                <c:pt idx="7">
                  <c:v>0.390436870757038</c:v>
                </c:pt>
                <c:pt idx="8">
                  <c:v>0.417240459542714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Charts!B20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solidFill>
              <a:srgbClr val="52796f"/>
            </a:solidFill>
            <a:ln w="28440">
              <a:solidFill>
                <a:srgbClr val="5279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Charts!$C$7:$K$7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  <c:pt idx="8">
                  <c:v>2030E</c:v>
                </c:pt>
              </c:strCache>
            </c:strRef>
          </c:cat>
          <c:val>
            <c:numRef>
              <c:f>Charts!$C$20:$K$20</c:f>
              <c:numCache>
                <c:formatCode>0.0%;\(0.0%\);\-</c:formatCode>
                <c:ptCount val="9"/>
                <c:pt idx="0">
                  <c:v>0.266408908134859</c:v>
                </c:pt>
                <c:pt idx="1">
                  <c:v>0.291626440569281</c:v>
                </c:pt>
                <c:pt idx="2">
                  <c:v>0.307442990751656</c:v>
                </c:pt>
                <c:pt idx="3">
                  <c:v>0.30816967126193</c:v>
                </c:pt>
                <c:pt idx="4">
                  <c:v>0.296184122748499</c:v>
                </c:pt>
                <c:pt idx="5">
                  <c:v>0.297600615700781</c:v>
                </c:pt>
                <c:pt idx="6">
                  <c:v>0.298386791893598</c:v>
                </c:pt>
                <c:pt idx="7">
                  <c:v>0.299081010491786</c:v>
                </c:pt>
                <c:pt idx="8">
                  <c:v>0.300468127542391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Charts!B21</c:f>
              <c:strCache>
                <c:ptCount val="1"/>
                <c:pt idx="0">
                  <c:v>FCF margin %</c:v>
                </c:pt>
              </c:strCache>
            </c:strRef>
          </c:tx>
          <c:spPr>
            <a:solidFill>
              <a:srgbClr val="cad2c5"/>
            </a:solidFill>
            <a:ln w="28440">
              <a:solidFill>
                <a:srgbClr val="cad2c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Charts!$C$7:$K$7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  <c:pt idx="8">
                  <c:v>2030E</c:v>
                </c:pt>
              </c:strCache>
            </c:strRef>
          </c:cat>
          <c:val>
            <c:numRef>
              <c:f>Charts!$C$21:$K$21</c:f>
              <c:numCache>
                <c:formatCode>0.0%;\(0.0%\);\-</c:formatCode>
                <c:ptCount val="9"/>
                <c:pt idx="0">
                  <c:v>-0.120021209844903</c:v>
                </c:pt>
                <c:pt idx="1">
                  <c:v>0.0126538536898167</c:v>
                </c:pt>
                <c:pt idx="2">
                  <c:v>0.0329991803065016</c:v>
                </c:pt>
                <c:pt idx="3">
                  <c:v>-0.0900424178154825</c:v>
                </c:pt>
                <c:pt idx="4">
                  <c:v>0.0359329023088006</c:v>
                </c:pt>
                <c:pt idx="5">
                  <c:v>0.0843395761148508</c:v>
                </c:pt>
                <c:pt idx="6">
                  <c:v>0.104290275721928</c:v>
                </c:pt>
                <c:pt idx="7">
                  <c:v>0.11676491518359</c:v>
                </c:pt>
                <c:pt idx="8">
                  <c:v>0.128089150795077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2561375"/>
        <c:axId val="48225965"/>
      </c:lineChart>
      <c:catAx>
        <c:axId val="3256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225965"/>
        <c:crosses val="autoZero"/>
        <c:auto val="1"/>
        <c:lblAlgn val="ctr"/>
        <c:lblOffset val="100"/>
        <c:noMultiLvlLbl val="0"/>
      </c:catAx>
      <c:valAx>
        <c:axId val="482259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613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0</xdr:rowOff>
    </xdr:from>
    <xdr:to>
      <xdr:col>8</xdr:col>
      <xdr:colOff>699840</xdr:colOff>
      <xdr:row>36</xdr:row>
      <xdr:rowOff>32760</xdr:rowOff>
    </xdr:to>
    <xdr:graphicFrame>
      <xdr:nvGraphicFramePr>
        <xdr:cNvPr id="0" name="Chart 1"/>
        <xdr:cNvGraphicFramePr/>
      </xdr:nvGraphicFramePr>
      <xdr:xfrm>
        <a:off x="758880" y="421956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43</xdr:row>
      <xdr:rowOff>0</xdr:rowOff>
    </xdr:from>
    <xdr:to>
      <xdr:col>8</xdr:col>
      <xdr:colOff>699840</xdr:colOff>
      <xdr:row>57</xdr:row>
      <xdr:rowOff>32760</xdr:rowOff>
    </xdr:to>
    <xdr:graphicFrame>
      <xdr:nvGraphicFramePr>
        <xdr:cNvPr id="1" name="Chart 2"/>
        <xdr:cNvGraphicFramePr/>
      </xdr:nvGraphicFramePr>
      <xdr:xfrm>
        <a:off x="758880" y="822024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64</xdr:row>
      <xdr:rowOff>0</xdr:rowOff>
    </xdr:from>
    <xdr:to>
      <xdr:col>8</xdr:col>
      <xdr:colOff>699840</xdr:colOff>
      <xdr:row>78</xdr:row>
      <xdr:rowOff>32760</xdr:rowOff>
    </xdr:to>
    <xdr:graphicFrame>
      <xdr:nvGraphicFramePr>
        <xdr:cNvPr id="2" name="Chart 3"/>
        <xdr:cNvGraphicFramePr/>
      </xdr:nvGraphicFramePr>
      <xdr:xfrm>
        <a:off x="758880" y="1222056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K375"/>
  <sheetViews>
    <sheetView showFormulas="false" showGridLines="fals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43"/>
    <col collapsed="false" customWidth="true" hidden="false" outlineLevel="0" max="2" min="2" style="0" width="70"/>
    <col collapsed="false" customWidth="true" hidden="false" outlineLevel="0" max="26" min="3" style="0" width="12.5"/>
    <col collapsed="false" customWidth="true" hidden="false" outlineLevel="0" max="27" min="27" style="0" width="70"/>
    <col collapsed="false" customWidth="true" hidden="false" outlineLevel="0" max="28" min="28" style="0" width="3"/>
    <col collapsed="false" customWidth="true" hidden="false" outlineLevel="0" max="30" min="29" style="0" width="11"/>
    <col collapsed="false" customWidth="true" hidden="false" outlineLevel="0" max="32" min="31" style="0" width="3"/>
    <col collapsed="false" customWidth="true" hidden="false" outlineLevel="0" max="33" min="33" style="0" width="58"/>
    <col collapsed="false" customWidth="true" hidden="false" outlineLevel="0" max="36" min="34" style="0" width="11"/>
    <col collapsed="false" customWidth="true" hidden="false" outlineLevel="0" max="37" min="37" style="0" width="70"/>
  </cols>
  <sheetData>
    <row r="1" customFormat="false" ht="15" hidden="false" customHeight="tru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 t="s">
        <v>0</v>
      </c>
      <c r="AB1" s="1"/>
      <c r="AC1" s="1"/>
      <c r="AD1" s="1"/>
    </row>
    <row r="2" customFormat="false" ht="21" hidden="false" customHeight="true" outlineLevel="0" collapsed="false"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4" t="s">
        <v>2</v>
      </c>
      <c r="AB2" s="1"/>
      <c r="AC2" s="1"/>
      <c r="AD2" s="1"/>
    </row>
    <row r="3" customFormat="false" ht="15" hidden="false" customHeight="true" outlineLevel="0" collapsed="false">
      <c r="B3" s="5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true" outlineLevel="0" collapsed="false">
      <c r="B4" s="6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" hidden="false" customHeight="true" outlineLevel="0" collapsed="false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7"/>
      <c r="U5" s="7"/>
      <c r="V5" s="7"/>
      <c r="W5" s="7"/>
      <c r="X5" s="7"/>
      <c r="Y5" s="7"/>
      <c r="Z5" s="7"/>
      <c r="AA5" s="1"/>
      <c r="AB5" s="1"/>
      <c r="AC5" s="8" t="s">
        <v>5</v>
      </c>
      <c r="AD5" s="8" t="s">
        <v>6</v>
      </c>
    </row>
    <row r="6" customFormat="false" ht="15" hidden="false" customHeight="true" outlineLevel="0" collapsed="false">
      <c r="B6" s="9" t="s">
        <v>7</v>
      </c>
      <c r="C6" s="10" t="n">
        <v>2022</v>
      </c>
      <c r="D6" s="10" t="n">
        <v>2023</v>
      </c>
      <c r="E6" s="10" t="s">
        <v>8</v>
      </c>
      <c r="F6" s="10" t="s">
        <v>9</v>
      </c>
      <c r="G6" s="10" t="s">
        <v>10</v>
      </c>
      <c r="H6" s="10" t="s">
        <v>11</v>
      </c>
      <c r="I6" s="10" t="s">
        <v>12</v>
      </c>
      <c r="J6" s="10" t="n">
        <v>2024</v>
      </c>
      <c r="K6" s="10" t="s">
        <v>13</v>
      </c>
      <c r="L6" s="10" t="s">
        <v>14</v>
      </c>
      <c r="M6" s="10" t="s">
        <v>15</v>
      </c>
      <c r="N6" s="10" t="s">
        <v>16</v>
      </c>
      <c r="O6" s="10" t="s">
        <v>17</v>
      </c>
      <c r="P6" s="10" t="n">
        <v>2025</v>
      </c>
      <c r="Q6" s="10" t="s">
        <v>18</v>
      </c>
      <c r="R6" s="10" t="s">
        <v>19</v>
      </c>
      <c r="S6" s="10" t="s">
        <v>20</v>
      </c>
      <c r="T6" s="10" t="s">
        <v>21</v>
      </c>
      <c r="U6" s="10" t="s">
        <v>22</v>
      </c>
      <c r="V6" s="10" t="s">
        <v>23</v>
      </c>
      <c r="W6" s="10" t="s">
        <v>24</v>
      </c>
      <c r="X6" s="10" t="s">
        <v>25</v>
      </c>
      <c r="Y6" s="10" t="s">
        <v>26</v>
      </c>
      <c r="Z6" s="10" t="s">
        <v>27</v>
      </c>
      <c r="AA6" s="10" t="s">
        <v>28</v>
      </c>
      <c r="AB6" s="1"/>
      <c r="AC6" s="8" t="s">
        <v>29</v>
      </c>
      <c r="AD6" s="8" t="s">
        <v>30</v>
      </c>
    </row>
    <row r="7" customFormat="false" ht="15" hidden="false" customHeight="true" outlineLevel="0" collapsed="false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1" t="s">
        <v>31</v>
      </c>
      <c r="AD7" s="11" t="s">
        <v>32</v>
      </c>
    </row>
    <row r="8" customFormat="false" ht="15" hidden="false" customHeight="true" outlineLevel="0" collapsed="false">
      <c r="B8" s="12" t="s">
        <v>33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 t="s">
        <v>34</v>
      </c>
      <c r="AB8" s="1"/>
      <c r="AC8" s="1"/>
      <c r="AD8" s="1"/>
    </row>
    <row r="9" customFormat="false" ht="15" hidden="false" customHeight="false" outlineLevel="0" collapsed="false">
      <c r="AG9" s="13" t="s">
        <v>35</v>
      </c>
      <c r="AH9" s="14" t="s">
        <v>36</v>
      </c>
      <c r="AI9" s="14" t="s">
        <v>2</v>
      </c>
      <c r="AJ9" s="14" t="s">
        <v>37</v>
      </c>
      <c r="AK9" s="15" t="s">
        <v>38</v>
      </c>
    </row>
    <row r="10" customFormat="false" ht="15" hidden="false" customHeight="true" outlineLevel="0" collapsed="false">
      <c r="B10" s="16" t="s">
        <v>39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7" t="s">
        <v>40</v>
      </c>
      <c r="AB10" s="1"/>
      <c r="AC10" s="1"/>
      <c r="AD10" s="1"/>
    </row>
    <row r="11" customFormat="false" ht="15" hidden="false" customHeight="true" outlineLevel="0" collapsed="false">
      <c r="B11" s="18" t="s">
        <v>41</v>
      </c>
      <c r="C11" s="19" t="n">
        <v>72.296</v>
      </c>
      <c r="D11" s="19" t="n">
        <v>100.093</v>
      </c>
      <c r="E11" s="19" t="n">
        <v>24.822</v>
      </c>
      <c r="F11" s="19" t="n">
        <v>28.741</v>
      </c>
      <c r="G11" s="20" t="n">
        <f aca="false">E11+F11</f>
        <v>53.563</v>
      </c>
      <c r="H11" s="19" t="n">
        <v>26.927</v>
      </c>
      <c r="I11" s="19" t="n">
        <v>34.104</v>
      </c>
      <c r="J11" s="19" t="n">
        <v>114.594</v>
      </c>
      <c r="K11" s="19" t="n">
        <v>30.056</v>
      </c>
      <c r="L11" s="19" t="n">
        <v>34.96</v>
      </c>
      <c r="M11" s="20" t="n">
        <f aca="false">K11+L11</f>
        <v>65.016</v>
      </c>
      <c r="N11" s="19" t="n">
        <v>36.608</v>
      </c>
      <c r="O11" s="19" t="n">
        <v>48.363</v>
      </c>
      <c r="P11" s="19" t="n">
        <v>149.987</v>
      </c>
      <c r="Q11" s="19" t="n">
        <v>35.688</v>
      </c>
      <c r="R11" s="19" t="n">
        <v>43.417</v>
      </c>
      <c r="S11" s="20" t="n">
        <f aca="false">Q11+R11</f>
        <v>79.105</v>
      </c>
      <c r="T11" s="21" t="n">
        <f aca="false">IFERROR($S11/$S48,0)*T48</f>
        <v>45.5949805030063</v>
      </c>
      <c r="U11" s="21" t="n">
        <f aca="false">IFERROR($S11/$S48,0)*U48</f>
        <v>50.3515163179183</v>
      </c>
      <c r="V11" s="21" t="n">
        <f aca="false">SUM(Q11,R11,T11,U11)</f>
        <v>175.051496820925</v>
      </c>
      <c r="W11" s="21" t="n">
        <f aca="false">V11*(1+W12)</f>
        <v>206.560766248691</v>
      </c>
      <c r="X11" s="21" t="n">
        <f aca="false">W11*(1+X12)</f>
        <v>237.544881185995</v>
      </c>
      <c r="Y11" s="21" t="n">
        <f aca="false">X11*(1+Y12)</f>
        <v>268.425715740174</v>
      </c>
      <c r="Z11" s="21" t="n">
        <f aca="false">Y11*(1+Z12)</f>
        <v>297.952544471593</v>
      </c>
      <c r="AA11" s="22" t="s">
        <v>42</v>
      </c>
      <c r="AB11" s="1"/>
      <c r="AC11" s="23" t="n">
        <f aca="false">IFERROR(IF(AND(Z11&gt;0,P11&gt;0),(Z11/P11)^(1/5)-1,"n/m"),"n/m")</f>
        <v>0.147146002359152</v>
      </c>
      <c r="AD11" s="23" t="n">
        <f aca="false">IFERROR(IF(AND(P11&gt;0,C11&gt;0),(P11/C11)^(1/3)-1,"n/m"),"n/m")</f>
        <v>0.275400108994438</v>
      </c>
      <c r="AG11" s="17" t="s">
        <v>43</v>
      </c>
      <c r="AH11" s="24" t="s">
        <v>44</v>
      </c>
      <c r="AI11" s="24" t="s">
        <v>45</v>
      </c>
      <c r="AJ11" s="24" t="s">
        <v>46</v>
      </c>
      <c r="AK11" s="1"/>
    </row>
    <row r="12" customFormat="false" ht="15" hidden="false" customHeight="true" outlineLevel="0" collapsed="false">
      <c r="B12" s="25" t="s">
        <v>47</v>
      </c>
      <c r="C12" s="26"/>
      <c r="D12" s="26" t="n">
        <f aca="false">IFERROR(D11/C11-1,"")</f>
        <v>0.384488768396592</v>
      </c>
      <c r="E12" s="26"/>
      <c r="F12" s="26"/>
      <c r="G12" s="26"/>
      <c r="H12" s="26"/>
      <c r="I12" s="26"/>
      <c r="J12" s="26" t="n">
        <f aca="false">IFERROR(J11/D11-1,"")</f>
        <v>0.144875266002618</v>
      </c>
      <c r="K12" s="26" t="n">
        <f aca="false">IFERROR(K11/E11-1,"")</f>
        <v>0.210861332688744</v>
      </c>
      <c r="L12" s="26" t="n">
        <f aca="false">IFERROR(L11/F11-1,"")</f>
        <v>0.216380780070283</v>
      </c>
      <c r="M12" s="26" t="n">
        <f aca="false">IFERROR(M11/G11-1,"")</f>
        <v>0.213822974814704</v>
      </c>
      <c r="N12" s="26" t="n">
        <f aca="false">IFERROR(N11/H11-1,"")</f>
        <v>0.359527611690868</v>
      </c>
      <c r="O12" s="26" t="n">
        <f aca="false">IFERROR(O11/I11-1,"")</f>
        <v>0.418103448275862</v>
      </c>
      <c r="P12" s="26" t="n">
        <f aca="false">IFERROR(P11/J11-1,"")</f>
        <v>0.308855611986666</v>
      </c>
      <c r="Q12" s="26" t="n">
        <f aca="false">IFERROR(Q11/K11-1,"")</f>
        <v>0.18738355070535</v>
      </c>
      <c r="R12" s="26" t="n">
        <f aca="false">IFERROR(R11/L11-1,"")</f>
        <v>0.241905034324943</v>
      </c>
      <c r="S12" s="26" t="n">
        <f aca="false">IFERROR(S11/M11-1,"")</f>
        <v>0.216700504491202</v>
      </c>
      <c r="T12" s="27" t="n">
        <f aca="false">IFERROR(T11/N11-1,"")</f>
        <v>0.245492255873205</v>
      </c>
      <c r="U12" s="27" t="n">
        <f aca="false">IFERROR(U11/O11-1,"")</f>
        <v>0.0411164799106409</v>
      </c>
      <c r="V12" s="27" t="n">
        <f aca="false">IFERROR(V11/P11-1,"")</f>
        <v>0.167111128437295</v>
      </c>
      <c r="W12" s="27" t="n">
        <f aca="false">CHOOSE(MATCH($AA$2,{"Bull","Base","Bear"},0),$AH$22,$AI$22,$AJ$22)</f>
        <v>0.18</v>
      </c>
      <c r="X12" s="27" t="n">
        <f aca="false">CHOOSE(MATCH($AA$2,{"Bull","Base","Bear"},0),$AH$23,$AI$23,$AJ$23)</f>
        <v>0.15</v>
      </c>
      <c r="Y12" s="27" t="n">
        <f aca="false">CHOOSE(MATCH($AA$2,{"Bull","Base","Bear"},0),$AH$24,$AI$24,$AJ$24)</f>
        <v>0.13</v>
      </c>
      <c r="Z12" s="27" t="n">
        <f aca="false">CHOOSE(MATCH($AA$2,{"Bull","Base","Bear"},0),$AH$25,$AI$25,$AJ$25)</f>
        <v>0.11</v>
      </c>
      <c r="AA12" s="22" t="s">
        <v>48</v>
      </c>
      <c r="AB12" s="1"/>
      <c r="AC12" s="28" t="n">
        <f aca="false">IFERROR(AVERAGE(V12,W12,X12,Y12,Z12),"n/m")</f>
        <v>0.147422225687459</v>
      </c>
      <c r="AD12" s="28" t="n">
        <f aca="false">IFERROR(AVERAGE(C12,D12,J12,P12),"n/m")</f>
        <v>0.279406548795292</v>
      </c>
      <c r="AG12" s="29" t="s">
        <v>49</v>
      </c>
      <c r="AH12" s="30" t="n">
        <v>745</v>
      </c>
      <c r="AI12" s="30" t="n">
        <v>737.5</v>
      </c>
      <c r="AJ12" s="30" t="n">
        <v>730</v>
      </c>
      <c r="AK12" s="1" t="s">
        <v>50</v>
      </c>
    </row>
    <row r="13" customFormat="false" ht="15" hidden="false" customHeight="true" outlineLevel="0" collapsed="false">
      <c r="B13" s="25" t="s">
        <v>51</v>
      </c>
      <c r="C13" s="31" t="n">
        <f aca="false">IFERROR(C11/C92,"")</f>
        <v>0.319455613980823</v>
      </c>
      <c r="D13" s="31" t="n">
        <f aca="false">IFERROR(D11/D92,"")</f>
        <v>0.356577189576246</v>
      </c>
      <c r="E13" s="31" t="n">
        <f aca="false">IFERROR(E11/E92,"")</f>
        <v>0.299038623713948</v>
      </c>
      <c r="F13" s="31" t="n">
        <f aca="false">IFERROR(F11/F92,"")</f>
        <v>0.337974341184633</v>
      </c>
      <c r="G13" s="31" t="n">
        <f aca="false">IFERROR(G11/G92,"")</f>
        <v>0.31874200362998</v>
      </c>
      <c r="H13" s="31" t="n">
        <f aca="false">IFERROR(H11/H92,"")</f>
        <v>0.31322119858552</v>
      </c>
      <c r="I13" s="31" t="n">
        <f aca="false">IFERROR(I11/I92,"")</f>
        <v>0.373791621911923</v>
      </c>
      <c r="J13" s="31" t="n">
        <f aca="false">IFERROR(J11/J92,"")</f>
        <v>0.331915041520517</v>
      </c>
      <c r="K13" s="31" t="n">
        <f aca="false">IFERROR(K11/K92,"")</f>
        <v>0.300187767168711</v>
      </c>
      <c r="L13" s="31" t="n">
        <f aca="false">IFERROR(L11/L92,"")</f>
        <v>0.303743798708915</v>
      </c>
      <c r="M13" s="31" t="n">
        <f aca="false">IFERROR(M11/M92,"")</f>
        <v>0.302089480115788</v>
      </c>
      <c r="N13" s="31" t="n">
        <f aca="false">IFERROR(N11/N92,"")</f>
        <v>0.300590374998974</v>
      </c>
      <c r="O13" s="31" t="n">
        <f aca="false">IFERROR(O11/O92,"")</f>
        <v>0.359597596883086</v>
      </c>
      <c r="P13" s="31" t="n">
        <f aca="false">IFERROR(P11/P92,"")</f>
        <v>0.318106044538706</v>
      </c>
      <c r="Q13" s="31" t="n">
        <f aca="false">IFERROR(Q11/Q92,"")</f>
        <v>0.236016136498909</v>
      </c>
      <c r="R13" s="31" t="n">
        <f aca="false">IFERROR(R11/R92,"")</f>
        <v>0.238472396917551</v>
      </c>
      <c r="S13" s="31" t="n">
        <f aca="false">IFERROR(S11/S92,"")</f>
        <v>0.237357961791084</v>
      </c>
      <c r="T13" s="27" t="n">
        <f aca="false">IFERROR(T11/T92,"")</f>
        <v>0.233708055566013</v>
      </c>
      <c r="U13" s="27" t="n">
        <f aca="false">IFERROR(U11/U92,"")</f>
        <v>0.227697625152432</v>
      </c>
      <c r="V13" s="27" t="n">
        <f aca="false">IFERROR(V11/V92,"")</f>
        <v>0.233557700895163</v>
      </c>
      <c r="W13" s="27" t="n">
        <f aca="false">IFERROR(W11/W92,"")</f>
        <v>0.215568769729658</v>
      </c>
      <c r="X13" s="27" t="n">
        <f aca="false">IFERROR(X11/X92,"")</f>
        <v>0.200029573449992</v>
      </c>
      <c r="Y13" s="27" t="n">
        <f aca="false">IFERROR(Y11/Y92,"")</f>
        <v>0.187206831869706</v>
      </c>
      <c r="Z13" s="27" t="n">
        <f aca="false">IFERROR(Z11/Z92,"")</f>
        <v>0.176055311639609</v>
      </c>
      <c r="AA13" s="22"/>
      <c r="AB13" s="1"/>
      <c r="AC13" s="28" t="n">
        <f aca="false">IFERROR(AVERAGE(V13,W13,X13,Y13,Z13),"n/m")</f>
        <v>0.202483637516826</v>
      </c>
      <c r="AD13" s="28" t="n">
        <f aca="false">IFERROR(AVERAGE(C13,D13,J13,P13),"n/m")</f>
        <v>0.331513472404073</v>
      </c>
      <c r="AG13" s="29" t="s">
        <v>52</v>
      </c>
      <c r="AH13" s="30" t="n">
        <v>222.5</v>
      </c>
      <c r="AI13" s="30" t="n">
        <v>218.75</v>
      </c>
      <c r="AJ13" s="30" t="n">
        <v>215</v>
      </c>
      <c r="AK13" s="1" t="s">
        <v>53</v>
      </c>
    </row>
    <row r="15" customFormat="false" ht="15" hidden="false" customHeight="true" outlineLevel="0" collapsed="false">
      <c r="B15" s="16" t="s">
        <v>54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7" t="s">
        <v>55</v>
      </c>
      <c r="AB15" s="1"/>
      <c r="AC15" s="1"/>
      <c r="AD15" s="1"/>
      <c r="AG15" s="17" t="s">
        <v>56</v>
      </c>
      <c r="AH15" s="24"/>
      <c r="AI15" s="24"/>
      <c r="AJ15" s="24"/>
      <c r="AK15" s="15" t="s">
        <v>57</v>
      </c>
    </row>
    <row r="16" customFormat="false" ht="15" hidden="false" customHeight="true" outlineLevel="0" collapsed="false">
      <c r="B16" s="18" t="s">
        <v>41</v>
      </c>
      <c r="C16" s="19" t="n">
        <v>79.664</v>
      </c>
      <c r="D16" s="19" t="n">
        <v>94.643</v>
      </c>
      <c r="E16" s="19" t="n">
        <v>30.256</v>
      </c>
      <c r="F16" s="19" t="n">
        <v>28.512</v>
      </c>
      <c r="G16" s="20" t="n">
        <f aca="false">E16+F16</f>
        <v>58.768</v>
      </c>
      <c r="H16" s="19" t="n">
        <v>27.64</v>
      </c>
      <c r="I16" s="19" t="n">
        <v>28.628</v>
      </c>
      <c r="J16" s="19" t="n">
        <v>115.036</v>
      </c>
      <c r="K16" s="19" t="n">
        <v>33.871</v>
      </c>
      <c r="L16" s="19" t="n">
        <v>39.597</v>
      </c>
      <c r="M16" s="20" t="n">
        <f aca="false">K16+L16</f>
        <v>73.468</v>
      </c>
      <c r="N16" s="19" t="n">
        <v>40.697</v>
      </c>
      <c r="O16" s="19" t="n">
        <v>35.66</v>
      </c>
      <c r="P16" s="19" t="n">
        <v>149.825</v>
      </c>
      <c r="Q16" s="19" t="n">
        <v>43.854</v>
      </c>
      <c r="R16" s="19" t="n">
        <v>42.072</v>
      </c>
      <c r="S16" s="20" t="n">
        <f aca="false">Q16+R16</f>
        <v>85.926</v>
      </c>
      <c r="T16" s="21" t="n">
        <f aca="false">IFERROR($S16/$S48,0)*T48</f>
        <v>49.526506474955</v>
      </c>
      <c r="U16" s="21" t="n">
        <f aca="false">IFERROR($S16/$S48,0)*U48</f>
        <v>54.693184895183</v>
      </c>
      <c r="V16" s="21" t="n">
        <f aca="false">SUM(Q16,R16,T16,U16)</f>
        <v>190.145691370138</v>
      </c>
      <c r="W16" s="21" t="n">
        <f aca="false">V16*(1+W17)</f>
        <v>218.667545075659</v>
      </c>
      <c r="X16" s="21" t="n">
        <f aca="false">W16*(1+X17)</f>
        <v>247.094325935494</v>
      </c>
      <c r="Y16" s="21" t="n">
        <f aca="false">X16*(1+Y17)</f>
        <v>274.274701788399</v>
      </c>
      <c r="Z16" s="21" t="n">
        <f aca="false">Y16*(1+Z17)</f>
        <v>301.702171967239</v>
      </c>
      <c r="AA16" s="22" t="s">
        <v>42</v>
      </c>
      <c r="AB16" s="1"/>
      <c r="AC16" s="23" t="n">
        <f aca="false">IFERROR(IF(AND(Z16&gt;0,P16&gt;0),(Z16/P16)^(1/5)-1,"n/m"),"n/m")</f>
        <v>0.1502674491082</v>
      </c>
      <c r="AD16" s="23" t="n">
        <f aca="false">IFERROR(IF(AND(P16&gt;0,C16&gt;0),(P16/C16)^(1/3)-1,"n/m"),"n/m")</f>
        <v>0.234356833887152</v>
      </c>
      <c r="AG16" s="29" t="s">
        <v>58</v>
      </c>
      <c r="AH16" s="1"/>
      <c r="AI16" s="32" t="n">
        <v>0.24</v>
      </c>
      <c r="AJ16" s="1"/>
      <c r="AK16" s="1" t="s">
        <v>59</v>
      </c>
    </row>
    <row r="17" customFormat="false" ht="15" hidden="false" customHeight="true" outlineLevel="0" collapsed="false">
      <c r="B17" s="25" t="s">
        <v>47</v>
      </c>
      <c r="C17" s="26"/>
      <c r="D17" s="26" t="n">
        <f aca="false">IFERROR(D16/C16-1,"")</f>
        <v>0.18802721430006</v>
      </c>
      <c r="E17" s="26"/>
      <c r="F17" s="26"/>
      <c r="G17" s="26"/>
      <c r="H17" s="26"/>
      <c r="I17" s="26"/>
      <c r="J17" s="26" t="n">
        <f aca="false">IFERROR(J16/D16-1,"")</f>
        <v>0.215472882305083</v>
      </c>
      <c r="K17" s="26" t="n">
        <f aca="false">IFERROR(K16/E16-1,"")</f>
        <v>0.119480433632998</v>
      </c>
      <c r="L17" s="26" t="n">
        <f aca="false">IFERROR(L16/F16-1,"")</f>
        <v>0.38878367003367</v>
      </c>
      <c r="M17" s="26" t="n">
        <f aca="false">IFERROR(M16/G16-1,"")</f>
        <v>0.250136128505309</v>
      </c>
      <c r="N17" s="26" t="n">
        <f aca="false">IFERROR(N16/H16-1,"")</f>
        <v>0.47239507959479</v>
      </c>
      <c r="O17" s="26" t="n">
        <f aca="false">IFERROR(O16/I16-1,"")</f>
        <v>0.245633645382143</v>
      </c>
      <c r="P17" s="26" t="n">
        <f aca="false">IFERROR(P16/J16-1,"")</f>
        <v>0.302418373378768</v>
      </c>
      <c r="Q17" s="26" t="n">
        <f aca="false">IFERROR(Q16/K16-1,"")</f>
        <v>0.294735909775324</v>
      </c>
      <c r="R17" s="26" t="n">
        <f aca="false">IFERROR(R16/L16-1,"")</f>
        <v>0.0625047352072128</v>
      </c>
      <c r="S17" s="26" t="n">
        <f aca="false">IFERROR(S16/M16-1,"")</f>
        <v>0.169570425219143</v>
      </c>
      <c r="T17" s="27" t="n">
        <f aca="false">IFERROR(T16/N16-1,"")</f>
        <v>0.216957182960784</v>
      </c>
      <c r="U17" s="27" t="n">
        <f aca="false">IFERROR(U16/O16-1,"")</f>
        <v>0.533740462568228</v>
      </c>
      <c r="V17" s="27" t="n">
        <f aca="false">IFERROR(V16/P16-1,"")</f>
        <v>0.269118580811867</v>
      </c>
      <c r="W17" s="27" t="n">
        <f aca="false">CHOOSE(MATCH($AA$2,{"Bull","Base","Bear"},0),$AH$28,$AI$28,$AJ$28)</f>
        <v>0.15</v>
      </c>
      <c r="X17" s="27" t="n">
        <f aca="false">CHOOSE(MATCH($AA$2,{"Bull","Base","Bear"},0),$AH$29,$AI$29,$AJ$29)</f>
        <v>0.13</v>
      </c>
      <c r="Y17" s="27" t="n">
        <f aca="false">CHOOSE(MATCH($AA$2,{"Bull","Base","Bear"},0),$AH$30,$AI$30,$AJ$30)</f>
        <v>0.11</v>
      </c>
      <c r="Z17" s="27" t="n">
        <f aca="false">CHOOSE(MATCH($AA$2,{"Bull","Base","Bear"},0),$AH$31,$AI$31,$AJ$31)</f>
        <v>0.1</v>
      </c>
      <c r="AA17" s="22" t="s">
        <v>60</v>
      </c>
      <c r="AB17" s="1"/>
      <c r="AC17" s="28" t="n">
        <f aca="false">IFERROR(AVERAGE(V17,W17,X17,Y17,Z17),"n/m")</f>
        <v>0.151823716162374</v>
      </c>
      <c r="AD17" s="28" t="n">
        <f aca="false">IFERROR(AVERAGE(C17,D17,J17,P17),"n/m")</f>
        <v>0.235306156661304</v>
      </c>
      <c r="AG17" s="29" t="s">
        <v>61</v>
      </c>
      <c r="AH17" s="1"/>
      <c r="AI17" s="33" t="n">
        <v>36.5</v>
      </c>
      <c r="AJ17" s="1"/>
      <c r="AK17" s="1" t="s">
        <v>62</v>
      </c>
    </row>
    <row r="18" customFormat="false" ht="15" hidden="false" customHeight="true" outlineLevel="0" collapsed="false">
      <c r="B18" s="25" t="s">
        <v>51</v>
      </c>
      <c r="C18" s="31" t="n">
        <f aca="false">IFERROR(C16/C92,"")</f>
        <v>0.352012725906942</v>
      </c>
      <c r="D18" s="31" t="n">
        <f aca="false">IFERROR(D16/D92,"")</f>
        <v>0.337161789066814</v>
      </c>
      <c r="E18" s="31" t="n">
        <f aca="false">IFERROR(E16/E92,"")</f>
        <v>0.364503770811749</v>
      </c>
      <c r="F18" s="31" t="n">
        <f aca="false">IFERROR(F16/F92,"")</f>
        <v>0.335281459095239</v>
      </c>
      <c r="G18" s="31" t="n">
        <f aca="false">IFERROR(G16/G92,"")</f>
        <v>0.349715849921152</v>
      </c>
      <c r="H18" s="31" t="n">
        <f aca="false">IFERROR(H16/H92,"")</f>
        <v>0.321514982319002</v>
      </c>
      <c r="I18" s="31" t="n">
        <f aca="false">IFERROR(I16/I92,"")</f>
        <v>0.313772770117714</v>
      </c>
      <c r="J18" s="31" t="n">
        <f aca="false">IFERROR(J16/J92,"")</f>
        <v>0.333195269528546</v>
      </c>
      <c r="K18" s="31" t="n">
        <f aca="false">IFERROR(K16/K92,"")</f>
        <v>0.338290519755503</v>
      </c>
      <c r="L18" s="31" t="n">
        <f aca="false">IFERROR(L16/L92,"")</f>
        <v>0.344031555991903</v>
      </c>
      <c r="M18" s="31" t="n">
        <f aca="false">IFERROR(M16/M92,"")</f>
        <v>0.341360740819901</v>
      </c>
      <c r="N18" s="31" t="n">
        <f aca="false">IFERROR(N16/N92,"")</f>
        <v>0.334165387110283</v>
      </c>
      <c r="O18" s="31" t="n">
        <f aca="false">IFERROR(O16/O92,"")</f>
        <v>0.265145882282961</v>
      </c>
      <c r="P18" s="31" t="n">
        <f aca="false">IFERROR(P16/P92,"")</f>
        <v>0.317762460233298</v>
      </c>
      <c r="Q18" s="31" t="n">
        <f aca="false">IFERROR(Q16/Q92,"")</f>
        <v>0.290020501289597</v>
      </c>
      <c r="R18" s="31" t="n">
        <f aca="false">IFERROR(R16/R92,"")</f>
        <v>0.231084844257208</v>
      </c>
      <c r="S18" s="31" t="n">
        <f aca="false">IFERROR(S16/S92,"")</f>
        <v>0.257824666264594</v>
      </c>
      <c r="T18" s="27" t="n">
        <f aca="false">IFERROR(T16/T92,"")</f>
        <v>0.25386003896802</v>
      </c>
      <c r="U18" s="27" t="n">
        <f aca="false">IFERROR(U16/U92,"")</f>
        <v>0.247331346170886</v>
      </c>
      <c r="V18" s="27" t="n">
        <f aca="false">IFERROR(V16/V92,"")</f>
        <v>0.253696719639944</v>
      </c>
      <c r="W18" s="27" t="n">
        <f aca="false">IFERROR(W16/W92,"")</f>
        <v>0.228203518644059</v>
      </c>
      <c r="X18" s="27" t="n">
        <f aca="false">IFERROR(X16/X92,"")</f>
        <v>0.208070880635353</v>
      </c>
      <c r="Y18" s="27" t="n">
        <f aca="false">IFERROR(Y16/Y92,"")</f>
        <v>0.191286061554235</v>
      </c>
      <c r="Z18" s="27" t="n">
        <f aca="false">IFERROR(Z16/Z92,"")</f>
        <v>0.178270905530405</v>
      </c>
      <c r="AA18" s="22"/>
      <c r="AB18" s="1"/>
      <c r="AC18" s="28" t="n">
        <f aca="false">IFERROR(AVERAGE(V18,W18,X18,Y18,Z18),"n/m")</f>
        <v>0.211905617200799</v>
      </c>
      <c r="AD18" s="28" t="n">
        <f aca="false">IFERROR(AVERAGE(C18,D18,J18,P18),"n/m")</f>
        <v>0.3350330611839</v>
      </c>
      <c r="AG18" s="29" t="s">
        <v>63</v>
      </c>
      <c r="AH18" s="1"/>
      <c r="AI18" s="33" t="n">
        <v>1.5</v>
      </c>
      <c r="AJ18" s="1"/>
      <c r="AK18" s="1" t="s">
        <v>64</v>
      </c>
    </row>
    <row r="19" customFormat="false" ht="15" hidden="false" customHeight="false" outlineLevel="0" collapsed="false">
      <c r="AG19" s="29" t="s">
        <v>65</v>
      </c>
      <c r="AH19" s="1"/>
      <c r="AI19" s="33" t="n">
        <v>6</v>
      </c>
      <c r="AJ19" s="1"/>
      <c r="AK19" s="1" t="s">
        <v>66</v>
      </c>
    </row>
    <row r="20" customFormat="false" ht="15" hidden="false" customHeight="true" outlineLevel="0" collapsed="false">
      <c r="B20" s="16" t="s">
        <v>67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7" t="s">
        <v>68</v>
      </c>
      <c r="AB20" s="1"/>
      <c r="AC20" s="1"/>
      <c r="AD20" s="1"/>
    </row>
    <row r="21" customFormat="false" ht="15" hidden="false" customHeight="true" outlineLevel="0" collapsed="false">
      <c r="B21" s="18" t="s">
        <v>41</v>
      </c>
      <c r="C21" s="19" t="n">
        <v>74.351</v>
      </c>
      <c r="D21" s="19" t="n">
        <v>85.969</v>
      </c>
      <c r="E21" s="19" t="n">
        <v>27.928</v>
      </c>
      <c r="F21" s="19" t="n">
        <v>27.786</v>
      </c>
      <c r="G21" s="20" t="n">
        <f aca="false">E21+F21</f>
        <v>55.714</v>
      </c>
      <c r="H21" s="19" t="n">
        <v>31.401</v>
      </c>
      <c r="I21" s="19" t="n">
        <v>28.506</v>
      </c>
      <c r="J21" s="19" t="n">
        <v>115.621</v>
      </c>
      <c r="K21" s="19" t="n">
        <v>36.197</v>
      </c>
      <c r="L21" s="19" t="n">
        <v>40.54</v>
      </c>
      <c r="M21" s="20" t="n">
        <f aca="false">K21+L21</f>
        <v>76.737</v>
      </c>
      <c r="N21" s="19" t="n">
        <v>44.482</v>
      </c>
      <c r="O21" s="19" t="n">
        <v>50.469</v>
      </c>
      <c r="P21" s="19" t="n">
        <v>171.688</v>
      </c>
      <c r="Q21" s="19" t="n">
        <v>45.26</v>
      </c>
      <c r="R21" s="19" t="n">
        <v>63.012</v>
      </c>
      <c r="S21" s="20" t="n">
        <f aca="false">Q21+R21</f>
        <v>108.272</v>
      </c>
      <c r="T21" s="21" t="n">
        <f aca="false">IFERROR($S21/$S48,0)*T48</f>
        <v>62.4064184188294</v>
      </c>
      <c r="U21" s="21" t="n">
        <f aca="false">IFERROR($S21/$S48,0)*U48</f>
        <v>68.9167483063479</v>
      </c>
      <c r="V21" s="21" t="n">
        <f aca="false">SUM(Q21,R21,T21,U21)</f>
        <v>239.595166725177</v>
      </c>
      <c r="W21" s="21" t="n">
        <f aca="false">V21*(1+W22)</f>
        <v>297.09800673922</v>
      </c>
      <c r="X21" s="21" t="n">
        <f aca="false">W21*(1+X22)</f>
        <v>350.575647952279</v>
      </c>
      <c r="Y21" s="21" t="n">
        <f aca="false">X21*(1+Y22)</f>
        <v>403.161995145121</v>
      </c>
      <c r="Z21" s="21" t="n">
        <f aca="false">Y21*(1+Z22)</f>
        <v>451.541434562536</v>
      </c>
      <c r="AA21" s="22" t="s">
        <v>42</v>
      </c>
      <c r="AB21" s="1"/>
      <c r="AC21" s="23" t="n">
        <f aca="false">IFERROR(IF(AND(Z21&gt;0,P21&gt;0),(Z21/P21)^(1/5)-1,"n/m"),"n/m")</f>
        <v>0.213365195527586</v>
      </c>
      <c r="AD21" s="23" t="n">
        <f aca="false">IFERROR(IF(AND(P21&gt;0,C21&gt;0),(P21/C21)^(1/3)-1,"n/m"),"n/m")</f>
        <v>0.321755245156785</v>
      </c>
      <c r="AG21" s="17" t="s">
        <v>69</v>
      </c>
      <c r="AH21" s="34" t="n">
        <v>0.05</v>
      </c>
      <c r="AI21" s="24" t="s">
        <v>70</v>
      </c>
      <c r="AJ21" s="34" t="n">
        <v>-0.08</v>
      </c>
      <c r="AK21" s="15" t="s">
        <v>71</v>
      </c>
    </row>
    <row r="22" customFormat="false" ht="15" hidden="false" customHeight="true" outlineLevel="0" collapsed="false">
      <c r="B22" s="25" t="s">
        <v>47</v>
      </c>
      <c r="C22" s="26"/>
      <c r="D22" s="26" t="n">
        <f aca="false">IFERROR(D21/C21-1,"")</f>
        <v>0.156258826377587</v>
      </c>
      <c r="E22" s="26"/>
      <c r="F22" s="26"/>
      <c r="G22" s="26"/>
      <c r="H22" s="26"/>
      <c r="I22" s="26"/>
      <c r="J22" s="26" t="n">
        <f aca="false">IFERROR(J21/D21-1,"")</f>
        <v>0.344915027509916</v>
      </c>
      <c r="K22" s="26" t="n">
        <f aca="false">IFERROR(K21/E21-1,"")</f>
        <v>0.296082784302492</v>
      </c>
      <c r="L22" s="26" t="n">
        <f aca="false">IFERROR(L21/F21-1,"")</f>
        <v>0.459008133592457</v>
      </c>
      <c r="M22" s="26" t="n">
        <f aca="false">IFERROR(M21/G21-1,"")</f>
        <v>0.377337832501705</v>
      </c>
      <c r="N22" s="26" t="n">
        <f aca="false">IFERROR(N21/H21-1,"")</f>
        <v>0.416579089837903</v>
      </c>
      <c r="O22" s="26" t="n">
        <f aca="false">IFERROR(O21/I21-1,"")</f>
        <v>0.770469374868449</v>
      </c>
      <c r="P22" s="26" t="n">
        <f aca="false">IFERROR(P21/J21-1,"")</f>
        <v>0.484920559413947</v>
      </c>
      <c r="Q22" s="26" t="n">
        <f aca="false">IFERROR(Q21/K21-1,"")</f>
        <v>0.250379865734729</v>
      </c>
      <c r="R22" s="26" t="n">
        <f aca="false">IFERROR(R21/L21-1,"")</f>
        <v>0.55431672422299</v>
      </c>
      <c r="S22" s="26" t="n">
        <f aca="false">IFERROR(S21/M21-1,"")</f>
        <v>0.410949085838644</v>
      </c>
      <c r="T22" s="27" t="n">
        <f aca="false">IFERROR(T21/N21-1,"")</f>
        <v>0.402958914141211</v>
      </c>
      <c r="U22" s="27" t="n">
        <f aca="false">IFERROR(U21/O21-1,"")</f>
        <v>0.365526329159443</v>
      </c>
      <c r="V22" s="27" t="n">
        <f aca="false">IFERROR(V21/P21-1,"")</f>
        <v>0.395526575679007</v>
      </c>
      <c r="W22" s="27" t="n">
        <f aca="false">CHOOSE(MATCH($AA$2,{"Bull","Base","Bear"},0),$AH$34,$AI$34,$AJ$34)</f>
        <v>0.24</v>
      </c>
      <c r="X22" s="27" t="n">
        <f aca="false">CHOOSE(MATCH($AA$2,{"Bull","Base","Bear"},0),$AH$35,$AI$35,$AJ$35)</f>
        <v>0.18</v>
      </c>
      <c r="Y22" s="27" t="n">
        <f aca="false">CHOOSE(MATCH($AA$2,{"Bull","Base","Bear"},0),$AH$36,$AI$36,$AJ$36)</f>
        <v>0.15</v>
      </c>
      <c r="Z22" s="27" t="n">
        <f aca="false">CHOOSE(MATCH($AA$2,{"Bull","Base","Bear"},0),$AH$37,$AI$37,$AJ$37)</f>
        <v>0.12</v>
      </c>
      <c r="AA22" s="22" t="s">
        <v>72</v>
      </c>
      <c r="AB22" s="1"/>
      <c r="AC22" s="28" t="n">
        <f aca="false">IFERROR(AVERAGE(V22,W22,X22,Y22,Z22),"n/m")</f>
        <v>0.217105315135801</v>
      </c>
      <c r="AD22" s="28" t="n">
        <f aca="false">IFERROR(AVERAGE(C22,D22,J22,P22),"n/m")</f>
        <v>0.32869813776715</v>
      </c>
      <c r="AG22" s="29" t="s">
        <v>73</v>
      </c>
      <c r="AH22" s="35" t="n">
        <f aca="false">AI22+$AH$21</f>
        <v>0.23</v>
      </c>
      <c r="AI22" s="32" t="n">
        <v>0.18</v>
      </c>
      <c r="AJ22" s="35" t="n">
        <f aca="false">AI22+$AJ$21</f>
        <v>0.1</v>
      </c>
      <c r="AK22" s="1"/>
    </row>
    <row r="23" customFormat="false" ht="15" hidden="false" customHeight="true" outlineLevel="0" collapsed="false">
      <c r="B23" s="25" t="s">
        <v>51</v>
      </c>
      <c r="C23" s="31" t="n">
        <f aca="false">IFERROR(C21/C92,"")</f>
        <v>0.328536078829924</v>
      </c>
      <c r="D23" s="31" t="n">
        <f aca="false">IFERROR(D21/D92,"")</f>
        <v>0.306261021356941</v>
      </c>
      <c r="E23" s="31" t="n">
        <f aca="false">IFERROR(E21/E92,"")</f>
        <v>0.336457605474303</v>
      </c>
      <c r="F23" s="31" t="n">
        <f aca="false">IFERROR(F21/F92,"")</f>
        <v>0.326744199720128</v>
      </c>
      <c r="G23" s="31" t="n">
        <f aca="false">IFERROR(G21/G92,"")</f>
        <v>0.331542146448868</v>
      </c>
      <c r="H23" s="31" t="n">
        <f aca="false">IFERROR(H21/H92,"")</f>
        <v>0.365263819095477</v>
      </c>
      <c r="I23" s="31" t="n">
        <f aca="false">IFERROR(I21/I92,"")</f>
        <v>0.312435607970363</v>
      </c>
      <c r="J23" s="31" t="n">
        <f aca="false">IFERROR(J21/J92,"")</f>
        <v>0.334889688950937</v>
      </c>
      <c r="K23" s="31" t="n">
        <f aca="false">IFERROR(K21/K92,"")</f>
        <v>0.361521713075786</v>
      </c>
      <c r="L23" s="31" t="n">
        <f aca="false">IFERROR(L21/L92,"")</f>
        <v>0.352224645299182</v>
      </c>
      <c r="M23" s="31" t="n">
        <f aca="false">IFERROR(M21/M92,"")</f>
        <v>0.356549779064311</v>
      </c>
      <c r="N23" s="31" t="n">
        <f aca="false">IFERROR(N21/N92,"")</f>
        <v>0.365244237890744</v>
      </c>
      <c r="O23" s="31" t="n">
        <f aca="false">IFERROR(O21/O92,"")</f>
        <v>0.375256520833953</v>
      </c>
      <c r="P23" s="31" t="n">
        <f aca="false">IFERROR(P21/P92,"")</f>
        <v>0.364131495227996</v>
      </c>
      <c r="Q23" s="31" t="n">
        <f aca="false">IFERROR(Q21/Q92,"")</f>
        <v>0.299318828119833</v>
      </c>
      <c r="R23" s="31" t="n">
        <f aca="false">IFERROR(R21/R92,"")</f>
        <v>0.346099976381802</v>
      </c>
      <c r="S23" s="31" t="n">
        <f aca="false">IFERROR(S21/S92,"")</f>
        <v>0.324874802339223</v>
      </c>
      <c r="T23" s="27" t="n">
        <f aca="false">IFERROR(T21/T92,"")</f>
        <v>0.31987913017184</v>
      </c>
      <c r="U23" s="27" t="n">
        <f aca="false">IFERROR(U21/U92,"")</f>
        <v>0.311652579110096</v>
      </c>
      <c r="V23" s="27" t="n">
        <f aca="false">IFERROR(V21/V92,"")</f>
        <v>0.319673337858809</v>
      </c>
      <c r="W23" s="27" t="n">
        <f aca="false">IFERROR(W21/W92,"")</f>
        <v>0.310054290391233</v>
      </c>
      <c r="X23" s="27" t="n">
        <f aca="false">IFERROR(X21/X92,"")</f>
        <v>0.295209465140786</v>
      </c>
      <c r="Y23" s="27" t="n">
        <f aca="false">IFERROR(Y21/Y92,"")</f>
        <v>0.281175295121294</v>
      </c>
      <c r="Z23" s="27" t="n">
        <f aca="false">IFERROR(Z21/Z92,"")</f>
        <v>0.2668084883151</v>
      </c>
      <c r="AA23" s="22"/>
      <c r="AB23" s="1"/>
      <c r="AC23" s="28" t="n">
        <f aca="false">IFERROR(AVERAGE(V23,W23,X23,Y23,Z23),"n/m")</f>
        <v>0.294584175365444</v>
      </c>
      <c r="AD23" s="28" t="n">
        <f aca="false">IFERROR(AVERAGE(C23,D23,J23,P23),"n/m")</f>
        <v>0.333454571091449</v>
      </c>
      <c r="AG23" s="29" t="s">
        <v>74</v>
      </c>
      <c r="AH23" s="35" t="n">
        <f aca="false">AI23+$AH$21</f>
        <v>0.2</v>
      </c>
      <c r="AI23" s="32" t="n">
        <v>0.15</v>
      </c>
      <c r="AJ23" s="35" t="n">
        <f aca="false">AI23+$AJ$21</f>
        <v>0.07</v>
      </c>
      <c r="AK23" s="1"/>
    </row>
    <row r="24" customFormat="false" ht="15" hidden="false" customHeight="true" outlineLevel="0" collapsed="false">
      <c r="B24" s="36" t="s">
        <v>75</v>
      </c>
      <c r="C24" s="37" t="n">
        <v>74.351</v>
      </c>
      <c r="D24" s="37" t="n">
        <v>85.969</v>
      </c>
      <c r="E24" s="37"/>
      <c r="F24" s="37"/>
      <c r="G24" s="38"/>
      <c r="H24" s="37"/>
      <c r="I24" s="37"/>
      <c r="J24" s="37"/>
      <c r="K24" s="37"/>
      <c r="L24" s="37"/>
      <c r="M24" s="38"/>
      <c r="N24" s="37"/>
      <c r="O24" s="37"/>
      <c r="P24" s="37"/>
      <c r="Q24" s="37"/>
      <c r="R24" s="37"/>
      <c r="S24" s="38"/>
      <c r="T24" s="39"/>
      <c r="U24" s="39"/>
      <c r="V24" s="39"/>
      <c r="W24" s="39"/>
      <c r="X24" s="39"/>
      <c r="Y24" s="39"/>
      <c r="Z24" s="39"/>
      <c r="AA24" s="22" t="s">
        <v>76</v>
      </c>
      <c r="AB24" s="1"/>
      <c r="AC24" s="7"/>
      <c r="AD24" s="7"/>
      <c r="AG24" s="29" t="s">
        <v>77</v>
      </c>
      <c r="AH24" s="35" t="n">
        <f aca="false">AI24+$AH$21</f>
        <v>0.18</v>
      </c>
      <c r="AI24" s="32" t="n">
        <v>0.13</v>
      </c>
      <c r="AJ24" s="35" t="n">
        <f aca="false">AI24+$AJ$21</f>
        <v>0.05</v>
      </c>
      <c r="AK24" s="1"/>
    </row>
    <row r="25" customFormat="false" ht="15" hidden="false" customHeight="false" outlineLevel="0" collapsed="false">
      <c r="AG25" s="29" t="s">
        <v>78</v>
      </c>
      <c r="AH25" s="35" t="n">
        <f aca="false">AI25+$AH$21</f>
        <v>0.16</v>
      </c>
      <c r="AI25" s="32" t="n">
        <v>0.11</v>
      </c>
      <c r="AJ25" s="35" t="n">
        <f aca="false">AI25+$AJ$21</f>
        <v>0.03</v>
      </c>
      <c r="AK25" s="1"/>
    </row>
    <row r="26" customFormat="false" ht="15" hidden="false" customHeight="true" outlineLevel="0" collapsed="false">
      <c r="B26" s="16" t="s">
        <v>79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7" t="s">
        <v>80</v>
      </c>
      <c r="AB26" s="1"/>
      <c r="AC26" s="1"/>
      <c r="AD26" s="1"/>
    </row>
    <row r="27" customFormat="false" ht="15" hidden="false" customHeight="true" outlineLevel="0" collapsed="false">
      <c r="B27" s="18" t="s">
        <v>41</v>
      </c>
      <c r="C27" s="19"/>
      <c r="D27" s="19"/>
      <c r="E27" s="19"/>
      <c r="F27" s="19"/>
      <c r="G27" s="20" t="n">
        <f aca="false">E27+F27</f>
        <v>0</v>
      </c>
      <c r="H27" s="19"/>
      <c r="I27" s="19"/>
      <c r="J27" s="19"/>
      <c r="K27" s="19"/>
      <c r="L27" s="19"/>
      <c r="M27" s="20" t="n">
        <f aca="false">K27+L27</f>
        <v>0</v>
      </c>
      <c r="N27" s="19"/>
      <c r="O27" s="19"/>
      <c r="P27" s="19"/>
      <c r="Q27" s="19" t="n">
        <v>26.408</v>
      </c>
      <c r="R27" s="19" t="n">
        <v>33.562</v>
      </c>
      <c r="S27" s="20" t="n">
        <f aca="false">Q27+R27</f>
        <v>59.97</v>
      </c>
      <c r="T27" s="21" t="n">
        <f aca="false">IFERROR($S27/$S48,0)*T48</f>
        <v>34.5658426239212</v>
      </c>
      <c r="U27" s="21" t="n">
        <f aca="false">IFERROR($S27/$S48,0)*U48</f>
        <v>38.171802459839</v>
      </c>
      <c r="V27" s="21" t="n">
        <f aca="false">SUM(Q27,R27,T27,U27)</f>
        <v>132.70764508376</v>
      </c>
      <c r="W27" s="21" t="n">
        <f aca="false">V27*(1+W28)</f>
        <v>159.249174100512</v>
      </c>
      <c r="X27" s="21" t="n">
        <f aca="false">W27*(1+X28)</f>
        <v>186.321533697599</v>
      </c>
      <c r="Y27" s="21" t="n">
        <f aca="false">X27*(1+Y28)</f>
        <v>212.406548415263</v>
      </c>
      <c r="Z27" s="21" t="n">
        <f aca="false">Y27*(1+Z28)</f>
        <v>237.895334225095</v>
      </c>
      <c r="AA27" s="22" t="s">
        <v>42</v>
      </c>
      <c r="AB27" s="1"/>
      <c r="AC27" s="23" t="str">
        <f aca="false">IFERROR(IF(AND(Z27&gt;0,P27&gt;0),(Z27/P27)^(1/5)-1,"n/m"),"n/m")</f>
        <v>n/m</v>
      </c>
      <c r="AD27" s="23" t="str">
        <f aca="false">IFERROR(IF(AND(P27&gt;0,C27&gt;0),(P27/C27)^(1/3)-1,"n/m"),"n/m")</f>
        <v>n/m</v>
      </c>
      <c r="AG27" s="17" t="s">
        <v>81</v>
      </c>
      <c r="AH27" s="34" t="n">
        <v>0.05</v>
      </c>
      <c r="AI27" s="24" t="s">
        <v>70</v>
      </c>
      <c r="AJ27" s="34" t="n">
        <v>-0.08</v>
      </c>
      <c r="AK27" s="15" t="s">
        <v>82</v>
      </c>
    </row>
    <row r="28" customFormat="false" ht="15" hidden="false" customHeight="true" outlineLevel="0" collapsed="false">
      <c r="B28" s="25" t="s">
        <v>47</v>
      </c>
      <c r="C28" s="26"/>
      <c r="D28" s="26" t="str">
        <f aca="false">IFERROR(D27/C27-1,"")</f>
        <v/>
      </c>
      <c r="E28" s="26"/>
      <c r="F28" s="26"/>
      <c r="G28" s="26"/>
      <c r="H28" s="26"/>
      <c r="I28" s="26"/>
      <c r="J28" s="26" t="str">
        <f aca="false">IFERROR(J27/D27-1,"")</f>
        <v/>
      </c>
      <c r="K28" s="26" t="str">
        <f aca="false">IFERROR(K27/E27-1,"")</f>
        <v/>
      </c>
      <c r="L28" s="26" t="str">
        <f aca="false">IFERROR(L27/F27-1,"")</f>
        <v/>
      </c>
      <c r="M28" s="26" t="str">
        <f aca="false">IFERROR(M27/G27-1,"")</f>
        <v/>
      </c>
      <c r="N28" s="26" t="str">
        <f aca="false">IFERROR(N27/H27-1,"")</f>
        <v/>
      </c>
      <c r="O28" s="26" t="str">
        <f aca="false">IFERROR(O27/I27-1,"")</f>
        <v/>
      </c>
      <c r="P28" s="26" t="str">
        <f aca="false">IFERROR(P27/J27-1,"")</f>
        <v/>
      </c>
      <c r="Q28" s="26" t="str">
        <f aca="false">IFERROR(Q27/K27-1,"")</f>
        <v/>
      </c>
      <c r="R28" s="26" t="str">
        <f aca="false">IFERROR(R27/L27-1,"")</f>
        <v/>
      </c>
      <c r="S28" s="26" t="str">
        <f aca="false">IFERROR(S27/M27-1,"")</f>
        <v/>
      </c>
      <c r="T28" s="27" t="str">
        <f aca="false">IFERROR(T27/N27-1,"")</f>
        <v/>
      </c>
      <c r="U28" s="27" t="str">
        <f aca="false">IFERROR(U27/O27-1,"")</f>
        <v/>
      </c>
      <c r="V28" s="27" t="str">
        <f aca="false">IFERROR(V27/P27-1,"")</f>
        <v/>
      </c>
      <c r="W28" s="27" t="n">
        <f aca="false">CHOOSE(MATCH($AA$2,{"Bull","Base","Bear"},0),$AH$40,$AI$40,$AJ$40)</f>
        <v>0.2</v>
      </c>
      <c r="X28" s="27" t="n">
        <f aca="false">CHOOSE(MATCH($AA$2,{"Bull","Base","Bear"},0),$AH$41,$AI$41,$AJ$41)</f>
        <v>0.17</v>
      </c>
      <c r="Y28" s="27" t="n">
        <f aca="false">CHOOSE(MATCH($AA$2,{"Bull","Base","Bear"},0),$AH$42,$AI$42,$AJ$42)</f>
        <v>0.14</v>
      </c>
      <c r="Z28" s="27" t="n">
        <f aca="false">CHOOSE(MATCH($AA$2,{"Bull","Base","Bear"},0),$AH$43,$AI$43,$AJ$43)</f>
        <v>0.12</v>
      </c>
      <c r="AA28" s="22" t="s">
        <v>83</v>
      </c>
      <c r="AB28" s="1"/>
      <c r="AC28" s="28" t="n">
        <f aca="false">IFERROR(AVERAGE(V28,W28,X28,Y28,Z28),"n/m")</f>
        <v>0.1575</v>
      </c>
      <c r="AD28" s="28" t="str">
        <f aca="false">IFERROR(AVERAGE(C28,D28,J28,P28),"n/m")</f>
        <v>n/m</v>
      </c>
      <c r="AG28" s="29" t="s">
        <v>73</v>
      </c>
      <c r="AH28" s="35" t="n">
        <f aca="false">AI28+$AH$27</f>
        <v>0.2</v>
      </c>
      <c r="AI28" s="32" t="n">
        <v>0.15</v>
      </c>
      <c r="AJ28" s="35" t="n">
        <f aca="false">AI28+$AJ$27</f>
        <v>0.07</v>
      </c>
      <c r="AK28" s="1"/>
    </row>
    <row r="29" customFormat="false" ht="15" hidden="false" customHeight="true" outlineLevel="0" collapsed="false">
      <c r="B29" s="25" t="s">
        <v>51</v>
      </c>
      <c r="C29" s="31" t="n">
        <f aca="false">IFERROR(C27/C92,"")</f>
        <v>0</v>
      </c>
      <c r="D29" s="31" t="n">
        <f aca="false">IFERROR(D27/D92,"")</f>
        <v>0</v>
      </c>
      <c r="E29" s="31" t="n">
        <f aca="false">IFERROR(E27/E92,"")</f>
        <v>0</v>
      </c>
      <c r="F29" s="31" t="n">
        <f aca="false">IFERROR(F27/F92,"")</f>
        <v>0</v>
      </c>
      <c r="G29" s="31" t="n">
        <f aca="false">IFERROR(G27/G92,"")</f>
        <v>0</v>
      </c>
      <c r="H29" s="31" t="n">
        <f aca="false">IFERROR(H27/H92,"")</f>
        <v>0</v>
      </c>
      <c r="I29" s="31" t="n">
        <f aca="false">IFERROR(I27/I92,"")</f>
        <v>0</v>
      </c>
      <c r="J29" s="31" t="n">
        <f aca="false">IFERROR(J27/J92,"")</f>
        <v>0</v>
      </c>
      <c r="K29" s="31" t="n">
        <f aca="false">IFERROR(K27/K92,"")</f>
        <v>0</v>
      </c>
      <c r="L29" s="31" t="n">
        <f aca="false">IFERROR(L27/L92,"")</f>
        <v>0</v>
      </c>
      <c r="M29" s="31" t="n">
        <f aca="false">IFERROR(M27/M92,"")</f>
        <v>0</v>
      </c>
      <c r="N29" s="31" t="n">
        <f aca="false">IFERROR(N27/N92,"")</f>
        <v>0</v>
      </c>
      <c r="O29" s="31" t="n">
        <f aca="false">IFERROR(O27/O92,"")</f>
        <v>0</v>
      </c>
      <c r="P29" s="31" t="n">
        <f aca="false">IFERROR(P27/P92,"")</f>
        <v>0</v>
      </c>
      <c r="Q29" s="31" t="n">
        <f aca="false">IFERROR(Q27/Q92,"")</f>
        <v>0.174644534091661</v>
      </c>
      <c r="R29" s="31" t="n">
        <f aca="false">IFERROR(R27/R92,"")</f>
        <v>0.18434278244344</v>
      </c>
      <c r="S29" s="31" t="n">
        <f aca="false">IFERROR(S27/S92,"")</f>
        <v>0.179942569605099</v>
      </c>
      <c r="T29" s="27" t="n">
        <f aca="false">IFERROR(T27/T92,"")</f>
        <v>0.177175552648932</v>
      </c>
      <c r="U29" s="27" t="n">
        <f aca="false">IFERROR(U27/U92,"")</f>
        <v>0.172619007400182</v>
      </c>
      <c r="V29" s="27" t="n">
        <f aca="false">IFERROR(V27/V92,"")</f>
        <v>0.177061567823563</v>
      </c>
      <c r="W29" s="27" t="n">
        <f aca="false">IFERROR(W27/W92,"")</f>
        <v>0.166193944594399</v>
      </c>
      <c r="X29" s="27" t="n">
        <f aca="false">IFERROR(X27/X92,"")</f>
        <v>0.156895895731372</v>
      </c>
      <c r="Y29" s="27" t="n">
        <f aca="false">IFERROR(Y27/Y92,"")</f>
        <v>0.148137658448831</v>
      </c>
      <c r="Z29" s="27" t="n">
        <f aca="false">IFERROR(Z27/Z92,"")</f>
        <v>0.140568483074663</v>
      </c>
      <c r="AA29" s="22"/>
      <c r="AB29" s="1"/>
      <c r="AC29" s="28" t="n">
        <f aca="false">IFERROR(AVERAGE(V29,W29,X29,Y29,Z29),"n/m")</f>
        <v>0.157771509934566</v>
      </c>
      <c r="AD29" s="28" t="n">
        <f aca="false">IFERROR(AVERAGE(C29,D29,J29,P29),"n/m")</f>
        <v>0</v>
      </c>
      <c r="AG29" s="29" t="s">
        <v>74</v>
      </c>
      <c r="AH29" s="35" t="n">
        <f aca="false">AI29+$AH$27</f>
        <v>0.18</v>
      </c>
      <c r="AI29" s="32" t="n">
        <v>0.13</v>
      </c>
      <c r="AJ29" s="35" t="n">
        <f aca="false">AI29+$AJ$27</f>
        <v>0.05</v>
      </c>
      <c r="AK29" s="1"/>
    </row>
    <row r="30" customFormat="false" ht="15" hidden="false" customHeight="false" outlineLevel="0" collapsed="false">
      <c r="AG30" s="29" t="s">
        <v>77</v>
      </c>
      <c r="AH30" s="35" t="n">
        <f aca="false">AI30+$AH$27</f>
        <v>0.16</v>
      </c>
      <c r="AI30" s="32" t="n">
        <v>0.11</v>
      </c>
      <c r="AJ30" s="35" t="n">
        <f aca="false">AI30+$AJ$27</f>
        <v>0.03</v>
      </c>
      <c r="AK30" s="1"/>
    </row>
    <row r="31" customFormat="false" ht="15" hidden="false" customHeight="true" outlineLevel="0" collapsed="false">
      <c r="B31" s="16" t="s">
        <v>84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7" t="s">
        <v>85</v>
      </c>
      <c r="AB31" s="1"/>
      <c r="AC31" s="1"/>
      <c r="AD31" s="1"/>
      <c r="AG31" s="29" t="s">
        <v>78</v>
      </c>
      <c r="AH31" s="35" t="n">
        <f aca="false">AI31+$AH$27</f>
        <v>0.15</v>
      </c>
      <c r="AI31" s="32" t="n">
        <v>0.1</v>
      </c>
      <c r="AJ31" s="35" t="n">
        <f aca="false">AI31+$AJ$27</f>
        <v>0.02</v>
      </c>
      <c r="AK31" s="1"/>
    </row>
    <row r="32" customFormat="false" ht="15" hidden="false" customHeight="true" outlineLevel="0" collapsed="false">
      <c r="B32" s="29" t="s">
        <v>86</v>
      </c>
      <c r="C32" s="37"/>
      <c r="D32" s="37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40"/>
      <c r="U32" s="40"/>
      <c r="V32" s="40" t="n">
        <v>95</v>
      </c>
      <c r="W32" s="41" t="n">
        <f aca="false">CHOOSE(MATCH($AA$2,{"Bull","Base","Bear"},0),$AH$52,$AI$52,$AJ$52)</f>
        <v>200</v>
      </c>
      <c r="X32" s="41" t="n">
        <f aca="false">CHOOSE(MATCH($AA$2,{"Bull","Base","Bear"},0),$AH$53,$AI$53,$AJ$53)</f>
        <v>225</v>
      </c>
      <c r="Y32" s="41" t="n">
        <f aca="false">CHOOSE(MATCH($AA$2,{"Bull","Base","Bear"},0),$AH$54,$AI$54,$AJ$54)</f>
        <v>250</v>
      </c>
      <c r="Z32" s="41" t="n">
        <f aca="false">CHOOSE(MATCH($AA$2,{"Bull","Base","Bear"},0),$AH$55,$AI$55,$AJ$55)</f>
        <v>250</v>
      </c>
      <c r="AA32" s="22" t="s">
        <v>87</v>
      </c>
      <c r="AB32" s="1"/>
      <c r="AC32" s="7"/>
      <c r="AD32" s="7"/>
    </row>
    <row r="33" customFormat="false" ht="15" hidden="false" customHeight="true" outlineLevel="0" collapsed="false">
      <c r="B33" s="42" t="s">
        <v>88</v>
      </c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4"/>
      <c r="U33" s="44"/>
      <c r="V33" s="45" t="n">
        <v>2.6</v>
      </c>
      <c r="W33" s="45" t="n">
        <v>2.8</v>
      </c>
      <c r="X33" s="45" t="n">
        <v>2.8</v>
      </c>
      <c r="Y33" s="45" t="n">
        <v>2.8</v>
      </c>
      <c r="Z33" s="45" t="n">
        <v>2.8</v>
      </c>
      <c r="AA33" s="22" t="s">
        <v>89</v>
      </c>
      <c r="AB33" s="1"/>
      <c r="AC33" s="7"/>
      <c r="AD33" s="7"/>
      <c r="AG33" s="17" t="s">
        <v>90</v>
      </c>
      <c r="AH33" s="34" t="n">
        <v>0.05</v>
      </c>
      <c r="AI33" s="24" t="s">
        <v>70</v>
      </c>
      <c r="AJ33" s="34" t="n">
        <v>-0.08</v>
      </c>
      <c r="AK33" s="15" t="s">
        <v>91</v>
      </c>
    </row>
    <row r="34" customFormat="false" ht="15" hidden="false" customHeight="true" outlineLevel="0" collapsed="false">
      <c r="B34" s="29" t="s">
        <v>92</v>
      </c>
      <c r="C34" s="37"/>
      <c r="D34" s="37"/>
      <c r="E34" s="37"/>
      <c r="F34" s="37"/>
      <c r="G34" s="38"/>
      <c r="H34" s="37"/>
      <c r="I34" s="37"/>
      <c r="J34" s="37"/>
      <c r="K34" s="37"/>
      <c r="L34" s="37"/>
      <c r="M34" s="38"/>
      <c r="N34" s="37"/>
      <c r="O34" s="37"/>
      <c r="P34" s="37"/>
      <c r="Q34" s="37"/>
      <c r="R34" s="37"/>
      <c r="S34" s="38"/>
      <c r="T34" s="39"/>
      <c r="U34" s="39"/>
      <c r="V34" s="39" t="n">
        <f aca="false">IFERROR(V32/V33,0)</f>
        <v>36.5384615384615</v>
      </c>
      <c r="W34" s="39" t="n">
        <f aca="false">IFERROR(W32/W33,0)</f>
        <v>71.4285714285714</v>
      </c>
      <c r="X34" s="39" t="n">
        <f aca="false">IFERROR(X32/X33,0)</f>
        <v>80.3571428571429</v>
      </c>
      <c r="Y34" s="39" t="n">
        <f aca="false">IFERROR(Y32/Y33,0)</f>
        <v>89.2857142857143</v>
      </c>
      <c r="Z34" s="39" t="n">
        <f aca="false">IFERROR(Z32/Z33,0)</f>
        <v>89.2857142857143</v>
      </c>
      <c r="AA34" s="22"/>
      <c r="AB34" s="1"/>
      <c r="AC34" s="23"/>
      <c r="AD34" s="23"/>
      <c r="AG34" s="29" t="s">
        <v>73</v>
      </c>
      <c r="AH34" s="35" t="n">
        <f aca="false">AI34+$AH$33</f>
        <v>0.29</v>
      </c>
      <c r="AI34" s="32" t="n">
        <v>0.24</v>
      </c>
      <c r="AJ34" s="35" t="n">
        <f aca="false">AI34+$AJ$33</f>
        <v>0.16</v>
      </c>
      <c r="AK34" s="1"/>
    </row>
    <row r="35" customFormat="false" ht="15" hidden="false" customHeight="true" outlineLevel="0" collapsed="false">
      <c r="B35" s="25" t="s">
        <v>93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7"/>
      <c r="U35" s="27"/>
      <c r="V35" s="27"/>
      <c r="W35" s="46" t="n">
        <v>0.12</v>
      </c>
      <c r="X35" s="46" t="n">
        <v>0.12</v>
      </c>
      <c r="Y35" s="46" t="n">
        <v>0.12</v>
      </c>
      <c r="Z35" s="46" t="n">
        <v>0.12</v>
      </c>
      <c r="AA35" s="22" t="s">
        <v>94</v>
      </c>
      <c r="AB35" s="1"/>
      <c r="AC35" s="47"/>
      <c r="AD35" s="47"/>
      <c r="AG35" s="29" t="s">
        <v>74</v>
      </c>
      <c r="AH35" s="35" t="n">
        <f aca="false">AI35+$AH$33</f>
        <v>0.23</v>
      </c>
      <c r="AI35" s="32" t="n">
        <v>0.18</v>
      </c>
      <c r="AJ35" s="35" t="n">
        <f aca="false">AI35+$AJ$33</f>
        <v>0.1</v>
      </c>
      <c r="AK35" s="1"/>
    </row>
    <row r="36" customFormat="false" ht="15" hidden="false" customHeight="true" outlineLevel="0" collapsed="false">
      <c r="B36" s="29" t="s">
        <v>95</v>
      </c>
      <c r="C36" s="37"/>
      <c r="D36" s="37"/>
      <c r="E36" s="37"/>
      <c r="F36" s="37"/>
      <c r="G36" s="38"/>
      <c r="H36" s="37"/>
      <c r="I36" s="37"/>
      <c r="J36" s="37"/>
      <c r="K36" s="37"/>
      <c r="L36" s="37"/>
      <c r="M36" s="38"/>
      <c r="N36" s="37"/>
      <c r="O36" s="37"/>
      <c r="P36" s="37"/>
      <c r="Q36" s="37"/>
      <c r="R36" s="37"/>
      <c r="S36" s="38"/>
      <c r="T36" s="39"/>
      <c r="U36" s="39"/>
      <c r="V36" s="39" t="n">
        <f aca="false">V34</f>
        <v>36.5384615384615</v>
      </c>
      <c r="W36" s="39" t="n">
        <f aca="false">V36*(1+W35)+W34</f>
        <v>112.351648351648</v>
      </c>
      <c r="X36" s="39" t="n">
        <f aca="false">W36*(1+X35)+X34</f>
        <v>206.190989010989</v>
      </c>
      <c r="Y36" s="39" t="n">
        <f aca="false">X36*(1+Y35)+Y34</f>
        <v>320.219621978022</v>
      </c>
      <c r="Z36" s="39" t="n">
        <f aca="false">Y36*(1+Z35)+Z34</f>
        <v>447.931690901099</v>
      </c>
      <c r="AA36" s="22"/>
      <c r="AB36" s="1"/>
      <c r="AC36" s="23"/>
      <c r="AD36" s="23"/>
      <c r="AG36" s="29" t="s">
        <v>77</v>
      </c>
      <c r="AH36" s="35" t="n">
        <f aca="false">AI36+$AH$33</f>
        <v>0.2</v>
      </c>
      <c r="AI36" s="32" t="n">
        <v>0.15</v>
      </c>
      <c r="AJ36" s="35" t="n">
        <f aca="false">AI36+$AJ$33</f>
        <v>0.07</v>
      </c>
      <c r="AK36" s="1"/>
    </row>
    <row r="37" customFormat="false" ht="15" hidden="false" customHeight="true" outlineLevel="0" collapsed="false">
      <c r="B37" s="29" t="s">
        <v>96</v>
      </c>
      <c r="C37" s="37"/>
      <c r="D37" s="37"/>
      <c r="E37" s="37"/>
      <c r="F37" s="37"/>
      <c r="G37" s="38"/>
      <c r="H37" s="37"/>
      <c r="I37" s="37"/>
      <c r="J37" s="37"/>
      <c r="K37" s="37"/>
      <c r="L37" s="37"/>
      <c r="M37" s="38"/>
      <c r="N37" s="37"/>
      <c r="O37" s="37"/>
      <c r="P37" s="37"/>
      <c r="Q37" s="37"/>
      <c r="R37" s="37"/>
      <c r="S37" s="38"/>
      <c r="T37" s="40" t="n">
        <v>3</v>
      </c>
      <c r="U37" s="40" t="n">
        <v>9</v>
      </c>
      <c r="V37" s="39" t="n">
        <f aca="false">SUM(Q37,R37,T37,U37)</f>
        <v>12</v>
      </c>
      <c r="W37" s="39" t="n">
        <f aca="false">V36*(1+W35)+0.5*W34</f>
        <v>76.6373626373626</v>
      </c>
      <c r="X37" s="39" t="n">
        <f aca="false">W36*(1+X35)+0.5*X34</f>
        <v>166.012417582418</v>
      </c>
      <c r="Y37" s="39" t="n">
        <f aca="false">X36*(1+Y35)+0.5*Y34</f>
        <v>275.576764835165</v>
      </c>
      <c r="Z37" s="39" t="n">
        <f aca="false">Y36*(1+Z35)+0.5*Z34</f>
        <v>403.288833758242</v>
      </c>
      <c r="AA37" s="22" t="s">
        <v>97</v>
      </c>
      <c r="AB37" s="1"/>
      <c r="AC37" s="23"/>
      <c r="AD37" s="23"/>
      <c r="AG37" s="29" t="s">
        <v>78</v>
      </c>
      <c r="AH37" s="35" t="n">
        <f aca="false">AI37+$AH$33</f>
        <v>0.17</v>
      </c>
      <c r="AI37" s="32" t="n">
        <v>0.12</v>
      </c>
      <c r="AJ37" s="35" t="n">
        <f aca="false">AI37+$AJ$33</f>
        <v>0.04</v>
      </c>
      <c r="AK37" s="1"/>
    </row>
    <row r="38" customFormat="false" ht="15" hidden="false" customHeight="true" outlineLevel="0" collapsed="false">
      <c r="B38" s="25" t="s">
        <v>98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7"/>
      <c r="U38" s="27"/>
      <c r="V38" s="46" t="n">
        <v>0.27</v>
      </c>
      <c r="W38" s="46" t="n">
        <v>0.27</v>
      </c>
      <c r="X38" s="46" t="n">
        <v>0.27</v>
      </c>
      <c r="Y38" s="46" t="n">
        <v>0.27</v>
      </c>
      <c r="Z38" s="46" t="n">
        <v>0.27</v>
      </c>
      <c r="AA38" s="22"/>
      <c r="AB38" s="1"/>
      <c r="AC38" s="47"/>
      <c r="AD38" s="47"/>
    </row>
    <row r="39" customFormat="false" ht="15" hidden="false" customHeight="true" outlineLevel="0" collapsed="false">
      <c r="B39" s="29" t="s">
        <v>99</v>
      </c>
      <c r="C39" s="37"/>
      <c r="D39" s="37"/>
      <c r="E39" s="37"/>
      <c r="F39" s="37"/>
      <c r="G39" s="38"/>
      <c r="H39" s="37"/>
      <c r="I39" s="37"/>
      <c r="J39" s="37"/>
      <c r="K39" s="37"/>
      <c r="L39" s="37"/>
      <c r="M39" s="38"/>
      <c r="N39" s="37"/>
      <c r="O39" s="37"/>
      <c r="P39" s="37"/>
      <c r="Q39" s="37"/>
      <c r="R39" s="37"/>
      <c r="S39" s="38"/>
      <c r="T39" s="39" t="n">
        <f aca="false">T37*$V38</f>
        <v>0.81</v>
      </c>
      <c r="U39" s="39" t="n">
        <f aca="false">U37*$V38</f>
        <v>2.43</v>
      </c>
      <c r="V39" s="39" t="n">
        <f aca="false">SUM(Q39,R39,T39,U39)</f>
        <v>3.24</v>
      </c>
      <c r="W39" s="39" t="n">
        <f aca="false">W37*W38</f>
        <v>20.6920879120879</v>
      </c>
      <c r="X39" s="39" t="n">
        <f aca="false">X37*X38</f>
        <v>44.8233527472528</v>
      </c>
      <c r="Y39" s="39" t="n">
        <f aca="false">Y37*Y38</f>
        <v>74.4057265054945</v>
      </c>
      <c r="Z39" s="39" t="n">
        <f aca="false">Z37*Z38</f>
        <v>108.887985114725</v>
      </c>
      <c r="AA39" s="22"/>
      <c r="AB39" s="1"/>
      <c r="AC39" s="23"/>
      <c r="AD39" s="23"/>
      <c r="AG39" s="17" t="s">
        <v>100</v>
      </c>
      <c r="AH39" s="34" t="n">
        <v>0.05</v>
      </c>
      <c r="AI39" s="24" t="s">
        <v>70</v>
      </c>
      <c r="AJ39" s="34" t="n">
        <v>-0.08</v>
      </c>
      <c r="AK39" s="15" t="s">
        <v>101</v>
      </c>
    </row>
    <row r="40" customFormat="false" ht="15" hidden="false" customHeight="true" outlineLevel="0" collapsed="false">
      <c r="B40" s="25" t="s">
        <v>102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27"/>
      <c r="U40" s="27"/>
      <c r="V40" s="46" t="n">
        <v>0.45</v>
      </c>
      <c r="W40" s="46" t="n">
        <v>0.45</v>
      </c>
      <c r="X40" s="46" t="n">
        <v>0.45</v>
      </c>
      <c r="Y40" s="46" t="n">
        <v>0.45</v>
      </c>
      <c r="Z40" s="46" t="n">
        <v>0.45</v>
      </c>
      <c r="AA40" s="22" t="s">
        <v>103</v>
      </c>
      <c r="AB40" s="1"/>
      <c r="AC40" s="47"/>
      <c r="AD40" s="47"/>
      <c r="AG40" s="29" t="s">
        <v>73</v>
      </c>
      <c r="AH40" s="35" t="n">
        <f aca="false">AI40+$AH$39</f>
        <v>0.25</v>
      </c>
      <c r="AI40" s="32" t="n">
        <v>0.2</v>
      </c>
      <c r="AJ40" s="35" t="n">
        <f aca="false">AI40+$AJ$39</f>
        <v>0.12</v>
      </c>
      <c r="AK40" s="1"/>
    </row>
    <row r="41" customFormat="false" ht="15" hidden="false" customHeight="true" outlineLevel="0" collapsed="false">
      <c r="B41" s="42" t="s">
        <v>104</v>
      </c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9"/>
      <c r="U41" s="49"/>
      <c r="V41" s="50" t="n">
        <v>12</v>
      </c>
      <c r="W41" s="50" t="n">
        <v>12</v>
      </c>
      <c r="X41" s="50" t="n">
        <v>12</v>
      </c>
      <c r="Y41" s="50" t="n">
        <v>12</v>
      </c>
      <c r="Z41" s="50" t="n">
        <v>12</v>
      </c>
      <c r="AA41" s="22"/>
      <c r="AB41" s="1"/>
      <c r="AC41" s="7"/>
      <c r="AD41" s="7"/>
      <c r="AG41" s="29" t="s">
        <v>74</v>
      </c>
      <c r="AH41" s="35" t="n">
        <f aca="false">AI41+$AH$39</f>
        <v>0.22</v>
      </c>
      <c r="AI41" s="32" t="n">
        <v>0.17</v>
      </c>
      <c r="AJ41" s="35" t="n">
        <f aca="false">AI41+$AJ$39</f>
        <v>0.09</v>
      </c>
      <c r="AK41" s="1"/>
    </row>
    <row r="42" customFormat="false" ht="15" hidden="false" customHeight="true" outlineLevel="0" collapsed="false">
      <c r="B42" s="29" t="s">
        <v>105</v>
      </c>
      <c r="C42" s="37"/>
      <c r="D42" s="37"/>
      <c r="E42" s="37"/>
      <c r="F42" s="37"/>
      <c r="G42" s="38"/>
      <c r="H42" s="37"/>
      <c r="I42" s="37"/>
      <c r="J42" s="37"/>
      <c r="K42" s="37"/>
      <c r="L42" s="37"/>
      <c r="M42" s="38"/>
      <c r="N42" s="37"/>
      <c r="O42" s="37"/>
      <c r="P42" s="37"/>
      <c r="Q42" s="37"/>
      <c r="R42" s="37"/>
      <c r="S42" s="38"/>
      <c r="T42" s="39"/>
      <c r="U42" s="39"/>
      <c r="V42" s="39" t="n">
        <f aca="false">V32*V40</f>
        <v>42.75</v>
      </c>
      <c r="W42" s="39" t="n">
        <f aca="false">V42+W32*W40</f>
        <v>132.75</v>
      </c>
      <c r="X42" s="39" t="n">
        <f aca="false">W42+X32*X40</f>
        <v>234</v>
      </c>
      <c r="Y42" s="39" t="n">
        <f aca="false">X42+Y32*Y40</f>
        <v>346.5</v>
      </c>
      <c r="Z42" s="39" t="n">
        <f aca="false">Y42+Z32*Z40</f>
        <v>459</v>
      </c>
      <c r="AA42" s="22"/>
      <c r="AB42" s="1"/>
      <c r="AC42" s="23"/>
      <c r="AD42" s="23"/>
      <c r="AG42" s="29" t="s">
        <v>77</v>
      </c>
      <c r="AH42" s="35" t="n">
        <f aca="false">AI42+$AH$39</f>
        <v>0.19</v>
      </c>
      <c r="AI42" s="32" t="n">
        <v>0.14</v>
      </c>
      <c r="AJ42" s="35" t="n">
        <f aca="false">AI42+$AJ$39</f>
        <v>0.06</v>
      </c>
      <c r="AK42" s="1"/>
    </row>
    <row r="43" customFormat="false" ht="15" hidden="false" customHeight="true" outlineLevel="0" collapsed="false">
      <c r="B43" s="29" t="s">
        <v>106</v>
      </c>
      <c r="C43" s="37"/>
      <c r="D43" s="37"/>
      <c r="E43" s="37"/>
      <c r="F43" s="37"/>
      <c r="G43" s="38"/>
      <c r="H43" s="37"/>
      <c r="I43" s="37"/>
      <c r="J43" s="37"/>
      <c r="K43" s="37"/>
      <c r="L43" s="37"/>
      <c r="M43" s="38"/>
      <c r="N43" s="37"/>
      <c r="O43" s="37"/>
      <c r="P43" s="37"/>
      <c r="Q43" s="37"/>
      <c r="R43" s="37"/>
      <c r="S43" s="38"/>
      <c r="T43" s="39" t="n">
        <f aca="false">$V42/$V41/12</f>
        <v>0.296875</v>
      </c>
      <c r="U43" s="39" t="n">
        <f aca="false">$V42/$V41/4</f>
        <v>0.890625</v>
      </c>
      <c r="V43" s="39" t="n">
        <f aca="false">SUM(Q43,R43,T43,U43)</f>
        <v>1.1875</v>
      </c>
      <c r="W43" s="39" t="n">
        <f aca="false">(V42+0.5*W32*W40)/W41</f>
        <v>7.3125</v>
      </c>
      <c r="X43" s="39" t="n">
        <f aca="false">(W42+0.5*X32*X40)/X41</f>
        <v>15.28125</v>
      </c>
      <c r="Y43" s="39" t="n">
        <f aca="false">(X42+0.5*Y32*Y40)/Y41</f>
        <v>24.1875</v>
      </c>
      <c r="Z43" s="39" t="n">
        <f aca="false">(Y42+0.5*Z32*Z40)/Z41</f>
        <v>33.5625</v>
      </c>
      <c r="AA43" s="22"/>
      <c r="AB43" s="1"/>
      <c r="AC43" s="23"/>
      <c r="AD43" s="23"/>
      <c r="AG43" s="29" t="s">
        <v>78</v>
      </c>
      <c r="AH43" s="35" t="n">
        <f aca="false">AI43+$AH$39</f>
        <v>0.17</v>
      </c>
      <c r="AI43" s="32" t="n">
        <v>0.12</v>
      </c>
      <c r="AJ43" s="35" t="n">
        <f aca="false">AI43+$AJ$39</f>
        <v>0.04</v>
      </c>
      <c r="AK43" s="1"/>
    </row>
    <row r="44" customFormat="false" ht="15" hidden="false" customHeight="true" outlineLevel="0" collapsed="false">
      <c r="B44" s="29" t="s">
        <v>107</v>
      </c>
      <c r="C44" s="37"/>
      <c r="D44" s="37"/>
      <c r="E44" s="37"/>
      <c r="F44" s="37"/>
      <c r="G44" s="38"/>
      <c r="H44" s="37"/>
      <c r="I44" s="37"/>
      <c r="J44" s="37"/>
      <c r="K44" s="37"/>
      <c r="L44" s="37"/>
      <c r="M44" s="38"/>
      <c r="N44" s="37"/>
      <c r="O44" s="37"/>
      <c r="P44" s="37"/>
      <c r="Q44" s="37"/>
      <c r="R44" s="37"/>
      <c r="S44" s="38"/>
      <c r="T44" s="39" t="n">
        <f aca="false">T39-T43</f>
        <v>0.513125</v>
      </c>
      <c r="U44" s="39" t="n">
        <f aca="false">U39-U43</f>
        <v>1.539375</v>
      </c>
      <c r="V44" s="39" t="n">
        <f aca="false">SUM(Q44,R44,T44,U44)</f>
        <v>2.0525</v>
      </c>
      <c r="W44" s="39" t="n">
        <f aca="false">W39-W43</f>
        <v>13.3795879120879</v>
      </c>
      <c r="X44" s="39" t="n">
        <f aca="false">X39-X43</f>
        <v>29.5421027472528</v>
      </c>
      <c r="Y44" s="39" t="n">
        <f aca="false">Y39-Y43</f>
        <v>50.2182265054945</v>
      </c>
      <c r="Z44" s="39" t="n">
        <f aca="false">Z39-Z43</f>
        <v>75.3254851147253</v>
      </c>
      <c r="AA44" s="22"/>
      <c r="AB44" s="1"/>
      <c r="AC44" s="23"/>
      <c r="AD44" s="23"/>
    </row>
    <row r="45" customFormat="false" ht="15" hidden="false" customHeight="true" outlineLevel="0" collapsed="false">
      <c r="B45" s="29" t="s">
        <v>108</v>
      </c>
      <c r="C45" s="37"/>
      <c r="D45" s="37"/>
      <c r="E45" s="37"/>
      <c r="F45" s="37"/>
      <c r="G45" s="38"/>
      <c r="H45" s="37"/>
      <c r="I45" s="37"/>
      <c r="J45" s="37"/>
      <c r="K45" s="37"/>
      <c r="L45" s="37"/>
      <c r="M45" s="38"/>
      <c r="N45" s="37"/>
      <c r="O45" s="37"/>
      <c r="P45" s="37"/>
      <c r="Q45" s="37"/>
      <c r="R45" s="37"/>
      <c r="S45" s="38"/>
      <c r="T45" s="39" t="n">
        <f aca="false">T37</f>
        <v>3</v>
      </c>
      <c r="U45" s="39" t="n">
        <f aca="false">U37</f>
        <v>9</v>
      </c>
      <c r="V45" s="39" t="n">
        <f aca="false">SUM(Q45,R45,T45,U45)</f>
        <v>12</v>
      </c>
      <c r="W45" s="39" t="n">
        <f aca="false">0.5*W34+0.5*V34</f>
        <v>53.9835164835165</v>
      </c>
      <c r="X45" s="39" t="n">
        <f aca="false">0.5*X34+0.5*W34</f>
        <v>75.8928571428571</v>
      </c>
      <c r="Y45" s="39" t="n">
        <f aca="false">0.5*Y34+0.5*X34</f>
        <v>84.8214285714286</v>
      </c>
      <c r="Z45" s="39" t="n">
        <f aca="false">0.5*Z34+0.5*Y34</f>
        <v>89.2857142857143</v>
      </c>
      <c r="AA45" s="22"/>
      <c r="AB45" s="1"/>
      <c r="AC45" s="23"/>
      <c r="AD45" s="23"/>
      <c r="AG45" s="17" t="s">
        <v>109</v>
      </c>
      <c r="AH45" s="34" t="n">
        <v>0.01</v>
      </c>
      <c r="AI45" s="24" t="s">
        <v>70</v>
      </c>
      <c r="AJ45" s="34" t="n">
        <v>-0.02</v>
      </c>
      <c r="AK45" s="15" t="s">
        <v>110</v>
      </c>
    </row>
    <row r="46" customFormat="false" ht="15" hidden="false" customHeight="false" outlineLevel="0" collapsed="false">
      <c r="AG46" s="29" t="s">
        <v>73</v>
      </c>
      <c r="AH46" s="35" t="n">
        <f aca="false">AI46+$AH$45</f>
        <v>0.31</v>
      </c>
      <c r="AI46" s="32" t="n">
        <v>0.3</v>
      </c>
      <c r="AJ46" s="35" t="n">
        <f aca="false">AI46+$AJ$45</f>
        <v>0.28</v>
      </c>
      <c r="AK46" s="1"/>
    </row>
    <row r="47" customFormat="false" ht="15" hidden="false" customHeight="true" outlineLevel="0" collapsed="false">
      <c r="B47" s="16" t="s">
        <v>111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7" t="s">
        <v>112</v>
      </c>
      <c r="AB47" s="1"/>
      <c r="AC47" s="1"/>
      <c r="AD47" s="1"/>
      <c r="AG47" s="29" t="s">
        <v>74</v>
      </c>
      <c r="AH47" s="35" t="n">
        <f aca="false">AI47+$AH$45</f>
        <v>0.313</v>
      </c>
      <c r="AI47" s="32" t="n">
        <v>0.303</v>
      </c>
      <c r="AJ47" s="35" t="n">
        <f aca="false">AI47+$AJ$45</f>
        <v>0.283</v>
      </c>
      <c r="AK47" s="1"/>
    </row>
    <row r="48" customFormat="false" ht="15" hidden="false" customHeight="true" outlineLevel="0" collapsed="false">
      <c r="B48" s="51" t="s">
        <v>113</v>
      </c>
      <c r="C48" s="52" t="n">
        <f aca="false">N(C11)+N(C16)+N(C21)+N(C27)</f>
        <v>226.311</v>
      </c>
      <c r="D48" s="52" t="n">
        <f aca="false">N(D11)+N(D16)+N(D21)+N(D27)</f>
        <v>280.705</v>
      </c>
      <c r="E48" s="20" t="n">
        <f aca="false">N(E11)+N(E16)+N(E21)+N(E27)</f>
        <v>83.006</v>
      </c>
      <c r="F48" s="20" t="n">
        <f aca="false">N(F11)+N(F16)+N(F21)+N(F27)</f>
        <v>85.039</v>
      </c>
      <c r="G48" s="20" t="n">
        <f aca="false">E48+F48</f>
        <v>168.045</v>
      </c>
      <c r="H48" s="20" t="n">
        <f aca="false">N(H11)+N(H16)+N(H21)+N(H27)</f>
        <v>85.968</v>
      </c>
      <c r="I48" s="20" t="n">
        <f aca="false">N(I11)+N(I16)+N(I21)+N(I27)</f>
        <v>91.238</v>
      </c>
      <c r="J48" s="52" t="n">
        <f aca="false">N(J11)+N(J16)+N(J21)+N(J27)</f>
        <v>345.251</v>
      </c>
      <c r="K48" s="20" t="n">
        <f aca="false">N(K11)+N(K16)+N(K21)+N(K27)</f>
        <v>100.124</v>
      </c>
      <c r="L48" s="20" t="n">
        <f aca="false">N(L11)+N(L16)+N(L21)+N(L27)</f>
        <v>115.097</v>
      </c>
      <c r="M48" s="20" t="n">
        <f aca="false">K48+L48</f>
        <v>215.221</v>
      </c>
      <c r="N48" s="20" t="n">
        <f aca="false">N(N11)+N(N16)+N(N21)+N(N27)</f>
        <v>121.787</v>
      </c>
      <c r="O48" s="20" t="n">
        <f aca="false">N(O11)+N(O16)+N(O21)+N(O27)</f>
        <v>134.492</v>
      </c>
      <c r="P48" s="52" t="n">
        <f aca="false">N(P11)+N(P16)+N(P21)+N(P27)</f>
        <v>471.5</v>
      </c>
      <c r="Q48" s="20" t="n">
        <f aca="false">N(Q11)+N(Q16)+N(Q21)+N(Q27)</f>
        <v>151.21</v>
      </c>
      <c r="R48" s="20" t="n">
        <f aca="false">N(R11)+N(R16)+N(R21)+N(R27)</f>
        <v>182.063</v>
      </c>
      <c r="S48" s="20" t="n">
        <f aca="false">Q48+R48</f>
        <v>333.273</v>
      </c>
      <c r="T48" s="52" t="n">
        <f aca="false">($V76-$S48)*N92/(N92+O92)</f>
        <v>192.093748020712</v>
      </c>
      <c r="U48" s="52" t="n">
        <f aca="false">($V76-$S48)*O92/(N92+O92)</f>
        <v>212.133251979288</v>
      </c>
      <c r="V48" s="52" t="n">
        <f aca="false">SUM(Q48,R48,T48,U48)</f>
        <v>737.5</v>
      </c>
      <c r="W48" s="52" t="n">
        <f aca="false">N(W11)+N(W16)+N(W21)+N(W27)</f>
        <v>881.575492164082</v>
      </c>
      <c r="X48" s="52" t="n">
        <f aca="false">N(X11)+N(X16)+N(X21)+N(X27)</f>
        <v>1021.53638877137</v>
      </c>
      <c r="Y48" s="52" t="n">
        <f aca="false">N(Y11)+N(Y16)+N(Y21)+N(Y27)</f>
        <v>1158.26896108896</v>
      </c>
      <c r="Z48" s="52" t="n">
        <f aca="false">N(Z11)+N(Z16)+N(Z21)+N(Z27)</f>
        <v>1289.09148522646</v>
      </c>
      <c r="AA48" s="22"/>
      <c r="AB48" s="1"/>
      <c r="AC48" s="23" t="n">
        <f aca="false">IFERROR(IF(AND(Z48&gt;0,P48&gt;0),(Z48/P48)^(1/5)-1,"n/m"),"n/m")</f>
        <v>0.222814017519284</v>
      </c>
      <c r="AD48" s="23" t="n">
        <f aca="false">IFERROR(IF(AND(P48&gt;0,C48&gt;0),(P48/C48)^(1/3)-1,"n/m"),"n/m")</f>
        <v>0.277199317548568</v>
      </c>
      <c r="AG48" s="29" t="s">
        <v>77</v>
      </c>
      <c r="AH48" s="35" t="n">
        <f aca="false">AI48+$AH$45</f>
        <v>0.316</v>
      </c>
      <c r="AI48" s="32" t="n">
        <v>0.306</v>
      </c>
      <c r="AJ48" s="35" t="n">
        <f aca="false">AI48+$AJ$45</f>
        <v>0.286</v>
      </c>
      <c r="AK48" s="1"/>
    </row>
    <row r="49" customFormat="false" ht="15" hidden="false" customHeight="true" outlineLevel="0" collapsed="false">
      <c r="B49" s="51" t="s">
        <v>114</v>
      </c>
      <c r="C49" s="52" t="n">
        <f aca="false">C48</f>
        <v>226.311</v>
      </c>
      <c r="D49" s="52" t="n">
        <f aca="false">D48</f>
        <v>280.705</v>
      </c>
      <c r="E49" s="20" t="n">
        <f aca="false">E48</f>
        <v>83.006</v>
      </c>
      <c r="F49" s="20" t="n">
        <f aca="false">F48</f>
        <v>85.039</v>
      </c>
      <c r="G49" s="20" t="n">
        <f aca="false">E49+F49</f>
        <v>168.045</v>
      </c>
      <c r="H49" s="20" t="n">
        <f aca="false">H48</f>
        <v>85.968</v>
      </c>
      <c r="I49" s="20" t="n">
        <f aca="false">I48</f>
        <v>91.238</v>
      </c>
      <c r="J49" s="52" t="n">
        <f aca="false">J48</f>
        <v>345.251</v>
      </c>
      <c r="K49" s="20" t="n">
        <f aca="false">K48</f>
        <v>100.124</v>
      </c>
      <c r="L49" s="20" t="n">
        <f aca="false">L48</f>
        <v>115.097</v>
      </c>
      <c r="M49" s="20" t="n">
        <f aca="false">K49+L49</f>
        <v>215.221</v>
      </c>
      <c r="N49" s="20" t="n">
        <f aca="false">N48</f>
        <v>121.787</v>
      </c>
      <c r="O49" s="20" t="n">
        <f aca="false">O48</f>
        <v>134.492</v>
      </c>
      <c r="P49" s="52" t="n">
        <f aca="false">P48</f>
        <v>471.5</v>
      </c>
      <c r="Q49" s="20" t="n">
        <f aca="false">Q48</f>
        <v>151.21</v>
      </c>
      <c r="R49" s="20" t="n">
        <f aca="false">R48</f>
        <v>182.063</v>
      </c>
      <c r="S49" s="20" t="n">
        <f aca="false">Q49+R49</f>
        <v>333.273</v>
      </c>
      <c r="T49" s="52" t="n">
        <f aca="false">T48+T37</f>
        <v>195.093748020712</v>
      </c>
      <c r="U49" s="52" t="n">
        <f aca="false">U48+U37</f>
        <v>221.133251979288</v>
      </c>
      <c r="V49" s="52" t="n">
        <f aca="false">SUM(Q49,R49,T49,U49)</f>
        <v>749.5</v>
      </c>
      <c r="W49" s="52" t="n">
        <f aca="false">W48+W37</f>
        <v>958.212854801444</v>
      </c>
      <c r="X49" s="52" t="n">
        <f aca="false">X48+X37</f>
        <v>1187.54880635379</v>
      </c>
      <c r="Y49" s="52" t="n">
        <f aca="false">Y48+Y37</f>
        <v>1433.84572592412</v>
      </c>
      <c r="Z49" s="52" t="n">
        <f aca="false">Z48+Z37</f>
        <v>1692.3803189847</v>
      </c>
      <c r="AA49" s="22"/>
      <c r="AB49" s="1"/>
      <c r="AC49" s="23" t="n">
        <f aca="false">IFERROR(IF(AND(Z49&gt;0,P49&gt;0),(Z49/P49)^(1/5)-1,"n/m"),"n/m")</f>
        <v>0.291228947732253</v>
      </c>
      <c r="AD49" s="23" t="n">
        <f aca="false">IFERROR(IF(AND(P49&gt;0,C49&gt;0),(P49/C49)^(1/3)-1,"n/m"),"n/m")</f>
        <v>0.277199317548568</v>
      </c>
      <c r="AG49" s="29" t="s">
        <v>78</v>
      </c>
      <c r="AH49" s="35" t="n">
        <f aca="false">AI49+$AH$45</f>
        <v>0.32</v>
      </c>
      <c r="AI49" s="32" t="n">
        <v>0.31</v>
      </c>
      <c r="AJ49" s="35" t="n">
        <f aca="false">AI49+$AJ$45</f>
        <v>0.29</v>
      </c>
      <c r="AK49" s="1"/>
    </row>
    <row r="50" customFormat="false" ht="15" hidden="false" customHeight="true" outlineLevel="0" collapsed="false">
      <c r="B50" s="25" t="s">
        <v>115</v>
      </c>
      <c r="C50" s="26"/>
      <c r="D50" s="26" t="n">
        <f aca="false">IFERROR(D49/C49-1,"")</f>
        <v>0.240350667886227</v>
      </c>
      <c r="E50" s="26"/>
      <c r="F50" s="26"/>
      <c r="G50" s="26"/>
      <c r="H50" s="26"/>
      <c r="I50" s="26"/>
      <c r="J50" s="26" t="n">
        <f aca="false">IFERROR(J49/D49-1,"")</f>
        <v>0.229942466290233</v>
      </c>
      <c r="K50" s="26" t="n">
        <f aca="false">IFERROR(K49/E49-1,"")</f>
        <v>0.206226055947763</v>
      </c>
      <c r="L50" s="26" t="n">
        <f aca="false">IFERROR(L49/F49-1,"")</f>
        <v>0.353461353026259</v>
      </c>
      <c r="M50" s="26" t="n">
        <f aca="false">IFERROR(M49/G49-1,"")</f>
        <v>0.280734327114761</v>
      </c>
      <c r="N50" s="26" t="n">
        <f aca="false">IFERROR(N49/H49-1,"")</f>
        <v>0.416655034431416</v>
      </c>
      <c r="O50" s="26" t="n">
        <f aca="false">IFERROR(O49/I49-1,"")</f>
        <v>0.474078782963239</v>
      </c>
      <c r="P50" s="26" t="n">
        <f aca="false">IFERROR(P49/J49-1,"")</f>
        <v>0.365673090012773</v>
      </c>
      <c r="Q50" s="26" t="n">
        <f aca="false">IFERROR(Q49/K49-1,"")</f>
        <v>0.510227318125524</v>
      </c>
      <c r="R50" s="26" t="n">
        <f aca="false">IFERROR(R49/L49-1,"")</f>
        <v>0.581822289025778</v>
      </c>
      <c r="S50" s="26" t="n">
        <f aca="false">IFERROR(S49/M49-1,"")</f>
        <v>0.548515247118079</v>
      </c>
      <c r="T50" s="27" t="n">
        <f aca="false">IFERROR(T49/N49-1,"")</f>
        <v>0.6019258871695</v>
      </c>
      <c r="U50" s="27" t="n">
        <f aca="false">IFERROR(U49/O49-1,"")</f>
        <v>0.644211194563901</v>
      </c>
      <c r="V50" s="27" t="n">
        <f aca="false">IFERROR(V49/P49-1,"")</f>
        <v>0.589607635206787</v>
      </c>
      <c r="W50" s="27" t="n">
        <f aca="false">IFERROR(W49/V49-1,"")</f>
        <v>0.278469452703728</v>
      </c>
      <c r="X50" s="27" t="n">
        <f aca="false">IFERROR(X49/W49-1,"")</f>
        <v>0.239337168566647</v>
      </c>
      <c r="Y50" s="27" t="n">
        <f aca="false">IFERROR(Y49/X49-1,"")</f>
        <v>0.207399408135956</v>
      </c>
      <c r="Z50" s="27" t="n">
        <f aca="false">IFERROR(Z49/Y49-1,"")</f>
        <v>0.180308514637414</v>
      </c>
      <c r="AA50" s="22"/>
      <c r="AB50" s="1"/>
      <c r="AC50" s="28" t="n">
        <f aca="false">IFERROR(AVERAGE(V50,W50,X50,Y50,Z50),"n/m")</f>
        <v>0.299024435850106</v>
      </c>
      <c r="AD50" s="28" t="n">
        <f aca="false">IFERROR(AVERAGE(C50,D50,J50,P50),"n/m")</f>
        <v>0.278655408063078</v>
      </c>
    </row>
    <row r="51" customFormat="false" ht="15" hidden="false" customHeight="true" outlineLevel="0" collapsed="false">
      <c r="B51" s="29" t="s">
        <v>116</v>
      </c>
      <c r="C51" s="38" t="n">
        <f aca="false">C146</f>
        <v>60.291</v>
      </c>
      <c r="D51" s="38" t="n">
        <f aca="false">D146</f>
        <v>81.861</v>
      </c>
      <c r="E51" s="38" t="n">
        <f aca="false">E146</f>
        <v>24.297</v>
      </c>
      <c r="F51" s="38" t="n">
        <f aca="false">F146</f>
        <v>27.424</v>
      </c>
      <c r="G51" s="38" t="n">
        <f aca="false">E51+F51</f>
        <v>51.721</v>
      </c>
      <c r="H51" s="38" t="n">
        <f aca="false">H146</f>
        <v>28.065</v>
      </c>
      <c r="I51" s="38" t="n">
        <f aca="false">I146</f>
        <v>26.359</v>
      </c>
      <c r="J51" s="38" t="n">
        <f aca="false">J146</f>
        <v>106.145</v>
      </c>
      <c r="K51" s="38" t="n">
        <f aca="false">K146</f>
        <v>30.319</v>
      </c>
      <c r="L51" s="38" t="n">
        <f aca="false">L146</f>
        <v>35.281</v>
      </c>
      <c r="M51" s="38" t="n">
        <f aca="false">K51+L51</f>
        <v>65.6</v>
      </c>
      <c r="N51" s="38" t="n">
        <f aca="false">N146</f>
        <v>37.725</v>
      </c>
      <c r="O51" s="38" t="n">
        <f aca="false">O146</f>
        <v>41.977</v>
      </c>
      <c r="P51" s="38" t="n">
        <f aca="false">P146</f>
        <v>145.302</v>
      </c>
      <c r="Q51" s="38" t="n">
        <f aca="false">Q146</f>
        <v>44.786</v>
      </c>
      <c r="R51" s="38" t="n">
        <f aca="false">R146</f>
        <v>54.58</v>
      </c>
      <c r="S51" s="38" t="n">
        <f aca="false">Q51+R51</f>
        <v>99.366</v>
      </c>
      <c r="T51" s="39" t="n">
        <f aca="false">($V77-$S51)*T48/($V76-$S48)</f>
        <v>56.7327764194491</v>
      </c>
      <c r="U51" s="39" t="n">
        <f aca="false">($V77-$S51)*U48/($V76-$S48)</f>
        <v>62.6512235805509</v>
      </c>
      <c r="V51" s="39" t="n">
        <f aca="false">SUM(Q51,R51,T51,U51)</f>
        <v>218.75</v>
      </c>
      <c r="W51" s="39" t="n">
        <f aca="false">W48*W52</f>
        <v>264.472647649225</v>
      </c>
      <c r="X51" s="39" t="n">
        <f aca="false">X48*X52</f>
        <v>309.525525797724</v>
      </c>
      <c r="Y51" s="39" t="n">
        <f aca="false">Y48*Y52</f>
        <v>354.430302093221</v>
      </c>
      <c r="Z51" s="39" t="n">
        <f aca="false">Z48*Z52</f>
        <v>399.618360420203</v>
      </c>
      <c r="AA51" s="22" t="s">
        <v>117</v>
      </c>
      <c r="AB51" s="1"/>
      <c r="AC51" s="23" t="n">
        <f aca="false">IFERROR(IF(AND(Z51&gt;0,P51&gt;0),(Z51/P51)^(1/5)-1,"n/m"),"n/m")</f>
        <v>0.224263123934486</v>
      </c>
      <c r="AD51" s="23" t="n">
        <f aca="false">IFERROR(IF(AND(P51&gt;0,C51&gt;0),(P51/C51)^(1/3)-1,"n/m"),"n/m")</f>
        <v>0.340724981660272</v>
      </c>
      <c r="AG51" s="17" t="s">
        <v>118</v>
      </c>
      <c r="AH51" s="53" t="n">
        <v>150</v>
      </c>
      <c r="AI51" s="24" t="s">
        <v>70</v>
      </c>
      <c r="AJ51" s="53" t="n">
        <v>-150</v>
      </c>
      <c r="AK51" s="15" t="s">
        <v>119</v>
      </c>
    </row>
    <row r="52" customFormat="false" ht="15" hidden="false" customHeight="true" outlineLevel="0" collapsed="false">
      <c r="B52" s="25" t="s">
        <v>120</v>
      </c>
      <c r="C52" s="31" t="n">
        <f aca="false">IFERROR(C51/C48,"")</f>
        <v>0.266407730954306</v>
      </c>
      <c r="D52" s="31" t="n">
        <f aca="false">IFERROR(D51/D48,"")</f>
        <v>0.291626440569281</v>
      </c>
      <c r="E52" s="31" t="n">
        <f aca="false">IFERROR(E51/E48,"")</f>
        <v>0.292713779726767</v>
      </c>
      <c r="F52" s="31" t="n">
        <f aca="false">IFERROR(F51/F48,"")</f>
        <v>0.322487329343007</v>
      </c>
      <c r="G52" s="31" t="n">
        <f aca="false">IFERROR(G51/G48,"")</f>
        <v>0.30778065399149</v>
      </c>
      <c r="H52" s="31" t="n">
        <f aca="false">IFERROR(H51/H48,"")</f>
        <v>0.326458682300391</v>
      </c>
      <c r="I52" s="31" t="n">
        <f aca="false">IFERROR(I51/I48,"")</f>
        <v>0.288903746246082</v>
      </c>
      <c r="J52" s="31" t="n">
        <f aca="false">IFERROR(J51/J48,"")</f>
        <v>0.307442990751656</v>
      </c>
      <c r="K52" s="31" t="n">
        <f aca="false">IFERROR(K51/K48,"")</f>
        <v>0.302814510007591</v>
      </c>
      <c r="L52" s="31" t="n">
        <f aca="false">IFERROR(L51/L48,"")</f>
        <v>0.30653275063642</v>
      </c>
      <c r="M52" s="31" t="n">
        <f aca="false">IFERROR(M51/M48,"")</f>
        <v>0.304802969970402</v>
      </c>
      <c r="N52" s="31" t="n">
        <f aca="false">IFERROR(N51/N48,"")</f>
        <v>0.309762125678439</v>
      </c>
      <c r="O52" s="31" t="n">
        <f aca="false">IFERROR(O51/O48,"")</f>
        <v>0.312115218749071</v>
      </c>
      <c r="P52" s="31" t="n">
        <f aca="false">IFERROR(P51/P48,"")</f>
        <v>0.30816967126193</v>
      </c>
      <c r="Q52" s="31" t="n">
        <f aca="false">IFERROR(Q51/Q48,"")</f>
        <v>0.296184114807222</v>
      </c>
      <c r="R52" s="31" t="n">
        <f aca="false">IFERROR(R51/R48,"")</f>
        <v>0.299786337696292</v>
      </c>
      <c r="S52" s="31" t="n">
        <f aca="false">IFERROR(S51/S48,"")</f>
        <v>0.298151965505757</v>
      </c>
      <c r="T52" s="27" t="n">
        <f aca="false">IFERROR(T51/T48,"")</f>
        <v>0.295339005063986</v>
      </c>
      <c r="U52" s="27" t="n">
        <f aca="false">IFERROR(U51/U48,"")</f>
        <v>0.295339005063986</v>
      </c>
      <c r="V52" s="27" t="n">
        <f aca="false">IFERROR(V51/V48,"")</f>
        <v>0.296610169491525</v>
      </c>
      <c r="W52" s="27" t="n">
        <f aca="false">CHOOSE(MATCH($AA$2,{"Bull","Base","Bear"},0),$AH$46,$AI$46,$AJ$46)</f>
        <v>0.3</v>
      </c>
      <c r="X52" s="27" t="n">
        <f aca="false">CHOOSE(MATCH($AA$2,{"Bull","Base","Bear"},0),$AH$47,$AI$47,$AJ$47)</f>
        <v>0.303</v>
      </c>
      <c r="Y52" s="27" t="n">
        <f aca="false">CHOOSE(MATCH($AA$2,{"Bull","Base","Bear"},0),$AH$48,$AI$48,$AJ$48)</f>
        <v>0.306</v>
      </c>
      <c r="Z52" s="27" t="n">
        <f aca="false">CHOOSE(MATCH($AA$2,{"Bull","Base","Bear"},0),$AH$49,$AI$49,$AJ$49)</f>
        <v>0.31</v>
      </c>
      <c r="AA52" s="22" t="s">
        <v>121</v>
      </c>
      <c r="AB52" s="1"/>
      <c r="AC52" s="28" t="n">
        <f aca="false">IFERROR(AVERAGE(V52,W52,X52,Y52,Z52),"n/m")</f>
        <v>0.303122033898305</v>
      </c>
      <c r="AD52" s="28" t="n">
        <f aca="false">IFERROR(AVERAGE(C52,D52,J52,P52),"n/m")</f>
        <v>0.293411708384293</v>
      </c>
      <c r="AG52" s="29" t="s">
        <v>73</v>
      </c>
      <c r="AH52" s="54" t="n">
        <f aca="false">MAX(0,AI52+$AH$51)</f>
        <v>350</v>
      </c>
      <c r="AI52" s="33" t="n">
        <v>200</v>
      </c>
      <c r="AJ52" s="54" t="n">
        <f aca="false">MAX(0,AI52+$AJ$51)</f>
        <v>50</v>
      </c>
      <c r="AK52" s="1"/>
    </row>
    <row r="53" customFormat="false" ht="15" hidden="false" customHeight="true" outlineLevel="0" collapsed="false">
      <c r="B53" s="29" t="s">
        <v>122</v>
      </c>
      <c r="C53" s="37"/>
      <c r="D53" s="37"/>
      <c r="E53" s="37"/>
      <c r="F53" s="37"/>
      <c r="G53" s="38"/>
      <c r="H53" s="37"/>
      <c r="I53" s="37"/>
      <c r="J53" s="37"/>
      <c r="K53" s="37"/>
      <c r="L53" s="37"/>
      <c r="M53" s="38"/>
      <c r="N53" s="37"/>
      <c r="O53" s="37"/>
      <c r="P53" s="37"/>
      <c r="Q53" s="37"/>
      <c r="R53" s="37"/>
      <c r="S53" s="38"/>
      <c r="T53" s="39" t="n">
        <f aca="false">T39</f>
        <v>0.81</v>
      </c>
      <c r="U53" s="39" t="n">
        <f aca="false">U39</f>
        <v>2.43</v>
      </c>
      <c r="V53" s="39" t="n">
        <f aca="false">SUM(Q53,R53,T53,U53)</f>
        <v>3.24</v>
      </c>
      <c r="W53" s="39" t="n">
        <f aca="false">W39</f>
        <v>20.6920879120879</v>
      </c>
      <c r="X53" s="39" t="n">
        <f aca="false">X39</f>
        <v>44.8233527472528</v>
      </c>
      <c r="Y53" s="39" t="n">
        <f aca="false">Y39</f>
        <v>74.4057265054945</v>
      </c>
      <c r="Z53" s="39" t="n">
        <f aca="false">Z39</f>
        <v>108.887985114725</v>
      </c>
      <c r="AA53" s="22"/>
      <c r="AB53" s="1"/>
      <c r="AC53" s="23"/>
      <c r="AD53" s="23"/>
      <c r="AG53" s="29" t="s">
        <v>74</v>
      </c>
      <c r="AH53" s="54" t="n">
        <f aca="false">MAX(0,AI53+$AH$51)</f>
        <v>375</v>
      </c>
      <c r="AI53" s="33" t="n">
        <v>225</v>
      </c>
      <c r="AJ53" s="54" t="n">
        <f aca="false">MAX(0,AI53+$AJ$51)</f>
        <v>75</v>
      </c>
      <c r="AK53" s="1"/>
    </row>
    <row r="54" customFormat="false" ht="15" hidden="false" customHeight="true" outlineLevel="0" collapsed="false">
      <c r="B54" s="51" t="s">
        <v>123</v>
      </c>
      <c r="C54" s="52" t="n">
        <f aca="false">C146</f>
        <v>60.291</v>
      </c>
      <c r="D54" s="52" t="n">
        <f aca="false">D146</f>
        <v>81.861</v>
      </c>
      <c r="E54" s="20" t="n">
        <f aca="false">E146</f>
        <v>24.297</v>
      </c>
      <c r="F54" s="20" t="n">
        <f aca="false">F146</f>
        <v>27.424</v>
      </c>
      <c r="G54" s="20" t="n">
        <f aca="false">E54+F54</f>
        <v>51.721</v>
      </c>
      <c r="H54" s="20" t="n">
        <f aca="false">H146</f>
        <v>28.065</v>
      </c>
      <c r="I54" s="20" t="n">
        <f aca="false">I146</f>
        <v>26.359</v>
      </c>
      <c r="J54" s="52" t="n">
        <f aca="false">J146</f>
        <v>106.145</v>
      </c>
      <c r="K54" s="20" t="n">
        <f aca="false">K146</f>
        <v>30.319</v>
      </c>
      <c r="L54" s="20" t="n">
        <f aca="false">L146</f>
        <v>35.281</v>
      </c>
      <c r="M54" s="20" t="n">
        <f aca="false">K54+L54</f>
        <v>65.6</v>
      </c>
      <c r="N54" s="20" t="n">
        <f aca="false">N146</f>
        <v>37.725</v>
      </c>
      <c r="O54" s="20" t="n">
        <f aca="false">O146</f>
        <v>41.977</v>
      </c>
      <c r="P54" s="52" t="n">
        <f aca="false">P146</f>
        <v>145.302</v>
      </c>
      <c r="Q54" s="20" t="n">
        <f aca="false">Q146</f>
        <v>44.786</v>
      </c>
      <c r="R54" s="20" t="n">
        <f aca="false">R146</f>
        <v>54.58</v>
      </c>
      <c r="S54" s="20" t="n">
        <f aca="false">Q54+R54</f>
        <v>99.366</v>
      </c>
      <c r="T54" s="52" t="n">
        <f aca="false">T51+T53</f>
        <v>57.5427764194491</v>
      </c>
      <c r="U54" s="52" t="n">
        <f aca="false">U51+U53</f>
        <v>65.0812235805509</v>
      </c>
      <c r="V54" s="52" t="n">
        <f aca="false">SUM(Q54,R54,T54,U54)</f>
        <v>221.99</v>
      </c>
      <c r="W54" s="52" t="n">
        <f aca="false">W51+W53</f>
        <v>285.164735561312</v>
      </c>
      <c r="X54" s="52" t="n">
        <f aca="false">X51+X53</f>
        <v>354.348878544977</v>
      </c>
      <c r="Y54" s="52" t="n">
        <f aca="false">Y51+Y53</f>
        <v>428.836028598715</v>
      </c>
      <c r="Z54" s="52" t="n">
        <f aca="false">Z51+Z53</f>
        <v>508.506345534929</v>
      </c>
      <c r="AA54" s="22"/>
      <c r="AB54" s="1"/>
      <c r="AC54" s="23" t="n">
        <f aca="false">IFERROR(IF(AND(Z54&gt;0,P54&gt;0),(Z54/P54)^(1/5)-1,"n/m"),"n/m")</f>
        <v>0.284709563073962</v>
      </c>
      <c r="AD54" s="23" t="n">
        <f aca="false">IFERROR(IF(AND(P54&gt;0,C54&gt;0),(P54/C54)^(1/3)-1,"n/m"),"n/m")</f>
        <v>0.340724981660272</v>
      </c>
      <c r="AG54" s="29" t="s">
        <v>77</v>
      </c>
      <c r="AH54" s="54" t="n">
        <f aca="false">MAX(0,AI54+$AH$51)</f>
        <v>400</v>
      </c>
      <c r="AI54" s="33" t="n">
        <v>250</v>
      </c>
      <c r="AJ54" s="54" t="n">
        <f aca="false">MAX(0,AI54+$AJ$51)</f>
        <v>100</v>
      </c>
      <c r="AK54" s="1"/>
    </row>
    <row r="55" customFormat="false" ht="15" hidden="false" customHeight="true" outlineLevel="0" collapsed="false">
      <c r="B55" s="25" t="s">
        <v>124</v>
      </c>
      <c r="C55" s="31" t="n">
        <f aca="false">IFERROR(C54/C49,"")</f>
        <v>0.266407730954306</v>
      </c>
      <c r="D55" s="31" t="n">
        <f aca="false">IFERROR(D54/D49,"")</f>
        <v>0.291626440569281</v>
      </c>
      <c r="E55" s="31" t="n">
        <f aca="false">IFERROR(E54/E49,"")</f>
        <v>0.292713779726767</v>
      </c>
      <c r="F55" s="31" t="n">
        <f aca="false">IFERROR(F54/F49,"")</f>
        <v>0.322487329343007</v>
      </c>
      <c r="G55" s="31" t="n">
        <f aca="false">IFERROR(G54/G49,"")</f>
        <v>0.30778065399149</v>
      </c>
      <c r="H55" s="31" t="n">
        <f aca="false">IFERROR(H54/H49,"")</f>
        <v>0.326458682300391</v>
      </c>
      <c r="I55" s="31" t="n">
        <f aca="false">IFERROR(I54/I49,"")</f>
        <v>0.288903746246082</v>
      </c>
      <c r="J55" s="31" t="n">
        <f aca="false">IFERROR(J54/J49,"")</f>
        <v>0.307442990751656</v>
      </c>
      <c r="K55" s="31" t="n">
        <f aca="false">IFERROR(K54/K49,"")</f>
        <v>0.302814510007591</v>
      </c>
      <c r="L55" s="31" t="n">
        <f aca="false">IFERROR(L54/L49,"")</f>
        <v>0.30653275063642</v>
      </c>
      <c r="M55" s="31" t="n">
        <f aca="false">IFERROR(M54/M49,"")</f>
        <v>0.304802969970402</v>
      </c>
      <c r="N55" s="31" t="n">
        <f aca="false">IFERROR(N54/N49,"")</f>
        <v>0.309762125678439</v>
      </c>
      <c r="O55" s="31" t="n">
        <f aca="false">IFERROR(O54/O49,"")</f>
        <v>0.312115218749071</v>
      </c>
      <c r="P55" s="31" t="n">
        <f aca="false">IFERROR(P54/P49,"")</f>
        <v>0.30816967126193</v>
      </c>
      <c r="Q55" s="31" t="n">
        <f aca="false">IFERROR(Q54/Q49,"")</f>
        <v>0.296184114807222</v>
      </c>
      <c r="R55" s="31" t="n">
        <f aca="false">IFERROR(R54/R49,"")</f>
        <v>0.299786337696292</v>
      </c>
      <c r="S55" s="31" t="n">
        <f aca="false">IFERROR(S54/S49,"")</f>
        <v>0.298151965505757</v>
      </c>
      <c r="T55" s="27" t="n">
        <f aca="false">IFERROR(T54/T49,"")</f>
        <v>0.29494936154151</v>
      </c>
      <c r="U55" s="27" t="n">
        <f aca="false">IFERROR(U54/U49,"")</f>
        <v>0.29430772169283</v>
      </c>
      <c r="V55" s="27" t="n">
        <f aca="false">IFERROR(V54/V49,"")</f>
        <v>0.296184122748499</v>
      </c>
      <c r="W55" s="27" t="n">
        <f aca="false">IFERROR(W54/W49,"")</f>
        <v>0.297600615700781</v>
      </c>
      <c r="X55" s="27" t="n">
        <f aca="false">IFERROR(X54/X49,"")</f>
        <v>0.298386791893598</v>
      </c>
      <c r="Y55" s="27" t="n">
        <f aca="false">IFERROR(Y54/Y49,"")</f>
        <v>0.299081010491786</v>
      </c>
      <c r="Z55" s="27" t="n">
        <f aca="false">IFERROR(Z54/Z49,"")</f>
        <v>0.300468127542391</v>
      </c>
      <c r="AA55" s="22"/>
      <c r="AB55" s="1"/>
      <c r="AC55" s="28" t="n">
        <f aca="false">IFERROR(AVERAGE(V55,W55,X55,Y55,Z55),"n/m")</f>
        <v>0.298344133675411</v>
      </c>
      <c r="AD55" s="28" t="n">
        <f aca="false">IFERROR(AVERAGE(C55,D55,J55,P55),"n/m")</f>
        <v>0.293411708384293</v>
      </c>
      <c r="AG55" s="29" t="s">
        <v>78</v>
      </c>
      <c r="AH55" s="54" t="n">
        <f aca="false">MAX(0,AI55+$AH$51)</f>
        <v>400</v>
      </c>
      <c r="AI55" s="33" t="n">
        <v>250</v>
      </c>
      <c r="AJ55" s="54" t="n">
        <f aca="false">MAX(0,AI55+$AJ$51)</f>
        <v>100</v>
      </c>
      <c r="AK55" s="1"/>
    </row>
    <row r="56" customFormat="false" ht="15" hidden="false" customHeight="true" outlineLevel="0" collapsed="false">
      <c r="B56" s="25" t="s">
        <v>125</v>
      </c>
      <c r="C56" s="26"/>
      <c r="D56" s="26" t="n">
        <f aca="false">IFERROR(D54/C54-1,"")</f>
        <v>0.357764840523461</v>
      </c>
      <c r="E56" s="26"/>
      <c r="F56" s="26"/>
      <c r="G56" s="26"/>
      <c r="H56" s="26"/>
      <c r="I56" s="26"/>
      <c r="J56" s="26" t="n">
        <f aca="false">IFERROR(J54/D54-1,"")</f>
        <v>0.296649198030809</v>
      </c>
      <c r="K56" s="26" t="n">
        <f aca="false">IFERROR(K54/E54-1,"")</f>
        <v>0.247849528748405</v>
      </c>
      <c r="L56" s="26" t="n">
        <f aca="false">IFERROR(L54/F54-1,"")</f>
        <v>0.286500875145858</v>
      </c>
      <c r="M56" s="26" t="n">
        <f aca="false">IFERROR(M54/G54-1,"")</f>
        <v>0.268343612845846</v>
      </c>
      <c r="N56" s="26" t="n">
        <f aca="false">IFERROR(N54/H54-1,"")</f>
        <v>0.344200962052379</v>
      </c>
      <c r="O56" s="26" t="n">
        <f aca="false">IFERROR(O54/I54-1,"")</f>
        <v>0.592511096779089</v>
      </c>
      <c r="P56" s="26" t="n">
        <f aca="false">IFERROR(P54/J54-1,"")</f>
        <v>0.368901031607707</v>
      </c>
      <c r="Q56" s="26" t="n">
        <f aca="false">IFERROR(Q54/K54-1,"")</f>
        <v>0.477159536924042</v>
      </c>
      <c r="R56" s="26" t="n">
        <f aca="false">IFERROR(R54/L54-1,"")</f>
        <v>0.547008304753266</v>
      </c>
      <c r="S56" s="26" t="n">
        <f aca="false">IFERROR(S54/M54-1,"")</f>
        <v>0.514725609756098</v>
      </c>
      <c r="T56" s="27" t="n">
        <f aca="false">IFERROR(T54/N54-1,"")</f>
        <v>0.525322105220652</v>
      </c>
      <c r="U56" s="27" t="n">
        <f aca="false">IFERROR(U54/O54-1,"")</f>
        <v>0.550401972045427</v>
      </c>
      <c r="V56" s="27" t="n">
        <f aca="false">IFERROR(V54/P54-1,"")</f>
        <v>0.527783512959216</v>
      </c>
      <c r="W56" s="27" t="n">
        <f aca="false">IFERROR(W54/V54-1,"")</f>
        <v>0.284583699992398</v>
      </c>
      <c r="X56" s="27" t="n">
        <f aca="false">IFERROR(X54/W54-1,"")</f>
        <v>0.242611144914129</v>
      </c>
      <c r="Y56" s="27" t="n">
        <f aca="false">IFERROR(Y54/X54-1,"")</f>
        <v>0.21020851077502</v>
      </c>
      <c r="Z56" s="27" t="n">
        <f aca="false">IFERROR(Z54/Y54-1,"")</f>
        <v>0.185782703931262</v>
      </c>
      <c r="AA56" s="22"/>
      <c r="AB56" s="1"/>
      <c r="AC56" s="28" t="n">
        <f aca="false">IFERROR(AVERAGE(V56,W56,X56,Y56,Z56),"n/m")</f>
        <v>0.290193914514405</v>
      </c>
      <c r="AD56" s="28" t="n">
        <f aca="false">IFERROR(AVERAGE(C56,D56,J56,P56),"n/m")</f>
        <v>0.341105023387325</v>
      </c>
    </row>
    <row r="57" customFormat="false" ht="15" hidden="false" customHeight="true" outlineLevel="0" collapsed="false">
      <c r="B57" s="25" t="s">
        <v>126</v>
      </c>
      <c r="C57" s="31"/>
      <c r="D57" s="31" t="n">
        <f aca="false">IFERROR((D54-C54)/(D49-C49),"")</f>
        <v>0.396551090193771</v>
      </c>
      <c r="E57" s="31"/>
      <c r="F57" s="31"/>
      <c r="G57" s="31"/>
      <c r="H57" s="31"/>
      <c r="I57" s="31"/>
      <c r="J57" s="31" t="n">
        <f aca="false">IFERROR((J54-D54)/(J49-D49),"")</f>
        <v>0.376227806525579</v>
      </c>
      <c r="K57" s="31" t="n">
        <f aca="false">IFERROR((K54-E54)/(K49-E49),"")</f>
        <v>0.351793433812361</v>
      </c>
      <c r="L57" s="31" t="n">
        <f aca="false">IFERROR((L54-F54)/(L49-F49),"")</f>
        <v>0.261394637035066</v>
      </c>
      <c r="M57" s="31" t="n">
        <f aca="false">IFERROR((M54-G54)/(M49-G49),"")</f>
        <v>0.294196201458369</v>
      </c>
      <c r="N57" s="31" t="n">
        <f aca="false">IFERROR((N54-H54)/(N49-H49),"")</f>
        <v>0.26968927105726</v>
      </c>
      <c r="O57" s="31" t="n">
        <f aca="false">IFERROR((O54-I54)/(O49-I49),"")</f>
        <v>0.361076432237481</v>
      </c>
      <c r="P57" s="31" t="n">
        <f aca="false">IFERROR((P54-J54)/(P49-J49),"")</f>
        <v>0.310156912133958</v>
      </c>
      <c r="Q57" s="31" t="n">
        <f aca="false">IFERROR((Q54-K54)/(Q49-K49),"")</f>
        <v>0.283189132051835</v>
      </c>
      <c r="R57" s="31" t="n">
        <f aca="false">IFERROR((R54-L54)/(R49-L49),"")</f>
        <v>0.288191022309829</v>
      </c>
      <c r="S57" s="31" t="n">
        <f aca="false">IFERROR((S54-M54)/(S49-M49),"")</f>
        <v>0.286026496798021</v>
      </c>
      <c r="T57" s="27" t="n">
        <f aca="false">IFERROR((T54-N54)/(T49-N49),"")</f>
        <v>0.270340411415466</v>
      </c>
      <c r="U57" s="27" t="n">
        <f aca="false">IFERROR((U54-O54)/(U49-O49),"")</f>
        <v>0.266665393825034</v>
      </c>
      <c r="V57" s="27" t="n">
        <f aca="false">IFERROR((V54-P54)/(V49-P49),"")</f>
        <v>0.275856115107914</v>
      </c>
      <c r="W57" s="27" t="n">
        <f aca="false">IFERROR((W54-V54)/(W49-V49),"")</f>
        <v>0.302687324273403</v>
      </c>
      <c r="X57" s="27" t="n">
        <f aca="false">IFERROR((X54-W54)/(X49-W49),"")</f>
        <v>0.301671598000085</v>
      </c>
      <c r="Y57" s="27" t="n">
        <f aca="false">IFERROR((Y54-X54)/(Y49-X49),"")</f>
        <v>0.30242826497254</v>
      </c>
      <c r="Z57" s="27" t="n">
        <f aca="false">IFERROR((Z54-Y54)/(Z49-Y49),"")</f>
        <v>0.308161147771603</v>
      </c>
      <c r="AA57" s="22"/>
      <c r="AB57" s="1"/>
      <c r="AC57" s="28" t="n">
        <f aca="false">IFERROR(AVERAGE(V57,W57,X57,Y57,Z57),"n/m")</f>
        <v>0.298160890025109</v>
      </c>
      <c r="AD57" s="28" t="n">
        <f aca="false">IFERROR(AVERAGE(C57,D57,J57,P57),"n/m")</f>
        <v>0.360978602951103</v>
      </c>
      <c r="AG57" s="17" t="s">
        <v>127</v>
      </c>
      <c r="AH57" s="53" t="n">
        <v>0</v>
      </c>
      <c r="AI57" s="24" t="s">
        <v>70</v>
      </c>
      <c r="AJ57" s="53" t="n">
        <v>0</v>
      </c>
      <c r="AK57" s="15" t="s">
        <v>128</v>
      </c>
    </row>
    <row r="58" customFormat="false" ht="15" hidden="false" customHeight="true" outlineLevel="0" collapsed="false">
      <c r="B58" s="29" t="s">
        <v>129</v>
      </c>
      <c r="C58" s="37" t="n">
        <v>1.603</v>
      </c>
      <c r="D58" s="37" t="n">
        <v>1.291</v>
      </c>
      <c r="E58" s="37" t="n">
        <v>0.251</v>
      </c>
      <c r="F58" s="37" t="n">
        <v>0.246</v>
      </c>
      <c r="G58" s="38" t="n">
        <f aca="false">E58+F58</f>
        <v>0.497</v>
      </c>
      <c r="H58" s="37" t="n">
        <v>0.248</v>
      </c>
      <c r="I58" s="37" t="n">
        <v>0.248</v>
      </c>
      <c r="J58" s="37" t="n">
        <v>0.993</v>
      </c>
      <c r="K58" s="37" t="n">
        <v>8.084</v>
      </c>
      <c r="L58" s="37" t="n">
        <v>0</v>
      </c>
      <c r="M58" s="38" t="n">
        <f aca="false">K58+L58</f>
        <v>8.084</v>
      </c>
      <c r="N58" s="37" t="n">
        <v>0</v>
      </c>
      <c r="O58" s="37" t="n">
        <v>0</v>
      </c>
      <c r="P58" s="37" t="n">
        <v>8.084</v>
      </c>
      <c r="Q58" s="37" t="n">
        <v>0</v>
      </c>
      <c r="R58" s="37" t="n">
        <v>1.444</v>
      </c>
      <c r="S58" s="38" t="n">
        <f aca="false">Q58+R58</f>
        <v>1.444</v>
      </c>
      <c r="T58" s="39" t="n">
        <f aca="false">$AI$18</f>
        <v>1.5</v>
      </c>
      <c r="U58" s="39" t="n">
        <f aca="false">$AI$18</f>
        <v>1.5</v>
      </c>
      <c r="V58" s="39" t="n">
        <f aca="false">SUM(Q58,R58,T58,U58)</f>
        <v>4.444</v>
      </c>
      <c r="W58" s="39" t="n">
        <f aca="false">W49*W87</f>
        <v>7.66570283841156</v>
      </c>
      <c r="X58" s="39" t="n">
        <f aca="false">X49*X87</f>
        <v>9.50039045083028</v>
      </c>
      <c r="Y58" s="39" t="n">
        <f aca="false">Y49*Y87</f>
        <v>11.470765807393</v>
      </c>
      <c r="Z58" s="39" t="n">
        <f aca="false">Z49*Z87</f>
        <v>13.5390425518776</v>
      </c>
      <c r="AA58" s="22" t="s">
        <v>130</v>
      </c>
      <c r="AB58" s="1"/>
      <c r="AC58" s="23"/>
      <c r="AD58" s="23"/>
      <c r="AG58" s="29" t="s">
        <v>73</v>
      </c>
      <c r="AH58" s="54" t="n">
        <f aca="false">MAX(0,AI58+$AH$57)</f>
        <v>0</v>
      </c>
      <c r="AI58" s="33" t="n">
        <v>0</v>
      </c>
      <c r="AJ58" s="54" t="n">
        <f aca="false">MAX(0,AI58+$AJ$57)</f>
        <v>0</v>
      </c>
      <c r="AK58" s="1"/>
    </row>
    <row r="59" customFormat="false" ht="15" hidden="false" customHeight="true" outlineLevel="0" collapsed="false">
      <c r="B59" s="29" t="s">
        <v>131</v>
      </c>
      <c r="C59" s="37" t="n">
        <v>0.251</v>
      </c>
      <c r="D59" s="37" t="n">
        <v>0.356</v>
      </c>
      <c r="E59" s="37" t="n">
        <v>2.011</v>
      </c>
      <c r="F59" s="37" t="n">
        <v>0.079</v>
      </c>
      <c r="G59" s="38" t="n">
        <f aca="false">E59+F59</f>
        <v>2.09</v>
      </c>
      <c r="H59" s="37" t="n">
        <v>1.074</v>
      </c>
      <c r="I59" s="37" t="n">
        <v>1.612</v>
      </c>
      <c r="J59" s="37" t="n">
        <v>4.776</v>
      </c>
      <c r="K59" s="37" t="n">
        <v>1.962</v>
      </c>
      <c r="L59" s="37" t="n">
        <v>3.904</v>
      </c>
      <c r="M59" s="38" t="n">
        <f aca="false">K59+L59</f>
        <v>5.866</v>
      </c>
      <c r="N59" s="37" t="n">
        <v>3.533</v>
      </c>
      <c r="O59" s="37" t="n">
        <v>3.342</v>
      </c>
      <c r="P59" s="37" t="n">
        <v>12.741</v>
      </c>
      <c r="Q59" s="37" t="n">
        <v>2.263</v>
      </c>
      <c r="R59" s="37" t="n">
        <v>1.392</v>
      </c>
      <c r="S59" s="38" t="n">
        <f aca="false">Q59+R59</f>
        <v>3.655</v>
      </c>
      <c r="T59" s="39" t="n">
        <f aca="false">$AI$19/4</f>
        <v>1.5</v>
      </c>
      <c r="U59" s="39" t="n">
        <f aca="false">$AI$19/4</f>
        <v>1.5</v>
      </c>
      <c r="V59" s="39" t="n">
        <f aca="false">SUM(Q59,R59,T59,U59)</f>
        <v>6.655</v>
      </c>
      <c r="W59" s="39" t="n">
        <f aca="false">W32*W88</f>
        <v>6</v>
      </c>
      <c r="X59" s="39" t="n">
        <f aca="false">X32*X88</f>
        <v>6.75</v>
      </c>
      <c r="Y59" s="39" t="n">
        <f aca="false">Y32*Y88</f>
        <v>7.5</v>
      </c>
      <c r="Z59" s="39" t="n">
        <f aca="false">Z32*Z88</f>
        <v>7.5</v>
      </c>
      <c r="AA59" s="22"/>
      <c r="AB59" s="1"/>
      <c r="AC59" s="23"/>
      <c r="AD59" s="23"/>
      <c r="AG59" s="29" t="s">
        <v>74</v>
      </c>
      <c r="AH59" s="54" t="n">
        <f aca="false">MAX(0,AI59+$AH$57)</f>
        <v>0</v>
      </c>
      <c r="AI59" s="33" t="n">
        <v>0</v>
      </c>
      <c r="AJ59" s="54" t="n">
        <f aca="false">MAX(0,AI59+$AJ$57)</f>
        <v>0</v>
      </c>
      <c r="AK59" s="1"/>
    </row>
    <row r="60" customFormat="false" ht="15" hidden="false" customHeight="true" outlineLevel="0" collapsed="false">
      <c r="B60" s="29" t="s">
        <v>132</v>
      </c>
      <c r="C60" s="37" t="n">
        <v>3.507</v>
      </c>
      <c r="D60" s="37" t="n">
        <v>2.739</v>
      </c>
      <c r="E60" s="37" t="n">
        <v>0.416</v>
      </c>
      <c r="F60" s="37" t="n">
        <v>0.476</v>
      </c>
      <c r="G60" s="38" t="n">
        <f aca="false">E60+F60</f>
        <v>0.892</v>
      </c>
      <c r="H60" s="37" t="n">
        <v>0.849</v>
      </c>
      <c r="I60" s="37" t="n">
        <v>0.514</v>
      </c>
      <c r="J60" s="37" t="n">
        <v>2.255</v>
      </c>
      <c r="K60" s="37" t="n">
        <v>0.261</v>
      </c>
      <c r="L60" s="37" t="n">
        <v>0.38</v>
      </c>
      <c r="M60" s="38" t="n">
        <f aca="false">K60+L60</f>
        <v>0.641</v>
      </c>
      <c r="N60" s="37" t="n">
        <v>0.559</v>
      </c>
      <c r="O60" s="37" t="n">
        <v>1.079</v>
      </c>
      <c r="P60" s="37" t="n">
        <v>2.279</v>
      </c>
      <c r="Q60" s="37" t="n">
        <v>1.41</v>
      </c>
      <c r="R60" s="37" t="n">
        <v>1.94</v>
      </c>
      <c r="S60" s="38" t="n">
        <f aca="false">Q60+R60</f>
        <v>3.35</v>
      </c>
      <c r="T60" s="39" t="n">
        <f aca="false">$AI$19/4</f>
        <v>1.5</v>
      </c>
      <c r="U60" s="39" t="n">
        <f aca="false">$AI$19/4</f>
        <v>1.5</v>
      </c>
      <c r="V60" s="39" t="n">
        <f aca="false">SUM(Q60,R60,T60,U60)</f>
        <v>6.35</v>
      </c>
      <c r="W60" s="40" t="n">
        <v>2</v>
      </c>
      <c r="X60" s="40" t="n">
        <v>2</v>
      </c>
      <c r="Y60" s="40" t="n">
        <v>2</v>
      </c>
      <c r="Z60" s="40" t="n">
        <v>2</v>
      </c>
      <c r="AA60" s="22"/>
      <c r="AB60" s="1"/>
      <c r="AC60" s="23"/>
      <c r="AD60" s="23"/>
      <c r="AG60" s="29" t="s">
        <v>77</v>
      </c>
      <c r="AH60" s="54" t="n">
        <f aca="false">MAX(0,AI60+$AH$57)</f>
        <v>0</v>
      </c>
      <c r="AI60" s="33" t="n">
        <v>0</v>
      </c>
      <c r="AJ60" s="54" t="n">
        <f aca="false">MAX(0,AI60+$AJ$57)</f>
        <v>0</v>
      </c>
      <c r="AK60" s="1"/>
    </row>
    <row r="61" customFormat="false" ht="15" hidden="false" customHeight="true" outlineLevel="0" collapsed="false">
      <c r="B61" s="29" t="s">
        <v>133</v>
      </c>
      <c r="C61" s="37" t="n">
        <v>0</v>
      </c>
      <c r="D61" s="37" t="n">
        <v>0.5</v>
      </c>
      <c r="E61" s="37" t="n">
        <v>0</v>
      </c>
      <c r="F61" s="37" t="n">
        <v>0</v>
      </c>
      <c r="G61" s="38" t="n">
        <f aca="false">E61+F61</f>
        <v>0</v>
      </c>
      <c r="H61" s="37" t="n">
        <v>0</v>
      </c>
      <c r="I61" s="37" t="n">
        <v>0.1</v>
      </c>
      <c r="J61" s="37" t="n">
        <v>0.1</v>
      </c>
      <c r="K61" s="37" t="n">
        <v>1.26</v>
      </c>
      <c r="L61" s="37" t="n">
        <v>0.206</v>
      </c>
      <c r="M61" s="38" t="n">
        <f aca="false">K61+L61</f>
        <v>1.466</v>
      </c>
      <c r="N61" s="37" t="n">
        <v>0</v>
      </c>
      <c r="O61" s="37" t="n">
        <v>0.106</v>
      </c>
      <c r="P61" s="37" t="n">
        <v>1.572</v>
      </c>
      <c r="Q61" s="37" t="n">
        <v>0.735</v>
      </c>
      <c r="R61" s="37" t="n">
        <v>0.045</v>
      </c>
      <c r="S61" s="38" t="n">
        <f aca="false">Q61+R61</f>
        <v>0.78</v>
      </c>
      <c r="T61" s="40" t="n">
        <v>0.5</v>
      </c>
      <c r="U61" s="40" t="n">
        <v>0</v>
      </c>
      <c r="V61" s="39" t="n">
        <f aca="false">SUM(Q61,R61,T61,U61)</f>
        <v>1.28</v>
      </c>
      <c r="W61" s="40" t="n">
        <v>0</v>
      </c>
      <c r="X61" s="40" t="n">
        <v>0</v>
      </c>
      <c r="Y61" s="40" t="n">
        <v>0</v>
      </c>
      <c r="Z61" s="40" t="n">
        <v>0</v>
      </c>
      <c r="AA61" s="22" t="s">
        <v>134</v>
      </c>
      <c r="AB61" s="1"/>
      <c r="AC61" s="23"/>
      <c r="AD61" s="23"/>
      <c r="AG61" s="29" t="s">
        <v>78</v>
      </c>
      <c r="AH61" s="54" t="n">
        <f aca="false">MAX(0,AI61+$AH$57)</f>
        <v>0</v>
      </c>
      <c r="AI61" s="33" t="n">
        <v>0</v>
      </c>
      <c r="AJ61" s="54" t="n">
        <f aca="false">MAX(0,AI61+$AJ$57)</f>
        <v>0</v>
      </c>
      <c r="AK61" s="1"/>
    </row>
    <row r="62" customFormat="false" ht="15" hidden="false" customHeight="true" outlineLevel="0" collapsed="false">
      <c r="B62" s="29" t="s">
        <v>135</v>
      </c>
      <c r="C62" s="37" t="n">
        <v>-0.281</v>
      </c>
      <c r="D62" s="37" t="n">
        <v>0.739</v>
      </c>
      <c r="E62" s="37" t="n">
        <v>0</v>
      </c>
      <c r="F62" s="37" t="n">
        <v>0</v>
      </c>
      <c r="G62" s="38" t="n">
        <f aca="false">E62+F62</f>
        <v>0</v>
      </c>
      <c r="H62" s="37" t="n">
        <v>0</v>
      </c>
      <c r="I62" s="37" t="n">
        <v>0</v>
      </c>
      <c r="J62" s="37" t="n">
        <v>0</v>
      </c>
      <c r="K62" s="37" t="n">
        <v>0</v>
      </c>
      <c r="L62" s="37" t="n">
        <v>0</v>
      </c>
      <c r="M62" s="38" t="n">
        <f aca="false">K62+L62</f>
        <v>0</v>
      </c>
      <c r="N62" s="37" t="n">
        <v>0.8</v>
      </c>
      <c r="O62" s="37" t="n">
        <v>0</v>
      </c>
      <c r="P62" s="37" t="n">
        <v>0.8</v>
      </c>
      <c r="Q62" s="37" t="n">
        <v>2.468</v>
      </c>
      <c r="R62" s="37" t="n">
        <v>0.034</v>
      </c>
      <c r="S62" s="38" t="n">
        <f aca="false">Q62+R62</f>
        <v>2.502</v>
      </c>
      <c r="T62" s="40" t="n">
        <v>0</v>
      </c>
      <c r="U62" s="40" t="n">
        <v>0</v>
      </c>
      <c r="V62" s="39" t="n">
        <f aca="false">SUM(Q62,R62,T62,U62)</f>
        <v>2.502</v>
      </c>
      <c r="W62" s="40" t="n">
        <v>0</v>
      </c>
      <c r="X62" s="40" t="n">
        <v>0</v>
      </c>
      <c r="Y62" s="40" t="n">
        <v>0</v>
      </c>
      <c r="Z62" s="40" t="n">
        <v>0</v>
      </c>
      <c r="AA62" s="22"/>
      <c r="AB62" s="1"/>
      <c r="AC62" s="23"/>
      <c r="AD62" s="23"/>
    </row>
    <row r="63" customFormat="false" ht="15" hidden="false" customHeight="true" outlineLevel="0" collapsed="false">
      <c r="B63" s="18" t="s">
        <v>136</v>
      </c>
      <c r="C63" s="20" t="n">
        <f aca="false">C138</f>
        <v>55.211</v>
      </c>
      <c r="D63" s="20" t="n">
        <f aca="false">D138</f>
        <v>76.236</v>
      </c>
      <c r="E63" s="20" t="n">
        <f aca="false">E138</f>
        <v>21.619</v>
      </c>
      <c r="F63" s="20" t="n">
        <f aca="false">F138</f>
        <v>26.623</v>
      </c>
      <c r="G63" s="20" t="n">
        <f aca="false">E63+F63</f>
        <v>48.242</v>
      </c>
      <c r="H63" s="20" t="n">
        <f aca="false">H138</f>
        <v>25.894</v>
      </c>
      <c r="I63" s="20" t="n">
        <f aca="false">I138</f>
        <v>23.885</v>
      </c>
      <c r="J63" s="20" t="n">
        <f aca="false">J138</f>
        <v>98.021</v>
      </c>
      <c r="K63" s="20" t="n">
        <f aca="false">K138</f>
        <v>18.752</v>
      </c>
      <c r="L63" s="20" t="n">
        <f aca="false">L138</f>
        <v>30.791</v>
      </c>
      <c r="M63" s="20" t="n">
        <f aca="false">K63+L63</f>
        <v>49.543</v>
      </c>
      <c r="N63" s="20" t="n">
        <f aca="false">N138</f>
        <v>32.833</v>
      </c>
      <c r="O63" s="20" t="n">
        <f aca="false">O138</f>
        <v>37.45</v>
      </c>
      <c r="P63" s="20" t="n">
        <f aca="false">P138</f>
        <v>119.826</v>
      </c>
      <c r="Q63" s="20" t="n">
        <f aca="false">Q138</f>
        <v>37.91</v>
      </c>
      <c r="R63" s="20" t="n">
        <f aca="false">R138</f>
        <v>49.725</v>
      </c>
      <c r="S63" s="20" t="n">
        <f aca="false">Q63+R63</f>
        <v>87.635</v>
      </c>
      <c r="T63" s="21" t="n">
        <f aca="false">T54-T58-T59-T60-T61-T62</f>
        <v>52.5427764194491</v>
      </c>
      <c r="U63" s="21" t="n">
        <f aca="false">U54-U58-U59-U60-U61-U62</f>
        <v>60.5812235805509</v>
      </c>
      <c r="V63" s="21" t="n">
        <f aca="false">SUM(Q63,R63,T63,U63)</f>
        <v>200.759</v>
      </c>
      <c r="W63" s="21" t="n">
        <f aca="false">W54-W58-W59-W60-W61-W62</f>
        <v>269.499032722901</v>
      </c>
      <c r="X63" s="21" t="n">
        <f aca="false">X54-X58-X59-X60-X61-X62</f>
        <v>336.098488094147</v>
      </c>
      <c r="Y63" s="21" t="n">
        <f aca="false">Y54-Y58-Y59-Y60-Y61-Y62</f>
        <v>407.865262791322</v>
      </c>
      <c r="Z63" s="21" t="n">
        <f aca="false">Z54-Z58-Z59-Z60-Z61-Z62</f>
        <v>485.467302983051</v>
      </c>
      <c r="AA63" s="22"/>
      <c r="AB63" s="1"/>
      <c r="AC63" s="23" t="n">
        <f aca="false">IFERROR(IF(AND(Z63&gt;0,P63&gt;0),(Z63/P63)^(1/5)-1,"n/m"),"n/m")</f>
        <v>0.322884063230276</v>
      </c>
      <c r="AD63" s="23" t="n">
        <f aca="false">IFERROR(IF(AND(P63&gt;0,C63&gt;0),(P63/C63)^(1/3)-1,"n/m"),"n/m")</f>
        <v>0.294717891787775</v>
      </c>
      <c r="AG63" s="17" t="s">
        <v>137</v>
      </c>
      <c r="AH63" s="55" t="n">
        <v>2.5</v>
      </c>
      <c r="AI63" s="56" t="n">
        <v>2</v>
      </c>
      <c r="AJ63" s="55" t="n">
        <v>2</v>
      </c>
      <c r="AK63" s="15" t="s">
        <v>138</v>
      </c>
    </row>
    <row r="64" customFormat="false" ht="15" hidden="false" customHeight="true" outlineLevel="0" collapsed="false">
      <c r="B64" s="29" t="s">
        <v>139</v>
      </c>
      <c r="C64" s="38" t="n">
        <f aca="false">C106-C65-C66</f>
        <v>5.599</v>
      </c>
      <c r="D64" s="38" t="n">
        <f aca="false">D106-D65-D66</f>
        <v>8.009</v>
      </c>
      <c r="E64" s="38" t="n">
        <f aca="false">E106-E65-E66</f>
        <v>1.937</v>
      </c>
      <c r="F64" s="38" t="n">
        <f aca="false">F106-F65-F66</f>
        <v>2.295</v>
      </c>
      <c r="G64" s="38" t="n">
        <f aca="false">E64+F64</f>
        <v>4.232</v>
      </c>
      <c r="H64" s="38" t="n">
        <f aca="false">H106-H65-H66</f>
        <v>2.186</v>
      </c>
      <c r="I64" s="38" t="n">
        <f aca="false">I106-I65-I66</f>
        <v>3.396</v>
      </c>
      <c r="J64" s="38" t="n">
        <f aca="false">J106-J65-J66</f>
        <v>9.813</v>
      </c>
      <c r="K64" s="38" t="n">
        <f aca="false">K106-K65-K66</f>
        <v>2.176</v>
      </c>
      <c r="L64" s="38" t="n">
        <f aca="false">L106-L65-L66</f>
        <v>3.676</v>
      </c>
      <c r="M64" s="38" t="n">
        <f aca="false">K64+L64</f>
        <v>5.852</v>
      </c>
      <c r="N64" s="38" t="n">
        <f aca="false">N106-N65-N66</f>
        <v>3.262</v>
      </c>
      <c r="O64" s="38" t="n">
        <f aca="false">O106-O65-O66</f>
        <v>3.46</v>
      </c>
      <c r="P64" s="38" t="n">
        <f aca="false">P106-P65-P66</f>
        <v>12.574</v>
      </c>
      <c r="Q64" s="38" t="n">
        <f aca="false">Q106-Q65-Q66</f>
        <v>3.903</v>
      </c>
      <c r="R64" s="38" t="n">
        <f aca="false">R106-R65-R66</f>
        <v>4.062</v>
      </c>
      <c r="S64" s="38" t="n">
        <f aca="false">Q64+R64</f>
        <v>7.965</v>
      </c>
      <c r="T64" s="39" t="n">
        <f aca="false">R64*1.04</f>
        <v>4.22448</v>
      </c>
      <c r="U64" s="39" t="n">
        <f aca="false">T64*1.04</f>
        <v>4.3934592</v>
      </c>
      <c r="V64" s="39" t="n">
        <f aca="false">SUM(Q64,R64,T64,U64)</f>
        <v>16.5829392</v>
      </c>
      <c r="W64" s="39" t="n">
        <f aca="false">W49*W85</f>
        <v>22.9971085152347</v>
      </c>
      <c r="X64" s="39" t="n">
        <f aca="false">X49*X85</f>
        <v>30.8762689651984</v>
      </c>
      <c r="Y64" s="39" t="n">
        <f aca="false">Y49*Y85</f>
        <v>38.7138345999513</v>
      </c>
      <c r="Z64" s="39" t="n">
        <f aca="false">Z49*Z85</f>
        <v>47.3866489315717</v>
      </c>
      <c r="AA64" s="22" t="s">
        <v>140</v>
      </c>
      <c r="AB64" s="1"/>
      <c r="AC64" s="23"/>
      <c r="AD64" s="23"/>
    </row>
    <row r="65" customFormat="false" ht="15" hidden="false" customHeight="true" outlineLevel="0" collapsed="false">
      <c r="B65" s="29" t="s">
        <v>141</v>
      </c>
      <c r="C65" s="37" t="n">
        <v>4.527</v>
      </c>
      <c r="D65" s="37" t="n">
        <v>4.764</v>
      </c>
      <c r="E65" s="37" t="n">
        <v>1.513</v>
      </c>
      <c r="F65" s="37" t="n">
        <v>1.611</v>
      </c>
      <c r="G65" s="38" t="n">
        <f aca="false">E65+F65</f>
        <v>3.124</v>
      </c>
      <c r="H65" s="37" t="n">
        <v>1.65</v>
      </c>
      <c r="I65" s="37" t="n">
        <v>1.472</v>
      </c>
      <c r="J65" s="37" t="n">
        <v>6.246</v>
      </c>
      <c r="K65" s="37" t="n">
        <v>2.293</v>
      </c>
      <c r="L65" s="37" t="n">
        <v>1.131</v>
      </c>
      <c r="M65" s="38" t="n">
        <f aca="false">K65+L65</f>
        <v>3.424</v>
      </c>
      <c r="N65" s="37" t="n">
        <v>1.708</v>
      </c>
      <c r="O65" s="37" t="n">
        <v>1.831</v>
      </c>
      <c r="P65" s="37" t="n">
        <v>6.963</v>
      </c>
      <c r="Q65" s="37" t="n">
        <v>1.829</v>
      </c>
      <c r="R65" s="37" t="n">
        <v>1.914</v>
      </c>
      <c r="S65" s="38" t="n">
        <f aca="false">Q65+R65</f>
        <v>3.743</v>
      </c>
      <c r="T65" s="39" t="n">
        <f aca="false">$R65</f>
        <v>1.914</v>
      </c>
      <c r="U65" s="39" t="n">
        <f aca="false">$R65</f>
        <v>1.914</v>
      </c>
      <c r="V65" s="39" t="n">
        <f aca="false">SUM(Q65,R65,T65,U65)</f>
        <v>7.571</v>
      </c>
      <c r="W65" s="39" t="n">
        <f aca="false">V65*(1+W86)</f>
        <v>7.94955</v>
      </c>
      <c r="X65" s="39" t="n">
        <f aca="false">W65*(1+X86)</f>
        <v>8.3470275</v>
      </c>
      <c r="Y65" s="39" t="n">
        <f aca="false">X65*(1+Y86)</f>
        <v>8.764378875</v>
      </c>
      <c r="Z65" s="39" t="n">
        <f aca="false">Y65*(1+Z86)</f>
        <v>9.20259781875</v>
      </c>
      <c r="AA65" s="22"/>
      <c r="AB65" s="1"/>
      <c r="AC65" s="23"/>
      <c r="AD65" s="23"/>
    </row>
    <row r="66" customFormat="false" ht="15" hidden="false" customHeight="true" outlineLevel="0" collapsed="false">
      <c r="B66" s="29" t="s">
        <v>142</v>
      </c>
      <c r="C66" s="37" t="n">
        <v>24.856</v>
      </c>
      <c r="D66" s="37" t="n">
        <v>14.406</v>
      </c>
      <c r="E66" s="37" t="n">
        <v>3.9</v>
      </c>
      <c r="F66" s="37" t="n">
        <v>4.4</v>
      </c>
      <c r="G66" s="38" t="n">
        <f aca="false">E66+F66</f>
        <v>8.3</v>
      </c>
      <c r="H66" s="37" t="n">
        <v>4.3</v>
      </c>
      <c r="I66" s="37" t="n">
        <v>4.3</v>
      </c>
      <c r="J66" s="37" t="n">
        <v>16.9</v>
      </c>
      <c r="K66" s="37" t="n">
        <v>4.4</v>
      </c>
      <c r="L66" s="37" t="n">
        <v>5.5</v>
      </c>
      <c r="M66" s="38" t="n">
        <f aca="false">K66+L66</f>
        <v>9.9</v>
      </c>
      <c r="N66" s="37" t="n">
        <v>6</v>
      </c>
      <c r="O66" s="37" t="n">
        <v>7.3</v>
      </c>
      <c r="P66" s="37" t="n">
        <v>23.2</v>
      </c>
      <c r="Q66" s="37" t="n">
        <v>10.9</v>
      </c>
      <c r="R66" s="37" t="n">
        <v>9.2</v>
      </c>
      <c r="S66" s="38" t="n">
        <f aca="false">Q66+R66</f>
        <v>20.1</v>
      </c>
      <c r="T66" s="39" t="n">
        <f aca="false">($V297-$S66)/2+T43</f>
        <v>9.496875</v>
      </c>
      <c r="U66" s="39" t="n">
        <f aca="false">($V297-$S66)/2+U43</f>
        <v>10.090625</v>
      </c>
      <c r="V66" s="39" t="n">
        <f aca="false">SUM(Q66,R66,T66,U66)</f>
        <v>39.6875</v>
      </c>
      <c r="W66" s="39" t="n">
        <f aca="false">W297+W43</f>
        <v>40.3125</v>
      </c>
      <c r="X66" s="39" t="n">
        <f aca="false">X297+X43</f>
        <v>41.28125</v>
      </c>
      <c r="Y66" s="39" t="n">
        <f aca="false">Y297+Y43</f>
        <v>48.1875</v>
      </c>
      <c r="Z66" s="39" t="n">
        <f aca="false">Z297+Z43</f>
        <v>57.0625</v>
      </c>
      <c r="AA66" s="22" t="s">
        <v>143</v>
      </c>
      <c r="AB66" s="1"/>
      <c r="AC66" s="23"/>
      <c r="AD66" s="23"/>
    </row>
    <row r="67" customFormat="false" ht="15" hidden="false" customHeight="true" outlineLevel="0" collapsed="false">
      <c r="B67" s="29" t="s">
        <v>144</v>
      </c>
      <c r="C67" s="38" t="n">
        <f aca="false">C64+C65+C66</f>
        <v>34.982</v>
      </c>
      <c r="D67" s="38" t="n">
        <f aca="false">D64+D65+D66</f>
        <v>27.179</v>
      </c>
      <c r="E67" s="38" t="n">
        <f aca="false">E64+E65+E66</f>
        <v>7.35</v>
      </c>
      <c r="F67" s="38" t="n">
        <f aca="false">F64+F65+F66</f>
        <v>8.306</v>
      </c>
      <c r="G67" s="38" t="n">
        <f aca="false">G64+G65+G66</f>
        <v>15.656</v>
      </c>
      <c r="H67" s="38" t="n">
        <f aca="false">H64+H65+H66</f>
        <v>8.136</v>
      </c>
      <c r="I67" s="38" t="n">
        <f aca="false">I64+I65+I66</f>
        <v>9.168</v>
      </c>
      <c r="J67" s="38" t="n">
        <f aca="false">J64+J65+J66</f>
        <v>32.959</v>
      </c>
      <c r="K67" s="38" t="n">
        <f aca="false">K64+K65+K66</f>
        <v>8.869</v>
      </c>
      <c r="L67" s="38" t="n">
        <f aca="false">L64+L65+L66</f>
        <v>10.307</v>
      </c>
      <c r="M67" s="38" t="n">
        <f aca="false">M64+M65+M66</f>
        <v>19.176</v>
      </c>
      <c r="N67" s="38" t="n">
        <f aca="false">N64+N65+N66</f>
        <v>10.97</v>
      </c>
      <c r="O67" s="38" t="n">
        <f aca="false">O64+O65+O66</f>
        <v>12.591</v>
      </c>
      <c r="P67" s="38" t="n">
        <f aca="false">P64+P65+P66</f>
        <v>42.737</v>
      </c>
      <c r="Q67" s="38" t="n">
        <f aca="false">Q64+Q65+Q66</f>
        <v>16.632</v>
      </c>
      <c r="R67" s="38" t="n">
        <f aca="false">R64+R65+R66</f>
        <v>15.176</v>
      </c>
      <c r="S67" s="38" t="n">
        <f aca="false">S64+S65+S66</f>
        <v>31.808</v>
      </c>
      <c r="T67" s="39" t="n">
        <f aca="false">T64+T65+T66</f>
        <v>15.635355</v>
      </c>
      <c r="U67" s="39" t="n">
        <f aca="false">U64+U65+U66</f>
        <v>16.3980842</v>
      </c>
      <c r="V67" s="39" t="n">
        <f aca="false">V64+V65+V66</f>
        <v>63.8414392</v>
      </c>
      <c r="W67" s="39" t="n">
        <f aca="false">W64+W65+W66</f>
        <v>71.2591585152347</v>
      </c>
      <c r="X67" s="39" t="n">
        <f aca="false">X64+X65+X66</f>
        <v>80.5045464651984</v>
      </c>
      <c r="Y67" s="39" t="n">
        <f aca="false">Y64+Y65+Y66</f>
        <v>95.6657134749513</v>
      </c>
      <c r="Z67" s="39" t="n">
        <f aca="false">Z64+Z65+Z66</f>
        <v>113.651746750322</v>
      </c>
      <c r="AA67" s="22"/>
      <c r="AB67" s="1"/>
      <c r="AC67" s="23" t="n">
        <f aca="false">IFERROR(IF(AND(Z67&gt;0,P67&gt;0),(Z67/P67)^(1/5)-1,"n/m"),"n/m")</f>
        <v>0.216058356376713</v>
      </c>
      <c r="AD67" s="23" t="n">
        <f aca="false">IFERROR(IF(AND(P67&gt;0,C67&gt;0),(P67/C67)^(1/3)-1,"n/m"),"n/m")</f>
        <v>0.0690215640698504</v>
      </c>
    </row>
    <row r="68" customFormat="false" ht="15" hidden="false" customHeight="true" outlineLevel="0" collapsed="false">
      <c r="B68" s="29" t="s">
        <v>145</v>
      </c>
      <c r="C68" s="38" t="n">
        <f aca="false">C99</f>
        <v>-0.206</v>
      </c>
      <c r="D68" s="38" t="n">
        <f aca="false">D99</f>
        <v>0.563</v>
      </c>
      <c r="E68" s="38" t="n">
        <f aca="false">E99</f>
        <v>0.77</v>
      </c>
      <c r="F68" s="38" t="n">
        <f aca="false">F99</f>
        <v>0.036</v>
      </c>
      <c r="G68" s="38" t="n">
        <f aca="false">E68+F68</f>
        <v>0.806</v>
      </c>
      <c r="H68" s="38" t="n">
        <f aca="false">H99</f>
        <v>0.351</v>
      </c>
      <c r="I68" s="38" t="n">
        <f aca="false">I99</f>
        <v>0.345</v>
      </c>
      <c r="J68" s="38" t="n">
        <f aca="false">J99</f>
        <v>1.502</v>
      </c>
      <c r="K68" s="38" t="n">
        <f aca="false">K99</f>
        <v>-0.08</v>
      </c>
      <c r="L68" s="38" t="n">
        <f aca="false">L99</f>
        <v>0.38</v>
      </c>
      <c r="M68" s="38" t="n">
        <f aca="false">K68+L68</f>
        <v>0.3</v>
      </c>
      <c r="N68" s="38" t="n">
        <f aca="false">N99</f>
        <v>0.051</v>
      </c>
      <c r="O68" s="38" t="n">
        <f aca="false">O99</f>
        <v>3.796</v>
      </c>
      <c r="P68" s="38" t="n">
        <f aca="false">P99</f>
        <v>4.147</v>
      </c>
      <c r="Q68" s="38" t="n">
        <f aca="false">Q99</f>
        <v>-0.174</v>
      </c>
      <c r="R68" s="38" t="n">
        <f aca="false">R99</f>
        <v>-0.28</v>
      </c>
      <c r="S68" s="38" t="n">
        <f aca="false">Q68+R68</f>
        <v>-0.454</v>
      </c>
      <c r="T68" s="39" t="n">
        <f aca="false">T99</f>
        <v>0</v>
      </c>
      <c r="U68" s="39" t="n">
        <f aca="false">U99</f>
        <v>0</v>
      </c>
      <c r="V68" s="39" t="n">
        <f aca="false">SUM(Q68,R68,T68,U68)</f>
        <v>-0.454</v>
      </c>
      <c r="W68" s="39" t="n">
        <f aca="false">W99</f>
        <v>0</v>
      </c>
      <c r="X68" s="39" t="n">
        <f aca="false">X99</f>
        <v>0</v>
      </c>
      <c r="Y68" s="39" t="n">
        <f aca="false">Y99</f>
        <v>0</v>
      </c>
      <c r="Z68" s="39" t="n">
        <f aca="false">Z99</f>
        <v>0</v>
      </c>
      <c r="AA68" s="22"/>
      <c r="AB68" s="1"/>
      <c r="AC68" s="23"/>
      <c r="AD68" s="23"/>
    </row>
    <row r="69" customFormat="false" ht="15" hidden="false" customHeight="true" outlineLevel="0" collapsed="false">
      <c r="B69" s="51" t="s">
        <v>146</v>
      </c>
      <c r="C69" s="52" t="n">
        <f aca="false">C63-C67-C68</f>
        <v>20.435</v>
      </c>
      <c r="D69" s="52" t="n">
        <f aca="false">D63-D67-D68</f>
        <v>48.494</v>
      </c>
      <c r="E69" s="20" t="n">
        <f aca="false">E63-E67-E68</f>
        <v>13.499</v>
      </c>
      <c r="F69" s="20" t="n">
        <f aca="false">F63-F67-F68</f>
        <v>18.281</v>
      </c>
      <c r="G69" s="20" t="n">
        <f aca="false">G63-G67-G68</f>
        <v>31.78</v>
      </c>
      <c r="H69" s="20" t="n">
        <f aca="false">H63-H67-H68</f>
        <v>17.407</v>
      </c>
      <c r="I69" s="20" t="n">
        <f aca="false">I63-I67-I68</f>
        <v>14.372</v>
      </c>
      <c r="J69" s="52" t="n">
        <f aca="false">J63-J67-J68</f>
        <v>63.56</v>
      </c>
      <c r="K69" s="20" t="n">
        <f aca="false">K63-K67-K68</f>
        <v>9.963</v>
      </c>
      <c r="L69" s="20" t="n">
        <f aca="false">L63-L67-L68</f>
        <v>20.104</v>
      </c>
      <c r="M69" s="20" t="n">
        <f aca="false">M63-M67-M68</f>
        <v>30.067</v>
      </c>
      <c r="N69" s="20" t="n">
        <f aca="false">N63-N67-N68</f>
        <v>21.812</v>
      </c>
      <c r="O69" s="20" t="n">
        <f aca="false">O63-O67-O68</f>
        <v>21.063</v>
      </c>
      <c r="P69" s="52" t="n">
        <f aca="false">P63-P67-P68</f>
        <v>72.942</v>
      </c>
      <c r="Q69" s="20" t="n">
        <f aca="false">Q63-Q67-Q68</f>
        <v>21.452</v>
      </c>
      <c r="R69" s="20" t="n">
        <f aca="false">R63-R67-R68</f>
        <v>34.829</v>
      </c>
      <c r="S69" s="20" t="n">
        <f aca="false">S63-S67-S68</f>
        <v>56.281</v>
      </c>
      <c r="T69" s="52" t="n">
        <f aca="false">T63-T67-T68</f>
        <v>36.9074214194491</v>
      </c>
      <c r="U69" s="52" t="n">
        <f aca="false">U63-U67-U68</f>
        <v>44.1831393805509</v>
      </c>
      <c r="V69" s="52" t="n">
        <f aca="false">V63-V67-V68</f>
        <v>137.3715608</v>
      </c>
      <c r="W69" s="52" t="n">
        <f aca="false">W63-W67-W68</f>
        <v>198.239874207666</v>
      </c>
      <c r="X69" s="52" t="n">
        <f aca="false">X63-X67-X68</f>
        <v>255.593941628948</v>
      </c>
      <c r="Y69" s="52" t="n">
        <f aca="false">Y63-Y67-Y68</f>
        <v>312.199549316371</v>
      </c>
      <c r="Z69" s="52" t="n">
        <f aca="false">Z63-Z67-Z68</f>
        <v>371.815556232729</v>
      </c>
      <c r="AA69" s="22"/>
      <c r="AB69" s="1"/>
      <c r="AC69" s="23" t="n">
        <f aca="false">IFERROR(IF(AND(Z69&gt;0,P69&gt;0),(Z69/P69)^(1/5)-1,"n/m"),"n/m")</f>
        <v>0.385064434950401</v>
      </c>
      <c r="AD69" s="23" t="n">
        <f aca="false">IFERROR(IF(AND(P69&gt;0,C69&gt;0),(P69/C69)^(1/3)-1,"n/m"),"n/m")</f>
        <v>0.528273238748924</v>
      </c>
    </row>
    <row r="70" customFormat="false" ht="15" hidden="false" customHeight="true" outlineLevel="0" collapsed="false">
      <c r="B70" s="18" t="s">
        <v>147</v>
      </c>
      <c r="C70" s="20" t="n">
        <f aca="false">C54-C64-C65-C68</f>
        <v>50.371</v>
      </c>
      <c r="D70" s="20" t="n">
        <f aca="false">D54-D64-D65-D68</f>
        <v>68.525</v>
      </c>
      <c r="E70" s="20" t="n">
        <f aca="false">E54-E64-E65-E68</f>
        <v>20.077</v>
      </c>
      <c r="F70" s="20" t="n">
        <f aca="false">F54-F64-F65-F68</f>
        <v>23.482</v>
      </c>
      <c r="G70" s="20" t="n">
        <f aca="false">G54-G64-G65-G68</f>
        <v>43.559</v>
      </c>
      <c r="H70" s="20" t="n">
        <f aca="false">H54-H64-H65-H68</f>
        <v>23.878</v>
      </c>
      <c r="I70" s="20" t="n">
        <f aca="false">I54-I64-I65-I68</f>
        <v>21.146</v>
      </c>
      <c r="J70" s="20" t="n">
        <f aca="false">J54-J64-J65-J68</f>
        <v>88.584</v>
      </c>
      <c r="K70" s="20" t="n">
        <f aca="false">K54-K64-K65-K68</f>
        <v>25.93</v>
      </c>
      <c r="L70" s="20" t="n">
        <f aca="false">L54-L64-L65-L68</f>
        <v>30.094</v>
      </c>
      <c r="M70" s="20" t="n">
        <f aca="false">M54-M64-M65-M68</f>
        <v>56.024</v>
      </c>
      <c r="N70" s="20" t="n">
        <f aca="false">N54-N64-N65-N68</f>
        <v>32.704</v>
      </c>
      <c r="O70" s="20" t="n">
        <f aca="false">O54-O64-O65-O68</f>
        <v>32.89</v>
      </c>
      <c r="P70" s="20" t="n">
        <f aca="false">P54-P64-P65-P68</f>
        <v>121.618</v>
      </c>
      <c r="Q70" s="20" t="n">
        <f aca="false">Q54-Q64-Q65-Q68</f>
        <v>39.228</v>
      </c>
      <c r="R70" s="20" t="n">
        <f aca="false">R54-R64-R65-R68</f>
        <v>48.884</v>
      </c>
      <c r="S70" s="20" t="n">
        <f aca="false">S54-S64-S65-S68</f>
        <v>88.112</v>
      </c>
      <c r="T70" s="21" t="n">
        <f aca="false">T54-T64-T65-T68</f>
        <v>51.4042964194491</v>
      </c>
      <c r="U70" s="21" t="n">
        <f aca="false">U54-U64-U65-U68</f>
        <v>58.7737643805509</v>
      </c>
      <c r="V70" s="21" t="n">
        <f aca="false">V54-V64-V65-V68</f>
        <v>198.2900608</v>
      </c>
      <c r="W70" s="21" t="n">
        <f aca="false">W54-W64-W65-W68</f>
        <v>254.218077046078</v>
      </c>
      <c r="X70" s="21" t="n">
        <f aca="false">X54-X64-X65-X68</f>
        <v>315.125582079779</v>
      </c>
      <c r="Y70" s="21" t="n">
        <f aca="false">Y54-Y64-Y65-Y68</f>
        <v>381.357815123764</v>
      </c>
      <c r="Z70" s="21" t="n">
        <f aca="false">Z54-Z64-Z65-Z68</f>
        <v>451.917098784607</v>
      </c>
      <c r="AA70" s="22" t="s">
        <v>148</v>
      </c>
      <c r="AB70" s="1"/>
      <c r="AC70" s="23" t="n">
        <f aca="false">IFERROR(IF(AND(Z70&gt;0,P70&gt;0),(Z70/P70)^(1/5)-1,"n/m"),"n/m")</f>
        <v>0.3002060522911</v>
      </c>
      <c r="AD70" s="23" t="n">
        <f aca="false">IFERROR(IF(AND(P70&gt;0,C70&gt;0),(P70/C70)^(1/3)-1,"n/m"),"n/m")</f>
        <v>0.341546595394661</v>
      </c>
    </row>
    <row r="71" customFormat="false" ht="15" hidden="false" customHeight="true" outlineLevel="0" collapsed="false">
      <c r="B71" s="25" t="s">
        <v>149</v>
      </c>
      <c r="C71" s="31" t="n">
        <f aca="false">IFERROR(C70/C49,"")</f>
        <v>0.222574245175886</v>
      </c>
      <c r="D71" s="31" t="n">
        <f aca="false">IFERROR(D70/D49,"")</f>
        <v>0.244117489891523</v>
      </c>
      <c r="E71" s="31" t="n">
        <f aca="false">IFERROR(E70/E49,"")</f>
        <v>0.241874081391707</v>
      </c>
      <c r="F71" s="31" t="n">
        <f aca="false">IFERROR(F70/F49,"")</f>
        <v>0.276132127612037</v>
      </c>
      <c r="G71" s="31" t="n">
        <f aca="false">IFERROR(G70/G49,"")</f>
        <v>0.259210330566217</v>
      </c>
      <c r="H71" s="31" t="n">
        <f aca="false">IFERROR(H70/H49,"")</f>
        <v>0.277754513307277</v>
      </c>
      <c r="I71" s="31" t="n">
        <f aca="false">IFERROR(I70/I49,"")</f>
        <v>0.231767465310507</v>
      </c>
      <c r="J71" s="31" t="n">
        <f aca="false">IFERROR(J70/J49,"")</f>
        <v>0.256578547201891</v>
      </c>
      <c r="K71" s="31" t="n">
        <f aca="false">IFERROR(K70/K49,"")</f>
        <v>0.258978866205905</v>
      </c>
      <c r="L71" s="31" t="n">
        <f aca="false">IFERROR(L70/L49,"")</f>
        <v>0.261466415284499</v>
      </c>
      <c r="M71" s="31" t="n">
        <f aca="false">IFERROR(M70/M49,"")</f>
        <v>0.260309170573504</v>
      </c>
      <c r="N71" s="31" t="n">
        <f aca="false">IFERROR(N70/N49,"")</f>
        <v>0.268534408434398</v>
      </c>
      <c r="O71" s="31" t="n">
        <f aca="false">IFERROR(O70/O49,"")</f>
        <v>0.244549861701811</v>
      </c>
      <c r="P71" s="31" t="n">
        <f aca="false">IFERROR(P70/P49,"")</f>
        <v>0.25793849416755</v>
      </c>
      <c r="Q71" s="31" t="n">
        <f aca="false">IFERROR(Q70/Q49,"")</f>
        <v>0.259427286555122</v>
      </c>
      <c r="R71" s="31" t="n">
        <f aca="false">IFERROR(R70/R49,"")</f>
        <v>0.268500464125056</v>
      </c>
      <c r="S71" s="31" t="n">
        <f aca="false">IFERROR(S70/S49,"")</f>
        <v>0.264383853477479</v>
      </c>
      <c r="T71" s="27" t="n">
        <f aca="false">IFERROR(T70/T49,"")</f>
        <v>0.263485103653818</v>
      </c>
      <c r="U71" s="27" t="n">
        <f aca="false">IFERROR(U70/U49,"")</f>
        <v>0.26578438047868</v>
      </c>
      <c r="V71" s="27" t="n">
        <f aca="false">IFERROR(V70/V49,"")</f>
        <v>0.264563123148766</v>
      </c>
      <c r="W71" s="27" t="n">
        <f aca="false">IFERROR(W70/W49,"")</f>
        <v>0.265304390117742</v>
      </c>
      <c r="X71" s="27" t="n">
        <f aca="false">IFERROR(X70/X49,"")</f>
        <v>0.26535800498788</v>
      </c>
      <c r="Y71" s="27" t="n">
        <f aca="false">IFERROR(Y70/Y49,"")</f>
        <v>0.265968512671038</v>
      </c>
      <c r="Z71" s="27" t="n">
        <f aca="false">IFERROR(Z70/Z49,"")</f>
        <v>0.267030462192873</v>
      </c>
      <c r="AA71" s="22"/>
      <c r="AB71" s="1"/>
      <c r="AC71" s="28" t="n">
        <f aca="false">IFERROR(AVERAGE(V71,W71,X71,Y71,Z71),"n/m")</f>
        <v>0.26564489862366</v>
      </c>
      <c r="AD71" s="28" t="n">
        <f aca="false">IFERROR(AVERAGE(C71,D71,J71,P71),"n/m")</f>
        <v>0.245302194109213</v>
      </c>
    </row>
    <row r="72" customFormat="false" ht="15" hidden="false" customHeight="true" outlineLevel="0" collapsed="false">
      <c r="B72" s="29" t="s">
        <v>150</v>
      </c>
      <c r="C72" s="37"/>
      <c r="D72" s="37"/>
      <c r="E72" s="37"/>
      <c r="F72" s="37"/>
      <c r="G72" s="38"/>
      <c r="H72" s="37"/>
      <c r="I72" s="37"/>
      <c r="J72" s="37" t="n">
        <v>11.692</v>
      </c>
      <c r="K72" s="37"/>
      <c r="L72" s="37"/>
      <c r="M72" s="38"/>
      <c r="N72" s="37"/>
      <c r="O72" s="37"/>
      <c r="P72" s="37"/>
      <c r="Q72" s="37"/>
      <c r="R72" s="37" t="n">
        <v>38.882</v>
      </c>
      <c r="S72" s="38"/>
      <c r="T72" s="40" t="n">
        <v>38</v>
      </c>
      <c r="U72" s="40" t="n">
        <v>30</v>
      </c>
      <c r="V72" s="39" t="n">
        <f aca="false">SUM(Q72,R72,T72,U72)</f>
        <v>106.882</v>
      </c>
      <c r="W72" s="39" t="n">
        <f aca="false">W45</f>
        <v>53.9835164835165</v>
      </c>
      <c r="X72" s="39" t="n">
        <f aca="false">X45</f>
        <v>75.8928571428571</v>
      </c>
      <c r="Y72" s="39" t="n">
        <f aca="false">Y45</f>
        <v>84.8214285714286</v>
      </c>
      <c r="Z72" s="39" t="n">
        <f aca="false">Z45</f>
        <v>89.2857142857143</v>
      </c>
      <c r="AA72" s="22" t="s">
        <v>151</v>
      </c>
      <c r="AB72" s="1"/>
      <c r="AC72" s="23"/>
      <c r="AD72" s="23"/>
    </row>
    <row r="73" customFormat="false" ht="15" hidden="false" customHeight="true" outlineLevel="0" collapsed="false">
      <c r="B73" s="36" t="s">
        <v>152</v>
      </c>
      <c r="C73" s="37" t="n">
        <v>265.321</v>
      </c>
      <c r="D73" s="37" t="n">
        <v>428.719</v>
      </c>
      <c r="E73" s="37"/>
      <c r="F73" s="37"/>
      <c r="G73" s="38" t="str">
        <f aca="false">IF(ISNUMBER(F73),F73,"")</f>
        <v/>
      </c>
      <c r="H73" s="37" t="n">
        <v>550.603</v>
      </c>
      <c r="I73" s="38" t="n">
        <f aca="false">IF(ISNUMBER(J73),J73,"")</f>
        <v>579.8</v>
      </c>
      <c r="J73" s="37" t="n">
        <v>579.8</v>
      </c>
      <c r="K73" s="37" t="n">
        <v>636.35</v>
      </c>
      <c r="L73" s="37" t="n">
        <v>719.3</v>
      </c>
      <c r="M73" s="38" t="n">
        <f aca="false">IF(ISNUMBER(L73),L73,"")</f>
        <v>719.3</v>
      </c>
      <c r="N73" s="37" t="n">
        <v>758.2</v>
      </c>
      <c r="O73" s="38" t="n">
        <f aca="false">IF(ISNUMBER(P73),P73,"")</f>
        <v>801.1</v>
      </c>
      <c r="P73" s="37" t="n">
        <v>801.1</v>
      </c>
      <c r="Q73" s="37" t="n">
        <v>1026.903</v>
      </c>
      <c r="R73" s="37" t="n">
        <v>1322.124</v>
      </c>
      <c r="S73" s="38" t="n">
        <f aca="false">IF(ISNUMBER(R73),R73,"")</f>
        <v>1322.124</v>
      </c>
      <c r="T73" s="39"/>
      <c r="U73" s="39"/>
      <c r="V73" s="39"/>
      <c r="W73" s="39"/>
      <c r="X73" s="39"/>
      <c r="Y73" s="39"/>
      <c r="Z73" s="39"/>
      <c r="AA73" s="22"/>
      <c r="AB73" s="1"/>
      <c r="AC73" s="7"/>
      <c r="AD73" s="7"/>
    </row>
    <row r="74" customFormat="false" ht="15" hidden="false" customHeight="true" outlineLevel="0" collapsed="false">
      <c r="B74" s="25" t="s">
        <v>153</v>
      </c>
      <c r="C74" s="57"/>
      <c r="D74" s="57" t="n">
        <f aca="false">IFERROR((D92+D73-C73)/D92,"")</f>
        <v>1.58209864448442</v>
      </c>
      <c r="E74" s="57"/>
      <c r="F74" s="57"/>
      <c r="G74" s="57"/>
      <c r="H74" s="57"/>
      <c r="I74" s="57"/>
      <c r="J74" s="57" t="n">
        <f aca="false">IFERROR((J92+J73-D73)/J92,"")</f>
        <v>1.43759757393896</v>
      </c>
      <c r="K74" s="57" t="n">
        <f aca="false">IFERROR((K92+K73-I73)/K92,"")</f>
        <v>1.56479964843594</v>
      </c>
      <c r="L74" s="57" t="n">
        <f aca="false">IFERROR((L92+L73-K73)/L92,"")</f>
        <v>1.72069645603274</v>
      </c>
      <c r="M74" s="57" t="n">
        <f aca="false">IFERROR((M92+M73-I73)/M92,"")</f>
        <v>1.64817094986084</v>
      </c>
      <c r="N74" s="57" t="n">
        <f aca="false">IFERROR((N92+N73-L73)/N92,"")</f>
        <v>1.31941011766445</v>
      </c>
      <c r="O74" s="57" t="n">
        <f aca="false">IFERROR((O92+O73-N73)/O92,"")</f>
        <v>1.31897808048062</v>
      </c>
      <c r="P74" s="57" t="n">
        <f aca="false">IFERROR((P92+P73-J73)/P92,"")</f>
        <v>1.46935312831389</v>
      </c>
      <c r="Q74" s="57" t="n">
        <f aca="false">IFERROR((Q92+Q73-O73)/Q92,"")</f>
        <v>2.49330732094438</v>
      </c>
      <c r="R74" s="57" t="n">
        <f aca="false">IFERROR((R92+R73-Q73)/R92,"")</f>
        <v>2.6215321070179</v>
      </c>
      <c r="S74" s="57" t="n">
        <f aca="false">IFERROR((S92+S73-O73)/S92,"")</f>
        <v>2.56335496724907</v>
      </c>
      <c r="T74" s="58"/>
      <c r="U74" s="58"/>
      <c r="V74" s="58"/>
      <c r="W74" s="58"/>
      <c r="X74" s="58"/>
      <c r="Y74" s="58"/>
      <c r="Z74" s="58"/>
      <c r="AA74" s="22" t="s">
        <v>154</v>
      </c>
      <c r="AB74" s="1"/>
      <c r="AC74" s="47"/>
      <c r="AD74" s="47"/>
    </row>
    <row r="75" customFormat="false" ht="15" hidden="false" customHeight="true" outlineLevel="0" collapsed="false">
      <c r="B75" s="36" t="s">
        <v>155</v>
      </c>
      <c r="C75" s="37"/>
      <c r="D75" s="37"/>
      <c r="E75" s="37"/>
      <c r="F75" s="37"/>
      <c r="G75" s="38"/>
      <c r="H75" s="37"/>
      <c r="I75" s="37"/>
      <c r="J75" s="37"/>
      <c r="K75" s="37"/>
      <c r="L75" s="37"/>
      <c r="M75" s="38"/>
      <c r="N75" s="37"/>
      <c r="O75" s="37"/>
      <c r="P75" s="37"/>
      <c r="Q75" s="37"/>
      <c r="R75" s="37"/>
      <c r="S75" s="38"/>
      <c r="T75" s="39"/>
      <c r="U75" s="39"/>
      <c r="V75" s="39"/>
      <c r="W75" s="39"/>
      <c r="X75" s="39"/>
      <c r="Y75" s="39"/>
      <c r="Z75" s="39"/>
      <c r="AA75" s="22"/>
      <c r="AB75" s="1"/>
      <c r="AC75" s="7"/>
      <c r="AD75" s="7"/>
    </row>
    <row r="76" customFormat="false" ht="15" hidden="false" customHeight="true" outlineLevel="0" collapsed="false">
      <c r="B76" s="36" t="s">
        <v>156</v>
      </c>
      <c r="C76" s="37"/>
      <c r="D76" s="37"/>
      <c r="E76" s="37"/>
      <c r="F76" s="37"/>
      <c r="G76" s="38"/>
      <c r="H76" s="37"/>
      <c r="I76" s="37"/>
      <c r="J76" s="37"/>
      <c r="K76" s="37"/>
      <c r="L76" s="37"/>
      <c r="M76" s="38"/>
      <c r="N76" s="37"/>
      <c r="O76" s="37"/>
      <c r="P76" s="37"/>
      <c r="Q76" s="37"/>
      <c r="R76" s="37"/>
      <c r="S76" s="38"/>
      <c r="T76" s="39"/>
      <c r="U76" s="39"/>
      <c r="V76" s="39" t="n">
        <f aca="false">CHOOSE(MATCH($AA$2,{"Bull","Base","Bear"},0),$AH$12,$AI$12,$AJ$12)</f>
        <v>737.5</v>
      </c>
      <c r="W76" s="39"/>
      <c r="X76" s="39"/>
      <c r="Y76" s="39"/>
      <c r="Z76" s="39"/>
      <c r="AA76" s="22"/>
      <c r="AB76" s="1"/>
      <c r="AC76" s="7"/>
      <c r="AD76" s="7"/>
    </row>
    <row r="77" customFormat="false" ht="15" hidden="false" customHeight="true" outlineLevel="0" collapsed="false">
      <c r="B77" s="36" t="s">
        <v>157</v>
      </c>
      <c r="C77" s="37"/>
      <c r="D77" s="37"/>
      <c r="E77" s="37"/>
      <c r="F77" s="37"/>
      <c r="G77" s="38"/>
      <c r="H77" s="37"/>
      <c r="I77" s="37"/>
      <c r="J77" s="37"/>
      <c r="K77" s="37"/>
      <c r="L77" s="37"/>
      <c r="M77" s="38"/>
      <c r="N77" s="37"/>
      <c r="O77" s="37"/>
      <c r="P77" s="37"/>
      <c r="Q77" s="37"/>
      <c r="R77" s="37"/>
      <c r="S77" s="38"/>
      <c r="T77" s="39"/>
      <c r="U77" s="39"/>
      <c r="V77" s="39" t="n">
        <f aca="false">CHOOSE(MATCH($AA$2,{"Bull","Base","Bear"},0),$AH$13,$AI$13,$AJ$13)</f>
        <v>218.75</v>
      </c>
      <c r="W77" s="39"/>
      <c r="X77" s="39"/>
      <c r="Y77" s="39"/>
      <c r="Z77" s="39"/>
      <c r="AA77" s="22"/>
      <c r="AB77" s="1"/>
      <c r="AC77" s="7"/>
      <c r="AD77" s="7"/>
    </row>
    <row r="78" customFormat="false" ht="15" hidden="false" customHeight="true" outlineLevel="0" collapsed="false">
      <c r="B78" s="59" t="s">
        <v>158</v>
      </c>
      <c r="C78" s="38" t="n">
        <f aca="false">ROUND(C48+N(C37)-C92,1)</f>
        <v>0</v>
      </c>
      <c r="D78" s="38" t="n">
        <f aca="false">ROUND(D48+N(D37)-D92,1)</f>
        <v>0</v>
      </c>
      <c r="E78" s="38" t="n">
        <f aca="false">ROUND(E48+N(E37)-E92,1)</f>
        <v>0</v>
      </c>
      <c r="F78" s="38" t="n">
        <f aca="false">ROUND(F48+N(F37)-F92,1)</f>
        <v>0</v>
      </c>
      <c r="G78" s="38" t="n">
        <f aca="false">ROUND(G48+N(G37)-G92,1)</f>
        <v>0</v>
      </c>
      <c r="H78" s="38" t="n">
        <f aca="false">ROUND(H48+N(H37)-H92,1)</f>
        <v>0</v>
      </c>
      <c r="I78" s="38" t="n">
        <f aca="false">ROUND(I48+N(I37)-I92,1)</f>
        <v>0</v>
      </c>
      <c r="J78" s="38" t="n">
        <f aca="false">ROUND(J48+N(J37)-J92,1)</f>
        <v>0</v>
      </c>
      <c r="K78" s="38" t="n">
        <f aca="false">ROUND(K48+N(K37)-K92,1)</f>
        <v>0</v>
      </c>
      <c r="L78" s="38" t="n">
        <f aca="false">ROUND(L48+N(L37)-L92,1)</f>
        <v>0</v>
      </c>
      <c r="M78" s="38" t="n">
        <f aca="false">ROUND(M48+N(M37)-M92,1)</f>
        <v>0</v>
      </c>
      <c r="N78" s="38" t="n">
        <f aca="false">ROUND(N48+N(N37)-N92,1)</f>
        <v>0</v>
      </c>
      <c r="O78" s="38" t="n">
        <f aca="false">ROUND(O48+N(O37)-O92,1)</f>
        <v>0</v>
      </c>
      <c r="P78" s="38" t="n">
        <f aca="false">ROUND(P48+N(P37)-P92,1)</f>
        <v>0</v>
      </c>
      <c r="Q78" s="38" t="n">
        <f aca="false">ROUND(Q48+N(Q37)-Q92,1)</f>
        <v>0</v>
      </c>
      <c r="R78" s="38" t="n">
        <f aca="false">ROUND(R48+N(R37)-R92,1)</f>
        <v>0</v>
      </c>
      <c r="S78" s="38" t="n">
        <f aca="false">ROUND(S48+N(S37)-S92,1)</f>
        <v>0</v>
      </c>
      <c r="T78" s="39" t="n">
        <f aca="false">ROUND(T48+N(T37)-T92,1)</f>
        <v>0</v>
      </c>
      <c r="U78" s="39" t="n">
        <f aca="false">ROUND(U48+N(U37)-U92,1)</f>
        <v>0</v>
      </c>
      <c r="V78" s="39" t="n">
        <f aca="false">ROUND(V48+N(V37)-V92,1)</f>
        <v>0</v>
      </c>
      <c r="W78" s="39" t="n">
        <f aca="false">ROUND(W48+N(W37)-W92,1)</f>
        <v>0</v>
      </c>
      <c r="X78" s="39" t="n">
        <f aca="false">ROUND(X48+N(X37)-X92,1)</f>
        <v>0</v>
      </c>
      <c r="Y78" s="39" t="n">
        <f aca="false">ROUND(Y48+N(Y37)-Y92,1)</f>
        <v>0</v>
      </c>
      <c r="Z78" s="39" t="n">
        <f aca="false">ROUND(Z48+N(Z37)-Z92,1)</f>
        <v>0</v>
      </c>
      <c r="AA78" s="22"/>
      <c r="AB78" s="1"/>
      <c r="AC78" s="7"/>
      <c r="AD78" s="7"/>
    </row>
    <row r="79" customFormat="false" ht="15" hidden="false" customHeight="true" outlineLevel="0" collapsed="false">
      <c r="B79" s="59" t="s">
        <v>159</v>
      </c>
      <c r="C79" s="38" t="n">
        <f aca="false">ROUND(C54-C146,1)</f>
        <v>0</v>
      </c>
      <c r="D79" s="38" t="n">
        <f aca="false">ROUND(D54-D146,1)</f>
        <v>0</v>
      </c>
      <c r="E79" s="38" t="n">
        <f aca="false">ROUND(E54-E146,1)</f>
        <v>0</v>
      </c>
      <c r="F79" s="38" t="n">
        <f aca="false">ROUND(F54-F146,1)</f>
        <v>0</v>
      </c>
      <c r="G79" s="38" t="n">
        <f aca="false">ROUND(G54-G146,1)</f>
        <v>0</v>
      </c>
      <c r="H79" s="38" t="n">
        <f aca="false">ROUND(H54-H146,1)</f>
        <v>0</v>
      </c>
      <c r="I79" s="38" t="n">
        <f aca="false">ROUND(I54-I146,1)</f>
        <v>0</v>
      </c>
      <c r="J79" s="38" t="n">
        <f aca="false">ROUND(J54-J146,1)</f>
        <v>0</v>
      </c>
      <c r="K79" s="38" t="n">
        <f aca="false">ROUND(K54-K146,1)</f>
        <v>0</v>
      </c>
      <c r="L79" s="38" t="n">
        <f aca="false">ROUND(L54-L146,1)</f>
        <v>0</v>
      </c>
      <c r="M79" s="38" t="n">
        <f aca="false">ROUND(M54-M146,1)</f>
        <v>0</v>
      </c>
      <c r="N79" s="38" t="n">
        <f aca="false">ROUND(N54-N146,1)</f>
        <v>0</v>
      </c>
      <c r="O79" s="38" t="n">
        <f aca="false">ROUND(O54-O146,1)</f>
        <v>0</v>
      </c>
      <c r="P79" s="38" t="n">
        <f aca="false">ROUND(P54-P146,1)</f>
        <v>0</v>
      </c>
      <c r="Q79" s="38" t="n">
        <f aca="false">ROUND(Q54-Q146,1)</f>
        <v>0</v>
      </c>
      <c r="R79" s="38" t="n">
        <f aca="false">ROUND(R54-R146,1)</f>
        <v>0</v>
      </c>
      <c r="S79" s="38" t="n">
        <f aca="false">ROUND(S54-S146,1)</f>
        <v>0</v>
      </c>
      <c r="T79" s="39" t="n">
        <f aca="false">ROUND(T54-T146,1)</f>
        <v>0</v>
      </c>
      <c r="U79" s="39" t="n">
        <f aca="false">ROUND(U54-U146,1)</f>
        <v>0</v>
      </c>
      <c r="V79" s="39" t="n">
        <f aca="false">ROUND(V54-V146,1)</f>
        <v>0</v>
      </c>
      <c r="W79" s="39" t="n">
        <f aca="false">ROUND(W54-W146,1)</f>
        <v>0</v>
      </c>
      <c r="X79" s="39" t="n">
        <f aca="false">ROUND(X54-X146,1)</f>
        <v>0</v>
      </c>
      <c r="Y79" s="39" t="n">
        <f aca="false">ROUND(Y54-Y146,1)</f>
        <v>0</v>
      </c>
      <c r="Z79" s="39" t="n">
        <f aca="false">ROUND(Z54-Z146,1)</f>
        <v>0</v>
      </c>
      <c r="AA79" s="22"/>
      <c r="AB79" s="1"/>
      <c r="AC79" s="7"/>
      <c r="AD79" s="7"/>
    </row>
    <row r="80" customFormat="false" ht="15" hidden="false" customHeight="true" outlineLevel="0" collapsed="false">
      <c r="B80" s="59" t="s">
        <v>160</v>
      </c>
      <c r="C80" s="38" t="n">
        <f aca="false">ROUND(C69-C97,1)</f>
        <v>0</v>
      </c>
      <c r="D80" s="38" t="n">
        <f aca="false">ROUND(D69-D97,1)</f>
        <v>0</v>
      </c>
      <c r="E80" s="38" t="n">
        <f aca="false">ROUND(E69-E97,1)</f>
        <v>0</v>
      </c>
      <c r="F80" s="38" t="n">
        <f aca="false">ROUND(F69-F97,1)</f>
        <v>0</v>
      </c>
      <c r="G80" s="38" t="n">
        <f aca="false">ROUND(G69-G97,1)</f>
        <v>0</v>
      </c>
      <c r="H80" s="38" t="n">
        <f aca="false">ROUND(H69-H97,1)</f>
        <v>0</v>
      </c>
      <c r="I80" s="38" t="n">
        <f aca="false">ROUND(I69-I97,1)</f>
        <v>0</v>
      </c>
      <c r="J80" s="38" t="n">
        <f aca="false">ROUND(J69-J97,1)</f>
        <v>0</v>
      </c>
      <c r="K80" s="38" t="n">
        <f aca="false">ROUND(K69-K97,1)</f>
        <v>0</v>
      </c>
      <c r="L80" s="38" t="n">
        <f aca="false">ROUND(L69-L97,1)</f>
        <v>0</v>
      </c>
      <c r="M80" s="38" t="n">
        <f aca="false">ROUND(M69-M97,1)</f>
        <v>0</v>
      </c>
      <c r="N80" s="38" t="n">
        <f aca="false">ROUND(N69-N97,1)</f>
        <v>0</v>
      </c>
      <c r="O80" s="38" t="n">
        <f aca="false">ROUND(O69-O97,1)</f>
        <v>0</v>
      </c>
      <c r="P80" s="38" t="n">
        <f aca="false">ROUND(P69-P97,1)</f>
        <v>0</v>
      </c>
      <c r="Q80" s="38" t="n">
        <f aca="false">ROUND(Q69-Q97,1)</f>
        <v>0</v>
      </c>
      <c r="R80" s="38" t="n">
        <f aca="false">ROUND(R69-R97,1)</f>
        <v>0</v>
      </c>
      <c r="S80" s="38" t="n">
        <f aca="false">ROUND(S69-S97,1)</f>
        <v>0</v>
      </c>
      <c r="T80" s="39" t="n">
        <f aca="false">ROUND(T69-T97,1)</f>
        <v>0</v>
      </c>
      <c r="U80" s="39" t="n">
        <f aca="false">ROUND(U69-U97,1)</f>
        <v>0</v>
      </c>
      <c r="V80" s="39" t="n">
        <f aca="false">ROUND(V69-V97,1)</f>
        <v>0</v>
      </c>
      <c r="W80" s="39" t="n">
        <f aca="false">ROUND(W69-W97,1)</f>
        <v>0</v>
      </c>
      <c r="X80" s="39" t="n">
        <f aca="false">ROUND(X69-X97,1)</f>
        <v>0</v>
      </c>
      <c r="Y80" s="39" t="n">
        <f aca="false">ROUND(Y69-Y97,1)</f>
        <v>0</v>
      </c>
      <c r="Z80" s="39" t="n">
        <f aca="false">ROUND(Z69-Z97,1)</f>
        <v>0</v>
      </c>
      <c r="AA80" s="22"/>
      <c r="AB80" s="1"/>
      <c r="AC80" s="7"/>
      <c r="AD80" s="7"/>
    </row>
    <row r="82" customFormat="false" ht="15" hidden="false" customHeight="true" outlineLevel="0" collapsed="false">
      <c r="B82" s="16" t="s">
        <v>161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7" t="s">
        <v>162</v>
      </c>
      <c r="AB82" s="1"/>
      <c r="AC82" s="1"/>
      <c r="AD82" s="1"/>
    </row>
    <row r="83" customFormat="false" ht="15" hidden="false" customHeight="true" outlineLevel="0" collapsed="false">
      <c r="B83" s="25" t="s">
        <v>163</v>
      </c>
      <c r="C83" s="31" t="n">
        <f aca="false">IFERROR(C93/C92,"")</f>
        <v>0.64232247801688</v>
      </c>
      <c r="D83" s="31" t="n">
        <f aca="false">IFERROR(D93/D92,"")</f>
        <v>0.623986035161469</v>
      </c>
      <c r="E83" s="31" t="n">
        <f aca="false">IFERROR(E93/E92,"")</f>
        <v>0.650627665469966</v>
      </c>
      <c r="F83" s="31" t="n">
        <f aca="false">IFERROR(F93/F92,"")</f>
        <v>0.593198414844954</v>
      </c>
      <c r="G83" s="31" t="n">
        <f aca="false">IFERROR(G93/G92,"")</f>
        <v>0.621565652057485</v>
      </c>
      <c r="H83" s="31" t="n">
        <f aca="false">IFERROR(H93/H92,"")</f>
        <v>0.607016564302996</v>
      </c>
      <c r="I83" s="31" t="n">
        <f aca="false">IFERROR(I93/I92,"")</f>
        <v>0.619314320787391</v>
      </c>
      <c r="J83" s="31" t="n">
        <f aca="false">IFERROR(J93/J92,"")</f>
        <v>0.617347958441829</v>
      </c>
      <c r="K83" s="31" t="n">
        <f aca="false">IFERROR(K93/K92,"")</f>
        <v>0.605978586552675</v>
      </c>
      <c r="L83" s="31" t="n">
        <f aca="false">IFERROR(L93/L92,"")</f>
        <v>0.591466328401262</v>
      </c>
      <c r="M83" s="31" t="n">
        <f aca="false">IFERROR(M93/M92,"")</f>
        <v>0.598217646047551</v>
      </c>
      <c r="N83" s="31" t="n">
        <f aca="false">IFERROR(N93/N92,"")</f>
        <v>0.589939812952121</v>
      </c>
      <c r="O83" s="31" t="n">
        <f aca="false">IFERROR(O93/O92,"")</f>
        <v>0.601359188650626</v>
      </c>
      <c r="P83" s="31" t="n">
        <f aca="false">IFERROR(P93/P92,"")</f>
        <v>0.596975609756098</v>
      </c>
      <c r="Q83" s="31" t="n">
        <f aca="false">IFERROR(Q93/Q92,"")</f>
        <v>0.577640367700549</v>
      </c>
      <c r="R83" s="31" t="n">
        <f aca="false">IFERROR(R93/R92,"")</f>
        <v>0.570291602357426</v>
      </c>
      <c r="S83" s="31" t="n">
        <f aca="false">IFERROR(S93/S92,"")</f>
        <v>0.573625826274556</v>
      </c>
      <c r="T83" s="27" t="n">
        <f aca="false">$S83</f>
        <v>0.573625826274556</v>
      </c>
      <c r="U83" s="27" t="n">
        <f aca="false">$S83</f>
        <v>0.573625826274556</v>
      </c>
      <c r="V83" s="27" t="n">
        <f aca="false">IFERROR(V93/V92,"")</f>
        <v>0.573625826274556</v>
      </c>
      <c r="W83" s="46" t="n">
        <v>0.575</v>
      </c>
      <c r="X83" s="46" t="n">
        <v>0.575</v>
      </c>
      <c r="Y83" s="46" t="n">
        <v>0.575</v>
      </c>
      <c r="Z83" s="46" t="n">
        <v>0.575</v>
      </c>
      <c r="AA83" s="22" t="s">
        <v>164</v>
      </c>
      <c r="AB83" s="1"/>
      <c r="AC83" s="28" t="n">
        <f aca="false">IFERROR(AVERAGE(V83,W83,X83,Y83,Z83),"n/m")</f>
        <v>0.574725165254911</v>
      </c>
      <c r="AD83" s="28" t="n">
        <f aca="false">IFERROR(AVERAGE(C83,D83,J83,P83),"n/m")</f>
        <v>0.620158020344069</v>
      </c>
    </row>
    <row r="84" customFormat="false" ht="15" hidden="false" customHeight="true" outlineLevel="0" collapsed="false">
      <c r="B84" s="25" t="s">
        <v>165</v>
      </c>
      <c r="C84" s="31" t="n">
        <f aca="false">IFERROR(C107/C92,"")</f>
        <v>0.0198842295965711</v>
      </c>
      <c r="D84" s="31" t="n">
        <f aca="false">IFERROR(D107/D92,"")</f>
        <v>0.0238684740207691</v>
      </c>
      <c r="E84" s="31" t="n">
        <f aca="false">IFERROR(E107/E92,"")</f>
        <v>0.0228899115726574</v>
      </c>
      <c r="F84" s="31" t="n">
        <f aca="false">IFERROR(F107/F92,"")</f>
        <v>0.0235186208680723</v>
      </c>
      <c r="G84" s="31" t="n">
        <f aca="false">IFERROR(G107/G92,"")</f>
        <v>0.0232080692671606</v>
      </c>
      <c r="H84" s="31" t="n">
        <f aca="false">IFERROR(H107/H92,"")</f>
        <v>0.0337334822259445</v>
      </c>
      <c r="I84" s="31" t="n">
        <f aca="false">IFERROR(I107/I92,"")</f>
        <v>0.0219206909401784</v>
      </c>
      <c r="J84" s="31" t="n">
        <f aca="false">IFERROR(J107/J92,"")</f>
        <v>0.0254887024222957</v>
      </c>
      <c r="K84" s="31" t="n">
        <f aca="false">IFERROR(K107/K92,"")</f>
        <v>0.0269665614637849</v>
      </c>
      <c r="L84" s="31" t="n">
        <f aca="false">IFERROR(L107/L92,"")</f>
        <v>0.0243273065327506</v>
      </c>
      <c r="M84" s="31" t="n">
        <f aca="false">IFERROR(M107/M92,"")</f>
        <v>0.0255551270554453</v>
      </c>
      <c r="N84" s="31" t="n">
        <f aca="false">IFERROR(N107/N92,"")</f>
        <v>0.0229909596262327</v>
      </c>
      <c r="O84" s="31" t="n">
        <f aca="false">IFERROR(O107/O92,"")</f>
        <v>0.0223061594741695</v>
      </c>
      <c r="P84" s="31" t="n">
        <f aca="false">IFERROR(P107/P92,"")</f>
        <v>0.023966065747614</v>
      </c>
      <c r="Q84" s="31" t="n">
        <f aca="false">IFERROR(Q107/Q92,"")</f>
        <v>0.0191786257522651</v>
      </c>
      <c r="R84" s="31" t="n">
        <f aca="false">IFERROR(R107/R92,"")</f>
        <v>0.0170270730461434</v>
      </c>
      <c r="S84" s="31" t="n">
        <f aca="false">IFERROR(S107/S92,"")</f>
        <v>0.0180032585898048</v>
      </c>
      <c r="T84" s="27" t="n">
        <f aca="false">$S84</f>
        <v>0.0180032585898048</v>
      </c>
      <c r="U84" s="27" t="n">
        <f aca="false">$S84</f>
        <v>0.0180032585898048</v>
      </c>
      <c r="V84" s="27" t="n">
        <f aca="false">IFERROR(V107/V92,"")</f>
        <v>0.0180032585898048</v>
      </c>
      <c r="W84" s="46" t="n">
        <v>0.016</v>
      </c>
      <c r="X84" s="46" t="n">
        <v>0.016</v>
      </c>
      <c r="Y84" s="46" t="n">
        <v>0.016</v>
      </c>
      <c r="Z84" s="46" t="n">
        <v>0.016</v>
      </c>
      <c r="AA84" s="22"/>
      <c r="AB84" s="1"/>
      <c r="AC84" s="28" t="n">
        <f aca="false">IFERROR(AVERAGE(V84,W84,X84,Y84,Z84),"n/m")</f>
        <v>0.016400651717961</v>
      </c>
      <c r="AD84" s="28" t="n">
        <f aca="false">IFERROR(AVERAGE(C84,D84,J84,P84),"n/m")</f>
        <v>0.0233018679468125</v>
      </c>
    </row>
    <row r="85" customFormat="false" ht="15" hidden="false" customHeight="true" outlineLevel="0" collapsed="false">
      <c r="B85" s="25" t="s">
        <v>166</v>
      </c>
      <c r="C85" s="31" t="n">
        <f aca="false">IFERROR(C64/C92,"")</f>
        <v>0.0247404003358225</v>
      </c>
      <c r="D85" s="31" t="n">
        <f aca="false">IFERROR(D64/D92,"")</f>
        <v>0.0285317326018418</v>
      </c>
      <c r="E85" s="31" t="n">
        <f aca="false">IFERROR(E64/E92,"")</f>
        <v>0.0233356624822302</v>
      </c>
      <c r="F85" s="31" t="n">
        <f aca="false">IFERROR(F64/F92,"")</f>
        <v>0.0269876174461129</v>
      </c>
      <c r="G85" s="31" t="n">
        <f aca="false">IFERROR(G64/G92,"")</f>
        <v>0.025183730548365</v>
      </c>
      <c r="H85" s="31" t="n">
        <f aca="false">IFERROR(H64/H92,"")</f>
        <v>0.025428066257212</v>
      </c>
      <c r="I85" s="31" t="n">
        <f aca="false">IFERROR(I64/I92,"")</f>
        <v>0.037221333216423</v>
      </c>
      <c r="J85" s="31" t="n">
        <f aca="false">IFERROR(J64/J92,"")</f>
        <v>0.0284227996443168</v>
      </c>
      <c r="K85" s="31" t="n">
        <f aca="false">IFERROR(K64/K92,"")</f>
        <v>0.0217330510167392</v>
      </c>
      <c r="L85" s="31" t="n">
        <f aca="false">IFERROR(L64/L92,"")</f>
        <v>0.0319382781479969</v>
      </c>
      <c r="M85" s="31" t="n">
        <f aca="false">IFERROR(M64/M92,"")</f>
        <v>0.0271906551869938</v>
      </c>
      <c r="N85" s="31" t="n">
        <f aca="false">IFERROR(N64/N92,"")</f>
        <v>0.0267844679645611</v>
      </c>
      <c r="O85" s="31" t="n">
        <f aca="false">IFERROR(O64/O92,"")</f>
        <v>0.0257264372602088</v>
      </c>
      <c r="P85" s="31" t="n">
        <f aca="false">IFERROR(P64/P92,"")</f>
        <v>0.0266680805938494</v>
      </c>
      <c r="Q85" s="31" t="n">
        <f aca="false">IFERROR(Q64/Q92,"")</f>
        <v>0.0258117849348588</v>
      </c>
      <c r="R85" s="31" t="n">
        <f aca="false">IFERROR(R64/R92,"")</f>
        <v>0.0223109582946563</v>
      </c>
      <c r="S85" s="31" t="n">
        <f aca="false">IFERROR(S64/S92,"")</f>
        <v>0.0238993257779658</v>
      </c>
      <c r="T85" s="27" t="n">
        <f aca="false">IFERROR(T64/T92,"")</f>
        <v>0.0216535898400574</v>
      </c>
      <c r="U85" s="27" t="n">
        <f aca="false">IFERROR(U64/U92,"")</f>
        <v>0.0198679265134287</v>
      </c>
      <c r="V85" s="27" t="n">
        <f aca="false">IFERROR(V64/V92,"")</f>
        <v>0.0221253358238826</v>
      </c>
      <c r="W85" s="46" t="n">
        <v>0.024</v>
      </c>
      <c r="X85" s="46" t="n">
        <v>0.026</v>
      </c>
      <c r="Y85" s="46" t="n">
        <v>0.027</v>
      </c>
      <c r="Z85" s="46" t="n">
        <v>0.028</v>
      </c>
      <c r="AA85" s="22" t="s">
        <v>167</v>
      </c>
      <c r="AB85" s="1"/>
      <c r="AC85" s="28" t="n">
        <f aca="false">IFERROR(AVERAGE(V85,W85,X85,Y85,Z85),"n/m")</f>
        <v>0.0254250671647765</v>
      </c>
      <c r="AD85" s="28" t="n">
        <f aca="false">IFERROR(AVERAGE(C85,D85,J85,P85),"n/m")</f>
        <v>0.0270907532939576</v>
      </c>
    </row>
    <row r="86" customFormat="false" ht="15" hidden="false" customHeight="true" outlineLevel="0" collapsed="false">
      <c r="B86" s="25" t="s">
        <v>168</v>
      </c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27"/>
      <c r="U86" s="27"/>
      <c r="V86" s="27"/>
      <c r="W86" s="46" t="n">
        <v>0.05</v>
      </c>
      <c r="X86" s="46" t="n">
        <v>0.05</v>
      </c>
      <c r="Y86" s="46" t="n">
        <v>0.05</v>
      </c>
      <c r="Z86" s="46" t="n">
        <v>0.05</v>
      </c>
      <c r="AA86" s="22"/>
      <c r="AB86" s="1"/>
      <c r="AC86" s="47"/>
      <c r="AD86" s="47"/>
    </row>
    <row r="87" customFormat="false" ht="15" hidden="false" customHeight="true" outlineLevel="0" collapsed="false">
      <c r="B87" s="25" t="s">
        <v>169</v>
      </c>
      <c r="C87" s="31" t="n">
        <f aca="false">IFERROR(C58/C92,"")</f>
        <v>0.00708320445406743</v>
      </c>
      <c r="D87" s="31" t="n">
        <f aca="false">IFERROR(D58/D92,"")</f>
        <v>0.0045991343225094</v>
      </c>
      <c r="E87" s="31" t="n">
        <f aca="false">IFERROR(E58/E92,"")</f>
        <v>0.00302387779196685</v>
      </c>
      <c r="F87" s="31" t="n">
        <f aca="false">IFERROR(F58/F92,"")</f>
        <v>0.00289279036677289</v>
      </c>
      <c r="G87" s="31" t="n">
        <f aca="false">IFERROR(G58/G92,"")</f>
        <v>0.00295754113481508</v>
      </c>
      <c r="H87" s="31" t="n">
        <f aca="false">IFERROR(H58/H92,"")</f>
        <v>0.00288479434208077</v>
      </c>
      <c r="I87" s="31" t="n">
        <f aca="false">IFERROR(I58/I92,"")</f>
        <v>0.00271816567658213</v>
      </c>
      <c r="J87" s="31" t="n">
        <f aca="false">IFERROR(J58/J92,"")</f>
        <v>0.0028761683528795</v>
      </c>
      <c r="K87" s="31" t="n">
        <f aca="false">IFERROR(K58/K92,"")</f>
        <v>0.0807398825456434</v>
      </c>
      <c r="L87" s="31" t="n">
        <f aca="false">IFERROR(L58/L92,"")</f>
        <v>0</v>
      </c>
      <c r="M87" s="31" t="n">
        <f aca="false">IFERROR(M58/M92,"")</f>
        <v>0.0375613903847673</v>
      </c>
      <c r="N87" s="31" t="n">
        <f aca="false">IFERROR(N58/N92,"")</f>
        <v>0</v>
      </c>
      <c r="O87" s="31" t="n">
        <f aca="false">IFERROR(O58/O92,"")</f>
        <v>0</v>
      </c>
      <c r="P87" s="31" t="n">
        <f aca="false">IFERROR(P58/P92,"")</f>
        <v>0.0171452810180276</v>
      </c>
      <c r="Q87" s="31" t="n">
        <f aca="false">IFERROR(Q58/Q92,"")</f>
        <v>0</v>
      </c>
      <c r="R87" s="31" t="n">
        <f aca="false">IFERROR(R58/R92,"")</f>
        <v>0.00793132047697775</v>
      </c>
      <c r="S87" s="31" t="n">
        <f aca="false">IFERROR(S58/S92,"")</f>
        <v>0.00433278423394634</v>
      </c>
      <c r="T87" s="27" t="n">
        <f aca="false">IFERROR(T58/T92,"")</f>
        <v>0.00768861132259735</v>
      </c>
      <c r="U87" s="27" t="n">
        <f aca="false">IFERROR(U58/U92,"")</f>
        <v>0.00678324036106742</v>
      </c>
      <c r="V87" s="27" t="n">
        <f aca="false">IFERROR(V58/V92,"")</f>
        <v>0.00592928619079386</v>
      </c>
      <c r="W87" s="46" t="n">
        <v>0.008</v>
      </c>
      <c r="X87" s="46" t="n">
        <v>0.008</v>
      </c>
      <c r="Y87" s="46" t="n">
        <v>0.008</v>
      </c>
      <c r="Z87" s="46" t="n">
        <v>0.008</v>
      </c>
      <c r="AA87" s="22" t="s">
        <v>170</v>
      </c>
      <c r="AB87" s="1"/>
      <c r="AC87" s="28" t="n">
        <f aca="false">IFERROR(AVERAGE(V87,W87,X87,Y87,Z87),"n/m")</f>
        <v>0.00758585723815877</v>
      </c>
      <c r="AD87" s="28" t="n">
        <f aca="false">IFERROR(AVERAGE(C87,D87,J87,P87),"n/m")</f>
        <v>0.00792594703687097</v>
      </c>
    </row>
    <row r="88" customFormat="false" ht="15" hidden="false" customHeight="true" outlineLevel="0" collapsed="false">
      <c r="B88" s="25" t="s">
        <v>171</v>
      </c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27"/>
      <c r="U88" s="27"/>
      <c r="V88" s="27"/>
      <c r="W88" s="46" t="n">
        <v>0.03</v>
      </c>
      <c r="X88" s="46" t="n">
        <v>0.03</v>
      </c>
      <c r="Y88" s="46" t="n">
        <v>0.03</v>
      </c>
      <c r="Z88" s="46" t="n">
        <v>0.03</v>
      </c>
      <c r="AA88" s="22"/>
      <c r="AB88" s="1"/>
      <c r="AC88" s="47"/>
      <c r="AD88" s="47"/>
    </row>
    <row r="89" customFormat="false" ht="15" hidden="false" customHeight="true" outlineLevel="0" collapsed="false">
      <c r="B89" s="25" t="s">
        <v>172</v>
      </c>
      <c r="C89" s="31" t="n">
        <f aca="false">IFERROR(C95/C92,"")</f>
        <v>0.13272060448058</v>
      </c>
      <c r="D89" s="31" t="n">
        <f aca="false">IFERROR(D95/D92,"")</f>
        <v>0.130467928964571</v>
      </c>
      <c r="E89" s="31" t="n">
        <f aca="false">IFERROR(E95/E92,"")</f>
        <v>0.121545430450811</v>
      </c>
      <c r="F89" s="31" t="n">
        <f aca="false">IFERROR(F95/F92,"")</f>
        <v>0.117510789167323</v>
      </c>
      <c r="G89" s="31" t="n">
        <f aca="false">IFERROR(G95/G92,"")</f>
        <v>0.119503704364902</v>
      </c>
      <c r="H89" s="31" t="n">
        <f aca="false">IFERROR(H95/H92,"")</f>
        <v>0.130129815745394</v>
      </c>
      <c r="I89" s="31" t="n">
        <f aca="false">IFERROR(I95/I92,"")</f>
        <v>0.144150463622613</v>
      </c>
      <c r="J89" s="31" t="n">
        <f aca="false">IFERROR(J95/J92,"")</f>
        <v>0.128662914806909</v>
      </c>
      <c r="K89" s="31" t="n">
        <f aca="false">IFERROR(K95/K92,"")</f>
        <v>0.232591586432823</v>
      </c>
      <c r="L89" s="31" t="n">
        <f aca="false">IFERROR(L95/L92,"")</f>
        <v>0.168814130689766</v>
      </c>
      <c r="M89" s="31" t="n">
        <f aca="false">IFERROR(M95/M92,"")</f>
        <v>0.198484348646275</v>
      </c>
      <c r="N89" s="31" t="n">
        <f aca="false">IFERROR(N95/N92,"")</f>
        <v>0.164188295959339</v>
      </c>
      <c r="O89" s="31" t="n">
        <f aca="false">IFERROR(O95/O92,"")</f>
        <v>0.170582636885465</v>
      </c>
      <c r="P89" s="31" t="n">
        <f aca="false">IFERROR(P95/P92,"")</f>
        <v>0.181667020148462</v>
      </c>
      <c r="Q89" s="31" t="n">
        <f aca="false">IFERROR(Q95/Q92,"")</f>
        <v>0.189385622644005</v>
      </c>
      <c r="R89" s="31" t="n">
        <f aca="false">IFERROR(R95/R92,"")</f>
        <v>0.172132723288093</v>
      </c>
      <c r="S89" s="31" t="n">
        <f aca="false">IFERROR(S95/S92,"")</f>
        <v>0.179960572863688</v>
      </c>
      <c r="T89" s="27" t="n">
        <f aca="false">IFERROR(T95/T92,"")</f>
        <v>0.175056775182397</v>
      </c>
      <c r="U89" s="27" t="n">
        <f aca="false">IFERROR(U95/U92,"")</f>
        <v>0.170419431705621</v>
      </c>
      <c r="V89" s="27" t="n">
        <f aca="false">IFERROR(V95/V92,"")</f>
        <v>0.175869093422654</v>
      </c>
      <c r="W89" s="27" t="n">
        <f aca="false">IFERROR(W95/W92,"")</f>
        <v>0.159748259979517</v>
      </c>
      <c r="X89" s="27" t="n">
        <f aca="false">IFERROR(X95/X92,"")</f>
        <v>0.157981326328731</v>
      </c>
      <c r="Y89" s="27" t="n">
        <f aca="false">IFERROR(Y95/Y92,"")</f>
        <v>0.156544527966249</v>
      </c>
      <c r="Z89" s="27" t="n">
        <f aca="false">IFERROR(Z95/Z92,"")</f>
        <v>0.154145267918092</v>
      </c>
      <c r="AA89" s="22"/>
      <c r="AB89" s="1"/>
      <c r="AC89" s="28" t="n">
        <f aca="false">IFERROR(AVERAGE(V89,W89,X89,Y89,Z89),"n/m")</f>
        <v>0.160857695123049</v>
      </c>
      <c r="AD89" s="28" t="n">
        <f aca="false">IFERROR(AVERAGE(C89,D89,J89,P89),"n/m")</f>
        <v>0.143379617100131</v>
      </c>
    </row>
    <row r="91" customFormat="false" ht="15" hidden="false" customHeight="true" outlineLevel="0" collapsed="false">
      <c r="B91" s="12" t="s">
        <v>173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 t="s">
        <v>174</v>
      </c>
      <c r="AB91" s="1"/>
      <c r="AC91" s="1"/>
      <c r="AD91" s="1"/>
    </row>
    <row r="92" customFormat="false" ht="15" hidden="false" customHeight="true" outlineLevel="0" collapsed="false">
      <c r="B92" s="51" t="s">
        <v>175</v>
      </c>
      <c r="C92" s="60" t="n">
        <v>226.31</v>
      </c>
      <c r="D92" s="60" t="n">
        <v>280.705</v>
      </c>
      <c r="E92" s="19" t="n">
        <v>83.006</v>
      </c>
      <c r="F92" s="19" t="n">
        <v>85.039</v>
      </c>
      <c r="G92" s="20" t="n">
        <f aca="false">E92+F92</f>
        <v>168.045</v>
      </c>
      <c r="H92" s="19" t="n">
        <v>85.968</v>
      </c>
      <c r="I92" s="19" t="n">
        <v>91.238</v>
      </c>
      <c r="J92" s="60" t="n">
        <v>345.251</v>
      </c>
      <c r="K92" s="19" t="n">
        <v>100.124</v>
      </c>
      <c r="L92" s="19" t="n">
        <v>115.097</v>
      </c>
      <c r="M92" s="20" t="n">
        <f aca="false">K92+L92</f>
        <v>215.221</v>
      </c>
      <c r="N92" s="19" t="n">
        <v>121.787</v>
      </c>
      <c r="O92" s="19" t="n">
        <v>134.492</v>
      </c>
      <c r="P92" s="60" t="n">
        <v>471.5</v>
      </c>
      <c r="Q92" s="19" t="n">
        <v>151.21</v>
      </c>
      <c r="R92" s="19" t="n">
        <v>182.063</v>
      </c>
      <c r="S92" s="20" t="n">
        <f aca="false">Q92+R92</f>
        <v>333.273</v>
      </c>
      <c r="T92" s="52" t="n">
        <f aca="false">T49</f>
        <v>195.093748020712</v>
      </c>
      <c r="U92" s="52" t="n">
        <f aca="false">U49</f>
        <v>221.133251979288</v>
      </c>
      <c r="V92" s="52" t="n">
        <f aca="false">SUM(Q92,R92,T92,U92)</f>
        <v>749.5</v>
      </c>
      <c r="W92" s="52" t="n">
        <f aca="false">W49</f>
        <v>958.212854801444</v>
      </c>
      <c r="X92" s="52" t="n">
        <f aca="false">X49</f>
        <v>1187.54880635379</v>
      </c>
      <c r="Y92" s="52" t="n">
        <f aca="false">Y49</f>
        <v>1433.84572592412</v>
      </c>
      <c r="Z92" s="52" t="n">
        <f aca="false">Z49</f>
        <v>1692.3803189847</v>
      </c>
      <c r="AA92" s="22" t="s">
        <v>176</v>
      </c>
      <c r="AB92" s="1"/>
      <c r="AC92" s="23" t="n">
        <f aca="false">IFERROR(IF(AND(Z92&gt;0,P92&gt;0),(Z92/P92)^(1/5)-1,"n/m"),"n/m")</f>
        <v>0.291228947732253</v>
      </c>
      <c r="AD92" s="23" t="n">
        <f aca="false">IFERROR(IF(AND(P92&gt;0,C92&gt;0),(P92/C92)^(1/3)-1,"n/m"),"n/m")</f>
        <v>0.277201198740203</v>
      </c>
    </row>
    <row r="93" customFormat="false" ht="15" hidden="false" customHeight="true" outlineLevel="0" collapsed="false">
      <c r="B93" s="29" t="s">
        <v>177</v>
      </c>
      <c r="C93" s="37" t="n">
        <v>145.364</v>
      </c>
      <c r="D93" s="37" t="n">
        <v>175.156</v>
      </c>
      <c r="E93" s="37" t="n">
        <v>54.006</v>
      </c>
      <c r="F93" s="37" t="n">
        <v>50.445</v>
      </c>
      <c r="G93" s="38" t="n">
        <f aca="false">E93+F93</f>
        <v>104.451</v>
      </c>
      <c r="H93" s="37" t="n">
        <v>52.184</v>
      </c>
      <c r="I93" s="37" t="n">
        <v>56.505</v>
      </c>
      <c r="J93" s="37" t="n">
        <v>213.14</v>
      </c>
      <c r="K93" s="37" t="n">
        <v>60.673</v>
      </c>
      <c r="L93" s="37" t="n">
        <v>68.076</v>
      </c>
      <c r="M93" s="38" t="n">
        <f aca="false">K93+L93</f>
        <v>128.749</v>
      </c>
      <c r="N93" s="37" t="n">
        <v>71.847</v>
      </c>
      <c r="O93" s="37" t="n">
        <v>80.878</v>
      </c>
      <c r="P93" s="37" t="n">
        <v>281.474</v>
      </c>
      <c r="Q93" s="37" t="n">
        <v>87.345</v>
      </c>
      <c r="R93" s="37" t="n">
        <v>103.829</v>
      </c>
      <c r="S93" s="38" t="n">
        <f aca="false">Q93+R93</f>
        <v>191.174</v>
      </c>
      <c r="T93" s="39" t="n">
        <f aca="false">T92*T83</f>
        <v>111.910812409381</v>
      </c>
      <c r="U93" s="39" t="n">
        <f aca="false">U92*U83</f>
        <v>126.847744383399</v>
      </c>
      <c r="V93" s="39" t="n">
        <f aca="false">SUM(Q93,R93,T93,U93)</f>
        <v>429.932556792779</v>
      </c>
      <c r="W93" s="39" t="n">
        <f aca="false">W92*W83</f>
        <v>550.97239151083</v>
      </c>
      <c r="X93" s="39" t="n">
        <f aca="false">X92*X83</f>
        <v>682.840563653426</v>
      </c>
      <c r="Y93" s="39" t="n">
        <f aca="false">Y92*Y83</f>
        <v>824.46129240637</v>
      </c>
      <c r="Z93" s="39" t="n">
        <f aca="false">Z92*Z83</f>
        <v>973.118683416205</v>
      </c>
      <c r="AA93" s="22"/>
      <c r="AB93" s="1"/>
      <c r="AC93" s="23" t="n">
        <f aca="false">IFERROR(IF(AND(Z93&gt;0,P93&gt;0),(Z93/P93)^(1/5)-1,"n/m"),"n/m")</f>
        <v>0.281579362281383</v>
      </c>
      <c r="AD93" s="23" t="n">
        <f aca="false">IFERROR(IF(AND(P93&gt;0,C93&gt;0),(P93/C93)^(1/3)-1,"n/m"),"n/m")</f>
        <v>0.246408704460282</v>
      </c>
    </row>
    <row r="94" customFormat="false" ht="15" hidden="false" customHeight="true" outlineLevel="0" collapsed="false">
      <c r="B94" s="18" t="s">
        <v>178</v>
      </c>
      <c r="C94" s="20" t="n">
        <f aca="false">C92-C93</f>
        <v>80.946</v>
      </c>
      <c r="D94" s="20" t="n">
        <f aca="false">D92-D93</f>
        <v>105.549</v>
      </c>
      <c r="E94" s="20" t="n">
        <f aca="false">E92-E93</f>
        <v>29</v>
      </c>
      <c r="F94" s="20" t="n">
        <f aca="false">F92-F93</f>
        <v>34.594</v>
      </c>
      <c r="G94" s="20" t="n">
        <f aca="false">G92-G93</f>
        <v>63.594</v>
      </c>
      <c r="H94" s="20" t="n">
        <f aca="false">H92-H93</f>
        <v>33.784</v>
      </c>
      <c r="I94" s="20" t="n">
        <f aca="false">I92-I93</f>
        <v>34.733</v>
      </c>
      <c r="J94" s="20" t="n">
        <f aca="false">J92-J93</f>
        <v>132.111</v>
      </c>
      <c r="K94" s="20" t="n">
        <f aca="false">K92-K93</f>
        <v>39.451</v>
      </c>
      <c r="L94" s="20" t="n">
        <f aca="false">L92-L93</f>
        <v>47.021</v>
      </c>
      <c r="M94" s="20" t="n">
        <f aca="false">M92-M93</f>
        <v>86.472</v>
      </c>
      <c r="N94" s="20" t="n">
        <f aca="false">N92-N93</f>
        <v>49.94</v>
      </c>
      <c r="O94" s="20" t="n">
        <f aca="false">O92-O93</f>
        <v>53.614</v>
      </c>
      <c r="P94" s="20" t="n">
        <f aca="false">P92-P93</f>
        <v>190.026</v>
      </c>
      <c r="Q94" s="20" t="n">
        <f aca="false">Q92-Q93</f>
        <v>63.865</v>
      </c>
      <c r="R94" s="20" t="n">
        <f aca="false">R92-R93</f>
        <v>78.234</v>
      </c>
      <c r="S94" s="20" t="n">
        <f aca="false">S92-S93</f>
        <v>142.099</v>
      </c>
      <c r="T94" s="21" t="n">
        <f aca="false">T92-T93</f>
        <v>83.1829356113311</v>
      </c>
      <c r="U94" s="21" t="n">
        <f aca="false">U92-U93</f>
        <v>94.2855075958895</v>
      </c>
      <c r="V94" s="21" t="n">
        <f aca="false">V92-V93</f>
        <v>319.567443207221</v>
      </c>
      <c r="W94" s="21" t="n">
        <f aca="false">W92-W93</f>
        <v>407.240463290614</v>
      </c>
      <c r="X94" s="21" t="n">
        <f aca="false">X92-X93</f>
        <v>504.708242700359</v>
      </c>
      <c r="Y94" s="21" t="n">
        <f aca="false">Y92-Y93</f>
        <v>609.384433517752</v>
      </c>
      <c r="Z94" s="21" t="n">
        <f aca="false">Z92-Z93</f>
        <v>719.261635568499</v>
      </c>
      <c r="AA94" s="22"/>
      <c r="AB94" s="1"/>
      <c r="AC94" s="23" t="n">
        <f aca="false">IFERROR(IF(AND(Z94&gt;0,P94&gt;0),(Z94/P94)^(1/5)-1,"n/m"),"n/m")</f>
        <v>0.305012807564361</v>
      </c>
      <c r="AD94" s="23" t="n">
        <f aca="false">IFERROR(IF(AND(P94&gt;0,C94&gt;0),(P94/C94)^(1/3)-1,"n/m"),"n/m")</f>
        <v>0.32904354762482</v>
      </c>
    </row>
    <row r="95" customFormat="false" ht="15" hidden="false" customHeight="true" outlineLevel="0" collapsed="false">
      <c r="B95" s="29" t="s">
        <v>179</v>
      </c>
      <c r="C95" s="37" t="n">
        <v>30.036</v>
      </c>
      <c r="D95" s="37" t="n">
        <v>36.623</v>
      </c>
      <c r="E95" s="37" t="n">
        <v>10.089</v>
      </c>
      <c r="F95" s="37" t="n">
        <v>9.993</v>
      </c>
      <c r="G95" s="38" t="n">
        <f aca="false">E95+F95</f>
        <v>20.082</v>
      </c>
      <c r="H95" s="37" t="n">
        <v>11.187</v>
      </c>
      <c r="I95" s="37" t="n">
        <v>13.152</v>
      </c>
      <c r="J95" s="37" t="n">
        <v>44.421</v>
      </c>
      <c r="K95" s="37" t="n">
        <v>23.288</v>
      </c>
      <c r="L95" s="37" t="n">
        <v>19.43</v>
      </c>
      <c r="M95" s="38" t="n">
        <f aca="false">K95+L95</f>
        <v>42.718</v>
      </c>
      <c r="N95" s="37" t="n">
        <v>19.996</v>
      </c>
      <c r="O95" s="37" t="n">
        <v>22.942</v>
      </c>
      <c r="P95" s="37" t="n">
        <v>85.656</v>
      </c>
      <c r="Q95" s="37" t="n">
        <v>28.637</v>
      </c>
      <c r="R95" s="37" t="n">
        <v>31.339</v>
      </c>
      <c r="S95" s="38" t="n">
        <f aca="false">Q95+R95</f>
        <v>59.976</v>
      </c>
      <c r="T95" s="39" t="n">
        <f aca="false">T94-T96-T69</f>
        <v>34.152482386753</v>
      </c>
      <c r="U95" s="39" t="n">
        <f aca="false">U94-U96-U69</f>
        <v>37.6854031335262</v>
      </c>
      <c r="V95" s="39" t="n">
        <f aca="false">SUM(Q95,R95,T95,U95)</f>
        <v>131.813885520279</v>
      </c>
      <c r="W95" s="39" t="n">
        <f aca="false">W94-W96-W69</f>
        <v>153.072836244536</v>
      </c>
      <c r="X95" s="39" t="n">
        <f aca="false">X94-X96-X69</f>
        <v>187.610535507873</v>
      </c>
      <c r="Y95" s="39" t="n">
        <f aca="false">Y94-Y96-Y69</f>
        <v>224.460702341216</v>
      </c>
      <c r="Z95" s="39" t="n">
        <f aca="false">Z94-Z96-Z69</f>
        <v>260.872417689204</v>
      </c>
      <c r="AA95" s="22" t="s">
        <v>180</v>
      </c>
      <c r="AB95" s="1"/>
      <c r="AC95" s="23" t="n">
        <f aca="false">IFERROR(IF(AND(Z95&gt;0,P95&gt;0),(Z95/P95)^(1/5)-1,"n/m"),"n/m")</f>
        <v>0.249493711376343</v>
      </c>
      <c r="AD95" s="23" t="n">
        <f aca="false">IFERROR(IF(AND(P95&gt;0,C95&gt;0),(P95/C95)^(1/3)-1,"n/m"),"n/m")</f>
        <v>0.418094691665911</v>
      </c>
    </row>
    <row r="96" customFormat="false" ht="15" hidden="false" customHeight="true" outlineLevel="0" collapsed="false">
      <c r="B96" s="29" t="s">
        <v>181</v>
      </c>
      <c r="C96" s="37" t="n">
        <v>30.475</v>
      </c>
      <c r="D96" s="37" t="n">
        <v>20.432</v>
      </c>
      <c r="E96" s="37" t="n">
        <v>5.412</v>
      </c>
      <c r="F96" s="37" t="n">
        <v>6.32</v>
      </c>
      <c r="G96" s="38" t="n">
        <f aca="false">E96+F96</f>
        <v>11.732</v>
      </c>
      <c r="H96" s="37" t="n">
        <v>5.19</v>
      </c>
      <c r="I96" s="37" t="n">
        <v>7.209</v>
      </c>
      <c r="J96" s="37" t="n">
        <v>24.13</v>
      </c>
      <c r="K96" s="37" t="n">
        <v>6.2</v>
      </c>
      <c r="L96" s="37" t="n">
        <v>7.487</v>
      </c>
      <c r="M96" s="38" t="n">
        <f aca="false">K96+L96</f>
        <v>13.687</v>
      </c>
      <c r="N96" s="37" t="n">
        <v>8.132</v>
      </c>
      <c r="O96" s="37" t="n">
        <v>9.609</v>
      </c>
      <c r="P96" s="37" t="n">
        <v>31.428</v>
      </c>
      <c r="Q96" s="37" t="n">
        <v>13.776</v>
      </c>
      <c r="R96" s="37" t="n">
        <v>12.066</v>
      </c>
      <c r="S96" s="38" t="n">
        <f aca="false">Q96+R96</f>
        <v>25.842</v>
      </c>
      <c r="T96" s="39" t="n">
        <f aca="false">T67-T92*T84</f>
        <v>12.1230318051289</v>
      </c>
      <c r="U96" s="39" t="n">
        <f aca="false">U67-U92*U84</f>
        <v>12.4169650818124</v>
      </c>
      <c r="V96" s="39" t="n">
        <f aca="false">SUM(Q96,R96,T96,U96)</f>
        <v>50.3819968869413</v>
      </c>
      <c r="W96" s="39" t="n">
        <f aca="false">W67-W92*W84</f>
        <v>55.9277528384116</v>
      </c>
      <c r="X96" s="39" t="n">
        <f aca="false">X67-X92*X84</f>
        <v>61.5037655635379</v>
      </c>
      <c r="Y96" s="39" t="n">
        <f aca="false">Y67-Y92*Y84</f>
        <v>72.7241818601653</v>
      </c>
      <c r="Z96" s="39" t="n">
        <f aca="false">Z67-Z92*Z84</f>
        <v>86.5736616465665</v>
      </c>
      <c r="AA96" s="22"/>
      <c r="AB96" s="1"/>
      <c r="AC96" s="23" t="n">
        <f aca="false">IFERROR(IF(AND(Z96&gt;0,P96&gt;0),(Z96/P96)^(1/5)-1,"n/m"),"n/m")</f>
        <v>0.224655136567783</v>
      </c>
      <c r="AD96" s="23" t="n">
        <f aca="false">IFERROR(IF(AND(P96&gt;0,C96&gt;0),(P96/C96)^(1/3)-1,"n/m"),"n/m")</f>
        <v>0.0103170373685495</v>
      </c>
    </row>
    <row r="97" customFormat="false" ht="15" hidden="false" customHeight="true" outlineLevel="0" collapsed="false">
      <c r="B97" s="51" t="s">
        <v>182</v>
      </c>
      <c r="C97" s="52" t="n">
        <f aca="false">C94-C95-C96</f>
        <v>20.435</v>
      </c>
      <c r="D97" s="52" t="n">
        <f aca="false">D94-D95-D96</f>
        <v>48.494</v>
      </c>
      <c r="E97" s="20" t="n">
        <f aca="false">E94-E95-E96</f>
        <v>13.499</v>
      </c>
      <c r="F97" s="20" t="n">
        <f aca="false">F94-F95-F96</f>
        <v>18.281</v>
      </c>
      <c r="G97" s="20" t="n">
        <f aca="false">G94-G95-G96</f>
        <v>31.78</v>
      </c>
      <c r="H97" s="20" t="n">
        <f aca="false">H94-H95-H96</f>
        <v>17.407</v>
      </c>
      <c r="I97" s="20" t="n">
        <f aca="false">I94-I95-I96</f>
        <v>14.372</v>
      </c>
      <c r="J97" s="52" t="n">
        <f aca="false">J94-J95-J96</f>
        <v>63.56</v>
      </c>
      <c r="K97" s="20" t="n">
        <f aca="false">K94-K95-K96</f>
        <v>9.96299999999999</v>
      </c>
      <c r="L97" s="20" t="n">
        <f aca="false">L94-L95-L96</f>
        <v>20.104</v>
      </c>
      <c r="M97" s="20" t="n">
        <f aca="false">M94-M95-M96</f>
        <v>30.067</v>
      </c>
      <c r="N97" s="20" t="n">
        <f aca="false">N94-N95-N96</f>
        <v>21.812</v>
      </c>
      <c r="O97" s="20" t="n">
        <f aca="false">O94-O95-O96</f>
        <v>21.063</v>
      </c>
      <c r="P97" s="52" t="n">
        <f aca="false">P94-P95-P96</f>
        <v>72.942</v>
      </c>
      <c r="Q97" s="20" t="n">
        <f aca="false">Q94-Q95-Q96</f>
        <v>21.452</v>
      </c>
      <c r="R97" s="20" t="n">
        <f aca="false">R94-R95-R96</f>
        <v>34.829</v>
      </c>
      <c r="S97" s="20" t="n">
        <f aca="false">S94-S95-S96</f>
        <v>56.2810000000001</v>
      </c>
      <c r="T97" s="52" t="n">
        <f aca="false">T94-T95-T96</f>
        <v>36.9074214194491</v>
      </c>
      <c r="U97" s="52" t="n">
        <f aca="false">U94-U95-U96</f>
        <v>44.1831393805509</v>
      </c>
      <c r="V97" s="52" t="n">
        <f aca="false">V94-V95-V96</f>
        <v>137.3715608</v>
      </c>
      <c r="W97" s="52" t="n">
        <f aca="false">W94-W95-W96</f>
        <v>198.239874207666</v>
      </c>
      <c r="X97" s="52" t="n">
        <f aca="false">X94-X95-X96</f>
        <v>255.593941628948</v>
      </c>
      <c r="Y97" s="52" t="n">
        <f aca="false">Y94-Y95-Y96</f>
        <v>312.199549316371</v>
      </c>
      <c r="Z97" s="52" t="n">
        <f aca="false">Z94-Z95-Z96</f>
        <v>371.815556232729</v>
      </c>
      <c r="AA97" s="22"/>
      <c r="AB97" s="1"/>
      <c r="AC97" s="23" t="n">
        <f aca="false">IFERROR(IF(AND(Z97&gt;0,P97&gt;0),(Z97/P97)^(1/5)-1,"n/m"),"n/m")</f>
        <v>0.385064434950401</v>
      </c>
      <c r="AD97" s="23" t="n">
        <f aca="false">IFERROR(IF(AND(P97&gt;0,C97&gt;0),(P97/C97)^(1/3)-1,"n/m"),"n/m")</f>
        <v>0.528273238748924</v>
      </c>
    </row>
    <row r="98" customFormat="false" ht="15" hidden="false" customHeight="true" outlineLevel="0" collapsed="false">
      <c r="B98" s="29" t="s">
        <v>183</v>
      </c>
      <c r="C98" s="37" t="n">
        <v>37.501</v>
      </c>
      <c r="D98" s="37" t="n">
        <v>47.867</v>
      </c>
      <c r="E98" s="37" t="n">
        <v>12.06</v>
      </c>
      <c r="F98" s="37" t="n">
        <v>13.401</v>
      </c>
      <c r="G98" s="38" t="n">
        <f aca="false">E98+F98</f>
        <v>25.461</v>
      </c>
      <c r="H98" s="37" t="n">
        <v>12.533</v>
      </c>
      <c r="I98" s="37" t="n">
        <v>12.739</v>
      </c>
      <c r="J98" s="37" t="n">
        <v>50.733</v>
      </c>
      <c r="K98" s="37" t="n">
        <v>11.373</v>
      </c>
      <c r="L98" s="37" t="n">
        <v>11.893</v>
      </c>
      <c r="M98" s="38" t="n">
        <f aca="false">K98+L98</f>
        <v>23.266</v>
      </c>
      <c r="N98" s="37" t="n">
        <v>10.002</v>
      </c>
      <c r="O98" s="37" t="n">
        <v>11.299</v>
      </c>
      <c r="P98" s="37" t="n">
        <v>44.567</v>
      </c>
      <c r="Q98" s="37" t="n">
        <v>12.646</v>
      </c>
      <c r="R98" s="37" t="n">
        <v>15.284</v>
      </c>
      <c r="S98" s="38" t="n">
        <f aca="false">Q98+R98</f>
        <v>27.93</v>
      </c>
      <c r="T98" s="39" t="n">
        <f aca="false">(R304*2/3+(R304+100)*1/3)*T314/4+R309*$V315/4+$V302/4</f>
        <v>14.8124004833333</v>
      </c>
      <c r="U98" s="39" t="n">
        <f aca="false">V304*U314/4+R309*$V315/4+$V302/4</f>
        <v>15.4018895</v>
      </c>
      <c r="V98" s="39" t="n">
        <f aca="false">SUM(Q98,R98,T98,U98)</f>
        <v>58.1442899833333</v>
      </c>
      <c r="W98" s="39" t="n">
        <f aca="false">W314*(V304+0.5*(W305+W306))+W315*V309+W316*V313+W302-W317*V242</f>
        <v>57.1559406915866</v>
      </c>
      <c r="X98" s="39" t="n">
        <f aca="false">X314*(W304+0.5*(X305+X306))+X315*W309+X316*W313+X302-X317*W242</f>
        <v>63.3612204830679</v>
      </c>
      <c r="Y98" s="39" t="n">
        <f aca="false">Y314*(X304+0.5*(Y305+Y306))+Y315*X309+Y316*X313+Y302-Y317*X242</f>
        <v>70.027667018495</v>
      </c>
      <c r="Z98" s="39" t="n">
        <f aca="false">Z314*(Y304+0.5*(Z305+Z306))+Z315*Y309+Z316*Y313+Z302-Z317*Y242</f>
        <v>75.6103814796586</v>
      </c>
      <c r="AA98" s="22" t="s">
        <v>184</v>
      </c>
      <c r="AB98" s="1"/>
      <c r="AC98" s="23" t="n">
        <f aca="false">IFERROR(IF(AND(Z98&gt;0,P98&gt;0),(Z98/P98)^(1/5)-1,"n/m"),"n/m")</f>
        <v>0.111510592192723</v>
      </c>
      <c r="AD98" s="23" t="n">
        <f aca="false">IFERROR(IF(AND(P98&gt;0,C98&gt;0),(P98/C98)^(1/3)-1,"n/m"),"n/m")</f>
        <v>0.059229784047333</v>
      </c>
    </row>
    <row r="99" customFormat="false" ht="15" hidden="false" customHeight="true" outlineLevel="0" collapsed="false">
      <c r="B99" s="29" t="s">
        <v>185</v>
      </c>
      <c r="C99" s="37" t="n">
        <v>-0.206</v>
      </c>
      <c r="D99" s="37" t="n">
        <v>0.563</v>
      </c>
      <c r="E99" s="37" t="n">
        <v>0.77</v>
      </c>
      <c r="F99" s="37" t="n">
        <v>0.036</v>
      </c>
      <c r="G99" s="38" t="n">
        <f aca="false">E99+F99</f>
        <v>0.806</v>
      </c>
      <c r="H99" s="37" t="n">
        <v>0.351</v>
      </c>
      <c r="I99" s="37" t="n">
        <v>0.345</v>
      </c>
      <c r="J99" s="37" t="n">
        <v>1.502</v>
      </c>
      <c r="K99" s="37" t="n">
        <v>-0.08</v>
      </c>
      <c r="L99" s="37" t="n">
        <v>0.38</v>
      </c>
      <c r="M99" s="38" t="n">
        <f aca="false">K99+L99</f>
        <v>0.3</v>
      </c>
      <c r="N99" s="37" t="n">
        <v>0.051</v>
      </c>
      <c r="O99" s="37" t="n">
        <v>3.796</v>
      </c>
      <c r="P99" s="37" t="n">
        <v>4.147</v>
      </c>
      <c r="Q99" s="37" t="n">
        <v>-0.174</v>
      </c>
      <c r="R99" s="37" t="n">
        <v>-0.28</v>
      </c>
      <c r="S99" s="38" t="n">
        <f aca="false">Q99+R99</f>
        <v>-0.454</v>
      </c>
      <c r="T99" s="40" t="n">
        <v>0</v>
      </c>
      <c r="U99" s="40" t="n">
        <v>0</v>
      </c>
      <c r="V99" s="39" t="n">
        <f aca="false">SUM(Q99,R99,T99,U99)</f>
        <v>-0.454</v>
      </c>
      <c r="W99" s="40" t="n">
        <v>0</v>
      </c>
      <c r="X99" s="40" t="n">
        <v>0</v>
      </c>
      <c r="Y99" s="40" t="n">
        <v>0</v>
      </c>
      <c r="Z99" s="40" t="n">
        <v>0</v>
      </c>
      <c r="AA99" s="22"/>
      <c r="AB99" s="1"/>
      <c r="AC99" s="23"/>
      <c r="AD99" s="23"/>
    </row>
    <row r="100" customFormat="false" ht="15" hidden="false" customHeight="true" outlineLevel="0" collapsed="false">
      <c r="B100" s="51" t="s">
        <v>186</v>
      </c>
      <c r="C100" s="52" t="n">
        <f aca="false">C97-C98+C99</f>
        <v>-17.272</v>
      </c>
      <c r="D100" s="52" t="n">
        <f aca="false">D97-D98+D99</f>
        <v>1.18999999999999</v>
      </c>
      <c r="E100" s="20" t="n">
        <f aca="false">E97-E98+E99</f>
        <v>2.209</v>
      </c>
      <c r="F100" s="20" t="n">
        <f aca="false">F97-F98+F99</f>
        <v>4.916</v>
      </c>
      <c r="G100" s="20" t="n">
        <f aca="false">G97-G98+G99</f>
        <v>7.12500000000002</v>
      </c>
      <c r="H100" s="20" t="n">
        <f aca="false">H97-H98+H99</f>
        <v>5.22500000000001</v>
      </c>
      <c r="I100" s="20" t="n">
        <f aca="false">I97-I98+I99</f>
        <v>1.978</v>
      </c>
      <c r="J100" s="52" t="n">
        <f aca="false">J97-J98+J99</f>
        <v>14.329</v>
      </c>
      <c r="K100" s="20" t="n">
        <f aca="false">K97-K98+K99</f>
        <v>-1.49000000000001</v>
      </c>
      <c r="L100" s="20" t="n">
        <f aca="false">L97-L98+L99</f>
        <v>8.591</v>
      </c>
      <c r="M100" s="20" t="n">
        <f aca="false">M97-M98+M99</f>
        <v>7.10100000000001</v>
      </c>
      <c r="N100" s="20" t="n">
        <f aca="false">N97-N98+N99</f>
        <v>11.861</v>
      </c>
      <c r="O100" s="20" t="n">
        <f aca="false">O97-O98+O99</f>
        <v>13.56</v>
      </c>
      <c r="P100" s="52" t="n">
        <f aca="false">P97-P98+P99</f>
        <v>32.522</v>
      </c>
      <c r="Q100" s="20" t="n">
        <f aca="false">Q97-Q98+Q99</f>
        <v>8.63200000000001</v>
      </c>
      <c r="R100" s="20" t="n">
        <f aca="false">R97-R98+R99</f>
        <v>19.265</v>
      </c>
      <c r="S100" s="20" t="n">
        <f aca="false">S97-S98+S99</f>
        <v>27.897</v>
      </c>
      <c r="T100" s="52" t="n">
        <f aca="false">T97-T98+T99</f>
        <v>22.0950209361158</v>
      </c>
      <c r="U100" s="52" t="n">
        <f aca="false">U97-U98+U99</f>
        <v>28.7812498805509</v>
      </c>
      <c r="V100" s="52" t="n">
        <f aca="false">V97-V98+V99</f>
        <v>78.7732708166667</v>
      </c>
      <c r="W100" s="52" t="n">
        <f aca="false">W97-W98+W99</f>
        <v>141.08393351608</v>
      </c>
      <c r="X100" s="52" t="n">
        <f aca="false">X97-X98+X99</f>
        <v>192.23272114588</v>
      </c>
      <c r="Y100" s="52" t="n">
        <f aca="false">Y97-Y98+Y99</f>
        <v>242.171882297876</v>
      </c>
      <c r="Z100" s="52" t="n">
        <f aca="false">Z97-Z98+Z99</f>
        <v>296.205174753071</v>
      </c>
      <c r="AA100" s="22"/>
      <c r="AB100" s="1"/>
      <c r="AC100" s="23" t="n">
        <f aca="false">IFERROR(IF(AND(Z100&gt;0,P100&gt;0),(Z100/P100)^(1/5)-1,"n/m"),"n/m")</f>
        <v>0.555546790756389</v>
      </c>
      <c r="AD100" s="23" t="str">
        <f aca="false">IFERROR(IF(AND(P100&gt;0,C100&gt;0),(P100/C100)^(1/3)-1,"n/m"),"n/m")</f>
        <v>n/m</v>
      </c>
    </row>
    <row r="101" customFormat="false" ht="15" hidden="false" customHeight="true" outlineLevel="0" collapsed="false">
      <c r="B101" s="29" t="s">
        <v>187</v>
      </c>
      <c r="C101" s="37" t="n">
        <v>-3.173</v>
      </c>
      <c r="D101" s="37" t="n">
        <v>-3.169</v>
      </c>
      <c r="E101" s="37" t="n">
        <v>0.087</v>
      </c>
      <c r="F101" s="37" t="n">
        <v>0.312</v>
      </c>
      <c r="G101" s="38" t="n">
        <f aca="false">E101+F101</f>
        <v>0.399</v>
      </c>
      <c r="H101" s="37" t="n">
        <v>0.933</v>
      </c>
      <c r="I101" s="37" t="n">
        <v>0.295</v>
      </c>
      <c r="J101" s="37" t="n">
        <v>1.628</v>
      </c>
      <c r="K101" s="37" t="n">
        <v>3.308</v>
      </c>
      <c r="L101" s="37" t="n">
        <v>1.784</v>
      </c>
      <c r="M101" s="38" t="n">
        <f aca="false">K101+L101</f>
        <v>5.092</v>
      </c>
      <c r="N101" s="37" t="n">
        <v>4.217</v>
      </c>
      <c r="O101" s="37" t="n">
        <v>5.847</v>
      </c>
      <c r="P101" s="37" t="n">
        <v>15.156</v>
      </c>
      <c r="Q101" s="37" t="n">
        <v>0.838</v>
      </c>
      <c r="R101" s="37" t="n">
        <v>5.233</v>
      </c>
      <c r="S101" s="38" t="n">
        <f aca="false">Q101+R101</f>
        <v>6.071</v>
      </c>
      <c r="T101" s="39" t="n">
        <f aca="false">T100*$AI$16</f>
        <v>5.30280502466779</v>
      </c>
      <c r="U101" s="39" t="n">
        <f aca="false">U100*$AI$16</f>
        <v>6.90749997133221</v>
      </c>
      <c r="V101" s="39" t="n">
        <f aca="false">SUM(Q101,R101,T101,U101)</f>
        <v>18.281304996</v>
      </c>
      <c r="W101" s="39" t="n">
        <f aca="false">W100*W102</f>
        <v>34.5655637114395</v>
      </c>
      <c r="X101" s="39" t="n">
        <f aca="false">X100*X102</f>
        <v>47.0970166807407</v>
      </c>
      <c r="Y101" s="39" t="n">
        <f aca="false">Y100*Y102</f>
        <v>59.3321111629796</v>
      </c>
      <c r="Z101" s="39" t="n">
        <f aca="false">Z100*Z102</f>
        <v>72.5702678145023</v>
      </c>
      <c r="AA101" s="22" t="s">
        <v>188</v>
      </c>
      <c r="AB101" s="1"/>
      <c r="AC101" s="23"/>
      <c r="AD101" s="23"/>
    </row>
    <row r="102" customFormat="false" ht="15" hidden="false" customHeight="true" outlineLevel="0" collapsed="false">
      <c r="B102" s="25" t="s">
        <v>189</v>
      </c>
      <c r="C102" s="31" t="n">
        <f aca="false">IFERROR(C101/C100,"")</f>
        <v>0.183707735062529</v>
      </c>
      <c r="D102" s="31" t="n">
        <f aca="false">IFERROR(D101/D100,"")</f>
        <v>-2.66302521008406</v>
      </c>
      <c r="E102" s="31" t="n">
        <f aca="false">IFERROR(E101/E100,"")</f>
        <v>0.0393843368039837</v>
      </c>
      <c r="F102" s="31" t="n">
        <f aca="false">IFERROR(F101/F100,"")</f>
        <v>0.06346623270952</v>
      </c>
      <c r="G102" s="31" t="n">
        <f aca="false">IFERROR(G101/G100,"")</f>
        <v>0.0559999999999998</v>
      </c>
      <c r="H102" s="31" t="n">
        <f aca="false">IFERROR(H101/H100,"")</f>
        <v>0.178564593301435</v>
      </c>
      <c r="I102" s="31" t="n">
        <f aca="false">IFERROR(I101/I100,"")</f>
        <v>0.149140546006067</v>
      </c>
      <c r="J102" s="31" t="n">
        <f aca="false">IFERROR(J101/J100,"")</f>
        <v>0.113615744294787</v>
      </c>
      <c r="K102" s="31" t="n">
        <f aca="false">IFERROR(K101/K100,"")</f>
        <v>-2.22013422818791</v>
      </c>
      <c r="L102" s="31" t="n">
        <f aca="false">IFERROR(L101/L100,"")</f>
        <v>0.207659178209754</v>
      </c>
      <c r="M102" s="31" t="n">
        <f aca="false">IFERROR(M101/M100,"")</f>
        <v>0.717082101112519</v>
      </c>
      <c r="N102" s="31" t="n">
        <f aca="false">IFERROR(N101/N100,"")</f>
        <v>0.355534946463198</v>
      </c>
      <c r="O102" s="31" t="n">
        <f aca="false">IFERROR(O101/O100,"")</f>
        <v>0.431194690265487</v>
      </c>
      <c r="P102" s="31" t="n">
        <f aca="false">IFERROR(P101/P100,"")</f>
        <v>0.466022999815509</v>
      </c>
      <c r="Q102" s="31" t="n">
        <f aca="false">IFERROR(Q101/Q100,"")</f>
        <v>0.0970806302131602</v>
      </c>
      <c r="R102" s="31" t="n">
        <f aca="false">IFERROR(R101/R100,"")</f>
        <v>0.271632494160395</v>
      </c>
      <c r="S102" s="31" t="n">
        <f aca="false">IFERROR(S101/S100,"")</f>
        <v>0.217621966519697</v>
      </c>
      <c r="T102" s="27" t="n">
        <f aca="false">IFERROR(T101/T100,"")</f>
        <v>0.24</v>
      </c>
      <c r="U102" s="27" t="n">
        <f aca="false">IFERROR(U101/U100,"")</f>
        <v>0.24</v>
      </c>
      <c r="V102" s="27" t="n">
        <f aca="false">IFERROR(V101/V100,"")</f>
        <v>0.232074976784284</v>
      </c>
      <c r="W102" s="46" t="n">
        <v>0.245</v>
      </c>
      <c r="X102" s="46" t="n">
        <v>0.245</v>
      </c>
      <c r="Y102" s="46" t="n">
        <v>0.245</v>
      </c>
      <c r="Z102" s="46" t="n">
        <v>0.245</v>
      </c>
      <c r="AA102" s="22"/>
      <c r="AB102" s="1"/>
      <c r="AC102" s="28" t="n">
        <f aca="false">IFERROR(AVERAGE(V102,W102,X102,Y102,Z102),"n/m")</f>
        <v>0.242414995356857</v>
      </c>
      <c r="AD102" s="28" t="n">
        <f aca="false">IFERROR(AVERAGE(C102,D102,J102,P102),"n/m")</f>
        <v>-0.474919682727809</v>
      </c>
    </row>
    <row r="103" customFormat="false" ht="15" hidden="false" customHeight="true" outlineLevel="0" collapsed="false">
      <c r="B103" s="51" t="s">
        <v>190</v>
      </c>
      <c r="C103" s="52" t="n">
        <f aca="false">C100-C101</f>
        <v>-14.099</v>
      </c>
      <c r="D103" s="52" t="n">
        <f aca="false">D100-D101</f>
        <v>4.35899999999999</v>
      </c>
      <c r="E103" s="20" t="n">
        <f aca="false">E100-E101</f>
        <v>2.122</v>
      </c>
      <c r="F103" s="20" t="n">
        <f aca="false">F100-F101</f>
        <v>4.604</v>
      </c>
      <c r="G103" s="20" t="n">
        <f aca="false">G100-G101</f>
        <v>6.72600000000002</v>
      </c>
      <c r="H103" s="20" t="n">
        <f aca="false">H100-H101</f>
        <v>4.29200000000001</v>
      </c>
      <c r="I103" s="20" t="n">
        <f aca="false">I100-I101</f>
        <v>1.683</v>
      </c>
      <c r="J103" s="52" t="n">
        <f aca="false">J100-J101</f>
        <v>12.701</v>
      </c>
      <c r="K103" s="20" t="n">
        <f aca="false">K100-K101</f>
        <v>-4.79800000000001</v>
      </c>
      <c r="L103" s="20" t="n">
        <f aca="false">L100-L101</f>
        <v>6.807</v>
      </c>
      <c r="M103" s="20" t="n">
        <f aca="false">M100-M101</f>
        <v>2.00900000000001</v>
      </c>
      <c r="N103" s="20" t="n">
        <f aca="false">N100-N101</f>
        <v>7.64400000000001</v>
      </c>
      <c r="O103" s="20" t="n">
        <f aca="false">O100-O101</f>
        <v>7.71299999999999</v>
      </c>
      <c r="P103" s="52" t="n">
        <f aca="false">P100-P101</f>
        <v>17.366</v>
      </c>
      <c r="Q103" s="20" t="n">
        <f aca="false">Q100-Q101</f>
        <v>7.79400000000001</v>
      </c>
      <c r="R103" s="20" t="n">
        <f aca="false">R100-R101</f>
        <v>14.032</v>
      </c>
      <c r="S103" s="20" t="n">
        <f aca="false">S100-S101</f>
        <v>21.8260000000001</v>
      </c>
      <c r="T103" s="52" t="n">
        <f aca="false">T100-T101</f>
        <v>16.792215911448</v>
      </c>
      <c r="U103" s="52" t="n">
        <f aca="false">U100-U101</f>
        <v>21.8737499092187</v>
      </c>
      <c r="V103" s="52" t="n">
        <f aca="false">V100-V101</f>
        <v>60.4919658206667</v>
      </c>
      <c r="W103" s="52" t="n">
        <f aca="false">W100-W101</f>
        <v>106.51836980464</v>
      </c>
      <c r="X103" s="52" t="n">
        <f aca="false">X100-X101</f>
        <v>145.13570446514</v>
      </c>
      <c r="Y103" s="52" t="n">
        <f aca="false">Y100-Y101</f>
        <v>182.839771134896</v>
      </c>
      <c r="Z103" s="52" t="n">
        <f aca="false">Z100-Z101</f>
        <v>223.634906938568</v>
      </c>
      <c r="AA103" s="22"/>
      <c r="AB103" s="1"/>
      <c r="AC103" s="23" t="n">
        <f aca="false">IFERROR(IF(AND(Z103&gt;0,P103&gt;0),(Z103/P103)^(1/5)-1,"n/m"),"n/m")</f>
        <v>0.66712421344292</v>
      </c>
      <c r="AD103" s="23" t="str">
        <f aca="false">IFERROR(IF(AND(P103&gt;0,C103&gt;0),(P103/C103)^(1/3)-1,"n/m"),"n/m")</f>
        <v>n/m</v>
      </c>
    </row>
    <row r="104" customFormat="false" ht="15" hidden="false" customHeight="true" outlineLevel="0" collapsed="false">
      <c r="B104" s="59" t="s">
        <v>191</v>
      </c>
      <c r="C104" s="38" t="n">
        <f aca="false">IF(ISNUMBER(C105),ROUND(C103-C105,1),"")</f>
        <v>0</v>
      </c>
      <c r="D104" s="38" t="n">
        <f aca="false">IF(ISNUMBER(D105),ROUND(D103-D105,1),"")</f>
        <v>0</v>
      </c>
      <c r="E104" s="38" t="n">
        <f aca="false">IF(ISNUMBER(E105),ROUND(E103-E105,1),"")</f>
        <v>0</v>
      </c>
      <c r="F104" s="38" t="n">
        <f aca="false">IF(ISNUMBER(F105),ROUND(F103-F105,1),"")</f>
        <v>0</v>
      </c>
      <c r="G104" s="38" t="n">
        <f aca="false">IF(ISNUMBER(G105),ROUND(G103-G105,1),"")</f>
        <v>0</v>
      </c>
      <c r="H104" s="38" t="n">
        <f aca="false">IF(ISNUMBER(H105),ROUND(H103-H105,1),"")</f>
        <v>0</v>
      </c>
      <c r="I104" s="38" t="n">
        <f aca="false">IF(ISNUMBER(I105),ROUND(I103-I105,1),"")</f>
        <v>0</v>
      </c>
      <c r="J104" s="38" t="n">
        <f aca="false">IF(ISNUMBER(J105),ROUND(J103-J105,1),"")</f>
        <v>0</v>
      </c>
      <c r="K104" s="38" t="n">
        <f aca="false">IF(ISNUMBER(K105),ROUND(K103-K105,1),"")</f>
        <v>0</v>
      </c>
      <c r="L104" s="38" t="n">
        <f aca="false">IF(ISNUMBER(L105),ROUND(L103-L105,1),"")</f>
        <v>0</v>
      </c>
      <c r="M104" s="38" t="n">
        <f aca="false">IF(ISNUMBER(M105),ROUND(M103-M105,1),"")</f>
        <v>0</v>
      </c>
      <c r="N104" s="38" t="n">
        <f aca="false">IF(ISNUMBER(N105),ROUND(N103-N105,1),"")</f>
        <v>0</v>
      </c>
      <c r="O104" s="38" t="n">
        <f aca="false">IF(ISNUMBER(O105),ROUND(O103-O105,1),"")</f>
        <v>0</v>
      </c>
      <c r="P104" s="38" t="n">
        <f aca="false">IF(ISNUMBER(P105),ROUND(P103-P105,1),"")</f>
        <v>0</v>
      </c>
      <c r="Q104" s="38" t="n">
        <f aca="false">IF(ISNUMBER(Q105),ROUND(Q103-Q105,1),"")</f>
        <v>0</v>
      </c>
      <c r="R104" s="38" t="n">
        <f aca="false">IF(ISNUMBER(R105),ROUND(R103-R105,1),"")</f>
        <v>0</v>
      </c>
      <c r="S104" s="38" t="n">
        <f aca="false">IF(ISNUMBER(S105),ROUND(S103-S105,1),"")</f>
        <v>0</v>
      </c>
      <c r="T104" s="39"/>
      <c r="U104" s="39"/>
      <c r="V104" s="39"/>
      <c r="W104" s="39"/>
      <c r="X104" s="39"/>
      <c r="Y104" s="39"/>
      <c r="Z104" s="39"/>
      <c r="AA104" s="22"/>
      <c r="AB104" s="1"/>
      <c r="AC104" s="7"/>
      <c r="AD104" s="7"/>
    </row>
    <row r="105" customFormat="false" ht="15" hidden="false" customHeight="true" outlineLevel="0" collapsed="false">
      <c r="B105" s="36" t="s">
        <v>192</v>
      </c>
      <c r="C105" s="37" t="n">
        <v>-14.099</v>
      </c>
      <c r="D105" s="37" t="n">
        <v>4.359</v>
      </c>
      <c r="E105" s="37" t="n">
        <v>2.122</v>
      </c>
      <c r="F105" s="37" t="n">
        <v>4.604</v>
      </c>
      <c r="G105" s="38" t="n">
        <f aca="false">E105+F105</f>
        <v>6.726</v>
      </c>
      <c r="H105" s="37" t="n">
        <v>4.292</v>
      </c>
      <c r="I105" s="37" t="n">
        <v>1.683</v>
      </c>
      <c r="J105" s="37" t="n">
        <v>12.701</v>
      </c>
      <c r="K105" s="37" t="n">
        <v>-4.798</v>
      </c>
      <c r="L105" s="37" t="n">
        <v>6.807</v>
      </c>
      <c r="M105" s="38" t="n">
        <f aca="false">K105+L105</f>
        <v>2.009</v>
      </c>
      <c r="N105" s="37" t="n">
        <v>7.644</v>
      </c>
      <c r="O105" s="37" t="n">
        <v>7.713</v>
      </c>
      <c r="P105" s="37" t="n">
        <v>17.366</v>
      </c>
      <c r="Q105" s="37" t="n">
        <v>7.794</v>
      </c>
      <c r="R105" s="37" t="n">
        <v>14.032</v>
      </c>
      <c r="S105" s="38" t="n">
        <f aca="false">Q105+R105</f>
        <v>21.826</v>
      </c>
      <c r="T105" s="39"/>
      <c r="U105" s="39"/>
      <c r="V105" s="39"/>
      <c r="W105" s="39"/>
      <c r="X105" s="39"/>
      <c r="Y105" s="39"/>
      <c r="Z105" s="39"/>
      <c r="AA105" s="22"/>
      <c r="AB105" s="1"/>
      <c r="AC105" s="7"/>
      <c r="AD105" s="7"/>
    </row>
    <row r="106" customFormat="false" ht="15" hidden="false" customHeight="true" outlineLevel="0" collapsed="false">
      <c r="B106" s="29" t="s">
        <v>193</v>
      </c>
      <c r="C106" s="37" t="n">
        <v>34.982</v>
      </c>
      <c r="D106" s="37" t="n">
        <v>27.179</v>
      </c>
      <c r="E106" s="37" t="n">
        <v>7.35</v>
      </c>
      <c r="F106" s="37" t="n">
        <v>8.306</v>
      </c>
      <c r="G106" s="38" t="n">
        <f aca="false">E106+F106</f>
        <v>15.656</v>
      </c>
      <c r="H106" s="37" t="n">
        <v>8.136</v>
      </c>
      <c r="I106" s="37" t="n">
        <v>9.168</v>
      </c>
      <c r="J106" s="37" t="n">
        <v>32.959</v>
      </c>
      <c r="K106" s="37" t="n">
        <v>8.869</v>
      </c>
      <c r="L106" s="37" t="n">
        <v>10.307</v>
      </c>
      <c r="M106" s="38" t="n">
        <f aca="false">K106+L106</f>
        <v>19.176</v>
      </c>
      <c r="N106" s="37" t="n">
        <v>10.97</v>
      </c>
      <c r="O106" s="37" t="n">
        <v>12.591</v>
      </c>
      <c r="P106" s="37" t="n">
        <v>42.737</v>
      </c>
      <c r="Q106" s="37" t="n">
        <v>16.632</v>
      </c>
      <c r="R106" s="37" t="n">
        <v>15.176</v>
      </c>
      <c r="S106" s="38" t="n">
        <f aca="false">Q106+R106</f>
        <v>31.808</v>
      </c>
      <c r="T106" s="39" t="n">
        <f aca="false">T67</f>
        <v>15.635355</v>
      </c>
      <c r="U106" s="39" t="n">
        <f aca="false">U67</f>
        <v>16.3980842</v>
      </c>
      <c r="V106" s="39" t="n">
        <f aca="false">SUM(Q106,R106,T106,U106)</f>
        <v>63.8414392</v>
      </c>
      <c r="W106" s="39" t="n">
        <f aca="false">W67</f>
        <v>71.2591585152347</v>
      </c>
      <c r="X106" s="39" t="n">
        <f aca="false">X67</f>
        <v>80.5045464651984</v>
      </c>
      <c r="Y106" s="39" t="n">
        <f aca="false">Y67</f>
        <v>95.6657134749513</v>
      </c>
      <c r="Z106" s="39" t="n">
        <f aca="false">Z67</f>
        <v>113.651746750322</v>
      </c>
      <c r="AA106" s="22"/>
      <c r="AB106" s="1"/>
      <c r="AC106" s="23"/>
      <c r="AD106" s="23"/>
    </row>
    <row r="107" customFormat="false" ht="15" hidden="false" customHeight="true" outlineLevel="0" collapsed="false">
      <c r="B107" s="29" t="s">
        <v>194</v>
      </c>
      <c r="C107" s="37" t="n">
        <v>4.5</v>
      </c>
      <c r="D107" s="37" t="n">
        <v>6.7</v>
      </c>
      <c r="E107" s="37" t="n">
        <v>1.9</v>
      </c>
      <c r="F107" s="37" t="n">
        <v>2</v>
      </c>
      <c r="G107" s="38" t="n">
        <f aca="false">E107+F107</f>
        <v>3.9</v>
      </c>
      <c r="H107" s="37" t="n">
        <v>2.9</v>
      </c>
      <c r="I107" s="37" t="n">
        <v>2</v>
      </c>
      <c r="J107" s="37" t="n">
        <v>8.8</v>
      </c>
      <c r="K107" s="37" t="n">
        <v>2.7</v>
      </c>
      <c r="L107" s="37" t="n">
        <v>2.8</v>
      </c>
      <c r="M107" s="38" t="n">
        <f aca="false">K107+L107</f>
        <v>5.5</v>
      </c>
      <c r="N107" s="37" t="n">
        <v>2.8</v>
      </c>
      <c r="O107" s="37" t="n">
        <v>3</v>
      </c>
      <c r="P107" s="37" t="n">
        <v>11.3</v>
      </c>
      <c r="Q107" s="37" t="n">
        <v>2.9</v>
      </c>
      <c r="R107" s="37" t="n">
        <v>3.1</v>
      </c>
      <c r="S107" s="38" t="n">
        <f aca="false">Q107+R107</f>
        <v>6</v>
      </c>
      <c r="T107" s="39" t="n">
        <f aca="false">T92*T84</f>
        <v>3.51232319487109</v>
      </c>
      <c r="U107" s="39" t="n">
        <f aca="false">U92*U84</f>
        <v>3.98111911818758</v>
      </c>
      <c r="V107" s="39" t="n">
        <f aca="false">SUM(Q107,R107,T107,U107)</f>
        <v>13.4934423130587</v>
      </c>
      <c r="W107" s="39" t="n">
        <f aca="false">W92*W84</f>
        <v>15.3314056768231</v>
      </c>
      <c r="X107" s="39" t="n">
        <f aca="false">X92*X84</f>
        <v>19.0007809016606</v>
      </c>
      <c r="Y107" s="39" t="n">
        <f aca="false">Y92*Y84</f>
        <v>22.9415316147859</v>
      </c>
      <c r="Z107" s="39" t="n">
        <f aca="false">Z92*Z84</f>
        <v>27.0780851037553</v>
      </c>
      <c r="AA107" s="22"/>
      <c r="AB107" s="1"/>
      <c r="AC107" s="23"/>
      <c r="AD107" s="23"/>
    </row>
    <row r="108" customFormat="false" ht="15" hidden="false" customHeight="true" outlineLevel="0" collapsed="false">
      <c r="B108" s="29" t="s">
        <v>195</v>
      </c>
      <c r="C108" s="37"/>
      <c r="D108" s="37"/>
      <c r="E108" s="37"/>
      <c r="F108" s="37"/>
      <c r="G108" s="38"/>
      <c r="H108" s="37"/>
      <c r="I108" s="37"/>
      <c r="J108" s="37"/>
      <c r="K108" s="37"/>
      <c r="L108" s="37"/>
      <c r="M108" s="38"/>
      <c r="N108" s="37"/>
      <c r="O108" s="37"/>
      <c r="P108" s="37"/>
      <c r="Q108" s="37"/>
      <c r="R108" s="37"/>
      <c r="S108" s="38"/>
      <c r="T108" s="39"/>
      <c r="U108" s="39"/>
      <c r="V108" s="39"/>
      <c r="W108" s="39"/>
      <c r="X108" s="39"/>
      <c r="Y108" s="39"/>
      <c r="Z108" s="39"/>
      <c r="AA108" s="22"/>
      <c r="AB108" s="1"/>
      <c r="AC108" s="23"/>
      <c r="AD108" s="23"/>
    </row>
    <row r="109" customFormat="false" ht="15" hidden="false" customHeight="true" outlineLevel="0" collapsed="false">
      <c r="B109" s="29" t="s">
        <v>196</v>
      </c>
      <c r="C109" s="37" t="n">
        <v>159.11</v>
      </c>
      <c r="D109" s="37" t="n">
        <v>166.776</v>
      </c>
      <c r="E109" s="37" t="n">
        <v>166.776</v>
      </c>
      <c r="F109" s="37" t="n">
        <v>166.737</v>
      </c>
      <c r="G109" s="38" t="n">
        <f aca="false">AVERAGE(E109,F109)</f>
        <v>166.7565</v>
      </c>
      <c r="H109" s="37" t="n">
        <v>166.737</v>
      </c>
      <c r="I109" s="37" t="n">
        <v>166.737</v>
      </c>
      <c r="J109" s="37" t="n">
        <v>166.737</v>
      </c>
      <c r="K109" s="37" t="n">
        <v>132.175</v>
      </c>
      <c r="L109" s="37" t="n">
        <v>132.322</v>
      </c>
      <c r="M109" s="38" t="n">
        <f aca="false">AVERAGE(K109,L109)</f>
        <v>132.2485</v>
      </c>
      <c r="N109" s="37" t="n">
        <v>132.322</v>
      </c>
      <c r="O109" s="37" t="n">
        <v>132.322</v>
      </c>
      <c r="P109" s="37" t="n">
        <v>132.322</v>
      </c>
      <c r="Q109" s="37" t="n">
        <v>132.526</v>
      </c>
      <c r="R109" s="37" t="n">
        <v>132.527</v>
      </c>
      <c r="S109" s="38" t="n">
        <f aca="false">AVERAGE(Q109,R109)</f>
        <v>132.5265</v>
      </c>
      <c r="T109" s="39" t="n">
        <f aca="false">$R109+0.03</f>
        <v>132.557</v>
      </c>
      <c r="U109" s="39" t="n">
        <f aca="false">T109+0.03</f>
        <v>132.587</v>
      </c>
      <c r="V109" s="39" t="n">
        <f aca="false">AVERAGE(Q109,R109,T109,U109)</f>
        <v>132.54925</v>
      </c>
      <c r="W109" s="39" t="n">
        <f aca="false">AVERAGE(V237,W237)</f>
        <v>132.772435</v>
      </c>
      <c r="X109" s="39" t="n">
        <f aca="false">AVERAGE(W237,X237)</f>
        <v>133.172435</v>
      </c>
      <c r="Y109" s="39" t="n">
        <f aca="false">AVERAGE(X237,Y237)</f>
        <v>133.572435</v>
      </c>
      <c r="Z109" s="39" t="n">
        <f aca="false">AVERAGE(Y237,Z237)</f>
        <v>133.972435</v>
      </c>
      <c r="AA109" s="22" t="s">
        <v>197</v>
      </c>
      <c r="AB109" s="1"/>
      <c r="AC109" s="7"/>
      <c r="AD109" s="7"/>
    </row>
    <row r="110" customFormat="false" ht="15" hidden="false" customHeight="true" outlineLevel="0" collapsed="false">
      <c r="B110" s="29" t="s">
        <v>198</v>
      </c>
      <c r="C110" s="37" t="n">
        <v>159.11</v>
      </c>
      <c r="D110" s="37" t="n">
        <v>166.776</v>
      </c>
      <c r="E110" s="37" t="n">
        <v>166.776</v>
      </c>
      <c r="F110" s="37" t="n">
        <v>166.737</v>
      </c>
      <c r="G110" s="38" t="n">
        <f aca="false">AVERAGE(E110,F110)</f>
        <v>166.7565</v>
      </c>
      <c r="H110" s="37" t="n">
        <v>166.737</v>
      </c>
      <c r="I110" s="37" t="n">
        <v>166.737</v>
      </c>
      <c r="J110" s="37" t="n">
        <v>166.737</v>
      </c>
      <c r="K110" s="37" t="n">
        <v>132.175</v>
      </c>
      <c r="L110" s="37" t="n">
        <v>132.322</v>
      </c>
      <c r="M110" s="38" t="n">
        <f aca="false">AVERAGE(K110,L110)</f>
        <v>132.2485</v>
      </c>
      <c r="N110" s="37" t="n">
        <v>132.322</v>
      </c>
      <c r="O110" s="37" t="n">
        <v>132.322</v>
      </c>
      <c r="P110" s="37" t="n">
        <v>132.322</v>
      </c>
      <c r="Q110" s="37" t="n">
        <v>132.526</v>
      </c>
      <c r="R110" s="37" t="n">
        <v>132.531</v>
      </c>
      <c r="S110" s="38" t="n">
        <f aca="false">AVERAGE(Q110,R110)</f>
        <v>132.5285</v>
      </c>
      <c r="T110" s="39" t="n">
        <f aca="false">T109+($R110-$R109)</f>
        <v>132.561</v>
      </c>
      <c r="U110" s="39" t="n">
        <f aca="false">U109+($R110-$R109)</f>
        <v>132.591</v>
      </c>
      <c r="V110" s="39" t="n">
        <f aca="false">AVERAGE(Q110,R110,T110,U110)</f>
        <v>132.55225</v>
      </c>
      <c r="W110" s="39" t="n">
        <f aca="false">W109+W299</f>
        <v>133.172435</v>
      </c>
      <c r="X110" s="39" t="n">
        <f aca="false">X109+X299</f>
        <v>133.572435</v>
      </c>
      <c r="Y110" s="39" t="n">
        <f aca="false">Y109+Y299</f>
        <v>133.972435</v>
      </c>
      <c r="Z110" s="39" t="n">
        <f aca="false">Z109+Z299</f>
        <v>134.372435</v>
      </c>
      <c r="AA110" s="22"/>
      <c r="AB110" s="1"/>
      <c r="AC110" s="7"/>
      <c r="AD110" s="7"/>
    </row>
    <row r="111" customFormat="false" ht="15" hidden="false" customHeight="true" outlineLevel="0" collapsed="false">
      <c r="B111" s="51" t="s">
        <v>199</v>
      </c>
      <c r="C111" s="61" t="n">
        <f aca="false">IFERROR(C103/C109,"")</f>
        <v>-0.0886116523160078</v>
      </c>
      <c r="D111" s="61" t="n">
        <f aca="false">IFERROR(D103/D109,"")</f>
        <v>0.0261368542236292</v>
      </c>
      <c r="E111" s="62" t="n">
        <f aca="false">IFERROR(E103/E109,"")</f>
        <v>0.0127236532834461</v>
      </c>
      <c r="F111" s="62" t="n">
        <f aca="false">IFERROR(F103/F109,"")</f>
        <v>0.0276123475893173</v>
      </c>
      <c r="G111" s="62" t="n">
        <f aca="false">IFERROR(G103/G109,"")</f>
        <v>0.0403342598339496</v>
      </c>
      <c r="H111" s="62" t="n">
        <f aca="false">IFERROR(H103/H109,"")</f>
        <v>0.0257411372400847</v>
      </c>
      <c r="I111" s="62" t="n">
        <f aca="false">IFERROR(I103/I109,"")</f>
        <v>0.0100937404415336</v>
      </c>
      <c r="J111" s="61" t="n">
        <f aca="false">IFERROR(J103/J109,"")</f>
        <v>0.0761738546333448</v>
      </c>
      <c r="K111" s="62" t="n">
        <f aca="false">IFERROR(K103/K109,"")</f>
        <v>-0.0363003593720447</v>
      </c>
      <c r="L111" s="62" t="n">
        <f aca="false">IFERROR(L103/L109,"")</f>
        <v>0.0514426928250782</v>
      </c>
      <c r="M111" s="62" t="n">
        <f aca="false">IFERROR(M103/M109,"")</f>
        <v>0.0151910985757873</v>
      </c>
      <c r="N111" s="62" t="n">
        <f aca="false">IFERROR(N103/N109,"")</f>
        <v>0.0577681715814454</v>
      </c>
      <c r="O111" s="62" t="n">
        <f aca="false">IFERROR(O103/O109,"")</f>
        <v>0.0582896268194253</v>
      </c>
      <c r="P111" s="61" t="n">
        <f aca="false">IFERROR(P103/P109,"")</f>
        <v>0.131240458880609</v>
      </c>
      <c r="Q111" s="62" t="n">
        <f aca="false">IFERROR(Q103/Q109,"")</f>
        <v>0.0588111012178743</v>
      </c>
      <c r="R111" s="62" t="n">
        <f aca="false">IFERROR(R103/R109,"")</f>
        <v>0.105880311181872</v>
      </c>
      <c r="S111" s="62" t="n">
        <f aca="false">IFERROR(S103/S109,"")</f>
        <v>0.16469158998389</v>
      </c>
      <c r="T111" s="61" t="n">
        <f aca="false">IFERROR(T103/T109,"")</f>
        <v>0.12667920903044</v>
      </c>
      <c r="U111" s="61" t="n">
        <f aca="false">IFERROR(U103/U109,"")</f>
        <v>0.164976580729775</v>
      </c>
      <c r="V111" s="61" t="n">
        <f aca="false">IFERROR(V103/V109,"")</f>
        <v>0.456373505098419</v>
      </c>
      <c r="W111" s="61" t="n">
        <f aca="false">IFERROR(W103/W109,"")</f>
        <v>0.802262682044206</v>
      </c>
      <c r="X111" s="61" t="n">
        <f aca="false">IFERROR(X103/X109,"")</f>
        <v>1.08983292574878</v>
      </c>
      <c r="Y111" s="61" t="n">
        <f aca="false">IFERROR(Y103/Y109,"")</f>
        <v>1.36884358763765</v>
      </c>
      <c r="Z111" s="61" t="n">
        <f aca="false">IFERROR(Z103/Z109,"")</f>
        <v>1.66926059781304</v>
      </c>
      <c r="AA111" s="22"/>
      <c r="AB111" s="1"/>
      <c r="AC111" s="23" t="n">
        <f aca="false">IFERROR(IF(AND(Z111&gt;0,P111&gt;0),(Z111/P111)^(1/5)-1,"n/m"),"n/m")</f>
        <v>0.662996290158653</v>
      </c>
      <c r="AD111" s="23" t="str">
        <f aca="false">IFERROR(IF(AND(P111&gt;0,C111&gt;0),(P111/C111)^(1/3)-1,"n/m"),"n/m")</f>
        <v>n/m</v>
      </c>
    </row>
    <row r="112" customFormat="false" ht="15" hidden="false" customHeight="true" outlineLevel="0" collapsed="false">
      <c r="B112" s="51" t="s">
        <v>200</v>
      </c>
      <c r="C112" s="61" t="n">
        <f aca="false">IFERROR(C103/C110,"")</f>
        <v>-0.0886116523160078</v>
      </c>
      <c r="D112" s="61" t="n">
        <f aca="false">IFERROR(D103/D110,"")</f>
        <v>0.0261368542236292</v>
      </c>
      <c r="E112" s="62" t="n">
        <f aca="false">IFERROR(E103/E110,"")</f>
        <v>0.0127236532834461</v>
      </c>
      <c r="F112" s="62" t="n">
        <f aca="false">IFERROR(F103/F110,"")</f>
        <v>0.0276123475893173</v>
      </c>
      <c r="G112" s="62" t="n">
        <f aca="false">IFERROR(G103/G110,"")</f>
        <v>0.0403342598339496</v>
      </c>
      <c r="H112" s="62" t="n">
        <f aca="false">IFERROR(H103/H110,"")</f>
        <v>0.0257411372400847</v>
      </c>
      <c r="I112" s="62" t="n">
        <f aca="false">IFERROR(I103/I110,"")</f>
        <v>0.0100937404415336</v>
      </c>
      <c r="J112" s="61" t="n">
        <f aca="false">IFERROR(J103/J110,"")</f>
        <v>0.0761738546333448</v>
      </c>
      <c r="K112" s="62" t="n">
        <f aca="false">IFERROR(K103/K110,"")</f>
        <v>-0.0363003593720447</v>
      </c>
      <c r="L112" s="62" t="n">
        <f aca="false">IFERROR(L103/L110,"")</f>
        <v>0.0514426928250782</v>
      </c>
      <c r="M112" s="62" t="n">
        <f aca="false">IFERROR(M103/M110,"")</f>
        <v>0.0151910985757873</v>
      </c>
      <c r="N112" s="62" t="n">
        <f aca="false">IFERROR(N103/N110,"")</f>
        <v>0.0577681715814454</v>
      </c>
      <c r="O112" s="62" t="n">
        <f aca="false">IFERROR(O103/O110,"")</f>
        <v>0.0582896268194253</v>
      </c>
      <c r="P112" s="61" t="n">
        <f aca="false">IFERROR(P103/P110,"")</f>
        <v>0.131240458880609</v>
      </c>
      <c r="Q112" s="62" t="n">
        <f aca="false">IFERROR(Q103/Q110,"")</f>
        <v>0.0588111012178743</v>
      </c>
      <c r="R112" s="62" t="n">
        <f aca="false">IFERROR(R103/R110,"")</f>
        <v>0.105877115542779</v>
      </c>
      <c r="S112" s="62" t="n">
        <f aca="false">IFERROR(S103/S110,"")</f>
        <v>0.164689104607689</v>
      </c>
      <c r="T112" s="61" t="n">
        <f aca="false">IFERROR(T103/T110,"")</f>
        <v>0.126675386512232</v>
      </c>
      <c r="U112" s="61" t="n">
        <f aca="false">IFERROR(U103/U110,"")</f>
        <v>0.164971603722867</v>
      </c>
      <c r="V112" s="61" t="n">
        <f aca="false">IFERROR(V103/V110,"")</f>
        <v>0.456363176186498</v>
      </c>
      <c r="W112" s="61" t="n">
        <f aca="false">IFERROR(W103/W110,"")</f>
        <v>0.799852986127647</v>
      </c>
      <c r="X112" s="61" t="n">
        <f aca="false">IFERROR(X103/X110,"")</f>
        <v>1.08656927954589</v>
      </c>
      <c r="Y112" s="61" t="n">
        <f aca="false">IFERROR(Y103/Y110,"")</f>
        <v>1.36475664665568</v>
      </c>
      <c r="Z112" s="61" t="n">
        <f aca="false">IFERROR(Z103/Z110,"")</f>
        <v>1.6642915411823</v>
      </c>
      <c r="AA112" s="22" t="s">
        <v>201</v>
      </c>
      <c r="AB112" s="1"/>
      <c r="AC112" s="23" t="n">
        <f aca="false">IFERROR(IF(AND(Z112&gt;0,P112&gt;0),(Z112/P112)^(1/5)-1,"n/m"),"n/m")</f>
        <v>0.662005027331338</v>
      </c>
      <c r="AD112" s="23" t="str">
        <f aca="false">IFERROR(IF(AND(P112&gt;0,C112&gt;0),(P112/C112)^(1/3)-1,"n/m"),"n/m")</f>
        <v>n/m</v>
      </c>
    </row>
    <row r="113" customFormat="false" ht="15" hidden="false" customHeight="true" outlineLevel="0" collapsed="false">
      <c r="B113" s="36" t="s">
        <v>202</v>
      </c>
      <c r="C113" s="63" t="n">
        <v>-0.09</v>
      </c>
      <c r="D113" s="63" t="n">
        <v>0.03</v>
      </c>
      <c r="E113" s="63" t="n">
        <v>0.01</v>
      </c>
      <c r="F113" s="63" t="n">
        <v>0.03</v>
      </c>
      <c r="G113" s="64"/>
      <c r="H113" s="63" t="n">
        <v>0.03</v>
      </c>
      <c r="I113" s="63" t="n">
        <v>0.01</v>
      </c>
      <c r="J113" s="63" t="n">
        <v>0.08</v>
      </c>
      <c r="K113" s="63" t="n">
        <v>-0.04</v>
      </c>
      <c r="L113" s="63" t="n">
        <v>0.05</v>
      </c>
      <c r="M113" s="64"/>
      <c r="N113" s="63" t="n">
        <v>0.06</v>
      </c>
      <c r="O113" s="63" t="n">
        <v>0.06</v>
      </c>
      <c r="P113" s="63" t="n">
        <v>0.13</v>
      </c>
      <c r="Q113" s="63" t="n">
        <v>0.06</v>
      </c>
      <c r="R113" s="63" t="n">
        <v>0.11</v>
      </c>
      <c r="S113" s="63"/>
      <c r="T113" s="65"/>
      <c r="U113" s="65"/>
      <c r="V113" s="65"/>
      <c r="W113" s="65"/>
      <c r="X113" s="65"/>
      <c r="Y113" s="65"/>
      <c r="Z113" s="65"/>
      <c r="AA113" s="22"/>
      <c r="AB113" s="1"/>
      <c r="AC113" s="7"/>
      <c r="AD113" s="7"/>
    </row>
    <row r="115" customFormat="false" ht="15" hidden="false" customHeight="true" outlineLevel="0" collapsed="false">
      <c r="B115" s="12" t="s">
        <v>203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 t="s">
        <v>204</v>
      </c>
      <c r="AB115" s="1"/>
      <c r="AC115" s="1"/>
      <c r="AD115" s="1"/>
    </row>
    <row r="116" customFormat="false" ht="15" hidden="false" customHeight="true" outlineLevel="0" collapsed="false">
      <c r="B116" s="18" t="s">
        <v>205</v>
      </c>
      <c r="C116" s="20" t="n">
        <f aca="false">C97</f>
        <v>20.435</v>
      </c>
      <c r="D116" s="20" t="n">
        <f aca="false">D97</f>
        <v>48.494</v>
      </c>
      <c r="E116" s="20" t="n">
        <f aca="false">E97</f>
        <v>13.499</v>
      </c>
      <c r="F116" s="20" t="n">
        <f aca="false">F97</f>
        <v>18.281</v>
      </c>
      <c r="G116" s="20" t="n">
        <f aca="false">G97</f>
        <v>31.78</v>
      </c>
      <c r="H116" s="20" t="n">
        <f aca="false">H97</f>
        <v>17.407</v>
      </c>
      <c r="I116" s="20" t="n">
        <f aca="false">I97</f>
        <v>14.372</v>
      </c>
      <c r="J116" s="20" t="n">
        <f aca="false">J97</f>
        <v>63.56</v>
      </c>
      <c r="K116" s="20" t="n">
        <f aca="false">K97</f>
        <v>9.96299999999999</v>
      </c>
      <c r="L116" s="20" t="n">
        <f aca="false">L97</f>
        <v>20.104</v>
      </c>
      <c r="M116" s="20" t="n">
        <f aca="false">M97</f>
        <v>30.067</v>
      </c>
      <c r="N116" s="20" t="n">
        <f aca="false">N97</f>
        <v>21.812</v>
      </c>
      <c r="O116" s="20" t="n">
        <f aca="false">O97</f>
        <v>21.063</v>
      </c>
      <c r="P116" s="20" t="n">
        <f aca="false">P97</f>
        <v>72.942</v>
      </c>
      <c r="Q116" s="20" t="n">
        <f aca="false">Q97</f>
        <v>21.452</v>
      </c>
      <c r="R116" s="20" t="n">
        <f aca="false">R97</f>
        <v>34.829</v>
      </c>
      <c r="S116" s="20" t="n">
        <f aca="false">S97</f>
        <v>56.2810000000001</v>
      </c>
      <c r="T116" s="21" t="n">
        <f aca="false">T97</f>
        <v>36.9074214194491</v>
      </c>
      <c r="U116" s="21" t="n">
        <f aca="false">U97</f>
        <v>44.1831393805509</v>
      </c>
      <c r="V116" s="21" t="n">
        <f aca="false">V97</f>
        <v>137.3715608</v>
      </c>
      <c r="W116" s="21" t="n">
        <f aca="false">W97</f>
        <v>198.239874207666</v>
      </c>
      <c r="X116" s="21" t="n">
        <f aca="false">X97</f>
        <v>255.593941628948</v>
      </c>
      <c r="Y116" s="21" t="n">
        <f aca="false">Y97</f>
        <v>312.199549316371</v>
      </c>
      <c r="Z116" s="21" t="n">
        <f aca="false">Z97</f>
        <v>371.815556232729</v>
      </c>
      <c r="AA116" s="22"/>
      <c r="AB116" s="1"/>
      <c r="AC116" s="23" t="n">
        <f aca="false">IFERROR(IF(AND(Z116&gt;0,P116&gt;0),(Z116/P116)^(1/5)-1,"n/m"),"n/m")</f>
        <v>0.385064434950401</v>
      </c>
      <c r="AD116" s="23" t="n">
        <f aca="false">IFERROR(IF(AND(P116&gt;0,C116&gt;0),(P116/C116)^(1/3)-1,"n/m"),"n/m")</f>
        <v>0.528273238748924</v>
      </c>
    </row>
    <row r="117" customFormat="false" ht="15" hidden="false" customHeight="true" outlineLevel="0" collapsed="false">
      <c r="B117" s="29" t="s">
        <v>206</v>
      </c>
      <c r="C117" s="38" t="n">
        <f aca="false">C66</f>
        <v>24.856</v>
      </c>
      <c r="D117" s="38" t="n">
        <f aca="false">D66</f>
        <v>14.406</v>
      </c>
      <c r="E117" s="38" t="n">
        <f aca="false">E66</f>
        <v>3.9</v>
      </c>
      <c r="F117" s="38" t="n">
        <f aca="false">F66</f>
        <v>4.4</v>
      </c>
      <c r="G117" s="38" t="n">
        <f aca="false">G66</f>
        <v>8.3</v>
      </c>
      <c r="H117" s="38" t="n">
        <f aca="false">H66</f>
        <v>4.3</v>
      </c>
      <c r="I117" s="38" t="n">
        <f aca="false">I66</f>
        <v>4.3</v>
      </c>
      <c r="J117" s="38" t="n">
        <f aca="false">J66</f>
        <v>16.9</v>
      </c>
      <c r="K117" s="38" t="n">
        <f aca="false">K66</f>
        <v>4.4</v>
      </c>
      <c r="L117" s="38" t="n">
        <f aca="false">L66</f>
        <v>5.5</v>
      </c>
      <c r="M117" s="38" t="n">
        <f aca="false">M66</f>
        <v>9.9</v>
      </c>
      <c r="N117" s="38" t="n">
        <f aca="false">N66</f>
        <v>6</v>
      </c>
      <c r="O117" s="38" t="n">
        <f aca="false">O66</f>
        <v>7.3</v>
      </c>
      <c r="P117" s="38" t="n">
        <f aca="false">P66</f>
        <v>23.2</v>
      </c>
      <c r="Q117" s="38" t="n">
        <f aca="false">Q66</f>
        <v>10.9</v>
      </c>
      <c r="R117" s="38" t="n">
        <f aca="false">R66</f>
        <v>9.2</v>
      </c>
      <c r="S117" s="38" t="n">
        <f aca="false">S66</f>
        <v>20.1</v>
      </c>
      <c r="T117" s="39" t="n">
        <f aca="false">T66</f>
        <v>9.496875</v>
      </c>
      <c r="U117" s="39" t="n">
        <f aca="false">U66</f>
        <v>10.090625</v>
      </c>
      <c r="V117" s="39" t="n">
        <f aca="false">V66</f>
        <v>39.6875</v>
      </c>
      <c r="W117" s="39" t="n">
        <f aca="false">W66</f>
        <v>40.3125</v>
      </c>
      <c r="X117" s="39" t="n">
        <f aca="false">X66</f>
        <v>41.28125</v>
      </c>
      <c r="Y117" s="39" t="n">
        <f aca="false">Y66</f>
        <v>48.1875</v>
      </c>
      <c r="Z117" s="39" t="n">
        <f aca="false">Z66</f>
        <v>57.0625</v>
      </c>
      <c r="AA117" s="22"/>
      <c r="AB117" s="1"/>
      <c r="AC117" s="23"/>
      <c r="AD117" s="23"/>
    </row>
    <row r="118" customFormat="false" ht="15" hidden="false" customHeight="true" outlineLevel="0" collapsed="false">
      <c r="B118" s="29" t="s">
        <v>207</v>
      </c>
      <c r="C118" s="38" t="n">
        <f aca="false">C59</f>
        <v>0.251</v>
      </c>
      <c r="D118" s="38" t="n">
        <f aca="false">D59</f>
        <v>0.356</v>
      </c>
      <c r="E118" s="38" t="n">
        <f aca="false">E59</f>
        <v>2.011</v>
      </c>
      <c r="F118" s="38" t="n">
        <f aca="false">F59</f>
        <v>0.079</v>
      </c>
      <c r="G118" s="38" t="n">
        <f aca="false">G59</f>
        <v>2.09</v>
      </c>
      <c r="H118" s="38" t="n">
        <f aca="false">H59</f>
        <v>1.074</v>
      </c>
      <c r="I118" s="38" t="n">
        <f aca="false">I59</f>
        <v>1.612</v>
      </c>
      <c r="J118" s="38" t="n">
        <f aca="false">J59</f>
        <v>4.776</v>
      </c>
      <c r="K118" s="38" t="n">
        <f aca="false">K59</f>
        <v>1.962</v>
      </c>
      <c r="L118" s="38" t="n">
        <f aca="false">L59</f>
        <v>3.904</v>
      </c>
      <c r="M118" s="38" t="n">
        <f aca="false">M59</f>
        <v>5.866</v>
      </c>
      <c r="N118" s="38" t="n">
        <f aca="false">N59</f>
        <v>3.533</v>
      </c>
      <c r="O118" s="38" t="n">
        <f aca="false">O59</f>
        <v>3.342</v>
      </c>
      <c r="P118" s="38" t="n">
        <f aca="false">P59</f>
        <v>12.741</v>
      </c>
      <c r="Q118" s="38" t="n">
        <f aca="false">Q59</f>
        <v>2.263</v>
      </c>
      <c r="R118" s="38" t="n">
        <f aca="false">R59</f>
        <v>1.392</v>
      </c>
      <c r="S118" s="38" t="n">
        <f aca="false">S59</f>
        <v>3.655</v>
      </c>
      <c r="T118" s="39" t="n">
        <f aca="false">T59</f>
        <v>1.5</v>
      </c>
      <c r="U118" s="39" t="n">
        <f aca="false">U59</f>
        <v>1.5</v>
      </c>
      <c r="V118" s="39" t="n">
        <f aca="false">V59</f>
        <v>6.655</v>
      </c>
      <c r="W118" s="39" t="n">
        <f aca="false">W59</f>
        <v>6</v>
      </c>
      <c r="X118" s="39" t="n">
        <f aca="false">X59</f>
        <v>6.75</v>
      </c>
      <c r="Y118" s="39" t="n">
        <f aca="false">Y59</f>
        <v>7.5</v>
      </c>
      <c r="Z118" s="39" t="n">
        <f aca="false">Z59</f>
        <v>7.5</v>
      </c>
      <c r="AA118" s="22"/>
      <c r="AB118" s="1"/>
      <c r="AC118" s="23"/>
      <c r="AD118" s="23"/>
    </row>
    <row r="119" customFormat="false" ht="15" hidden="false" customHeight="true" outlineLevel="0" collapsed="false">
      <c r="B119" s="29" t="s">
        <v>208</v>
      </c>
      <c r="C119" s="38" t="n">
        <f aca="false">C60</f>
        <v>3.507</v>
      </c>
      <c r="D119" s="38" t="n">
        <f aca="false">D60</f>
        <v>2.739</v>
      </c>
      <c r="E119" s="38" t="n">
        <f aca="false">E60</f>
        <v>0.416</v>
      </c>
      <c r="F119" s="38" t="n">
        <f aca="false">F60</f>
        <v>0.476</v>
      </c>
      <c r="G119" s="38" t="n">
        <f aca="false">G60</f>
        <v>0.892</v>
      </c>
      <c r="H119" s="38" t="n">
        <f aca="false">H60</f>
        <v>0.849</v>
      </c>
      <c r="I119" s="38" t="n">
        <f aca="false">I60</f>
        <v>0.514</v>
      </c>
      <c r="J119" s="38" t="n">
        <f aca="false">J60</f>
        <v>2.255</v>
      </c>
      <c r="K119" s="38" t="n">
        <f aca="false">K60</f>
        <v>0.261</v>
      </c>
      <c r="L119" s="38" t="n">
        <f aca="false">L60</f>
        <v>0.38</v>
      </c>
      <c r="M119" s="38" t="n">
        <f aca="false">M60</f>
        <v>0.641</v>
      </c>
      <c r="N119" s="38" t="n">
        <f aca="false">N60</f>
        <v>0.559</v>
      </c>
      <c r="O119" s="38" t="n">
        <f aca="false">O60</f>
        <v>1.079</v>
      </c>
      <c r="P119" s="38" t="n">
        <f aca="false">P60</f>
        <v>2.279</v>
      </c>
      <c r="Q119" s="38" t="n">
        <f aca="false">Q60</f>
        <v>1.41</v>
      </c>
      <c r="R119" s="38" t="n">
        <f aca="false">R60</f>
        <v>1.94</v>
      </c>
      <c r="S119" s="38" t="n">
        <f aca="false">S60</f>
        <v>3.35</v>
      </c>
      <c r="T119" s="39" t="n">
        <f aca="false">T60</f>
        <v>1.5</v>
      </c>
      <c r="U119" s="39" t="n">
        <f aca="false">U60</f>
        <v>1.5</v>
      </c>
      <c r="V119" s="39" t="n">
        <f aca="false">V60</f>
        <v>6.35</v>
      </c>
      <c r="W119" s="39" t="n">
        <f aca="false">W60</f>
        <v>2</v>
      </c>
      <c r="X119" s="39" t="n">
        <f aca="false">X60</f>
        <v>2</v>
      </c>
      <c r="Y119" s="39" t="n">
        <f aca="false">Y60</f>
        <v>2</v>
      </c>
      <c r="Z119" s="39" t="n">
        <f aca="false">Z60</f>
        <v>2</v>
      </c>
      <c r="AA119" s="22"/>
      <c r="AB119" s="1"/>
      <c r="AC119" s="23"/>
      <c r="AD119" s="23"/>
    </row>
    <row r="120" customFormat="false" ht="15" hidden="false" customHeight="true" outlineLevel="0" collapsed="false">
      <c r="B120" s="29" t="s">
        <v>209</v>
      </c>
      <c r="C120" s="38" t="n">
        <f aca="false">C61</f>
        <v>0</v>
      </c>
      <c r="D120" s="38" t="n">
        <f aca="false">D61</f>
        <v>0.5</v>
      </c>
      <c r="E120" s="38" t="n">
        <f aca="false">E61</f>
        <v>0</v>
      </c>
      <c r="F120" s="38" t="n">
        <f aca="false">F61</f>
        <v>0</v>
      </c>
      <c r="G120" s="38" t="n">
        <f aca="false">G61</f>
        <v>0</v>
      </c>
      <c r="H120" s="38" t="n">
        <f aca="false">H61</f>
        <v>0</v>
      </c>
      <c r="I120" s="38" t="n">
        <f aca="false">I61</f>
        <v>0.1</v>
      </c>
      <c r="J120" s="38" t="n">
        <f aca="false">J61</f>
        <v>0.1</v>
      </c>
      <c r="K120" s="38" t="n">
        <f aca="false">K61</f>
        <v>1.26</v>
      </c>
      <c r="L120" s="38" t="n">
        <f aca="false">L61</f>
        <v>0.206</v>
      </c>
      <c r="M120" s="38" t="n">
        <f aca="false">M61</f>
        <v>1.466</v>
      </c>
      <c r="N120" s="38" t="n">
        <f aca="false">N61</f>
        <v>0</v>
      </c>
      <c r="O120" s="38" t="n">
        <f aca="false">O61</f>
        <v>0.106</v>
      </c>
      <c r="P120" s="38" t="n">
        <f aca="false">P61</f>
        <v>1.572</v>
      </c>
      <c r="Q120" s="38" t="n">
        <f aca="false">Q61</f>
        <v>0.735</v>
      </c>
      <c r="R120" s="38" t="n">
        <f aca="false">R61</f>
        <v>0.045</v>
      </c>
      <c r="S120" s="38" t="n">
        <f aca="false">S61</f>
        <v>0.78</v>
      </c>
      <c r="T120" s="39" t="n">
        <f aca="false">T61</f>
        <v>0.5</v>
      </c>
      <c r="U120" s="39" t="n">
        <f aca="false">U61</f>
        <v>0</v>
      </c>
      <c r="V120" s="39" t="n">
        <f aca="false">V61</f>
        <v>1.28</v>
      </c>
      <c r="W120" s="39" t="n">
        <f aca="false">W61</f>
        <v>0</v>
      </c>
      <c r="X120" s="39" t="n">
        <f aca="false">X61</f>
        <v>0</v>
      </c>
      <c r="Y120" s="39" t="n">
        <f aca="false">Y61</f>
        <v>0</v>
      </c>
      <c r="Z120" s="39" t="n">
        <f aca="false">Z61</f>
        <v>0</v>
      </c>
      <c r="AA120" s="22"/>
      <c r="AB120" s="1"/>
      <c r="AC120" s="23"/>
      <c r="AD120" s="23"/>
    </row>
    <row r="121" customFormat="false" ht="15" hidden="false" customHeight="true" outlineLevel="0" collapsed="false">
      <c r="B121" s="29" t="s">
        <v>210</v>
      </c>
      <c r="C121" s="38" t="n">
        <f aca="false">C58</f>
        <v>1.603</v>
      </c>
      <c r="D121" s="38" t="n">
        <f aca="false">D58</f>
        <v>1.291</v>
      </c>
      <c r="E121" s="38" t="n">
        <f aca="false">E58</f>
        <v>0.251</v>
      </c>
      <c r="F121" s="38" t="n">
        <f aca="false">F58</f>
        <v>0.246</v>
      </c>
      <c r="G121" s="38" t="n">
        <f aca="false">G58</f>
        <v>0.497</v>
      </c>
      <c r="H121" s="38" t="n">
        <f aca="false">H58</f>
        <v>0.248</v>
      </c>
      <c r="I121" s="38" t="n">
        <f aca="false">I58</f>
        <v>0.248</v>
      </c>
      <c r="J121" s="38" t="n">
        <f aca="false">J58</f>
        <v>0.993</v>
      </c>
      <c r="K121" s="38" t="n">
        <f aca="false">K58</f>
        <v>8.084</v>
      </c>
      <c r="L121" s="38" t="n">
        <f aca="false">L58</f>
        <v>0</v>
      </c>
      <c r="M121" s="38" t="n">
        <f aca="false">M58</f>
        <v>8.084</v>
      </c>
      <c r="N121" s="38" t="n">
        <f aca="false">N58</f>
        <v>0</v>
      </c>
      <c r="O121" s="38" t="n">
        <f aca="false">O58</f>
        <v>0</v>
      </c>
      <c r="P121" s="38" t="n">
        <f aca="false">P58</f>
        <v>8.084</v>
      </c>
      <c r="Q121" s="38" t="n">
        <f aca="false">Q58</f>
        <v>0</v>
      </c>
      <c r="R121" s="38" t="n">
        <f aca="false">R58</f>
        <v>1.444</v>
      </c>
      <c r="S121" s="38" t="n">
        <f aca="false">S58</f>
        <v>1.444</v>
      </c>
      <c r="T121" s="39" t="n">
        <f aca="false">T58</f>
        <v>1.5</v>
      </c>
      <c r="U121" s="39" t="n">
        <f aca="false">U58</f>
        <v>1.5</v>
      </c>
      <c r="V121" s="39" t="n">
        <f aca="false">V58</f>
        <v>4.444</v>
      </c>
      <c r="W121" s="39" t="n">
        <f aca="false">W58</f>
        <v>7.66570283841156</v>
      </c>
      <c r="X121" s="39" t="n">
        <f aca="false">X58</f>
        <v>9.50039045083028</v>
      </c>
      <c r="Y121" s="39" t="n">
        <f aca="false">Y58</f>
        <v>11.470765807393</v>
      </c>
      <c r="Z121" s="39" t="n">
        <f aca="false">Z58</f>
        <v>13.5390425518776</v>
      </c>
      <c r="AA121" s="22"/>
      <c r="AB121" s="1"/>
      <c r="AC121" s="23"/>
      <c r="AD121" s="23"/>
    </row>
    <row r="122" customFormat="false" ht="15" hidden="false" customHeight="true" outlineLevel="0" collapsed="false">
      <c r="B122" s="29" t="s">
        <v>211</v>
      </c>
      <c r="C122" s="38" t="n">
        <f aca="false">C62</f>
        <v>-0.281</v>
      </c>
      <c r="D122" s="38" t="n">
        <f aca="false">D62</f>
        <v>0.739</v>
      </c>
      <c r="E122" s="38" t="n">
        <f aca="false">E62</f>
        <v>0</v>
      </c>
      <c r="F122" s="38" t="n">
        <f aca="false">F62</f>
        <v>0</v>
      </c>
      <c r="G122" s="38" t="n">
        <f aca="false">G62</f>
        <v>0</v>
      </c>
      <c r="H122" s="38" t="n">
        <f aca="false">H62</f>
        <v>0</v>
      </c>
      <c r="I122" s="38" t="n">
        <f aca="false">I62</f>
        <v>0</v>
      </c>
      <c r="J122" s="38" t="n">
        <f aca="false">J62</f>
        <v>0</v>
      </c>
      <c r="K122" s="38" t="n">
        <f aca="false">K62</f>
        <v>0</v>
      </c>
      <c r="L122" s="38" t="n">
        <f aca="false">L62</f>
        <v>0</v>
      </c>
      <c r="M122" s="38" t="n">
        <f aca="false">M62</f>
        <v>0</v>
      </c>
      <c r="N122" s="38" t="n">
        <f aca="false">N62</f>
        <v>0.8</v>
      </c>
      <c r="O122" s="38" t="n">
        <f aca="false">O62</f>
        <v>0</v>
      </c>
      <c r="P122" s="38" t="n">
        <f aca="false">P62</f>
        <v>0.8</v>
      </c>
      <c r="Q122" s="38" t="n">
        <f aca="false">Q62</f>
        <v>2.468</v>
      </c>
      <c r="R122" s="38" t="n">
        <f aca="false">R62</f>
        <v>0.034</v>
      </c>
      <c r="S122" s="38" t="n">
        <f aca="false">S62</f>
        <v>2.502</v>
      </c>
      <c r="T122" s="39" t="n">
        <f aca="false">T62</f>
        <v>0</v>
      </c>
      <c r="U122" s="39" t="n">
        <f aca="false">U62</f>
        <v>0</v>
      </c>
      <c r="V122" s="39" t="n">
        <f aca="false">V62</f>
        <v>2.502</v>
      </c>
      <c r="W122" s="39" t="n">
        <f aca="false">W62</f>
        <v>0</v>
      </c>
      <c r="X122" s="39" t="n">
        <f aca="false">X62</f>
        <v>0</v>
      </c>
      <c r="Y122" s="39" t="n">
        <f aca="false">Y62</f>
        <v>0</v>
      </c>
      <c r="Z122" s="39" t="n">
        <f aca="false">Z62</f>
        <v>0</v>
      </c>
      <c r="AA122" s="22"/>
      <c r="AB122" s="1"/>
      <c r="AC122" s="23"/>
      <c r="AD122" s="23"/>
    </row>
    <row r="123" customFormat="false" ht="15" hidden="false" customHeight="true" outlineLevel="0" collapsed="false">
      <c r="B123" s="18" t="s">
        <v>212</v>
      </c>
      <c r="C123" s="20" t="n">
        <f aca="false">SUM(C117:C122)</f>
        <v>29.936</v>
      </c>
      <c r="D123" s="20" t="n">
        <f aca="false">SUM(D117:D122)</f>
        <v>20.031</v>
      </c>
      <c r="E123" s="20" t="n">
        <f aca="false">SUM(E117:E122)</f>
        <v>6.578</v>
      </c>
      <c r="F123" s="20" t="n">
        <f aca="false">SUM(F117:F122)</f>
        <v>5.201</v>
      </c>
      <c r="G123" s="20" t="n">
        <f aca="false">SUM(G117:G122)</f>
        <v>11.779</v>
      </c>
      <c r="H123" s="20" t="n">
        <f aca="false">SUM(H117:H122)</f>
        <v>6.471</v>
      </c>
      <c r="I123" s="20" t="n">
        <f aca="false">SUM(I117:I122)</f>
        <v>6.774</v>
      </c>
      <c r="J123" s="20" t="n">
        <f aca="false">SUM(J117:J122)</f>
        <v>25.024</v>
      </c>
      <c r="K123" s="20" t="n">
        <f aca="false">SUM(K117:K122)</f>
        <v>15.967</v>
      </c>
      <c r="L123" s="20" t="n">
        <f aca="false">SUM(L117:L122)</f>
        <v>9.99</v>
      </c>
      <c r="M123" s="20" t="n">
        <f aca="false">SUM(M117:M122)</f>
        <v>25.957</v>
      </c>
      <c r="N123" s="20" t="n">
        <f aca="false">SUM(N117:N122)</f>
        <v>10.892</v>
      </c>
      <c r="O123" s="20" t="n">
        <f aca="false">SUM(O117:O122)</f>
        <v>11.827</v>
      </c>
      <c r="P123" s="20" t="n">
        <f aca="false">SUM(P117:P122)</f>
        <v>48.676</v>
      </c>
      <c r="Q123" s="20" t="n">
        <f aca="false">SUM(Q117:Q122)</f>
        <v>17.776</v>
      </c>
      <c r="R123" s="20" t="n">
        <f aca="false">SUM(R117:R122)</f>
        <v>14.055</v>
      </c>
      <c r="S123" s="20" t="n">
        <f aca="false">SUM(S117:S122)</f>
        <v>31.831</v>
      </c>
      <c r="T123" s="21" t="n">
        <f aca="false">SUM(T117:T122)</f>
        <v>14.496875</v>
      </c>
      <c r="U123" s="21" t="n">
        <f aca="false">SUM(U117:U122)</f>
        <v>14.590625</v>
      </c>
      <c r="V123" s="21" t="n">
        <f aca="false">SUM(V117:V122)</f>
        <v>60.9185</v>
      </c>
      <c r="W123" s="21" t="n">
        <f aca="false">SUM(W117:W122)</f>
        <v>55.9782028384116</v>
      </c>
      <c r="X123" s="21" t="n">
        <f aca="false">SUM(X117:X122)</f>
        <v>59.5316404508303</v>
      </c>
      <c r="Y123" s="21" t="n">
        <f aca="false">SUM(Y117:Y122)</f>
        <v>69.158265807393</v>
      </c>
      <c r="Z123" s="21" t="n">
        <f aca="false">SUM(Z117:Z122)</f>
        <v>80.1015425518776</v>
      </c>
      <c r="AA123" s="22"/>
      <c r="AB123" s="1"/>
      <c r="AC123" s="7"/>
      <c r="AD123" s="7"/>
    </row>
    <row r="124" customFormat="false" ht="15" hidden="false" customHeight="true" outlineLevel="0" collapsed="false">
      <c r="B124" s="51" t="s">
        <v>213</v>
      </c>
      <c r="C124" s="52" t="n">
        <f aca="false">C116+C123</f>
        <v>50.371</v>
      </c>
      <c r="D124" s="52" t="n">
        <f aca="false">D116+D123</f>
        <v>68.525</v>
      </c>
      <c r="E124" s="20" t="n">
        <f aca="false">E116+E123</f>
        <v>20.077</v>
      </c>
      <c r="F124" s="20" t="n">
        <f aca="false">F116+F123</f>
        <v>23.482</v>
      </c>
      <c r="G124" s="20" t="n">
        <f aca="false">G116+G123</f>
        <v>43.559</v>
      </c>
      <c r="H124" s="20" t="n">
        <f aca="false">H116+H123</f>
        <v>23.878</v>
      </c>
      <c r="I124" s="20" t="n">
        <f aca="false">I116+I123</f>
        <v>21.146</v>
      </c>
      <c r="J124" s="52" t="n">
        <f aca="false">J116+J123</f>
        <v>88.584</v>
      </c>
      <c r="K124" s="20" t="n">
        <f aca="false">K116+K123</f>
        <v>25.93</v>
      </c>
      <c r="L124" s="20" t="n">
        <f aca="false">L116+L123</f>
        <v>30.094</v>
      </c>
      <c r="M124" s="20" t="n">
        <f aca="false">M116+M123</f>
        <v>56.024</v>
      </c>
      <c r="N124" s="20" t="n">
        <f aca="false">N116+N123</f>
        <v>32.704</v>
      </c>
      <c r="O124" s="20" t="n">
        <f aca="false">O116+O123</f>
        <v>32.89</v>
      </c>
      <c r="P124" s="52" t="n">
        <f aca="false">P116+P123</f>
        <v>121.618</v>
      </c>
      <c r="Q124" s="20" t="n">
        <f aca="false">Q116+Q123</f>
        <v>39.228</v>
      </c>
      <c r="R124" s="20" t="n">
        <f aca="false">R116+R123</f>
        <v>48.884</v>
      </c>
      <c r="S124" s="20" t="n">
        <f aca="false">S116+S123</f>
        <v>88.1120000000001</v>
      </c>
      <c r="T124" s="52" t="n">
        <f aca="false">T116+T123</f>
        <v>51.4042964194491</v>
      </c>
      <c r="U124" s="52" t="n">
        <f aca="false">U116+U123</f>
        <v>58.7737643805509</v>
      </c>
      <c r="V124" s="52" t="n">
        <f aca="false">V116+V123</f>
        <v>198.2900608</v>
      </c>
      <c r="W124" s="52" t="n">
        <f aca="false">W116+W123</f>
        <v>254.218077046078</v>
      </c>
      <c r="X124" s="52" t="n">
        <f aca="false">X116+X123</f>
        <v>315.125582079779</v>
      </c>
      <c r="Y124" s="52" t="n">
        <f aca="false">Y116+Y123</f>
        <v>381.357815123764</v>
      </c>
      <c r="Z124" s="52" t="n">
        <f aca="false">Z116+Z123</f>
        <v>451.917098784607</v>
      </c>
      <c r="AA124" s="22"/>
      <c r="AB124" s="1"/>
      <c r="AC124" s="23" t="n">
        <f aca="false">IFERROR(IF(AND(Z124&gt;0,P124&gt;0),(Z124/P124)^(1/5)-1,"n/m"),"n/m")</f>
        <v>0.3002060522911</v>
      </c>
      <c r="AD124" s="23" t="n">
        <f aca="false">IFERROR(IF(AND(P124&gt;0,C124&gt;0),(P124/C124)^(1/3)-1,"n/m"),"n/m")</f>
        <v>0.341546595394661</v>
      </c>
    </row>
    <row r="125" customFormat="false" ht="15" hidden="false" customHeight="true" outlineLevel="0" collapsed="false">
      <c r="B125" s="25" t="s">
        <v>149</v>
      </c>
      <c r="C125" s="31" t="n">
        <f aca="false">IFERROR(C124/C92,"")</f>
        <v>0.22257522866864</v>
      </c>
      <c r="D125" s="31" t="n">
        <f aca="false">IFERROR(D124/D92,"")</f>
        <v>0.244117489891523</v>
      </c>
      <c r="E125" s="31" t="n">
        <f aca="false">IFERROR(E124/E92,"")</f>
        <v>0.241874081391707</v>
      </c>
      <c r="F125" s="31" t="n">
        <f aca="false">IFERROR(F124/F92,"")</f>
        <v>0.276132127612037</v>
      </c>
      <c r="G125" s="31" t="n">
        <f aca="false">IFERROR(G124/G92,"")</f>
        <v>0.259210330566218</v>
      </c>
      <c r="H125" s="31" t="n">
        <f aca="false">IFERROR(H124/H92,"")</f>
        <v>0.277754513307277</v>
      </c>
      <c r="I125" s="31" t="n">
        <f aca="false">IFERROR(I124/I92,"")</f>
        <v>0.231767465310507</v>
      </c>
      <c r="J125" s="31" t="n">
        <f aca="false">IFERROR(J124/J92,"")</f>
        <v>0.256578547201891</v>
      </c>
      <c r="K125" s="31" t="n">
        <f aca="false">IFERROR(K124/K92,"")</f>
        <v>0.258978866205905</v>
      </c>
      <c r="L125" s="31" t="n">
        <f aca="false">IFERROR(L124/L92,"")</f>
        <v>0.261466415284499</v>
      </c>
      <c r="M125" s="31" t="n">
        <f aca="false">IFERROR(M124/M92,"")</f>
        <v>0.260309170573504</v>
      </c>
      <c r="N125" s="31" t="n">
        <f aca="false">IFERROR(N124/N92,"")</f>
        <v>0.268534408434398</v>
      </c>
      <c r="O125" s="31" t="n">
        <f aca="false">IFERROR(O124/O92,"")</f>
        <v>0.244549861701811</v>
      </c>
      <c r="P125" s="31" t="n">
        <f aca="false">IFERROR(P124/P92,"")</f>
        <v>0.25793849416755</v>
      </c>
      <c r="Q125" s="31" t="n">
        <f aca="false">IFERROR(Q124/Q92,"")</f>
        <v>0.259427286555122</v>
      </c>
      <c r="R125" s="31" t="n">
        <f aca="false">IFERROR(R124/R92,"")</f>
        <v>0.268500464125056</v>
      </c>
      <c r="S125" s="31" t="n">
        <f aca="false">IFERROR(S124/S92,"")</f>
        <v>0.26438385347748</v>
      </c>
      <c r="T125" s="27" t="n">
        <f aca="false">IFERROR(T124/T92,"")</f>
        <v>0.263485103653818</v>
      </c>
      <c r="U125" s="27" t="n">
        <f aca="false">IFERROR(U124/U92,"")</f>
        <v>0.26578438047868</v>
      </c>
      <c r="V125" s="27" t="n">
        <f aca="false">IFERROR(V124/V92,"")</f>
        <v>0.264563123148766</v>
      </c>
      <c r="W125" s="27" t="n">
        <f aca="false">IFERROR(W124/W92,"")</f>
        <v>0.265304390117742</v>
      </c>
      <c r="X125" s="27" t="n">
        <f aca="false">IFERROR(X124/X92,"")</f>
        <v>0.26535800498788</v>
      </c>
      <c r="Y125" s="27" t="n">
        <f aca="false">IFERROR(Y124/Y92,"")</f>
        <v>0.265968512671038</v>
      </c>
      <c r="Z125" s="27" t="n">
        <f aca="false">IFERROR(Z124/Z92,"")</f>
        <v>0.267030462192873</v>
      </c>
      <c r="AA125" s="22"/>
      <c r="AB125" s="1"/>
      <c r="AC125" s="28" t="n">
        <f aca="false">IFERROR(AVERAGE(V125,W125,X125,Y125,Z125),"n/m")</f>
        <v>0.26564489862366</v>
      </c>
      <c r="AD125" s="28" t="n">
        <f aca="false">IFERROR(AVERAGE(C125,D125,J125,P125),"n/m")</f>
        <v>0.245302439982401</v>
      </c>
    </row>
    <row r="126" customFormat="false" ht="15" hidden="false" customHeight="true" outlineLevel="0" collapsed="false">
      <c r="B126" s="29" t="s">
        <v>214</v>
      </c>
      <c r="C126" s="38" t="n">
        <f aca="false">C64+C65</f>
        <v>10.126</v>
      </c>
      <c r="D126" s="38" t="n">
        <f aca="false">D64+D65</f>
        <v>12.773</v>
      </c>
      <c r="E126" s="38" t="n">
        <f aca="false">E64+E65</f>
        <v>3.45</v>
      </c>
      <c r="F126" s="38" t="n">
        <f aca="false">F64+F65</f>
        <v>3.906</v>
      </c>
      <c r="G126" s="38" t="n">
        <f aca="false">G64+G65</f>
        <v>7.356</v>
      </c>
      <c r="H126" s="38" t="n">
        <f aca="false">H64+H65</f>
        <v>3.836</v>
      </c>
      <c r="I126" s="38" t="n">
        <f aca="false">I64+I65</f>
        <v>4.868</v>
      </c>
      <c r="J126" s="38" t="n">
        <f aca="false">J64+J65</f>
        <v>16.059</v>
      </c>
      <c r="K126" s="38" t="n">
        <f aca="false">K64+K65</f>
        <v>4.469</v>
      </c>
      <c r="L126" s="38" t="n">
        <f aca="false">L64+L65</f>
        <v>4.807</v>
      </c>
      <c r="M126" s="38" t="n">
        <f aca="false">M64+M65</f>
        <v>9.276</v>
      </c>
      <c r="N126" s="38" t="n">
        <f aca="false">N64+N65</f>
        <v>4.97</v>
      </c>
      <c r="O126" s="38" t="n">
        <f aca="false">O64+O65</f>
        <v>5.291</v>
      </c>
      <c r="P126" s="38" t="n">
        <f aca="false">P64+P65</f>
        <v>19.537</v>
      </c>
      <c r="Q126" s="38" t="n">
        <f aca="false">Q64+Q65</f>
        <v>5.732</v>
      </c>
      <c r="R126" s="38" t="n">
        <f aca="false">R64+R65</f>
        <v>5.976</v>
      </c>
      <c r="S126" s="38" t="n">
        <f aca="false">S64+S65</f>
        <v>11.708</v>
      </c>
      <c r="T126" s="39" t="n">
        <f aca="false">T64+T65</f>
        <v>6.13848</v>
      </c>
      <c r="U126" s="39" t="n">
        <f aca="false">U64+U65</f>
        <v>6.3074592</v>
      </c>
      <c r="V126" s="39" t="n">
        <f aca="false">V64+V65</f>
        <v>24.1539392</v>
      </c>
      <c r="W126" s="39" t="n">
        <f aca="false">W64+W65</f>
        <v>30.9466585152347</v>
      </c>
      <c r="X126" s="39" t="n">
        <f aca="false">X64+X65</f>
        <v>39.2232964651984</v>
      </c>
      <c r="Y126" s="39" t="n">
        <f aca="false">Y64+Y65</f>
        <v>47.4782134749513</v>
      </c>
      <c r="Z126" s="39" t="n">
        <f aca="false">Z64+Z65</f>
        <v>56.5892467503217</v>
      </c>
      <c r="AA126" s="22"/>
      <c r="AB126" s="1"/>
      <c r="AC126" s="23"/>
      <c r="AD126" s="23"/>
    </row>
    <row r="127" customFormat="false" ht="15" hidden="false" customHeight="true" outlineLevel="0" collapsed="false">
      <c r="B127" s="29" t="s">
        <v>215</v>
      </c>
      <c r="C127" s="38" t="n">
        <f aca="false">C99</f>
        <v>-0.206</v>
      </c>
      <c r="D127" s="38" t="n">
        <f aca="false">D99</f>
        <v>0.563</v>
      </c>
      <c r="E127" s="38" t="n">
        <f aca="false">E99</f>
        <v>0.77</v>
      </c>
      <c r="F127" s="38" t="n">
        <f aca="false">F99</f>
        <v>0.036</v>
      </c>
      <c r="G127" s="38" t="n">
        <f aca="false">G99</f>
        <v>0.806</v>
      </c>
      <c r="H127" s="38" t="n">
        <f aca="false">H99</f>
        <v>0.351</v>
      </c>
      <c r="I127" s="38" t="n">
        <f aca="false">I99</f>
        <v>0.345</v>
      </c>
      <c r="J127" s="38" t="n">
        <f aca="false">J99</f>
        <v>1.502</v>
      </c>
      <c r="K127" s="38" t="n">
        <f aca="false">K99</f>
        <v>-0.08</v>
      </c>
      <c r="L127" s="38" t="n">
        <f aca="false">L99</f>
        <v>0.38</v>
      </c>
      <c r="M127" s="38" t="n">
        <f aca="false">M99</f>
        <v>0.3</v>
      </c>
      <c r="N127" s="38" t="n">
        <f aca="false">N99</f>
        <v>0.051</v>
      </c>
      <c r="O127" s="38" t="n">
        <f aca="false">O99</f>
        <v>3.796</v>
      </c>
      <c r="P127" s="38" t="n">
        <f aca="false">P99</f>
        <v>4.147</v>
      </c>
      <c r="Q127" s="38" t="n">
        <f aca="false">Q99</f>
        <v>-0.174</v>
      </c>
      <c r="R127" s="38" t="n">
        <f aca="false">R99</f>
        <v>-0.28</v>
      </c>
      <c r="S127" s="38" t="n">
        <f aca="false">S99</f>
        <v>-0.454</v>
      </c>
      <c r="T127" s="39" t="n">
        <f aca="false">T99</f>
        <v>0</v>
      </c>
      <c r="U127" s="39" t="n">
        <f aca="false">U99</f>
        <v>0</v>
      </c>
      <c r="V127" s="39" t="n">
        <f aca="false">V99</f>
        <v>-0.454</v>
      </c>
      <c r="W127" s="39" t="n">
        <f aca="false">W99</f>
        <v>0</v>
      </c>
      <c r="X127" s="39" t="n">
        <f aca="false">X99</f>
        <v>0</v>
      </c>
      <c r="Y127" s="39" t="n">
        <f aca="false">Y99</f>
        <v>0</v>
      </c>
      <c r="Z127" s="39" t="n">
        <f aca="false">Z99</f>
        <v>0</v>
      </c>
      <c r="AA127" s="22"/>
      <c r="AB127" s="1"/>
      <c r="AC127" s="23"/>
      <c r="AD127" s="23"/>
    </row>
    <row r="128" customFormat="false" ht="15" hidden="false" customHeight="true" outlineLevel="0" collapsed="false">
      <c r="B128" s="18" t="s">
        <v>216</v>
      </c>
      <c r="C128" s="20" t="n">
        <f aca="false">C124+C126+C127</f>
        <v>60.291</v>
      </c>
      <c r="D128" s="20" t="n">
        <f aca="false">D124+D126+D127</f>
        <v>81.861</v>
      </c>
      <c r="E128" s="20" t="n">
        <f aca="false">E124+E126+E127</f>
        <v>24.297</v>
      </c>
      <c r="F128" s="20" t="n">
        <f aca="false">F124+F126+F127</f>
        <v>27.424</v>
      </c>
      <c r="G128" s="20" t="n">
        <f aca="false">G124+G126+G127</f>
        <v>51.721</v>
      </c>
      <c r="H128" s="20" t="n">
        <f aca="false">H124+H126+H127</f>
        <v>28.065</v>
      </c>
      <c r="I128" s="20" t="n">
        <f aca="false">I124+I126+I127</f>
        <v>26.359</v>
      </c>
      <c r="J128" s="20" t="n">
        <f aca="false">J124+J126+J127</f>
        <v>106.145</v>
      </c>
      <c r="K128" s="20" t="n">
        <f aca="false">K124+K126+K127</f>
        <v>30.319</v>
      </c>
      <c r="L128" s="20" t="n">
        <f aca="false">L124+L126+L127</f>
        <v>35.281</v>
      </c>
      <c r="M128" s="20" t="n">
        <f aca="false">M124+M126+M127</f>
        <v>65.6</v>
      </c>
      <c r="N128" s="20" t="n">
        <f aca="false">N124+N126+N127</f>
        <v>37.725</v>
      </c>
      <c r="O128" s="20" t="n">
        <f aca="false">O124+O126+O127</f>
        <v>41.977</v>
      </c>
      <c r="P128" s="20" t="n">
        <f aca="false">P124+P126+P127</f>
        <v>145.302</v>
      </c>
      <c r="Q128" s="20" t="n">
        <f aca="false">Q124+Q126+Q127</f>
        <v>44.786</v>
      </c>
      <c r="R128" s="20" t="n">
        <f aca="false">R124+R126+R127</f>
        <v>54.58</v>
      </c>
      <c r="S128" s="20" t="n">
        <f aca="false">S124+S126+S127</f>
        <v>99.3660000000001</v>
      </c>
      <c r="T128" s="21" t="n">
        <f aca="false">T124+T126+T127</f>
        <v>57.5427764194491</v>
      </c>
      <c r="U128" s="21" t="n">
        <f aca="false">U124+U126+U127</f>
        <v>65.0812235805509</v>
      </c>
      <c r="V128" s="21" t="n">
        <f aca="false">V124+V126+V127</f>
        <v>221.99</v>
      </c>
      <c r="W128" s="21" t="n">
        <f aca="false">W124+W126+W127</f>
        <v>285.164735561312</v>
      </c>
      <c r="X128" s="21" t="n">
        <f aca="false">X124+X126+X127</f>
        <v>354.348878544977</v>
      </c>
      <c r="Y128" s="21" t="n">
        <f aca="false">Y124+Y126+Y127</f>
        <v>428.836028598715</v>
      </c>
      <c r="Z128" s="21" t="n">
        <f aca="false">Z124+Z126+Z127</f>
        <v>508.506345534929</v>
      </c>
      <c r="AA128" s="22"/>
      <c r="AB128" s="1"/>
      <c r="AC128" s="23" t="n">
        <f aca="false">IFERROR(IF(AND(Z128&gt;0,P128&gt;0),(Z128/P128)^(1/5)-1,"n/m"),"n/m")</f>
        <v>0.284709563073962</v>
      </c>
      <c r="AD128" s="23" t="n">
        <f aca="false">IFERROR(IF(AND(P128&gt;0,C128&gt;0),(P128/C128)^(1/3)-1,"n/m"),"n/m")</f>
        <v>0.340724981660272</v>
      </c>
    </row>
    <row r="129" customFormat="false" ht="15" hidden="false" customHeight="true" outlineLevel="0" collapsed="false">
      <c r="B129" s="36" t="s">
        <v>217</v>
      </c>
      <c r="C129" s="37" t="n">
        <v>60.291</v>
      </c>
      <c r="D129" s="37" t="n">
        <v>81.863</v>
      </c>
      <c r="E129" s="37" t="n">
        <v>24.297</v>
      </c>
      <c r="F129" s="37" t="n">
        <v>27.424</v>
      </c>
      <c r="G129" s="38" t="n">
        <f aca="false">E129+F129</f>
        <v>51.721</v>
      </c>
      <c r="H129" s="37" t="n">
        <v>28.065</v>
      </c>
      <c r="I129" s="37" t="n">
        <v>26.359</v>
      </c>
      <c r="J129" s="37" t="n">
        <v>106.144</v>
      </c>
      <c r="K129" s="37" t="n">
        <v>30.319</v>
      </c>
      <c r="L129" s="37" t="n">
        <v>35.281</v>
      </c>
      <c r="M129" s="38" t="n">
        <f aca="false">K129+L129</f>
        <v>65.6</v>
      </c>
      <c r="N129" s="37" t="n">
        <v>37.725</v>
      </c>
      <c r="O129" s="37" t="n">
        <v>41.977</v>
      </c>
      <c r="P129" s="37" t="n">
        <v>145.302</v>
      </c>
      <c r="Q129" s="37" t="n">
        <v>44.786</v>
      </c>
      <c r="R129" s="37" t="n">
        <v>54.58</v>
      </c>
      <c r="S129" s="38" t="n">
        <f aca="false">Q129+R129</f>
        <v>99.366</v>
      </c>
      <c r="T129" s="39"/>
      <c r="U129" s="39"/>
      <c r="V129" s="39"/>
      <c r="W129" s="39"/>
      <c r="X129" s="39"/>
      <c r="Y129" s="39"/>
      <c r="Z129" s="39"/>
      <c r="AA129" s="22"/>
      <c r="AB129" s="1"/>
      <c r="AC129" s="7"/>
      <c r="AD129" s="7"/>
    </row>
    <row r="130" customFormat="false" ht="15" hidden="false" customHeight="true" outlineLevel="0" collapsed="false">
      <c r="B130" s="59" t="s">
        <v>218</v>
      </c>
      <c r="C130" s="38" t="n">
        <f aca="false">IF(ISNUMBER(C129),ROUND(C128-C129,1),"n/p")</f>
        <v>0</v>
      </c>
      <c r="D130" s="38" t="n">
        <f aca="false">IF(ISNUMBER(D129),ROUND(D128-D129,1),"n/p")</f>
        <v>-0</v>
      </c>
      <c r="E130" s="38" t="n">
        <f aca="false">IF(ISNUMBER(E129),ROUND(E128-E129,1),"n/p")</f>
        <v>0</v>
      </c>
      <c r="F130" s="38" t="n">
        <f aca="false">IF(ISNUMBER(F129),ROUND(F128-F129,1),"n/p")</f>
        <v>0</v>
      </c>
      <c r="G130" s="38" t="n">
        <f aca="false">IF(ISNUMBER(G129),ROUND(G128-G129,1),"n/p")</f>
        <v>0</v>
      </c>
      <c r="H130" s="38" t="n">
        <f aca="false">IF(ISNUMBER(H129),ROUND(H128-H129,1),"n/p")</f>
        <v>0</v>
      </c>
      <c r="I130" s="38" t="n">
        <f aca="false">IF(ISNUMBER(I129),ROUND(I128-I129,1),"n/p")</f>
        <v>0</v>
      </c>
      <c r="J130" s="38" t="n">
        <f aca="false">IF(ISNUMBER(J129),ROUND(J128-J129,1),"n/p")</f>
        <v>0</v>
      </c>
      <c r="K130" s="38" t="n">
        <f aca="false">IF(ISNUMBER(K129),ROUND(K128-K129,1),"n/p")</f>
        <v>0</v>
      </c>
      <c r="L130" s="38" t="n">
        <f aca="false">IF(ISNUMBER(L129),ROUND(L128-L129,1),"n/p")</f>
        <v>0</v>
      </c>
      <c r="M130" s="38" t="n">
        <f aca="false">IF(ISNUMBER(M129),ROUND(M128-M129,1),"n/p")</f>
        <v>0</v>
      </c>
      <c r="N130" s="38" t="n">
        <f aca="false">IF(ISNUMBER(N129),ROUND(N128-N129,1),"n/p")</f>
        <v>0</v>
      </c>
      <c r="O130" s="38" t="n">
        <f aca="false">IF(ISNUMBER(O129),ROUND(O128-O129,1),"n/p")</f>
        <v>0</v>
      </c>
      <c r="P130" s="38" t="n">
        <f aca="false">IF(ISNUMBER(P129),ROUND(P128-P129,1),"n/p")</f>
        <v>0</v>
      </c>
      <c r="Q130" s="38" t="n">
        <f aca="false">IF(ISNUMBER(Q129),ROUND(Q128-Q129,1),"n/p")</f>
        <v>0</v>
      </c>
      <c r="R130" s="38" t="n">
        <f aca="false">IF(ISNUMBER(R129),ROUND(R128-R129,1),"n/p")</f>
        <v>0</v>
      </c>
      <c r="S130" s="38" t="n">
        <f aca="false">IF(ISNUMBER(S129),ROUND(S128-S129,1),"n/p")</f>
        <v>0</v>
      </c>
      <c r="T130" s="39"/>
      <c r="U130" s="39"/>
      <c r="V130" s="39"/>
      <c r="W130" s="39"/>
      <c r="X130" s="39"/>
      <c r="Y130" s="39"/>
      <c r="Z130" s="39"/>
      <c r="AA130" s="22"/>
      <c r="AB130" s="1"/>
      <c r="AC130" s="7"/>
      <c r="AD130" s="7"/>
    </row>
    <row r="131" customFormat="false" ht="15" hidden="false" customHeight="true" outlineLevel="0" collapsed="false">
      <c r="B131" s="59" t="s">
        <v>219</v>
      </c>
      <c r="C131" s="38" t="n">
        <f aca="false">ROUND(C124-C70,1)</f>
        <v>0</v>
      </c>
      <c r="D131" s="38" t="n">
        <f aca="false">ROUND(D124-D70,1)</f>
        <v>0</v>
      </c>
      <c r="E131" s="38" t="n">
        <f aca="false">ROUND(E124-E70,1)</f>
        <v>0</v>
      </c>
      <c r="F131" s="38" t="n">
        <f aca="false">ROUND(F124-F70,1)</f>
        <v>0</v>
      </c>
      <c r="G131" s="38" t="n">
        <f aca="false">ROUND(G124-G70,1)</f>
        <v>0</v>
      </c>
      <c r="H131" s="38" t="n">
        <f aca="false">ROUND(H124-H70,1)</f>
        <v>0</v>
      </c>
      <c r="I131" s="38" t="n">
        <f aca="false">ROUND(I124-I70,1)</f>
        <v>0</v>
      </c>
      <c r="J131" s="38" t="n">
        <f aca="false">ROUND(J124-J70,1)</f>
        <v>0</v>
      </c>
      <c r="K131" s="38" t="n">
        <f aca="false">ROUND(K124-K70,1)</f>
        <v>0</v>
      </c>
      <c r="L131" s="38" t="n">
        <f aca="false">ROUND(L124-L70,1)</f>
        <v>0</v>
      </c>
      <c r="M131" s="38" t="n">
        <f aca="false">ROUND(M124-M70,1)</f>
        <v>0</v>
      </c>
      <c r="N131" s="38" t="n">
        <f aca="false">ROUND(N124-N70,1)</f>
        <v>0</v>
      </c>
      <c r="O131" s="38" t="n">
        <f aca="false">ROUND(O124-O70,1)</f>
        <v>0</v>
      </c>
      <c r="P131" s="38" t="n">
        <f aca="false">ROUND(P124-P70,1)</f>
        <v>0</v>
      </c>
      <c r="Q131" s="38" t="n">
        <f aca="false">ROUND(Q124-Q70,1)</f>
        <v>0</v>
      </c>
      <c r="R131" s="38" t="n">
        <f aca="false">ROUND(R124-R70,1)</f>
        <v>0</v>
      </c>
      <c r="S131" s="38" t="n">
        <f aca="false">ROUND(S124-S70,1)</f>
        <v>0</v>
      </c>
      <c r="T131" s="39" t="n">
        <f aca="false">ROUND(T124-T70,1)</f>
        <v>0</v>
      </c>
      <c r="U131" s="39" t="n">
        <f aca="false">ROUND(U124-U70,1)</f>
        <v>0</v>
      </c>
      <c r="V131" s="39" t="n">
        <f aca="false">ROUND(V124-V70,1)</f>
        <v>0</v>
      </c>
      <c r="W131" s="39" t="n">
        <f aca="false">ROUND(W124-W70,1)</f>
        <v>0</v>
      </c>
      <c r="X131" s="39" t="n">
        <f aca="false">ROUND(X124-X70,1)</f>
        <v>0</v>
      </c>
      <c r="Y131" s="39" t="n">
        <f aca="false">ROUND(Y124-Y70,1)</f>
        <v>0</v>
      </c>
      <c r="Z131" s="39" t="n">
        <f aca="false">ROUND(Z124-Z70,1)</f>
        <v>0</v>
      </c>
      <c r="AA131" s="22"/>
      <c r="AB131" s="1"/>
      <c r="AC131" s="7"/>
      <c r="AD131" s="7"/>
    </row>
    <row r="133" customFormat="false" ht="15" hidden="false" customHeight="true" outlineLevel="0" collapsed="false">
      <c r="B133" s="12" t="s">
        <v>220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 t="s">
        <v>221</v>
      </c>
      <c r="AB133" s="1"/>
      <c r="AC133" s="1"/>
      <c r="AD133" s="1"/>
    </row>
    <row r="134" customFormat="false" ht="15" hidden="false" customHeight="true" outlineLevel="0" collapsed="false">
      <c r="B134" s="18" t="s">
        <v>222</v>
      </c>
      <c r="C134" s="20" t="n">
        <f aca="false">C103</f>
        <v>-14.099</v>
      </c>
      <c r="D134" s="20" t="n">
        <f aca="false">D103</f>
        <v>4.35899999999999</v>
      </c>
      <c r="E134" s="20" t="n">
        <f aca="false">E103</f>
        <v>2.122</v>
      </c>
      <c r="F134" s="20" t="n">
        <f aca="false">F103</f>
        <v>4.604</v>
      </c>
      <c r="G134" s="20" t="n">
        <f aca="false">G103</f>
        <v>6.72600000000002</v>
      </c>
      <c r="H134" s="20" t="n">
        <f aca="false">H103</f>
        <v>4.29200000000001</v>
      </c>
      <c r="I134" s="20" t="n">
        <f aca="false">I103</f>
        <v>1.683</v>
      </c>
      <c r="J134" s="20" t="n">
        <f aca="false">J103</f>
        <v>12.701</v>
      </c>
      <c r="K134" s="20" t="n">
        <f aca="false">K103</f>
        <v>-4.79800000000001</v>
      </c>
      <c r="L134" s="20" t="n">
        <f aca="false">L103</f>
        <v>6.807</v>
      </c>
      <c r="M134" s="20" t="n">
        <f aca="false">M103</f>
        <v>2.00900000000001</v>
      </c>
      <c r="N134" s="20" t="n">
        <f aca="false">N103</f>
        <v>7.64400000000001</v>
      </c>
      <c r="O134" s="20" t="n">
        <f aca="false">O103</f>
        <v>7.71299999999999</v>
      </c>
      <c r="P134" s="20" t="n">
        <f aca="false">P103</f>
        <v>17.366</v>
      </c>
      <c r="Q134" s="20" t="n">
        <f aca="false">Q103</f>
        <v>7.79400000000001</v>
      </c>
      <c r="R134" s="20" t="n">
        <f aca="false">R103</f>
        <v>14.032</v>
      </c>
      <c r="S134" s="20" t="n">
        <f aca="false">S103</f>
        <v>21.8260000000001</v>
      </c>
      <c r="T134" s="21" t="n">
        <f aca="false">T103</f>
        <v>16.792215911448</v>
      </c>
      <c r="U134" s="21" t="n">
        <f aca="false">U103</f>
        <v>21.8737499092187</v>
      </c>
      <c r="V134" s="21" t="n">
        <f aca="false">V103</f>
        <v>60.4919658206667</v>
      </c>
      <c r="W134" s="21" t="n">
        <f aca="false">W103</f>
        <v>106.51836980464</v>
      </c>
      <c r="X134" s="21" t="n">
        <f aca="false">X103</f>
        <v>145.13570446514</v>
      </c>
      <c r="Y134" s="21" t="n">
        <f aca="false">Y103</f>
        <v>182.839771134896</v>
      </c>
      <c r="Z134" s="21" t="n">
        <f aca="false">Z103</f>
        <v>223.634906938568</v>
      </c>
      <c r="AA134" s="22"/>
      <c r="AB134" s="1"/>
      <c r="AC134" s="23" t="n">
        <f aca="false">IFERROR(IF(AND(Z134&gt;0,P134&gt;0),(Z134/P134)^(1/5)-1,"n/m"),"n/m")</f>
        <v>0.66712421344292</v>
      </c>
      <c r="AD134" s="23" t="str">
        <f aca="false">IFERROR(IF(AND(P134&gt;0,C134&gt;0),(P134/C134)^(1/3)-1,"n/m"),"n/m")</f>
        <v>n/m</v>
      </c>
    </row>
    <row r="135" customFormat="false" ht="15" hidden="false" customHeight="true" outlineLevel="0" collapsed="false">
      <c r="B135" s="29" t="s">
        <v>223</v>
      </c>
      <c r="C135" s="38" t="n">
        <f aca="false">C101</f>
        <v>-3.173</v>
      </c>
      <c r="D135" s="38" t="n">
        <f aca="false">D101</f>
        <v>-3.169</v>
      </c>
      <c r="E135" s="38" t="n">
        <f aca="false">E101</f>
        <v>0.087</v>
      </c>
      <c r="F135" s="38" t="n">
        <f aca="false">F101</f>
        <v>0.312</v>
      </c>
      <c r="G135" s="38" t="n">
        <f aca="false">G101</f>
        <v>0.399</v>
      </c>
      <c r="H135" s="38" t="n">
        <f aca="false">H101</f>
        <v>0.933</v>
      </c>
      <c r="I135" s="38" t="n">
        <f aca="false">I101</f>
        <v>0.295</v>
      </c>
      <c r="J135" s="38" t="n">
        <f aca="false">J101</f>
        <v>1.628</v>
      </c>
      <c r="K135" s="38" t="n">
        <f aca="false">K101</f>
        <v>3.308</v>
      </c>
      <c r="L135" s="38" t="n">
        <f aca="false">L101</f>
        <v>1.784</v>
      </c>
      <c r="M135" s="38" t="n">
        <f aca="false">M101</f>
        <v>5.092</v>
      </c>
      <c r="N135" s="38" t="n">
        <f aca="false">N101</f>
        <v>4.217</v>
      </c>
      <c r="O135" s="38" t="n">
        <f aca="false">O101</f>
        <v>5.847</v>
      </c>
      <c r="P135" s="38" t="n">
        <f aca="false">P101</f>
        <v>15.156</v>
      </c>
      <c r="Q135" s="38" t="n">
        <f aca="false">Q101</f>
        <v>0.838</v>
      </c>
      <c r="R135" s="38" t="n">
        <f aca="false">R101</f>
        <v>5.233</v>
      </c>
      <c r="S135" s="38" t="n">
        <f aca="false">S101</f>
        <v>6.071</v>
      </c>
      <c r="T135" s="39" t="n">
        <f aca="false">T101</f>
        <v>5.30280502466779</v>
      </c>
      <c r="U135" s="39" t="n">
        <f aca="false">U101</f>
        <v>6.90749997133221</v>
      </c>
      <c r="V135" s="39" t="n">
        <f aca="false">V101</f>
        <v>18.281304996</v>
      </c>
      <c r="W135" s="39" t="n">
        <f aca="false">W101</f>
        <v>34.5655637114395</v>
      </c>
      <c r="X135" s="39" t="n">
        <f aca="false">X101</f>
        <v>47.0970166807407</v>
      </c>
      <c r="Y135" s="39" t="n">
        <f aca="false">Y101</f>
        <v>59.3321111629796</v>
      </c>
      <c r="Z135" s="39" t="n">
        <f aca="false">Z101</f>
        <v>72.5702678145023</v>
      </c>
      <c r="AA135" s="22"/>
      <c r="AB135" s="1"/>
      <c r="AC135" s="23"/>
      <c r="AD135" s="23"/>
    </row>
    <row r="136" customFormat="false" ht="15" hidden="false" customHeight="true" outlineLevel="0" collapsed="false">
      <c r="B136" s="29" t="s">
        <v>224</v>
      </c>
      <c r="C136" s="38" t="n">
        <f aca="false">C106</f>
        <v>34.982</v>
      </c>
      <c r="D136" s="38" t="n">
        <f aca="false">D106</f>
        <v>27.179</v>
      </c>
      <c r="E136" s="38" t="n">
        <f aca="false">E106</f>
        <v>7.35</v>
      </c>
      <c r="F136" s="38" t="n">
        <f aca="false">F106</f>
        <v>8.306</v>
      </c>
      <c r="G136" s="38" t="n">
        <f aca="false">G106</f>
        <v>15.656</v>
      </c>
      <c r="H136" s="38" t="n">
        <f aca="false">H106</f>
        <v>8.136</v>
      </c>
      <c r="I136" s="38" t="n">
        <f aca="false">I106</f>
        <v>9.168</v>
      </c>
      <c r="J136" s="38" t="n">
        <f aca="false">J106</f>
        <v>32.959</v>
      </c>
      <c r="K136" s="38" t="n">
        <f aca="false">K106</f>
        <v>8.869</v>
      </c>
      <c r="L136" s="38" t="n">
        <f aca="false">L106</f>
        <v>10.307</v>
      </c>
      <c r="M136" s="38" t="n">
        <f aca="false">M106</f>
        <v>19.176</v>
      </c>
      <c r="N136" s="38" t="n">
        <f aca="false">N106</f>
        <v>10.97</v>
      </c>
      <c r="O136" s="38" t="n">
        <f aca="false">O106</f>
        <v>12.591</v>
      </c>
      <c r="P136" s="38" t="n">
        <f aca="false">P106</f>
        <v>42.737</v>
      </c>
      <c r="Q136" s="38" t="n">
        <f aca="false">Q106</f>
        <v>16.632</v>
      </c>
      <c r="R136" s="38" t="n">
        <f aca="false">R106</f>
        <v>15.176</v>
      </c>
      <c r="S136" s="38" t="n">
        <f aca="false">S106</f>
        <v>31.808</v>
      </c>
      <c r="T136" s="39" t="n">
        <f aca="false">T106</f>
        <v>15.635355</v>
      </c>
      <c r="U136" s="39" t="n">
        <f aca="false">U106</f>
        <v>16.3980842</v>
      </c>
      <c r="V136" s="39" t="n">
        <f aca="false">V106</f>
        <v>63.8414392</v>
      </c>
      <c r="W136" s="39" t="n">
        <f aca="false">W106</f>
        <v>71.2591585152347</v>
      </c>
      <c r="X136" s="39" t="n">
        <f aca="false">X106</f>
        <v>80.5045464651984</v>
      </c>
      <c r="Y136" s="39" t="n">
        <f aca="false">Y106</f>
        <v>95.6657134749513</v>
      </c>
      <c r="Z136" s="39" t="n">
        <f aca="false">Z106</f>
        <v>113.651746750322</v>
      </c>
      <c r="AA136" s="22"/>
      <c r="AB136" s="1"/>
      <c r="AC136" s="23"/>
      <c r="AD136" s="23"/>
    </row>
    <row r="137" customFormat="false" ht="15" hidden="false" customHeight="true" outlineLevel="0" collapsed="false">
      <c r="B137" s="29" t="s">
        <v>225</v>
      </c>
      <c r="C137" s="38" t="n">
        <f aca="false">C98</f>
        <v>37.501</v>
      </c>
      <c r="D137" s="38" t="n">
        <f aca="false">D98</f>
        <v>47.867</v>
      </c>
      <c r="E137" s="38" t="n">
        <f aca="false">E98</f>
        <v>12.06</v>
      </c>
      <c r="F137" s="38" t="n">
        <f aca="false">F98</f>
        <v>13.401</v>
      </c>
      <c r="G137" s="38" t="n">
        <f aca="false">G98</f>
        <v>25.461</v>
      </c>
      <c r="H137" s="38" t="n">
        <f aca="false">H98</f>
        <v>12.533</v>
      </c>
      <c r="I137" s="38" t="n">
        <f aca="false">I98</f>
        <v>12.739</v>
      </c>
      <c r="J137" s="38" t="n">
        <f aca="false">J98</f>
        <v>50.733</v>
      </c>
      <c r="K137" s="38" t="n">
        <f aca="false">K98</f>
        <v>11.373</v>
      </c>
      <c r="L137" s="38" t="n">
        <f aca="false">L98</f>
        <v>11.893</v>
      </c>
      <c r="M137" s="38" t="n">
        <f aca="false">M98</f>
        <v>23.266</v>
      </c>
      <c r="N137" s="38" t="n">
        <f aca="false">N98</f>
        <v>10.002</v>
      </c>
      <c r="O137" s="38" t="n">
        <f aca="false">O98</f>
        <v>11.299</v>
      </c>
      <c r="P137" s="38" t="n">
        <f aca="false">P98</f>
        <v>44.567</v>
      </c>
      <c r="Q137" s="38" t="n">
        <f aca="false">Q98</f>
        <v>12.646</v>
      </c>
      <c r="R137" s="38" t="n">
        <f aca="false">R98</f>
        <v>15.284</v>
      </c>
      <c r="S137" s="38" t="n">
        <f aca="false">S98</f>
        <v>27.93</v>
      </c>
      <c r="T137" s="39" t="n">
        <f aca="false">T98</f>
        <v>14.8124004833333</v>
      </c>
      <c r="U137" s="39" t="n">
        <f aca="false">U98</f>
        <v>15.4018895</v>
      </c>
      <c r="V137" s="39" t="n">
        <f aca="false">V98</f>
        <v>58.1442899833333</v>
      </c>
      <c r="W137" s="39" t="n">
        <f aca="false">W98</f>
        <v>57.1559406915866</v>
      </c>
      <c r="X137" s="39" t="n">
        <f aca="false">X98</f>
        <v>63.3612204830679</v>
      </c>
      <c r="Y137" s="39" t="n">
        <f aca="false">Y98</f>
        <v>70.027667018495</v>
      </c>
      <c r="Z137" s="39" t="n">
        <f aca="false">Z98</f>
        <v>75.6103814796586</v>
      </c>
      <c r="AA137" s="22"/>
      <c r="AB137" s="1"/>
      <c r="AC137" s="23"/>
      <c r="AD137" s="23"/>
    </row>
    <row r="138" customFormat="false" ht="15" hidden="false" customHeight="true" outlineLevel="0" collapsed="false">
      <c r="B138" s="51" t="s">
        <v>226</v>
      </c>
      <c r="C138" s="52" t="n">
        <f aca="false">SUM(C134:C137)</f>
        <v>55.211</v>
      </c>
      <c r="D138" s="52" t="n">
        <f aca="false">SUM(D134:D137)</f>
        <v>76.236</v>
      </c>
      <c r="E138" s="20" t="n">
        <f aca="false">SUM(E134:E137)</f>
        <v>21.619</v>
      </c>
      <c r="F138" s="20" t="n">
        <f aca="false">SUM(F134:F137)</f>
        <v>26.623</v>
      </c>
      <c r="G138" s="20" t="n">
        <f aca="false">SUM(G134:G137)</f>
        <v>48.242</v>
      </c>
      <c r="H138" s="20" t="n">
        <f aca="false">SUM(H134:H137)</f>
        <v>25.894</v>
      </c>
      <c r="I138" s="20" t="n">
        <f aca="false">SUM(I134:I137)</f>
        <v>23.885</v>
      </c>
      <c r="J138" s="52" t="n">
        <f aca="false">SUM(J134:J137)</f>
        <v>98.021</v>
      </c>
      <c r="K138" s="20" t="n">
        <f aca="false">SUM(K134:K137)</f>
        <v>18.752</v>
      </c>
      <c r="L138" s="20" t="n">
        <f aca="false">SUM(L134:L137)</f>
        <v>30.791</v>
      </c>
      <c r="M138" s="20" t="n">
        <f aca="false">SUM(M134:M137)</f>
        <v>49.543</v>
      </c>
      <c r="N138" s="20" t="n">
        <f aca="false">SUM(N134:N137)</f>
        <v>32.833</v>
      </c>
      <c r="O138" s="20" t="n">
        <f aca="false">SUM(O134:O137)</f>
        <v>37.45</v>
      </c>
      <c r="P138" s="52" t="n">
        <f aca="false">SUM(P134:P137)</f>
        <v>119.826</v>
      </c>
      <c r="Q138" s="20" t="n">
        <f aca="false">SUM(Q134:Q137)</f>
        <v>37.91</v>
      </c>
      <c r="R138" s="20" t="n">
        <f aca="false">SUM(R134:R137)</f>
        <v>49.725</v>
      </c>
      <c r="S138" s="20" t="n">
        <f aca="false">SUM(S134:S137)</f>
        <v>87.6350000000001</v>
      </c>
      <c r="T138" s="52" t="n">
        <f aca="false">SUM(T134:T137)</f>
        <v>52.5427764194491</v>
      </c>
      <c r="U138" s="52" t="n">
        <f aca="false">SUM(U134:U137)</f>
        <v>60.5812235805509</v>
      </c>
      <c r="V138" s="52" t="n">
        <f aca="false">SUM(V134:V137)</f>
        <v>200.759</v>
      </c>
      <c r="W138" s="52" t="n">
        <f aca="false">SUM(W134:W137)</f>
        <v>269.499032722901</v>
      </c>
      <c r="X138" s="52" t="n">
        <f aca="false">SUM(X134:X137)</f>
        <v>336.098488094147</v>
      </c>
      <c r="Y138" s="52" t="n">
        <f aca="false">SUM(Y134:Y137)</f>
        <v>407.865262791322</v>
      </c>
      <c r="Z138" s="52" t="n">
        <f aca="false">SUM(Z134:Z137)</f>
        <v>485.467302983051</v>
      </c>
      <c r="AA138" s="22"/>
      <c r="AB138" s="1"/>
      <c r="AC138" s="23" t="n">
        <f aca="false">IFERROR(IF(AND(Z138&gt;0,P138&gt;0),(Z138/P138)^(1/5)-1,"n/m"),"n/m")</f>
        <v>0.322884063230276</v>
      </c>
      <c r="AD138" s="23" t="n">
        <f aca="false">IFERROR(IF(AND(P138&gt;0,C138&gt;0),(P138/C138)^(1/3)-1,"n/m"),"n/m")</f>
        <v>0.294717891787775</v>
      </c>
    </row>
    <row r="139" customFormat="false" ht="15" hidden="false" customHeight="true" outlineLevel="0" collapsed="false">
      <c r="B139" s="36" t="s">
        <v>227</v>
      </c>
      <c r="C139" s="37" t="n">
        <v>55.211</v>
      </c>
      <c r="D139" s="37" t="n">
        <v>76.237</v>
      </c>
      <c r="E139" s="37" t="n">
        <v>21.619</v>
      </c>
      <c r="F139" s="37" t="n">
        <v>26.623</v>
      </c>
      <c r="G139" s="38" t="n">
        <f aca="false">E139+F139</f>
        <v>48.242</v>
      </c>
      <c r="H139" s="37" t="n">
        <v>25.894</v>
      </c>
      <c r="I139" s="37" t="n">
        <v>23.885</v>
      </c>
      <c r="J139" s="37" t="n">
        <v>98.02</v>
      </c>
      <c r="K139" s="37" t="n">
        <v>18.752</v>
      </c>
      <c r="L139" s="37" t="n">
        <v>30.791</v>
      </c>
      <c r="M139" s="38" t="n">
        <f aca="false">K139+L139</f>
        <v>49.543</v>
      </c>
      <c r="N139" s="37" t="n">
        <v>32.833</v>
      </c>
      <c r="O139" s="37" t="n">
        <v>37.45</v>
      </c>
      <c r="P139" s="37" t="n">
        <v>119.826</v>
      </c>
      <c r="Q139" s="37" t="n">
        <v>37.91</v>
      </c>
      <c r="R139" s="37" t="n">
        <v>49.725</v>
      </c>
      <c r="S139" s="38" t="n">
        <f aca="false">Q139+R139</f>
        <v>87.635</v>
      </c>
      <c r="T139" s="39"/>
      <c r="U139" s="39"/>
      <c r="V139" s="39"/>
      <c r="W139" s="39"/>
      <c r="X139" s="39"/>
      <c r="Y139" s="39"/>
      <c r="Z139" s="39"/>
      <c r="AA139" s="22"/>
      <c r="AB139" s="1"/>
      <c r="AC139" s="7"/>
      <c r="AD139" s="7"/>
    </row>
    <row r="140" customFormat="false" ht="15" hidden="false" customHeight="true" outlineLevel="0" collapsed="false">
      <c r="B140" s="59" t="s">
        <v>228</v>
      </c>
      <c r="C140" s="38" t="n">
        <f aca="false">IF(ISNUMBER(C139),ROUND(C138-C139,1),"n/p")</f>
        <v>0</v>
      </c>
      <c r="D140" s="38" t="n">
        <f aca="false">IF(ISNUMBER(D139),ROUND(D138-D139,1),"n/p")</f>
        <v>-0</v>
      </c>
      <c r="E140" s="38" t="n">
        <f aca="false">IF(ISNUMBER(E139),ROUND(E138-E139,1),"n/p")</f>
        <v>0</v>
      </c>
      <c r="F140" s="38" t="n">
        <f aca="false">IF(ISNUMBER(F139),ROUND(F138-F139,1),"n/p")</f>
        <v>0</v>
      </c>
      <c r="G140" s="38" t="n">
        <f aca="false">IF(ISNUMBER(G139),ROUND(G138-G139,1),"n/p")</f>
        <v>0</v>
      </c>
      <c r="H140" s="38" t="n">
        <f aca="false">IF(ISNUMBER(H139),ROUND(H138-H139,1),"n/p")</f>
        <v>0</v>
      </c>
      <c r="I140" s="38" t="n">
        <f aca="false">IF(ISNUMBER(I139),ROUND(I138-I139,1),"n/p")</f>
        <v>0</v>
      </c>
      <c r="J140" s="38" t="n">
        <f aca="false">IF(ISNUMBER(J139),ROUND(J138-J139,1),"n/p")</f>
        <v>0</v>
      </c>
      <c r="K140" s="38" t="n">
        <f aca="false">IF(ISNUMBER(K139),ROUND(K138-K139,1),"n/p")</f>
        <v>0</v>
      </c>
      <c r="L140" s="38" t="n">
        <f aca="false">IF(ISNUMBER(L139),ROUND(L138-L139,1),"n/p")</f>
        <v>0</v>
      </c>
      <c r="M140" s="38" t="n">
        <f aca="false">IF(ISNUMBER(M139),ROUND(M138-M139,1),"n/p")</f>
        <v>0</v>
      </c>
      <c r="N140" s="38" t="n">
        <f aca="false">IF(ISNUMBER(N139),ROUND(N138-N139,1),"n/p")</f>
        <v>0</v>
      </c>
      <c r="O140" s="38" t="n">
        <f aca="false">IF(ISNUMBER(O139),ROUND(O138-O139,1),"n/p")</f>
        <v>0</v>
      </c>
      <c r="P140" s="38" t="n">
        <f aca="false">IF(ISNUMBER(P139),ROUND(P138-P139,1),"n/p")</f>
        <v>0</v>
      </c>
      <c r="Q140" s="38" t="n">
        <f aca="false">IF(ISNUMBER(Q139),ROUND(Q138-Q139,1),"n/p")</f>
        <v>0</v>
      </c>
      <c r="R140" s="38" t="n">
        <f aca="false">IF(ISNUMBER(R139),ROUND(R138-R139,1),"n/p")</f>
        <v>0</v>
      </c>
      <c r="S140" s="38" t="n">
        <f aca="false">IF(ISNUMBER(S139),ROUND(S138-S139,1),"n/p")</f>
        <v>0</v>
      </c>
      <c r="T140" s="39"/>
      <c r="U140" s="39"/>
      <c r="V140" s="39"/>
      <c r="W140" s="39"/>
      <c r="X140" s="39"/>
      <c r="Y140" s="39"/>
      <c r="Z140" s="39"/>
      <c r="AA140" s="22"/>
      <c r="AB140" s="1"/>
      <c r="AC140" s="7"/>
      <c r="AD140" s="7"/>
    </row>
    <row r="141" customFormat="false" ht="15" hidden="false" customHeight="true" outlineLevel="0" collapsed="false">
      <c r="B141" s="29" t="s">
        <v>207</v>
      </c>
      <c r="C141" s="38" t="n">
        <f aca="false">C59</f>
        <v>0.251</v>
      </c>
      <c r="D141" s="38" t="n">
        <f aca="false">D59</f>
        <v>0.356</v>
      </c>
      <c r="E141" s="38" t="n">
        <f aca="false">E59</f>
        <v>2.011</v>
      </c>
      <c r="F141" s="38" t="n">
        <f aca="false">F59</f>
        <v>0.079</v>
      </c>
      <c r="G141" s="38" t="n">
        <f aca="false">G59</f>
        <v>2.09</v>
      </c>
      <c r="H141" s="38" t="n">
        <f aca="false">H59</f>
        <v>1.074</v>
      </c>
      <c r="I141" s="38" t="n">
        <f aca="false">I59</f>
        <v>1.612</v>
      </c>
      <c r="J141" s="38" t="n">
        <f aca="false">J59</f>
        <v>4.776</v>
      </c>
      <c r="K141" s="38" t="n">
        <f aca="false">K59</f>
        <v>1.962</v>
      </c>
      <c r="L141" s="38" t="n">
        <f aca="false">L59</f>
        <v>3.904</v>
      </c>
      <c r="M141" s="38" t="n">
        <f aca="false">M59</f>
        <v>5.866</v>
      </c>
      <c r="N141" s="38" t="n">
        <f aca="false">N59</f>
        <v>3.533</v>
      </c>
      <c r="O141" s="38" t="n">
        <f aca="false">O59</f>
        <v>3.342</v>
      </c>
      <c r="P141" s="38" t="n">
        <f aca="false">P59</f>
        <v>12.741</v>
      </c>
      <c r="Q141" s="38" t="n">
        <f aca="false">Q59</f>
        <v>2.263</v>
      </c>
      <c r="R141" s="38" t="n">
        <f aca="false">R59</f>
        <v>1.392</v>
      </c>
      <c r="S141" s="38" t="n">
        <f aca="false">S59</f>
        <v>3.655</v>
      </c>
      <c r="T141" s="39" t="n">
        <f aca="false">T59</f>
        <v>1.5</v>
      </c>
      <c r="U141" s="39" t="n">
        <f aca="false">U59</f>
        <v>1.5</v>
      </c>
      <c r="V141" s="39" t="n">
        <f aca="false">V59</f>
        <v>6.655</v>
      </c>
      <c r="W141" s="39" t="n">
        <f aca="false">W59</f>
        <v>6</v>
      </c>
      <c r="X141" s="39" t="n">
        <f aca="false">X59</f>
        <v>6.75</v>
      </c>
      <c r="Y141" s="39" t="n">
        <f aca="false">Y59</f>
        <v>7.5</v>
      </c>
      <c r="Z141" s="39" t="n">
        <f aca="false">Z59</f>
        <v>7.5</v>
      </c>
      <c r="AA141" s="22"/>
      <c r="AB141" s="1"/>
      <c r="AC141" s="23"/>
      <c r="AD141" s="23"/>
    </row>
    <row r="142" customFormat="false" ht="15" hidden="false" customHeight="true" outlineLevel="0" collapsed="false">
      <c r="B142" s="29" t="s">
        <v>208</v>
      </c>
      <c r="C142" s="38" t="n">
        <f aca="false">C60</f>
        <v>3.507</v>
      </c>
      <c r="D142" s="38" t="n">
        <f aca="false">D60</f>
        <v>2.739</v>
      </c>
      <c r="E142" s="38" t="n">
        <f aca="false">E60</f>
        <v>0.416</v>
      </c>
      <c r="F142" s="38" t="n">
        <f aca="false">F60</f>
        <v>0.476</v>
      </c>
      <c r="G142" s="38" t="n">
        <f aca="false">G60</f>
        <v>0.892</v>
      </c>
      <c r="H142" s="38" t="n">
        <f aca="false">H60</f>
        <v>0.849</v>
      </c>
      <c r="I142" s="38" t="n">
        <f aca="false">I60</f>
        <v>0.514</v>
      </c>
      <c r="J142" s="38" t="n">
        <f aca="false">J60</f>
        <v>2.255</v>
      </c>
      <c r="K142" s="38" t="n">
        <f aca="false">K60</f>
        <v>0.261</v>
      </c>
      <c r="L142" s="38" t="n">
        <f aca="false">L60</f>
        <v>0.38</v>
      </c>
      <c r="M142" s="38" t="n">
        <f aca="false">M60</f>
        <v>0.641</v>
      </c>
      <c r="N142" s="38" t="n">
        <f aca="false">N60</f>
        <v>0.559</v>
      </c>
      <c r="O142" s="38" t="n">
        <f aca="false">O60</f>
        <v>1.079</v>
      </c>
      <c r="P142" s="38" t="n">
        <f aca="false">P60</f>
        <v>2.279</v>
      </c>
      <c r="Q142" s="38" t="n">
        <f aca="false">Q60</f>
        <v>1.41</v>
      </c>
      <c r="R142" s="38" t="n">
        <f aca="false">R60</f>
        <v>1.94</v>
      </c>
      <c r="S142" s="38" t="n">
        <f aca="false">S60</f>
        <v>3.35</v>
      </c>
      <c r="T142" s="39" t="n">
        <f aca="false">T60</f>
        <v>1.5</v>
      </c>
      <c r="U142" s="39" t="n">
        <f aca="false">U60</f>
        <v>1.5</v>
      </c>
      <c r="V142" s="39" t="n">
        <f aca="false">V60</f>
        <v>6.35</v>
      </c>
      <c r="W142" s="39" t="n">
        <f aca="false">W60</f>
        <v>2</v>
      </c>
      <c r="X142" s="39" t="n">
        <f aca="false">X60</f>
        <v>2</v>
      </c>
      <c r="Y142" s="39" t="n">
        <f aca="false">Y60</f>
        <v>2</v>
      </c>
      <c r="Z142" s="39" t="n">
        <f aca="false">Z60</f>
        <v>2</v>
      </c>
      <c r="AA142" s="22"/>
      <c r="AB142" s="1"/>
      <c r="AC142" s="23"/>
      <c r="AD142" s="23"/>
    </row>
    <row r="143" customFormat="false" ht="15" hidden="false" customHeight="true" outlineLevel="0" collapsed="false">
      <c r="B143" s="29" t="s">
        <v>209</v>
      </c>
      <c r="C143" s="38" t="n">
        <f aca="false">C61</f>
        <v>0</v>
      </c>
      <c r="D143" s="38" t="n">
        <f aca="false">D61</f>
        <v>0.5</v>
      </c>
      <c r="E143" s="38" t="n">
        <f aca="false">E61</f>
        <v>0</v>
      </c>
      <c r="F143" s="38" t="n">
        <f aca="false">F61</f>
        <v>0</v>
      </c>
      <c r="G143" s="38" t="n">
        <f aca="false">G61</f>
        <v>0</v>
      </c>
      <c r="H143" s="38" t="n">
        <f aca="false">H61</f>
        <v>0</v>
      </c>
      <c r="I143" s="38" t="n">
        <f aca="false">I61</f>
        <v>0.1</v>
      </c>
      <c r="J143" s="38" t="n">
        <f aca="false">J61</f>
        <v>0.1</v>
      </c>
      <c r="K143" s="38" t="n">
        <f aca="false">K61</f>
        <v>1.26</v>
      </c>
      <c r="L143" s="38" t="n">
        <f aca="false">L61</f>
        <v>0.206</v>
      </c>
      <c r="M143" s="38" t="n">
        <f aca="false">M61</f>
        <v>1.466</v>
      </c>
      <c r="N143" s="38" t="n">
        <f aca="false">N61</f>
        <v>0</v>
      </c>
      <c r="O143" s="38" t="n">
        <f aca="false">O61</f>
        <v>0.106</v>
      </c>
      <c r="P143" s="38" t="n">
        <f aca="false">P61</f>
        <v>1.572</v>
      </c>
      <c r="Q143" s="38" t="n">
        <f aca="false">Q61</f>
        <v>0.735</v>
      </c>
      <c r="R143" s="38" t="n">
        <f aca="false">R61</f>
        <v>0.045</v>
      </c>
      <c r="S143" s="38" t="n">
        <f aca="false">S61</f>
        <v>0.78</v>
      </c>
      <c r="T143" s="39" t="n">
        <f aca="false">T61</f>
        <v>0.5</v>
      </c>
      <c r="U143" s="39" t="n">
        <f aca="false">U61</f>
        <v>0</v>
      </c>
      <c r="V143" s="39" t="n">
        <f aca="false">V61</f>
        <v>1.28</v>
      </c>
      <c r="W143" s="39" t="n">
        <f aca="false">W61</f>
        <v>0</v>
      </c>
      <c r="X143" s="39" t="n">
        <f aca="false">X61</f>
        <v>0</v>
      </c>
      <c r="Y143" s="39" t="n">
        <f aca="false">Y61</f>
        <v>0</v>
      </c>
      <c r="Z143" s="39" t="n">
        <f aca="false">Z61</f>
        <v>0</v>
      </c>
      <c r="AA143" s="22"/>
      <c r="AB143" s="1"/>
      <c r="AC143" s="23"/>
      <c r="AD143" s="23"/>
    </row>
    <row r="144" customFormat="false" ht="15" hidden="false" customHeight="true" outlineLevel="0" collapsed="false">
      <c r="B144" s="29" t="s">
        <v>210</v>
      </c>
      <c r="C144" s="38" t="n">
        <f aca="false">C58</f>
        <v>1.603</v>
      </c>
      <c r="D144" s="38" t="n">
        <f aca="false">D58</f>
        <v>1.291</v>
      </c>
      <c r="E144" s="38" t="n">
        <f aca="false">E58</f>
        <v>0.251</v>
      </c>
      <c r="F144" s="38" t="n">
        <f aca="false">F58</f>
        <v>0.246</v>
      </c>
      <c r="G144" s="38" t="n">
        <f aca="false">G58</f>
        <v>0.497</v>
      </c>
      <c r="H144" s="38" t="n">
        <f aca="false">H58</f>
        <v>0.248</v>
      </c>
      <c r="I144" s="38" t="n">
        <f aca="false">I58</f>
        <v>0.248</v>
      </c>
      <c r="J144" s="38" t="n">
        <f aca="false">J58</f>
        <v>0.993</v>
      </c>
      <c r="K144" s="38" t="n">
        <f aca="false">K58</f>
        <v>8.084</v>
      </c>
      <c r="L144" s="38" t="n">
        <f aca="false">L58</f>
        <v>0</v>
      </c>
      <c r="M144" s="38" t="n">
        <f aca="false">M58</f>
        <v>8.084</v>
      </c>
      <c r="N144" s="38" t="n">
        <f aca="false">N58</f>
        <v>0</v>
      </c>
      <c r="O144" s="38" t="n">
        <f aca="false">O58</f>
        <v>0</v>
      </c>
      <c r="P144" s="38" t="n">
        <f aca="false">P58</f>
        <v>8.084</v>
      </c>
      <c r="Q144" s="38" t="n">
        <f aca="false">Q58</f>
        <v>0</v>
      </c>
      <c r="R144" s="38" t="n">
        <f aca="false">R58</f>
        <v>1.444</v>
      </c>
      <c r="S144" s="38" t="n">
        <f aca="false">S58</f>
        <v>1.444</v>
      </c>
      <c r="T144" s="39" t="n">
        <f aca="false">T58</f>
        <v>1.5</v>
      </c>
      <c r="U144" s="39" t="n">
        <f aca="false">U58</f>
        <v>1.5</v>
      </c>
      <c r="V144" s="39" t="n">
        <f aca="false">V58</f>
        <v>4.444</v>
      </c>
      <c r="W144" s="39" t="n">
        <f aca="false">W58</f>
        <v>7.66570283841156</v>
      </c>
      <c r="X144" s="39" t="n">
        <f aca="false">X58</f>
        <v>9.50039045083028</v>
      </c>
      <c r="Y144" s="39" t="n">
        <f aca="false">Y58</f>
        <v>11.470765807393</v>
      </c>
      <c r="Z144" s="39" t="n">
        <f aca="false">Z58</f>
        <v>13.5390425518776</v>
      </c>
      <c r="AA144" s="22"/>
      <c r="AB144" s="1"/>
      <c r="AC144" s="23"/>
      <c r="AD144" s="23"/>
    </row>
    <row r="145" customFormat="false" ht="15" hidden="false" customHeight="true" outlineLevel="0" collapsed="false">
      <c r="B145" s="29" t="s">
        <v>229</v>
      </c>
      <c r="C145" s="38" t="n">
        <f aca="false">C62</f>
        <v>-0.281</v>
      </c>
      <c r="D145" s="38" t="n">
        <f aca="false">D62</f>
        <v>0.739</v>
      </c>
      <c r="E145" s="38" t="n">
        <f aca="false">E62</f>
        <v>0</v>
      </c>
      <c r="F145" s="38" t="n">
        <f aca="false">F62</f>
        <v>0</v>
      </c>
      <c r="G145" s="38" t="n">
        <f aca="false">G62</f>
        <v>0</v>
      </c>
      <c r="H145" s="38" t="n">
        <f aca="false">H62</f>
        <v>0</v>
      </c>
      <c r="I145" s="38" t="n">
        <f aca="false">I62</f>
        <v>0</v>
      </c>
      <c r="J145" s="38" t="n">
        <f aca="false">J62</f>
        <v>0</v>
      </c>
      <c r="K145" s="38" t="n">
        <f aca="false">K62</f>
        <v>0</v>
      </c>
      <c r="L145" s="38" t="n">
        <f aca="false">L62</f>
        <v>0</v>
      </c>
      <c r="M145" s="38" t="n">
        <f aca="false">M62</f>
        <v>0</v>
      </c>
      <c r="N145" s="38" t="n">
        <f aca="false">N62</f>
        <v>0.8</v>
      </c>
      <c r="O145" s="38" t="n">
        <f aca="false">O62</f>
        <v>0</v>
      </c>
      <c r="P145" s="38" t="n">
        <f aca="false">P62</f>
        <v>0.8</v>
      </c>
      <c r="Q145" s="38" t="n">
        <f aca="false">Q62</f>
        <v>2.468</v>
      </c>
      <c r="R145" s="38" t="n">
        <f aca="false">R62</f>
        <v>0.034</v>
      </c>
      <c r="S145" s="38" t="n">
        <f aca="false">S62</f>
        <v>2.502</v>
      </c>
      <c r="T145" s="39" t="n">
        <f aca="false">T62</f>
        <v>0</v>
      </c>
      <c r="U145" s="39" t="n">
        <f aca="false">U62</f>
        <v>0</v>
      </c>
      <c r="V145" s="39" t="n">
        <f aca="false">V62</f>
        <v>2.502</v>
      </c>
      <c r="W145" s="39" t="n">
        <f aca="false">W62</f>
        <v>0</v>
      </c>
      <c r="X145" s="39" t="n">
        <f aca="false">X62</f>
        <v>0</v>
      </c>
      <c r="Y145" s="39" t="n">
        <f aca="false">Y62</f>
        <v>0</v>
      </c>
      <c r="Z145" s="39" t="n">
        <f aca="false">Z62</f>
        <v>0</v>
      </c>
      <c r="AA145" s="22"/>
      <c r="AB145" s="1"/>
      <c r="AC145" s="23"/>
      <c r="AD145" s="23"/>
    </row>
    <row r="146" customFormat="false" ht="15" hidden="false" customHeight="true" outlineLevel="0" collapsed="false">
      <c r="B146" s="51" t="s">
        <v>230</v>
      </c>
      <c r="C146" s="52" t="n">
        <f aca="false">C138+SUM(C141:C145)</f>
        <v>60.291</v>
      </c>
      <c r="D146" s="52" t="n">
        <f aca="false">D138+SUM(D141:D145)</f>
        <v>81.861</v>
      </c>
      <c r="E146" s="20" t="n">
        <f aca="false">E138+SUM(E141:E145)</f>
        <v>24.297</v>
      </c>
      <c r="F146" s="20" t="n">
        <f aca="false">F138+SUM(F141:F145)</f>
        <v>27.424</v>
      </c>
      <c r="G146" s="20" t="n">
        <f aca="false">G138+SUM(G141:G145)</f>
        <v>51.721</v>
      </c>
      <c r="H146" s="20" t="n">
        <f aca="false">H138+SUM(H141:H145)</f>
        <v>28.065</v>
      </c>
      <c r="I146" s="20" t="n">
        <f aca="false">I138+SUM(I141:I145)</f>
        <v>26.359</v>
      </c>
      <c r="J146" s="52" t="n">
        <f aca="false">J138+SUM(J141:J145)</f>
        <v>106.145</v>
      </c>
      <c r="K146" s="20" t="n">
        <f aca="false">K138+SUM(K141:K145)</f>
        <v>30.319</v>
      </c>
      <c r="L146" s="20" t="n">
        <f aca="false">L138+SUM(L141:L145)</f>
        <v>35.281</v>
      </c>
      <c r="M146" s="20" t="n">
        <f aca="false">M138+SUM(M141:M145)</f>
        <v>65.6</v>
      </c>
      <c r="N146" s="20" t="n">
        <f aca="false">N138+SUM(N141:N145)</f>
        <v>37.725</v>
      </c>
      <c r="O146" s="20" t="n">
        <f aca="false">O138+SUM(O141:O145)</f>
        <v>41.977</v>
      </c>
      <c r="P146" s="52" t="n">
        <f aca="false">P138+SUM(P141:P145)</f>
        <v>145.302</v>
      </c>
      <c r="Q146" s="20" t="n">
        <f aca="false">Q138+SUM(Q141:Q145)</f>
        <v>44.786</v>
      </c>
      <c r="R146" s="20" t="n">
        <f aca="false">R138+SUM(R141:R145)</f>
        <v>54.58</v>
      </c>
      <c r="S146" s="20" t="n">
        <f aca="false">S138+SUM(S141:S145)</f>
        <v>99.366</v>
      </c>
      <c r="T146" s="52" t="n">
        <f aca="false">T138+SUM(T141:T145)</f>
        <v>57.5427764194491</v>
      </c>
      <c r="U146" s="52" t="n">
        <f aca="false">U138+SUM(U141:U145)</f>
        <v>65.0812235805509</v>
      </c>
      <c r="V146" s="52" t="n">
        <f aca="false">V138+SUM(V141:V145)</f>
        <v>221.99</v>
      </c>
      <c r="W146" s="52" t="n">
        <f aca="false">W138+SUM(W141:W145)</f>
        <v>285.164735561312</v>
      </c>
      <c r="X146" s="52" t="n">
        <f aca="false">X138+SUM(X141:X145)</f>
        <v>354.348878544977</v>
      </c>
      <c r="Y146" s="52" t="n">
        <f aca="false">Y138+SUM(Y141:Y145)</f>
        <v>428.836028598715</v>
      </c>
      <c r="Z146" s="52" t="n">
        <f aca="false">Z138+SUM(Z141:Z145)</f>
        <v>508.506345534929</v>
      </c>
      <c r="AA146" s="22"/>
      <c r="AB146" s="1"/>
      <c r="AC146" s="23" t="n">
        <f aca="false">IFERROR(IF(AND(Z146&gt;0,P146&gt;0),(Z146/P146)^(1/5)-1,"n/m"),"n/m")</f>
        <v>0.284709563073962</v>
      </c>
      <c r="AD146" s="23" t="n">
        <f aca="false">IFERROR(IF(AND(P146&gt;0,C146&gt;0),(P146/C146)^(1/3)-1,"n/m"),"n/m")</f>
        <v>0.340724981660272</v>
      </c>
    </row>
    <row r="147" customFormat="false" ht="15" hidden="false" customHeight="true" outlineLevel="0" collapsed="false">
      <c r="B147" s="25" t="s">
        <v>124</v>
      </c>
      <c r="C147" s="31" t="n">
        <f aca="false">IFERROR(C146/C92,"")</f>
        <v>0.266408908134859</v>
      </c>
      <c r="D147" s="31" t="n">
        <f aca="false">IFERROR(D146/D92,"")</f>
        <v>0.291626440569281</v>
      </c>
      <c r="E147" s="31" t="n">
        <f aca="false">IFERROR(E146/E92,"")</f>
        <v>0.292713779726767</v>
      </c>
      <c r="F147" s="31" t="n">
        <f aca="false">IFERROR(F146/F92,"")</f>
        <v>0.322487329343007</v>
      </c>
      <c r="G147" s="31" t="n">
        <f aca="false">IFERROR(G146/G92,"")</f>
        <v>0.30778065399149</v>
      </c>
      <c r="H147" s="31" t="n">
        <f aca="false">IFERROR(H146/H92,"")</f>
        <v>0.326458682300391</v>
      </c>
      <c r="I147" s="31" t="n">
        <f aca="false">IFERROR(I146/I92,"")</f>
        <v>0.288903746246082</v>
      </c>
      <c r="J147" s="31" t="n">
        <f aca="false">IFERROR(J146/J92,"")</f>
        <v>0.307442990751656</v>
      </c>
      <c r="K147" s="31" t="n">
        <f aca="false">IFERROR(K146/K92,"")</f>
        <v>0.302814510007591</v>
      </c>
      <c r="L147" s="31" t="n">
        <f aca="false">IFERROR(L146/L92,"")</f>
        <v>0.30653275063642</v>
      </c>
      <c r="M147" s="31" t="n">
        <f aca="false">IFERROR(M146/M92,"")</f>
        <v>0.304802969970403</v>
      </c>
      <c r="N147" s="31" t="n">
        <f aca="false">IFERROR(N146/N92,"")</f>
        <v>0.309762125678439</v>
      </c>
      <c r="O147" s="31" t="n">
        <f aca="false">IFERROR(O146/O92,"")</f>
        <v>0.312115218749071</v>
      </c>
      <c r="P147" s="31" t="n">
        <f aca="false">IFERROR(P146/P92,"")</f>
        <v>0.30816967126193</v>
      </c>
      <c r="Q147" s="31" t="n">
        <f aca="false">IFERROR(Q146/Q92,"")</f>
        <v>0.296184114807222</v>
      </c>
      <c r="R147" s="31" t="n">
        <f aca="false">IFERROR(R146/R92,"")</f>
        <v>0.299786337696292</v>
      </c>
      <c r="S147" s="31" t="n">
        <f aca="false">IFERROR(S146/S92,"")</f>
        <v>0.298151965505757</v>
      </c>
      <c r="T147" s="27" t="n">
        <f aca="false">IFERROR(T146/T92,"")</f>
        <v>0.29494936154151</v>
      </c>
      <c r="U147" s="27" t="n">
        <f aca="false">IFERROR(U146/U92,"")</f>
        <v>0.29430772169283</v>
      </c>
      <c r="V147" s="27" t="n">
        <f aca="false">IFERROR(V146/V92,"")</f>
        <v>0.296184122748499</v>
      </c>
      <c r="W147" s="27" t="n">
        <f aca="false">IFERROR(W146/W92,"")</f>
        <v>0.297600615700781</v>
      </c>
      <c r="X147" s="27" t="n">
        <f aca="false">IFERROR(X146/X92,"")</f>
        <v>0.298386791893598</v>
      </c>
      <c r="Y147" s="27" t="n">
        <f aca="false">IFERROR(Y146/Y92,"")</f>
        <v>0.299081010491786</v>
      </c>
      <c r="Z147" s="27" t="n">
        <f aca="false">IFERROR(Z146/Z92,"")</f>
        <v>0.300468127542391</v>
      </c>
      <c r="AA147" s="22"/>
      <c r="AB147" s="1"/>
      <c r="AC147" s="28" t="n">
        <f aca="false">IFERROR(AVERAGE(V147,W147,X147,Y147,Z147),"n/m")</f>
        <v>0.298344133675411</v>
      </c>
      <c r="AD147" s="28" t="n">
        <f aca="false">IFERROR(AVERAGE(C147,D147,J147,P147),"n/m")</f>
        <v>0.293412002679432</v>
      </c>
    </row>
    <row r="148" customFormat="false" ht="15" hidden="false" customHeight="true" outlineLevel="0" collapsed="false">
      <c r="B148" s="59" t="s">
        <v>231</v>
      </c>
      <c r="C148" s="38" t="n">
        <f aca="false">IF(ISNUMBER(C129),ROUND(C146-C129,1),"n/p")</f>
        <v>0</v>
      </c>
      <c r="D148" s="38" t="n">
        <f aca="false">IF(ISNUMBER(D129),ROUND(D146-D129,1),"n/p")</f>
        <v>-0</v>
      </c>
      <c r="E148" s="38" t="n">
        <f aca="false">IF(ISNUMBER(E129),ROUND(E146-E129,1),"n/p")</f>
        <v>0</v>
      </c>
      <c r="F148" s="38" t="n">
        <f aca="false">IF(ISNUMBER(F129),ROUND(F146-F129,1),"n/p")</f>
        <v>0</v>
      </c>
      <c r="G148" s="38" t="n">
        <f aca="false">IF(ISNUMBER(G129),ROUND(G146-G129,1),"n/p")</f>
        <v>0</v>
      </c>
      <c r="H148" s="38" t="n">
        <f aca="false">IF(ISNUMBER(H129),ROUND(H146-H129,1),"n/p")</f>
        <v>0</v>
      </c>
      <c r="I148" s="38" t="n">
        <f aca="false">IF(ISNUMBER(I129),ROUND(I146-I129,1),"n/p")</f>
        <v>0</v>
      </c>
      <c r="J148" s="38" t="n">
        <f aca="false">IF(ISNUMBER(J129),ROUND(J146-J129,1),"n/p")</f>
        <v>0</v>
      </c>
      <c r="K148" s="38" t="n">
        <f aca="false">IF(ISNUMBER(K129),ROUND(K146-K129,1),"n/p")</f>
        <v>0</v>
      </c>
      <c r="L148" s="38" t="n">
        <f aca="false">IF(ISNUMBER(L129),ROUND(L146-L129,1),"n/p")</f>
        <v>0</v>
      </c>
      <c r="M148" s="38" t="n">
        <f aca="false">IF(ISNUMBER(M129),ROUND(M146-M129,1),"n/p")</f>
        <v>0</v>
      </c>
      <c r="N148" s="38" t="n">
        <f aca="false">IF(ISNUMBER(N129),ROUND(N146-N129,1),"n/p")</f>
        <v>0</v>
      </c>
      <c r="O148" s="38" t="n">
        <f aca="false">IF(ISNUMBER(O129),ROUND(O146-O129,1),"n/p")</f>
        <v>0</v>
      </c>
      <c r="P148" s="38" t="n">
        <f aca="false">IF(ISNUMBER(P129),ROUND(P146-P129,1),"n/p")</f>
        <v>0</v>
      </c>
      <c r="Q148" s="38" t="n">
        <f aca="false">IF(ISNUMBER(Q129),ROUND(Q146-Q129,1),"n/p")</f>
        <v>0</v>
      </c>
      <c r="R148" s="38" t="n">
        <f aca="false">IF(ISNUMBER(R129),ROUND(R146-R129,1),"n/p")</f>
        <v>0</v>
      </c>
      <c r="S148" s="38" t="n">
        <f aca="false">IF(ISNUMBER(S129),ROUND(S146-S129,1),"n/p")</f>
        <v>0</v>
      </c>
      <c r="T148" s="39"/>
      <c r="U148" s="39"/>
      <c r="V148" s="39"/>
      <c r="W148" s="39"/>
      <c r="X148" s="39"/>
      <c r="Y148" s="39"/>
      <c r="Z148" s="39"/>
      <c r="AA148" s="22"/>
      <c r="AB148" s="1"/>
      <c r="AC148" s="7"/>
      <c r="AD148" s="7"/>
    </row>
    <row r="149" customFormat="false" ht="15" hidden="false" customHeight="true" outlineLevel="0" collapsed="false">
      <c r="B149" s="66" t="s">
        <v>232</v>
      </c>
      <c r="C149" s="1"/>
      <c r="D149" s="1"/>
      <c r="E149" s="67"/>
      <c r="F149" s="1"/>
      <c r="G149" s="1"/>
      <c r="H149" s="1"/>
      <c r="I149" s="1"/>
      <c r="J149" s="1"/>
      <c r="K149" s="67"/>
      <c r="L149" s="1"/>
      <c r="M149" s="1"/>
      <c r="N149" s="1"/>
      <c r="O149" s="1"/>
      <c r="P149" s="1"/>
      <c r="Q149" s="1"/>
      <c r="R149" s="1"/>
      <c r="S149" s="1"/>
      <c r="T149" s="7"/>
      <c r="U149" s="7"/>
      <c r="V149" s="7"/>
      <c r="W149" s="7"/>
      <c r="X149" s="7"/>
      <c r="Y149" s="7"/>
      <c r="Z149" s="7"/>
      <c r="AA149" s="22" t="s">
        <v>233</v>
      </c>
      <c r="AB149" s="1"/>
      <c r="AC149" s="7"/>
      <c r="AD149" s="7"/>
    </row>
    <row r="150" customFormat="false" ht="15" hidden="false" customHeight="true" outlineLevel="0" collapsed="false">
      <c r="B150" s="36" t="s">
        <v>234</v>
      </c>
      <c r="C150" s="37"/>
      <c r="D150" s="37"/>
      <c r="E150" s="37"/>
      <c r="F150" s="37"/>
      <c r="G150" s="38"/>
      <c r="H150" s="37"/>
      <c r="I150" s="37"/>
      <c r="J150" s="37"/>
      <c r="K150" s="37"/>
      <c r="L150" s="37"/>
      <c r="M150" s="38"/>
      <c r="N150" s="37"/>
      <c r="O150" s="37"/>
      <c r="P150" s="37"/>
      <c r="Q150" s="37"/>
      <c r="R150" s="37"/>
      <c r="S150" s="38"/>
      <c r="T150" s="39"/>
      <c r="U150" s="39"/>
      <c r="V150" s="39"/>
      <c r="W150" s="39"/>
      <c r="X150" s="39"/>
      <c r="Y150" s="39"/>
      <c r="Z150" s="39"/>
      <c r="AA150" s="22"/>
      <c r="AB150" s="1"/>
      <c r="AC150" s="7"/>
      <c r="AD150" s="7"/>
    </row>
    <row r="151" customFormat="false" ht="15" hidden="false" customHeight="true" outlineLevel="0" collapsed="false">
      <c r="B151" s="29" t="s">
        <v>235</v>
      </c>
      <c r="C151" s="38" t="n">
        <f aca="false">-C106</f>
        <v>-34.982</v>
      </c>
      <c r="D151" s="38" t="n">
        <f aca="false">-D106</f>
        <v>-27.179</v>
      </c>
      <c r="E151" s="38" t="n">
        <f aca="false">-E106</f>
        <v>-7.35</v>
      </c>
      <c r="F151" s="38" t="n">
        <f aca="false">-F106</f>
        <v>-8.306</v>
      </c>
      <c r="G151" s="38" t="n">
        <f aca="false">-G106</f>
        <v>-15.656</v>
      </c>
      <c r="H151" s="38" t="n">
        <f aca="false">-H106</f>
        <v>-8.136</v>
      </c>
      <c r="I151" s="38" t="n">
        <f aca="false">-I106</f>
        <v>-9.168</v>
      </c>
      <c r="J151" s="38" t="n">
        <f aca="false">-J106</f>
        <v>-32.959</v>
      </c>
      <c r="K151" s="38" t="n">
        <f aca="false">-K106</f>
        <v>-8.869</v>
      </c>
      <c r="L151" s="38" t="n">
        <f aca="false">-L106</f>
        <v>-10.307</v>
      </c>
      <c r="M151" s="38" t="n">
        <f aca="false">-M106</f>
        <v>-19.176</v>
      </c>
      <c r="N151" s="38" t="n">
        <f aca="false">-N106</f>
        <v>-10.97</v>
      </c>
      <c r="O151" s="38" t="n">
        <f aca="false">-O106</f>
        <v>-12.591</v>
      </c>
      <c r="P151" s="38" t="n">
        <f aca="false">-P106</f>
        <v>-42.737</v>
      </c>
      <c r="Q151" s="38" t="n">
        <f aca="false">-Q106</f>
        <v>-16.632</v>
      </c>
      <c r="R151" s="38" t="n">
        <f aca="false">-R106</f>
        <v>-15.176</v>
      </c>
      <c r="S151" s="38" t="n">
        <f aca="false">-S106</f>
        <v>-31.808</v>
      </c>
      <c r="T151" s="39" t="n">
        <f aca="false">-T106</f>
        <v>-15.635355</v>
      </c>
      <c r="U151" s="39" t="n">
        <f aca="false">-U106</f>
        <v>-16.3980842</v>
      </c>
      <c r="V151" s="39" t="n">
        <f aca="false">-V106</f>
        <v>-63.8414392</v>
      </c>
      <c r="W151" s="39" t="n">
        <f aca="false">-W106</f>
        <v>-71.2591585152347</v>
      </c>
      <c r="X151" s="39" t="n">
        <f aca="false">-X106</f>
        <v>-80.5045464651984</v>
      </c>
      <c r="Y151" s="39" t="n">
        <f aca="false">-Y106</f>
        <v>-95.6657134749513</v>
      </c>
      <c r="Z151" s="39" t="n">
        <f aca="false">-Z106</f>
        <v>-113.651746750322</v>
      </c>
      <c r="AA151" s="22"/>
      <c r="AB151" s="1"/>
      <c r="AC151" s="23"/>
      <c r="AD151" s="23"/>
    </row>
    <row r="152" customFormat="false" ht="15" hidden="false" customHeight="true" outlineLevel="0" collapsed="false">
      <c r="B152" s="29" t="s">
        <v>206</v>
      </c>
      <c r="C152" s="38" t="n">
        <f aca="false">C66</f>
        <v>24.856</v>
      </c>
      <c r="D152" s="38" t="n">
        <f aca="false">D66</f>
        <v>14.406</v>
      </c>
      <c r="E152" s="38" t="n">
        <f aca="false">E66</f>
        <v>3.9</v>
      </c>
      <c r="F152" s="38" t="n">
        <f aca="false">F66</f>
        <v>4.4</v>
      </c>
      <c r="G152" s="38" t="n">
        <f aca="false">G66</f>
        <v>8.3</v>
      </c>
      <c r="H152" s="38" t="n">
        <f aca="false">H66</f>
        <v>4.3</v>
      </c>
      <c r="I152" s="38" t="n">
        <f aca="false">I66</f>
        <v>4.3</v>
      </c>
      <c r="J152" s="38" t="n">
        <f aca="false">J66</f>
        <v>16.9</v>
      </c>
      <c r="K152" s="38" t="n">
        <f aca="false">K66</f>
        <v>4.4</v>
      </c>
      <c r="L152" s="38" t="n">
        <f aca="false">L66</f>
        <v>5.5</v>
      </c>
      <c r="M152" s="38" t="n">
        <f aca="false">M66</f>
        <v>9.9</v>
      </c>
      <c r="N152" s="38" t="n">
        <f aca="false">N66</f>
        <v>6</v>
      </c>
      <c r="O152" s="38" t="n">
        <f aca="false">O66</f>
        <v>7.3</v>
      </c>
      <c r="P152" s="38" t="n">
        <f aca="false">P66</f>
        <v>23.2</v>
      </c>
      <c r="Q152" s="38" t="n">
        <f aca="false">Q66</f>
        <v>10.9</v>
      </c>
      <c r="R152" s="38" t="n">
        <f aca="false">R66</f>
        <v>9.2</v>
      </c>
      <c r="S152" s="38" t="n">
        <f aca="false">S66</f>
        <v>20.1</v>
      </c>
      <c r="T152" s="39" t="n">
        <f aca="false">T66</f>
        <v>9.496875</v>
      </c>
      <c r="U152" s="39" t="n">
        <f aca="false">U66</f>
        <v>10.090625</v>
      </c>
      <c r="V152" s="39" t="n">
        <f aca="false">V66</f>
        <v>39.6875</v>
      </c>
      <c r="W152" s="39" t="n">
        <f aca="false">W66</f>
        <v>40.3125</v>
      </c>
      <c r="X152" s="39" t="n">
        <f aca="false">X66</f>
        <v>41.28125</v>
      </c>
      <c r="Y152" s="39" t="n">
        <f aca="false">Y66</f>
        <v>48.1875</v>
      </c>
      <c r="Z152" s="39" t="n">
        <f aca="false">Z66</f>
        <v>57.0625</v>
      </c>
      <c r="AA152" s="22"/>
      <c r="AB152" s="1"/>
      <c r="AC152" s="23"/>
      <c r="AD152" s="23"/>
    </row>
    <row r="153" customFormat="false" ht="15" hidden="false" customHeight="true" outlineLevel="0" collapsed="false">
      <c r="B153" s="29" t="s">
        <v>236</v>
      </c>
      <c r="C153" s="38" t="n">
        <f aca="false">-C99</f>
        <v>0.206</v>
      </c>
      <c r="D153" s="38" t="n">
        <f aca="false">-D99</f>
        <v>-0.563</v>
      </c>
      <c r="E153" s="38" t="n">
        <f aca="false">-E99</f>
        <v>-0.77</v>
      </c>
      <c r="F153" s="38" t="n">
        <f aca="false">-F99</f>
        <v>-0.036</v>
      </c>
      <c r="G153" s="38" t="n">
        <f aca="false">-G99</f>
        <v>-0.806</v>
      </c>
      <c r="H153" s="38" t="n">
        <f aca="false">-H99</f>
        <v>-0.351</v>
      </c>
      <c r="I153" s="38" t="n">
        <f aca="false">-I99</f>
        <v>-0.345</v>
      </c>
      <c r="J153" s="38" t="n">
        <f aca="false">-J99</f>
        <v>-1.502</v>
      </c>
      <c r="K153" s="38" t="n">
        <f aca="false">-K99</f>
        <v>0.08</v>
      </c>
      <c r="L153" s="38" t="n">
        <f aca="false">-L99</f>
        <v>-0.38</v>
      </c>
      <c r="M153" s="38" t="n">
        <f aca="false">-M99</f>
        <v>-0.3</v>
      </c>
      <c r="N153" s="38" t="n">
        <f aca="false">-N99</f>
        <v>-0.051</v>
      </c>
      <c r="O153" s="38" t="n">
        <f aca="false">-O99</f>
        <v>-3.796</v>
      </c>
      <c r="P153" s="38" t="n">
        <f aca="false">-P99</f>
        <v>-4.147</v>
      </c>
      <c r="Q153" s="38" t="n">
        <f aca="false">-Q99</f>
        <v>0.174</v>
      </c>
      <c r="R153" s="38" t="n">
        <f aca="false">-R99</f>
        <v>0.28</v>
      </c>
      <c r="S153" s="38" t="n">
        <f aca="false">-S99</f>
        <v>0.454</v>
      </c>
      <c r="T153" s="39" t="n">
        <f aca="false">-T99</f>
        <v>-0</v>
      </c>
      <c r="U153" s="39" t="n">
        <f aca="false">-U99</f>
        <v>-0</v>
      </c>
      <c r="V153" s="39" t="n">
        <f aca="false">-V99</f>
        <v>0.454</v>
      </c>
      <c r="W153" s="39" t="n">
        <f aca="false">-W99</f>
        <v>-0</v>
      </c>
      <c r="X153" s="39" t="n">
        <f aca="false">-X99</f>
        <v>-0</v>
      </c>
      <c r="Y153" s="39" t="n">
        <f aca="false">-Y99</f>
        <v>-0</v>
      </c>
      <c r="Z153" s="39" t="n">
        <f aca="false">-Z99</f>
        <v>-0</v>
      </c>
      <c r="AA153" s="22"/>
      <c r="AB153" s="1"/>
      <c r="AC153" s="23"/>
      <c r="AD153" s="23"/>
    </row>
    <row r="154" customFormat="false" ht="15" hidden="false" customHeight="true" outlineLevel="0" collapsed="false">
      <c r="B154" s="18" t="s">
        <v>237</v>
      </c>
      <c r="C154" s="20" t="n">
        <f aca="false">C146+C151+C152+C153</f>
        <v>50.371</v>
      </c>
      <c r="D154" s="20" t="n">
        <f aca="false">D146+D151+D152+D153</f>
        <v>68.525</v>
      </c>
      <c r="E154" s="20" t="n">
        <f aca="false">E146+E151+E152+E153</f>
        <v>20.077</v>
      </c>
      <c r="F154" s="20" t="n">
        <f aca="false">F146+F151+F152+F153</f>
        <v>23.482</v>
      </c>
      <c r="G154" s="20" t="n">
        <f aca="false">G146+G151+G152+G153</f>
        <v>43.559</v>
      </c>
      <c r="H154" s="20" t="n">
        <f aca="false">H146+H151+H152+H153</f>
        <v>23.878</v>
      </c>
      <c r="I154" s="20" t="n">
        <f aca="false">I146+I151+I152+I153</f>
        <v>21.146</v>
      </c>
      <c r="J154" s="20" t="n">
        <f aca="false">J146+J151+J152+J153</f>
        <v>88.584</v>
      </c>
      <c r="K154" s="20" t="n">
        <f aca="false">K146+K151+K152+K153</f>
        <v>25.93</v>
      </c>
      <c r="L154" s="20" t="n">
        <f aca="false">L146+L151+L152+L153</f>
        <v>30.094</v>
      </c>
      <c r="M154" s="20" t="n">
        <f aca="false">M146+M151+M152+M153</f>
        <v>56.024</v>
      </c>
      <c r="N154" s="20" t="n">
        <f aca="false">N146+N151+N152+N153</f>
        <v>32.704</v>
      </c>
      <c r="O154" s="20" t="n">
        <f aca="false">O146+O151+O152+O153</f>
        <v>32.89</v>
      </c>
      <c r="P154" s="20" t="n">
        <f aca="false">P146+P151+P152+P153</f>
        <v>121.618</v>
      </c>
      <c r="Q154" s="20" t="n">
        <f aca="false">Q146+Q151+Q152+Q153</f>
        <v>39.228</v>
      </c>
      <c r="R154" s="20" t="n">
        <f aca="false">R146+R151+R152+R153</f>
        <v>48.884</v>
      </c>
      <c r="S154" s="20" t="n">
        <f aca="false">S146+S151+S152+S153</f>
        <v>88.112</v>
      </c>
      <c r="T154" s="21" t="n">
        <f aca="false">T146+T151+T152+T153</f>
        <v>51.4042964194491</v>
      </c>
      <c r="U154" s="21" t="n">
        <f aca="false">U146+U151+U152+U153</f>
        <v>58.7737643805509</v>
      </c>
      <c r="V154" s="21" t="n">
        <f aca="false">V146+V151+V152+V153</f>
        <v>198.2900608</v>
      </c>
      <c r="W154" s="21" t="n">
        <f aca="false">W146+W151+W152+W153</f>
        <v>254.218077046078</v>
      </c>
      <c r="X154" s="21" t="n">
        <f aca="false">X146+X151+X152+X153</f>
        <v>315.125582079779</v>
      </c>
      <c r="Y154" s="21" t="n">
        <f aca="false">Y146+Y151+Y152+Y153</f>
        <v>381.357815123764</v>
      </c>
      <c r="Z154" s="21" t="n">
        <f aca="false">Z146+Z151+Z152+Z153</f>
        <v>451.917098784607</v>
      </c>
      <c r="AA154" s="22"/>
      <c r="AB154" s="1"/>
      <c r="AC154" s="23" t="n">
        <f aca="false">IFERROR(IF(AND(Z154&gt;0,P154&gt;0),(Z154/P154)^(1/5)-1,"n/m"),"n/m")</f>
        <v>0.3002060522911</v>
      </c>
      <c r="AD154" s="23" t="n">
        <f aca="false">IFERROR(IF(AND(P154&gt;0,C154&gt;0),(P154/C154)^(1/3)-1,"n/m"),"n/m")</f>
        <v>0.341546595394661</v>
      </c>
    </row>
    <row r="155" customFormat="false" ht="15" hidden="false" customHeight="true" outlineLevel="0" collapsed="false">
      <c r="B155" s="59" t="s">
        <v>238</v>
      </c>
      <c r="C155" s="38" t="n">
        <f aca="false">ROUND(C154-C124,1)</f>
        <v>0</v>
      </c>
      <c r="D155" s="38" t="n">
        <f aca="false">ROUND(D154-D124,1)</f>
        <v>0</v>
      </c>
      <c r="E155" s="38" t="n">
        <f aca="false">ROUND(E154-E124,1)</f>
        <v>0</v>
      </c>
      <c r="F155" s="38" t="n">
        <f aca="false">ROUND(F154-F124,1)</f>
        <v>0</v>
      </c>
      <c r="G155" s="38" t="n">
        <f aca="false">ROUND(G154-G124,1)</f>
        <v>0</v>
      </c>
      <c r="H155" s="38" t="n">
        <f aca="false">ROUND(H154-H124,1)</f>
        <v>0</v>
      </c>
      <c r="I155" s="38" t="n">
        <f aca="false">ROUND(I154-I124,1)</f>
        <v>0</v>
      </c>
      <c r="J155" s="38" t="n">
        <f aca="false">ROUND(J154-J124,1)</f>
        <v>0</v>
      </c>
      <c r="K155" s="38" t="n">
        <f aca="false">ROUND(K154-K124,1)</f>
        <v>0</v>
      </c>
      <c r="L155" s="38" t="n">
        <f aca="false">ROUND(L154-L124,1)</f>
        <v>0</v>
      </c>
      <c r="M155" s="38" t="n">
        <f aca="false">ROUND(M154-M124,1)</f>
        <v>0</v>
      </c>
      <c r="N155" s="38" t="n">
        <f aca="false">ROUND(N154-N124,1)</f>
        <v>0</v>
      </c>
      <c r="O155" s="38" t="n">
        <f aca="false">ROUND(O154-O124,1)</f>
        <v>0</v>
      </c>
      <c r="P155" s="38" t="n">
        <f aca="false">ROUND(P154-P124,1)</f>
        <v>0</v>
      </c>
      <c r="Q155" s="38" t="n">
        <f aca="false">ROUND(Q154-Q124,1)</f>
        <v>0</v>
      </c>
      <c r="R155" s="38" t="n">
        <f aca="false">ROUND(R154-R124,1)</f>
        <v>0</v>
      </c>
      <c r="S155" s="38" t="n">
        <f aca="false">ROUND(S154-S124,1)</f>
        <v>0</v>
      </c>
      <c r="T155" s="39" t="n">
        <f aca="false">ROUND(T154-T124,1)</f>
        <v>0</v>
      </c>
      <c r="U155" s="39" t="n">
        <f aca="false">ROUND(U154-U124,1)</f>
        <v>0</v>
      </c>
      <c r="V155" s="39" t="n">
        <f aca="false">ROUND(V154-V124,1)</f>
        <v>0</v>
      </c>
      <c r="W155" s="39" t="n">
        <f aca="false">ROUND(W154-W124,1)</f>
        <v>0</v>
      </c>
      <c r="X155" s="39" t="n">
        <f aca="false">ROUND(X154-X124,1)</f>
        <v>0</v>
      </c>
      <c r="Y155" s="39" t="n">
        <f aca="false">ROUND(Y154-Y124,1)</f>
        <v>0</v>
      </c>
      <c r="Z155" s="39" t="n">
        <f aca="false">ROUND(Z154-Z124,1)</f>
        <v>0</v>
      </c>
      <c r="AA155" s="22"/>
      <c r="AB155" s="1"/>
      <c r="AC155" s="7"/>
      <c r="AD155" s="7"/>
    </row>
    <row r="157" customFormat="false" ht="15" hidden="false" customHeight="true" outlineLevel="0" collapsed="false">
      <c r="B157" s="12" t="s">
        <v>239</v>
      </c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 t="s">
        <v>240</v>
      </c>
      <c r="AB157" s="1"/>
      <c r="AC157" s="1"/>
      <c r="AD157" s="1"/>
    </row>
    <row r="158" customFormat="false" ht="15" hidden="false" customHeight="true" outlineLevel="0" collapsed="false">
      <c r="B158" s="18" t="s">
        <v>222</v>
      </c>
      <c r="C158" s="20" t="n">
        <f aca="false">C103</f>
        <v>-14.099</v>
      </c>
      <c r="D158" s="20" t="n">
        <f aca="false">D103</f>
        <v>4.35899999999999</v>
      </c>
      <c r="E158" s="20" t="n">
        <f aca="false">E103</f>
        <v>2.122</v>
      </c>
      <c r="F158" s="20" t="n">
        <f aca="false">F103</f>
        <v>4.604</v>
      </c>
      <c r="G158" s="20" t="n">
        <f aca="false">G103</f>
        <v>6.72600000000002</v>
      </c>
      <c r="H158" s="20" t="n">
        <f aca="false">H103</f>
        <v>4.29200000000001</v>
      </c>
      <c r="I158" s="20" t="n">
        <f aca="false">I103</f>
        <v>1.683</v>
      </c>
      <c r="J158" s="20" t="n">
        <f aca="false">J103</f>
        <v>12.701</v>
      </c>
      <c r="K158" s="20" t="n">
        <f aca="false">K103</f>
        <v>-4.79800000000001</v>
      </c>
      <c r="L158" s="20" t="n">
        <f aca="false">L103</f>
        <v>6.807</v>
      </c>
      <c r="M158" s="20" t="n">
        <f aca="false">M103</f>
        <v>2.00900000000001</v>
      </c>
      <c r="N158" s="20" t="n">
        <f aca="false">N103</f>
        <v>7.64400000000001</v>
      </c>
      <c r="O158" s="20" t="n">
        <f aca="false">O103</f>
        <v>7.71299999999999</v>
      </c>
      <c r="P158" s="20" t="n">
        <f aca="false">P103</f>
        <v>17.366</v>
      </c>
      <c r="Q158" s="20" t="n">
        <f aca="false">Q103</f>
        <v>7.79400000000001</v>
      </c>
      <c r="R158" s="20" t="n">
        <f aca="false">R103</f>
        <v>14.032</v>
      </c>
      <c r="S158" s="20" t="n">
        <f aca="false">S103</f>
        <v>21.8260000000001</v>
      </c>
      <c r="T158" s="21" t="n">
        <f aca="false">T103</f>
        <v>16.792215911448</v>
      </c>
      <c r="U158" s="21" t="n">
        <f aca="false">U103</f>
        <v>21.8737499092187</v>
      </c>
      <c r="V158" s="21" t="n">
        <f aca="false">V103</f>
        <v>60.4919658206667</v>
      </c>
      <c r="W158" s="21" t="n">
        <f aca="false">W103</f>
        <v>106.51836980464</v>
      </c>
      <c r="X158" s="21" t="n">
        <f aca="false">X103</f>
        <v>145.13570446514</v>
      </c>
      <c r="Y158" s="21" t="n">
        <f aca="false">Y103</f>
        <v>182.839771134896</v>
      </c>
      <c r="Z158" s="21" t="n">
        <f aca="false">Z103</f>
        <v>223.634906938568</v>
      </c>
      <c r="AA158" s="22"/>
      <c r="AB158" s="1"/>
      <c r="AC158" s="23" t="n">
        <f aca="false">IFERROR(IF(AND(Z158&gt;0,P158&gt;0),(Z158/P158)^(1/5)-1,"n/m"),"n/m")</f>
        <v>0.66712421344292</v>
      </c>
      <c r="AD158" s="23" t="str">
        <f aca="false">IFERROR(IF(AND(P158&gt;0,C158&gt;0),(P158/C158)^(1/3)-1,"n/m"),"n/m")</f>
        <v>n/m</v>
      </c>
    </row>
    <row r="159" customFormat="false" ht="15" hidden="false" customHeight="true" outlineLevel="0" collapsed="false">
      <c r="B159" s="29" t="s">
        <v>207</v>
      </c>
      <c r="C159" s="38" t="n">
        <f aca="false">C59</f>
        <v>0.251</v>
      </c>
      <c r="D159" s="38" t="n">
        <f aca="false">D59</f>
        <v>0.356</v>
      </c>
      <c r="E159" s="38" t="n">
        <f aca="false">E59</f>
        <v>2.011</v>
      </c>
      <c r="F159" s="38" t="n">
        <f aca="false">F59</f>
        <v>0.079</v>
      </c>
      <c r="G159" s="38" t="n">
        <f aca="false">G59</f>
        <v>2.09</v>
      </c>
      <c r="H159" s="38" t="n">
        <f aca="false">H59</f>
        <v>1.074</v>
      </c>
      <c r="I159" s="38" t="n">
        <f aca="false">I59</f>
        <v>1.612</v>
      </c>
      <c r="J159" s="38" t="n">
        <f aca="false">J59</f>
        <v>4.776</v>
      </c>
      <c r="K159" s="38" t="n">
        <f aca="false">K59</f>
        <v>1.962</v>
      </c>
      <c r="L159" s="38" t="n">
        <f aca="false">L59</f>
        <v>3.904</v>
      </c>
      <c r="M159" s="38" t="n">
        <f aca="false">M59</f>
        <v>5.866</v>
      </c>
      <c r="N159" s="38" t="n">
        <f aca="false">N59</f>
        <v>3.533</v>
      </c>
      <c r="O159" s="38" t="n">
        <f aca="false">O59</f>
        <v>3.342</v>
      </c>
      <c r="P159" s="38" t="n">
        <f aca="false">P59</f>
        <v>12.741</v>
      </c>
      <c r="Q159" s="38" t="n">
        <f aca="false">Q59</f>
        <v>2.263</v>
      </c>
      <c r="R159" s="38" t="n">
        <f aca="false">R59</f>
        <v>1.392</v>
      </c>
      <c r="S159" s="38" t="n">
        <f aca="false">S59</f>
        <v>3.655</v>
      </c>
      <c r="T159" s="39" t="n">
        <f aca="false">T59</f>
        <v>1.5</v>
      </c>
      <c r="U159" s="39" t="n">
        <f aca="false">U59</f>
        <v>1.5</v>
      </c>
      <c r="V159" s="39" t="n">
        <f aca="false">V59</f>
        <v>6.655</v>
      </c>
      <c r="W159" s="39" t="n">
        <f aca="false">W59</f>
        <v>6</v>
      </c>
      <c r="X159" s="39" t="n">
        <f aca="false">X59</f>
        <v>6.75</v>
      </c>
      <c r="Y159" s="39" t="n">
        <f aca="false">Y59</f>
        <v>7.5</v>
      </c>
      <c r="Z159" s="39" t="n">
        <f aca="false">Z59</f>
        <v>7.5</v>
      </c>
      <c r="AA159" s="22"/>
      <c r="AB159" s="1"/>
      <c r="AC159" s="23"/>
      <c r="AD159" s="23"/>
    </row>
    <row r="160" customFormat="false" ht="15" hidden="false" customHeight="true" outlineLevel="0" collapsed="false">
      <c r="B160" s="29" t="s">
        <v>208</v>
      </c>
      <c r="C160" s="38" t="n">
        <f aca="false">C60</f>
        <v>3.507</v>
      </c>
      <c r="D160" s="38" t="n">
        <f aca="false">D60</f>
        <v>2.739</v>
      </c>
      <c r="E160" s="38" t="n">
        <f aca="false">E60</f>
        <v>0.416</v>
      </c>
      <c r="F160" s="38" t="n">
        <f aca="false">F60</f>
        <v>0.476</v>
      </c>
      <c r="G160" s="38" t="n">
        <f aca="false">G60</f>
        <v>0.892</v>
      </c>
      <c r="H160" s="38" t="n">
        <f aca="false">H60</f>
        <v>0.849</v>
      </c>
      <c r="I160" s="38" t="n">
        <f aca="false">I60</f>
        <v>0.514</v>
      </c>
      <c r="J160" s="38" t="n">
        <f aca="false">J60</f>
        <v>2.255</v>
      </c>
      <c r="K160" s="38" t="n">
        <f aca="false">K60</f>
        <v>0.261</v>
      </c>
      <c r="L160" s="38" t="n">
        <f aca="false">L60</f>
        <v>0.38</v>
      </c>
      <c r="M160" s="38" t="n">
        <f aca="false">M60</f>
        <v>0.641</v>
      </c>
      <c r="N160" s="38" t="n">
        <f aca="false">N60</f>
        <v>0.559</v>
      </c>
      <c r="O160" s="38" t="n">
        <f aca="false">O60</f>
        <v>1.079</v>
      </c>
      <c r="P160" s="38" t="n">
        <f aca="false">P60</f>
        <v>2.279</v>
      </c>
      <c r="Q160" s="38" t="n">
        <f aca="false">Q60</f>
        <v>1.41</v>
      </c>
      <c r="R160" s="38" t="n">
        <f aca="false">R60</f>
        <v>1.94</v>
      </c>
      <c r="S160" s="38" t="n">
        <f aca="false">S60</f>
        <v>3.35</v>
      </c>
      <c r="T160" s="39" t="n">
        <f aca="false">T60</f>
        <v>1.5</v>
      </c>
      <c r="U160" s="39" t="n">
        <f aca="false">U60</f>
        <v>1.5</v>
      </c>
      <c r="V160" s="39" t="n">
        <f aca="false">V60</f>
        <v>6.35</v>
      </c>
      <c r="W160" s="39" t="n">
        <f aca="false">W60</f>
        <v>2</v>
      </c>
      <c r="X160" s="39" t="n">
        <f aca="false">X60</f>
        <v>2</v>
      </c>
      <c r="Y160" s="39" t="n">
        <f aca="false">Y60</f>
        <v>2</v>
      </c>
      <c r="Z160" s="39" t="n">
        <f aca="false">Z60</f>
        <v>2</v>
      </c>
      <c r="AA160" s="22"/>
      <c r="AB160" s="1"/>
      <c r="AC160" s="23"/>
      <c r="AD160" s="23"/>
    </row>
    <row r="161" customFormat="false" ht="15" hidden="false" customHeight="true" outlineLevel="0" collapsed="false">
      <c r="B161" s="29" t="s">
        <v>209</v>
      </c>
      <c r="C161" s="38" t="n">
        <f aca="false">C61</f>
        <v>0</v>
      </c>
      <c r="D161" s="38" t="n">
        <f aca="false">D61</f>
        <v>0.5</v>
      </c>
      <c r="E161" s="38" t="n">
        <f aca="false">E61</f>
        <v>0</v>
      </c>
      <c r="F161" s="38" t="n">
        <f aca="false">F61</f>
        <v>0</v>
      </c>
      <c r="G161" s="38" t="n">
        <f aca="false">G61</f>
        <v>0</v>
      </c>
      <c r="H161" s="38" t="n">
        <f aca="false">H61</f>
        <v>0</v>
      </c>
      <c r="I161" s="38" t="n">
        <f aca="false">I61</f>
        <v>0.1</v>
      </c>
      <c r="J161" s="38" t="n">
        <f aca="false">J61</f>
        <v>0.1</v>
      </c>
      <c r="K161" s="38" t="n">
        <f aca="false">K61</f>
        <v>1.26</v>
      </c>
      <c r="L161" s="38" t="n">
        <f aca="false">L61</f>
        <v>0.206</v>
      </c>
      <c r="M161" s="38" t="n">
        <f aca="false">M61</f>
        <v>1.466</v>
      </c>
      <c r="N161" s="38" t="n">
        <f aca="false">N61</f>
        <v>0</v>
      </c>
      <c r="O161" s="38" t="n">
        <f aca="false">O61</f>
        <v>0.106</v>
      </c>
      <c r="P161" s="38" t="n">
        <f aca="false">P61</f>
        <v>1.572</v>
      </c>
      <c r="Q161" s="38" t="n">
        <f aca="false">Q61</f>
        <v>0.735</v>
      </c>
      <c r="R161" s="38" t="n">
        <f aca="false">R61</f>
        <v>0.045</v>
      </c>
      <c r="S161" s="38" t="n">
        <f aca="false">S61</f>
        <v>0.78</v>
      </c>
      <c r="T161" s="39" t="n">
        <f aca="false">T61</f>
        <v>0.5</v>
      </c>
      <c r="U161" s="39" t="n">
        <f aca="false">U61</f>
        <v>0</v>
      </c>
      <c r="V161" s="39" t="n">
        <f aca="false">V61</f>
        <v>1.28</v>
      </c>
      <c r="W161" s="39" t="n">
        <f aca="false">W61</f>
        <v>0</v>
      </c>
      <c r="X161" s="39" t="n">
        <f aca="false">X61</f>
        <v>0</v>
      </c>
      <c r="Y161" s="39" t="n">
        <f aca="false">Y61</f>
        <v>0</v>
      </c>
      <c r="Z161" s="39" t="n">
        <f aca="false">Z61</f>
        <v>0</v>
      </c>
      <c r="AA161" s="22"/>
      <c r="AB161" s="1"/>
      <c r="AC161" s="23"/>
      <c r="AD161" s="23"/>
    </row>
    <row r="162" customFormat="false" ht="15" hidden="false" customHeight="true" outlineLevel="0" collapsed="false">
      <c r="B162" s="29" t="s">
        <v>210</v>
      </c>
      <c r="C162" s="38" t="n">
        <f aca="false">C58</f>
        <v>1.603</v>
      </c>
      <c r="D162" s="38" t="n">
        <f aca="false">D58</f>
        <v>1.291</v>
      </c>
      <c r="E162" s="38" t="n">
        <f aca="false">E58</f>
        <v>0.251</v>
      </c>
      <c r="F162" s="38" t="n">
        <f aca="false">F58</f>
        <v>0.246</v>
      </c>
      <c r="G162" s="38" t="n">
        <f aca="false">G58</f>
        <v>0.497</v>
      </c>
      <c r="H162" s="38" t="n">
        <f aca="false">H58</f>
        <v>0.248</v>
      </c>
      <c r="I162" s="38" t="n">
        <f aca="false">I58</f>
        <v>0.248</v>
      </c>
      <c r="J162" s="38" t="n">
        <f aca="false">J58</f>
        <v>0.993</v>
      </c>
      <c r="K162" s="38" t="n">
        <f aca="false">K58</f>
        <v>8.084</v>
      </c>
      <c r="L162" s="38" t="n">
        <f aca="false">L58</f>
        <v>0</v>
      </c>
      <c r="M162" s="38" t="n">
        <f aca="false">M58</f>
        <v>8.084</v>
      </c>
      <c r="N162" s="38" t="n">
        <f aca="false">N58</f>
        <v>0</v>
      </c>
      <c r="O162" s="38" t="n">
        <f aca="false">O58</f>
        <v>0</v>
      </c>
      <c r="P162" s="38" t="n">
        <f aca="false">P58</f>
        <v>8.084</v>
      </c>
      <c r="Q162" s="38" t="n">
        <f aca="false">Q58</f>
        <v>0</v>
      </c>
      <c r="R162" s="38" t="n">
        <f aca="false">R58</f>
        <v>1.444</v>
      </c>
      <c r="S162" s="38" t="n">
        <f aca="false">S58</f>
        <v>1.444</v>
      </c>
      <c r="T162" s="39" t="n">
        <f aca="false">T58</f>
        <v>1.5</v>
      </c>
      <c r="U162" s="39" t="n">
        <f aca="false">U58</f>
        <v>1.5</v>
      </c>
      <c r="V162" s="39" t="n">
        <f aca="false">V58</f>
        <v>4.444</v>
      </c>
      <c r="W162" s="39" t="n">
        <f aca="false">W58</f>
        <v>7.66570283841156</v>
      </c>
      <c r="X162" s="39" t="n">
        <f aca="false">X58</f>
        <v>9.50039045083028</v>
      </c>
      <c r="Y162" s="39" t="n">
        <f aca="false">Y58</f>
        <v>11.470765807393</v>
      </c>
      <c r="Z162" s="39" t="n">
        <f aca="false">Z58</f>
        <v>13.5390425518776</v>
      </c>
      <c r="AA162" s="22"/>
      <c r="AB162" s="1"/>
      <c r="AC162" s="23"/>
      <c r="AD162" s="23"/>
    </row>
    <row r="163" customFormat="false" ht="15" hidden="false" customHeight="true" outlineLevel="0" collapsed="false">
      <c r="B163" s="29" t="s">
        <v>241</v>
      </c>
      <c r="C163" s="38" t="n">
        <f aca="false">C62</f>
        <v>-0.281</v>
      </c>
      <c r="D163" s="38" t="n">
        <f aca="false">D62</f>
        <v>0.739</v>
      </c>
      <c r="E163" s="38" t="n">
        <f aca="false">E62</f>
        <v>0</v>
      </c>
      <c r="F163" s="38" t="n">
        <f aca="false">F62</f>
        <v>0</v>
      </c>
      <c r="G163" s="38" t="n">
        <f aca="false">G62</f>
        <v>0</v>
      </c>
      <c r="H163" s="38" t="n">
        <f aca="false">H62</f>
        <v>0</v>
      </c>
      <c r="I163" s="38" t="n">
        <f aca="false">I62</f>
        <v>0</v>
      </c>
      <c r="J163" s="38" t="n">
        <f aca="false">J62</f>
        <v>0</v>
      </c>
      <c r="K163" s="38" t="n">
        <f aca="false">K62</f>
        <v>0</v>
      </c>
      <c r="L163" s="38" t="n">
        <f aca="false">L62</f>
        <v>0</v>
      </c>
      <c r="M163" s="38" t="n">
        <f aca="false">M62</f>
        <v>0</v>
      </c>
      <c r="N163" s="38" t="n">
        <f aca="false">N62</f>
        <v>0.8</v>
      </c>
      <c r="O163" s="38" t="n">
        <f aca="false">O62</f>
        <v>0</v>
      </c>
      <c r="P163" s="38" t="n">
        <f aca="false">P62</f>
        <v>0.8</v>
      </c>
      <c r="Q163" s="38" t="n">
        <f aca="false">Q62</f>
        <v>2.468</v>
      </c>
      <c r="R163" s="38" t="n">
        <f aca="false">R62</f>
        <v>0.034</v>
      </c>
      <c r="S163" s="38" t="n">
        <f aca="false">S62</f>
        <v>2.502</v>
      </c>
      <c r="T163" s="39" t="n">
        <f aca="false">T62</f>
        <v>0</v>
      </c>
      <c r="U163" s="39" t="n">
        <f aca="false">U62</f>
        <v>0</v>
      </c>
      <c r="V163" s="39" t="n">
        <f aca="false">V62</f>
        <v>2.502</v>
      </c>
      <c r="W163" s="39" t="n">
        <f aca="false">W62</f>
        <v>0</v>
      </c>
      <c r="X163" s="39" t="n">
        <f aca="false">X62</f>
        <v>0</v>
      </c>
      <c r="Y163" s="39" t="n">
        <f aca="false">Y62</f>
        <v>0</v>
      </c>
      <c r="Z163" s="39" t="n">
        <f aca="false">Z62</f>
        <v>0</v>
      </c>
      <c r="AA163" s="22"/>
      <c r="AB163" s="1"/>
      <c r="AC163" s="23"/>
      <c r="AD163" s="23"/>
    </row>
    <row r="164" customFormat="false" ht="15" hidden="false" customHeight="true" outlineLevel="0" collapsed="false">
      <c r="B164" s="29" t="s">
        <v>242</v>
      </c>
      <c r="C164" s="37"/>
      <c r="D164" s="37"/>
      <c r="E164" s="37"/>
      <c r="F164" s="37"/>
      <c r="G164" s="38" t="n">
        <f aca="false">E164+F164</f>
        <v>0</v>
      </c>
      <c r="H164" s="37"/>
      <c r="I164" s="37"/>
      <c r="J164" s="37"/>
      <c r="K164" s="37"/>
      <c r="L164" s="37" t="n">
        <v>2.5</v>
      </c>
      <c r="M164" s="38" t="n">
        <f aca="false">K164+L164</f>
        <v>2.5</v>
      </c>
      <c r="N164" s="37"/>
      <c r="O164" s="37"/>
      <c r="P164" s="37" t="n">
        <v>2.5</v>
      </c>
      <c r="Q164" s="37"/>
      <c r="R164" s="37"/>
      <c r="S164" s="38" t="n">
        <f aca="false">Q164+R164</f>
        <v>0</v>
      </c>
      <c r="T164" s="40" t="n">
        <v>0</v>
      </c>
      <c r="U164" s="40" t="n">
        <v>0</v>
      </c>
      <c r="V164" s="39" t="n">
        <f aca="false">SUM(Q164,R164,T164,U164)</f>
        <v>0</v>
      </c>
      <c r="W164" s="40" t="n">
        <v>0</v>
      </c>
      <c r="X164" s="40" t="n">
        <v>0</v>
      </c>
      <c r="Y164" s="40" t="n">
        <v>0</v>
      </c>
      <c r="Z164" s="40" t="n">
        <v>0</v>
      </c>
      <c r="AA164" s="22"/>
      <c r="AB164" s="1"/>
      <c r="AC164" s="23"/>
      <c r="AD164" s="23"/>
    </row>
    <row r="165" customFormat="false" ht="15" hidden="false" customHeight="true" outlineLevel="0" collapsed="false">
      <c r="B165" s="29" t="s">
        <v>243</v>
      </c>
      <c r="C165" s="37"/>
      <c r="D165" s="37"/>
      <c r="E165" s="37"/>
      <c r="F165" s="37"/>
      <c r="G165" s="38" t="n">
        <f aca="false">E165+F165</f>
        <v>0</v>
      </c>
      <c r="H165" s="37"/>
      <c r="I165" s="37"/>
      <c r="J165" s="37"/>
      <c r="K165" s="37"/>
      <c r="L165" s="37"/>
      <c r="M165" s="38" t="n">
        <f aca="false">K165+L165</f>
        <v>0</v>
      </c>
      <c r="N165" s="37"/>
      <c r="O165" s="37" t="n">
        <v>1.5</v>
      </c>
      <c r="P165" s="37" t="n">
        <v>1.5</v>
      </c>
      <c r="Q165" s="37"/>
      <c r="R165" s="37"/>
      <c r="S165" s="38" t="n">
        <f aca="false">Q165+R165</f>
        <v>0</v>
      </c>
      <c r="T165" s="40" t="n">
        <v>0</v>
      </c>
      <c r="U165" s="40" t="n">
        <v>0</v>
      </c>
      <c r="V165" s="39" t="n">
        <f aca="false">SUM(Q165,R165,T165,U165)</f>
        <v>0</v>
      </c>
      <c r="W165" s="40" t="n">
        <v>0</v>
      </c>
      <c r="X165" s="40" t="n">
        <v>0</v>
      </c>
      <c r="Y165" s="40" t="n">
        <v>0</v>
      </c>
      <c r="Z165" s="40" t="n">
        <v>0</v>
      </c>
      <c r="AA165" s="22"/>
      <c r="AB165" s="1"/>
      <c r="AC165" s="23"/>
      <c r="AD165" s="23"/>
    </row>
    <row r="166" customFormat="false" ht="15" hidden="false" customHeight="true" outlineLevel="0" collapsed="false">
      <c r="B166" s="29" t="s">
        <v>244</v>
      </c>
      <c r="C166" s="38" t="n">
        <f aca="false">IF(ISNUMBER(C170),C170*C110-SUM(C158:C165),0)</f>
        <v>0</v>
      </c>
      <c r="D166" s="38" t="n">
        <f aca="false">IF(ISNUMBER(D170),D170*D110-SUM(D158:D165),0)</f>
        <v>0</v>
      </c>
      <c r="E166" s="38" t="n">
        <f aca="false">IF(ISNUMBER(E170),E170*E110-SUM(E158:E165),0)</f>
        <v>0.203279999999998</v>
      </c>
      <c r="F166" s="38" t="n">
        <f aca="false">IF(ISNUMBER(F170),F170*F110-SUM(F158:F165),0)</f>
        <v>-0.402889999999998</v>
      </c>
      <c r="G166" s="38" t="n">
        <f aca="false">E166+F166</f>
        <v>-0.19961</v>
      </c>
      <c r="H166" s="38" t="n">
        <f aca="false">IF(ISNUMBER(H170),H170*H110-SUM(H158:H165),0)</f>
        <v>0.206479999999992</v>
      </c>
      <c r="I166" s="38" t="n">
        <f aca="false">IF(ISNUMBER(I170),I170*I110-SUM(I158:I165),0)</f>
        <v>0.845110000000005</v>
      </c>
      <c r="J166" s="38" t="n">
        <f aca="false">IF(ISNUMBER(J170),J170*J110-SUM(J158:J165),0)</f>
        <v>0.850809999999996</v>
      </c>
      <c r="K166" s="38" t="n">
        <f aca="false">IF(ISNUMBER(K170),K170*K110-SUM(K158:K165),0)</f>
        <v>-0.160249999999994</v>
      </c>
      <c r="L166" s="38" t="n">
        <f aca="false">IF(ISNUMBER(L170),L170*L110-SUM(L158:L165),0)</f>
        <v>-0.564799999999998</v>
      </c>
      <c r="M166" s="38" t="n">
        <f aca="false">K166+L166</f>
        <v>-0.725049999999992</v>
      </c>
      <c r="N166" s="38" t="n">
        <f aca="false">IF(ISNUMBER(N170),N170*N110-SUM(N158:N165),0)</f>
        <v>0.696199999999989</v>
      </c>
      <c r="O166" s="38" t="n">
        <f aca="false">IF(ISNUMBER(O170),O170*O110-SUM(O158:O165),0)</f>
        <v>0.815420000000012</v>
      </c>
      <c r="P166" s="38" t="n">
        <f aca="false">IF(ISNUMBER(P170),P170*P110-SUM(P158:P165),0)</f>
        <v>2.11713999999999</v>
      </c>
      <c r="Q166" s="38" t="n">
        <f aca="false">IF(ISNUMBER(Q170),Q170*Q110-SUM(Q158:Q165),0)</f>
        <v>-0.0921400000000077</v>
      </c>
      <c r="R166" s="38" t="n">
        <f aca="false">IF(ISNUMBER(R170),R170*R110-SUM(R158:R165),0)</f>
        <v>-0.33265999999999</v>
      </c>
      <c r="S166" s="38" t="n">
        <f aca="false">Q166+R166</f>
        <v>-0.424799999999998</v>
      </c>
      <c r="T166" s="40" t="n">
        <v>0</v>
      </c>
      <c r="U166" s="40" t="n">
        <v>0</v>
      </c>
      <c r="V166" s="39" t="n">
        <f aca="false">SUM(Q166,R166,T166,U166)</f>
        <v>-0.424799999999998</v>
      </c>
      <c r="W166" s="40" t="n">
        <v>0</v>
      </c>
      <c r="X166" s="40" t="n">
        <v>0</v>
      </c>
      <c r="Y166" s="40" t="n">
        <v>0</v>
      </c>
      <c r="Z166" s="40" t="n">
        <v>0</v>
      </c>
      <c r="AA166" s="22" t="s">
        <v>245</v>
      </c>
      <c r="AB166" s="1"/>
      <c r="AC166" s="23"/>
      <c r="AD166" s="23"/>
    </row>
    <row r="167" customFormat="false" ht="15" hidden="false" customHeight="true" outlineLevel="0" collapsed="false">
      <c r="B167" s="51" t="s">
        <v>246</v>
      </c>
      <c r="C167" s="52" t="n">
        <f aca="false">SUM(C158:C166)</f>
        <v>-9.019</v>
      </c>
      <c r="D167" s="52" t="n">
        <f aca="false">SUM(D158:D166)</f>
        <v>9.98399999999999</v>
      </c>
      <c r="E167" s="20" t="n">
        <f aca="false">SUM(E158:E166)</f>
        <v>5.00328</v>
      </c>
      <c r="F167" s="20" t="n">
        <f aca="false">SUM(F158:F166)</f>
        <v>5.00211</v>
      </c>
      <c r="G167" s="20" t="n">
        <f aca="false">SUM(G158:G166)</f>
        <v>10.00539</v>
      </c>
      <c r="H167" s="20" t="n">
        <f aca="false">SUM(H158:H166)</f>
        <v>6.66948</v>
      </c>
      <c r="I167" s="20" t="n">
        <f aca="false">SUM(I158:I166)</f>
        <v>5.00211</v>
      </c>
      <c r="J167" s="52" t="n">
        <f aca="false">SUM(J158:J166)</f>
        <v>21.67581</v>
      </c>
      <c r="K167" s="20" t="n">
        <f aca="false">SUM(K158:K166)</f>
        <v>6.60875</v>
      </c>
      <c r="L167" s="20" t="n">
        <f aca="false">SUM(L158:L166)</f>
        <v>13.2322</v>
      </c>
      <c r="M167" s="20" t="n">
        <f aca="false">SUM(M158:M166)</f>
        <v>19.84095</v>
      </c>
      <c r="N167" s="20" t="n">
        <f aca="false">SUM(N158:N166)</f>
        <v>13.2322</v>
      </c>
      <c r="O167" s="20" t="n">
        <f aca="false">SUM(O158:O166)</f>
        <v>14.55542</v>
      </c>
      <c r="P167" s="52" t="n">
        <f aca="false">SUM(P158:P166)</f>
        <v>48.95914</v>
      </c>
      <c r="Q167" s="20" t="n">
        <f aca="false">SUM(Q158:Q166)</f>
        <v>14.57786</v>
      </c>
      <c r="R167" s="20" t="n">
        <f aca="false">SUM(R158:R166)</f>
        <v>18.55434</v>
      </c>
      <c r="S167" s="20" t="n">
        <f aca="false">SUM(S158:S166)</f>
        <v>33.1322000000001</v>
      </c>
      <c r="T167" s="52" t="n">
        <f aca="false">SUM(T158:T166)</f>
        <v>21.792215911448</v>
      </c>
      <c r="U167" s="52" t="n">
        <f aca="false">SUM(U158:U166)</f>
        <v>26.3737499092187</v>
      </c>
      <c r="V167" s="52" t="n">
        <f aca="false">SUM(V158:V166)</f>
        <v>81.2981658206667</v>
      </c>
      <c r="W167" s="52" t="n">
        <f aca="false">SUM(W158:W166)</f>
        <v>122.184072643052</v>
      </c>
      <c r="X167" s="52" t="n">
        <f aca="false">SUM(X158:X166)</f>
        <v>163.38609491597</v>
      </c>
      <c r="Y167" s="52" t="n">
        <f aca="false">SUM(Y158:Y166)</f>
        <v>203.810536942289</v>
      </c>
      <c r="Z167" s="52" t="n">
        <f aca="false">SUM(Z158:Z166)</f>
        <v>246.673949490446</v>
      </c>
      <c r="AA167" s="22"/>
      <c r="AB167" s="1"/>
      <c r="AC167" s="23" t="n">
        <f aca="false">IFERROR(IF(AND(Z167&gt;0,P167&gt;0),(Z167/P167)^(1/5)-1,"n/m"),"n/m")</f>
        <v>0.381840449747743</v>
      </c>
      <c r="AD167" s="23" t="str">
        <f aca="false">IFERROR(IF(AND(P167&gt;0,C167&gt;0),(P167/C167)^(1/3)-1,"n/m"),"n/m")</f>
        <v>n/m</v>
      </c>
    </row>
    <row r="168" customFormat="false" ht="15" hidden="false" customHeight="true" outlineLevel="0" collapsed="false">
      <c r="B168" s="29" t="s">
        <v>198</v>
      </c>
      <c r="C168" s="38" t="n">
        <f aca="false">C110</f>
        <v>159.11</v>
      </c>
      <c r="D168" s="38" t="n">
        <f aca="false">D110</f>
        <v>166.776</v>
      </c>
      <c r="E168" s="38" t="n">
        <f aca="false">E110</f>
        <v>166.776</v>
      </c>
      <c r="F168" s="38" t="n">
        <f aca="false">F110</f>
        <v>166.737</v>
      </c>
      <c r="G168" s="38" t="n">
        <f aca="false">G110</f>
        <v>166.7565</v>
      </c>
      <c r="H168" s="38" t="n">
        <f aca="false">H110</f>
        <v>166.737</v>
      </c>
      <c r="I168" s="38" t="n">
        <f aca="false">I110</f>
        <v>166.737</v>
      </c>
      <c r="J168" s="38" t="n">
        <f aca="false">J110</f>
        <v>166.737</v>
      </c>
      <c r="K168" s="38" t="n">
        <f aca="false">K110</f>
        <v>132.175</v>
      </c>
      <c r="L168" s="38" t="n">
        <f aca="false">L110</f>
        <v>132.322</v>
      </c>
      <c r="M168" s="38" t="n">
        <f aca="false">M110</f>
        <v>132.2485</v>
      </c>
      <c r="N168" s="38" t="n">
        <f aca="false">N110</f>
        <v>132.322</v>
      </c>
      <c r="O168" s="38" t="n">
        <f aca="false">O110</f>
        <v>132.322</v>
      </c>
      <c r="P168" s="38" t="n">
        <f aca="false">P110</f>
        <v>132.322</v>
      </c>
      <c r="Q168" s="38" t="n">
        <f aca="false">Q110</f>
        <v>132.526</v>
      </c>
      <c r="R168" s="38" t="n">
        <f aca="false">R110</f>
        <v>132.531</v>
      </c>
      <c r="S168" s="38" t="n">
        <f aca="false">S110</f>
        <v>132.5285</v>
      </c>
      <c r="T168" s="39" t="n">
        <f aca="false">T110</f>
        <v>132.561</v>
      </c>
      <c r="U168" s="39" t="n">
        <f aca="false">U110</f>
        <v>132.591</v>
      </c>
      <c r="V168" s="39" t="n">
        <f aca="false">V110</f>
        <v>132.55225</v>
      </c>
      <c r="W168" s="39" t="n">
        <f aca="false">W110</f>
        <v>133.172435</v>
      </c>
      <c r="X168" s="39" t="n">
        <f aca="false">X110</f>
        <v>133.572435</v>
      </c>
      <c r="Y168" s="39" t="n">
        <f aca="false">Y110</f>
        <v>133.972435</v>
      </c>
      <c r="Z168" s="39" t="n">
        <f aca="false">Z110</f>
        <v>134.372435</v>
      </c>
      <c r="AA168" s="22"/>
      <c r="AB168" s="1"/>
      <c r="AC168" s="7"/>
      <c r="AD168" s="7"/>
    </row>
    <row r="169" customFormat="false" ht="15" hidden="false" customHeight="true" outlineLevel="0" collapsed="false">
      <c r="B169" s="51" t="s">
        <v>247</v>
      </c>
      <c r="C169" s="61" t="n">
        <f aca="false">IFERROR(C167/C168,"")</f>
        <v>-0.0566840550562504</v>
      </c>
      <c r="D169" s="61" t="n">
        <f aca="false">IFERROR(D167/D168,"")</f>
        <v>0.0598647287379478</v>
      </c>
      <c r="E169" s="62" t="n">
        <f aca="false">IFERROR(E167/E168,"")</f>
        <v>0.03</v>
      </c>
      <c r="F169" s="62" t="n">
        <f aca="false">IFERROR(F167/F168,"")</f>
        <v>0.03</v>
      </c>
      <c r="G169" s="62" t="n">
        <f aca="false">IFERROR(G167/G168,"")</f>
        <v>0.0600000000000001</v>
      </c>
      <c r="H169" s="62" t="n">
        <f aca="false">IFERROR(H167/H168,"")</f>
        <v>0.04</v>
      </c>
      <c r="I169" s="62" t="n">
        <f aca="false">IFERROR(I167/I168,"")</f>
        <v>0.03</v>
      </c>
      <c r="J169" s="61" t="n">
        <f aca="false">IFERROR(J167/J168,"")</f>
        <v>0.13</v>
      </c>
      <c r="K169" s="62" t="n">
        <f aca="false">IFERROR(K167/K168,"")</f>
        <v>0.05</v>
      </c>
      <c r="L169" s="62" t="n">
        <f aca="false">IFERROR(L167/L168,"")</f>
        <v>0.1</v>
      </c>
      <c r="M169" s="62" t="n">
        <f aca="false">IFERROR(M167/M168,"")</f>
        <v>0.150027788594956</v>
      </c>
      <c r="N169" s="62" t="n">
        <f aca="false">IFERROR(N167/N168,"")</f>
        <v>0.1</v>
      </c>
      <c r="O169" s="62" t="n">
        <f aca="false">IFERROR(O167/O168,"")</f>
        <v>0.11</v>
      </c>
      <c r="P169" s="61" t="n">
        <f aca="false">IFERROR(P167/P168,"")</f>
        <v>0.37</v>
      </c>
      <c r="Q169" s="62" t="n">
        <f aca="false">IFERROR(Q167/Q168,"")</f>
        <v>0.11</v>
      </c>
      <c r="R169" s="62" t="n">
        <f aca="false">IFERROR(R167/R168,"")</f>
        <v>0.14</v>
      </c>
      <c r="S169" s="62" t="n">
        <f aca="false">IFERROR(S167/S168,"")</f>
        <v>0.250000565916011</v>
      </c>
      <c r="T169" s="61" t="n">
        <f aca="false">IFERROR(T167/T168,"")</f>
        <v>0.164393870832658</v>
      </c>
      <c r="U169" s="61" t="n">
        <f aca="false">IFERROR(U167/U168,"")</f>
        <v>0.198910558855568</v>
      </c>
      <c r="V169" s="61" t="n">
        <f aca="false">IFERROR(V167/V168,"")</f>
        <v>0.613329202791101</v>
      </c>
      <c r="W169" s="61" t="n">
        <f aca="false">IFERROR(W167/W168,"")</f>
        <v>0.917487711650325</v>
      </c>
      <c r="X169" s="61" t="n">
        <f aca="false">IFERROR(X167/X168,"")</f>
        <v>1.22320218925387</v>
      </c>
      <c r="Y169" s="61" t="n">
        <f aca="false">IFERROR(Y167/Y168,"")</f>
        <v>1.5212870986654</v>
      </c>
      <c r="Z169" s="61" t="n">
        <f aca="false">IFERROR(Z167/Z168,"")</f>
        <v>1.83574815393087</v>
      </c>
      <c r="AA169" s="22"/>
      <c r="AB169" s="1"/>
      <c r="AC169" s="23" t="n">
        <f aca="false">IFERROR(IF(AND(Z169&gt;0,P169&gt;0),(Z169/P169)^(1/5)-1,"n/m"),"n/m")</f>
        <v>0.377597275554884</v>
      </c>
      <c r="AD169" s="23" t="str">
        <f aca="false">IFERROR(IF(AND(P169&gt;0,C169&gt;0),(P169/C169)^(1/3)-1,"n/m"),"n/m")</f>
        <v>n/m</v>
      </c>
    </row>
    <row r="170" customFormat="false" ht="15" hidden="false" customHeight="true" outlineLevel="0" collapsed="false">
      <c r="B170" s="36" t="s">
        <v>248</v>
      </c>
      <c r="C170" s="63"/>
      <c r="D170" s="63"/>
      <c r="E170" s="63" t="n">
        <v>0.03</v>
      </c>
      <c r="F170" s="63" t="n">
        <v>0.03</v>
      </c>
      <c r="G170" s="63" t="n">
        <v>0.06</v>
      </c>
      <c r="H170" s="63" t="n">
        <v>0.04</v>
      </c>
      <c r="I170" s="63" t="n">
        <v>0.03</v>
      </c>
      <c r="J170" s="63" t="n">
        <v>0.13</v>
      </c>
      <c r="K170" s="63" t="n">
        <v>0.05</v>
      </c>
      <c r="L170" s="63" t="n">
        <v>0.1</v>
      </c>
      <c r="M170" s="63" t="n">
        <v>0.16</v>
      </c>
      <c r="N170" s="63" t="n">
        <v>0.1</v>
      </c>
      <c r="O170" s="63" t="n">
        <v>0.11</v>
      </c>
      <c r="P170" s="63" t="n">
        <v>0.37</v>
      </c>
      <c r="Q170" s="63" t="n">
        <v>0.11</v>
      </c>
      <c r="R170" s="63" t="n">
        <v>0.14</v>
      </c>
      <c r="S170" s="63" t="n">
        <v>0.25</v>
      </c>
      <c r="T170" s="65"/>
      <c r="U170" s="65"/>
      <c r="V170" s="65"/>
      <c r="W170" s="65"/>
      <c r="X170" s="65"/>
      <c r="Y170" s="65"/>
      <c r="Z170" s="65"/>
      <c r="AA170" s="22"/>
      <c r="AB170" s="1"/>
      <c r="AC170" s="7"/>
      <c r="AD170" s="7"/>
    </row>
    <row r="171" customFormat="false" ht="15" hidden="false" customHeight="true" outlineLevel="0" collapsed="false">
      <c r="B171" s="59" t="s">
        <v>249</v>
      </c>
      <c r="C171" s="64" t="str">
        <f aca="false">IF(ISNUMBER(C170),ROUND(C169-C170,2),"n/p")</f>
        <v>n/p</v>
      </c>
      <c r="D171" s="64" t="str">
        <f aca="false">IF(ISNUMBER(D170),ROUND(D169-D170,2),"n/p")</f>
        <v>n/p</v>
      </c>
      <c r="E171" s="64" t="n">
        <f aca="false">IF(ISNUMBER(E170),ROUND(E169-E170,2),"n/p")</f>
        <v>0</v>
      </c>
      <c r="F171" s="64" t="n">
        <f aca="false">IF(ISNUMBER(F170),ROUND(F169-F170,2),"n/p")</f>
        <v>0</v>
      </c>
      <c r="G171" s="64" t="n">
        <f aca="false">IF(ISNUMBER(G170),ROUND(G169-G170,2),"n/p")</f>
        <v>0</v>
      </c>
      <c r="H171" s="64" t="n">
        <f aca="false">IF(ISNUMBER(H170),ROUND(H169-H170,2),"n/p")</f>
        <v>0</v>
      </c>
      <c r="I171" s="64" t="n">
        <f aca="false">IF(ISNUMBER(I170),ROUND(I169-I170,2),"n/p")</f>
        <v>0</v>
      </c>
      <c r="J171" s="64" t="n">
        <f aca="false">IF(ISNUMBER(J170),ROUND(J169-J170,2),"n/p")</f>
        <v>0</v>
      </c>
      <c r="K171" s="64" t="n">
        <f aca="false">IF(ISNUMBER(K170),ROUND(K169-K170,2),"n/p")</f>
        <v>0</v>
      </c>
      <c r="L171" s="64" t="n">
        <f aca="false">IF(ISNUMBER(L170),ROUND(L169-L170,2),"n/p")</f>
        <v>0</v>
      </c>
      <c r="M171" s="64" t="n">
        <f aca="false">IF(ISNUMBER(M170),ROUND(M169-M170,2),"n/p")</f>
        <v>-0.01</v>
      </c>
      <c r="N171" s="64" t="n">
        <f aca="false">IF(ISNUMBER(N170),ROUND(N169-N170,2),"n/p")</f>
        <v>0</v>
      </c>
      <c r="O171" s="64" t="n">
        <f aca="false">IF(ISNUMBER(O170),ROUND(O169-O170,2),"n/p")</f>
        <v>0</v>
      </c>
      <c r="P171" s="64" t="n">
        <f aca="false">IF(ISNUMBER(P170),ROUND(P169-P170,2),"n/p")</f>
        <v>0</v>
      </c>
      <c r="Q171" s="64" t="n">
        <f aca="false">IF(ISNUMBER(Q170),ROUND(Q169-Q170,2),"n/p")</f>
        <v>0</v>
      </c>
      <c r="R171" s="64" t="n">
        <f aca="false">IF(ISNUMBER(R170),ROUND(R169-R170,2),"n/p")</f>
        <v>0</v>
      </c>
      <c r="S171" s="64" t="n">
        <f aca="false">IF(ISNUMBER(S170),ROUND(S169-S170,2),"n/p")</f>
        <v>0</v>
      </c>
      <c r="T171" s="65"/>
      <c r="U171" s="65"/>
      <c r="V171" s="65"/>
      <c r="W171" s="65"/>
      <c r="X171" s="65"/>
      <c r="Y171" s="65"/>
      <c r="Z171" s="65"/>
      <c r="AA171" s="22"/>
      <c r="AB171" s="1"/>
      <c r="AC171" s="7"/>
      <c r="AD171" s="7"/>
    </row>
    <row r="172" customFormat="false" ht="15" hidden="false" customHeight="true" outlineLevel="0" collapsed="false">
      <c r="B172" s="66" t="s">
        <v>250</v>
      </c>
      <c r="C172" s="1"/>
      <c r="D172" s="1"/>
      <c r="E172" s="67"/>
      <c r="F172" s="1"/>
      <c r="G172" s="1"/>
      <c r="H172" s="1"/>
      <c r="I172" s="1"/>
      <c r="J172" s="1"/>
      <c r="K172" s="67"/>
      <c r="L172" s="1"/>
      <c r="M172" s="1"/>
      <c r="N172" s="1"/>
      <c r="O172" s="1"/>
      <c r="P172" s="1"/>
      <c r="Q172" s="1"/>
      <c r="R172" s="1"/>
      <c r="S172" s="1"/>
      <c r="T172" s="7"/>
      <c r="U172" s="7"/>
      <c r="V172" s="7"/>
      <c r="W172" s="7"/>
      <c r="X172" s="7"/>
      <c r="Y172" s="7"/>
      <c r="Z172" s="7"/>
      <c r="AA172" s="22"/>
      <c r="AB172" s="1"/>
      <c r="AC172" s="7"/>
      <c r="AD172" s="7"/>
    </row>
    <row r="173" customFormat="false" ht="15" hidden="false" customHeight="true" outlineLevel="0" collapsed="false">
      <c r="B173" s="36" t="s">
        <v>251</v>
      </c>
      <c r="C173" s="37"/>
      <c r="D173" s="37"/>
      <c r="E173" s="37"/>
      <c r="F173" s="37"/>
      <c r="G173" s="38"/>
      <c r="H173" s="37"/>
      <c r="I173" s="37"/>
      <c r="J173" s="37"/>
      <c r="K173" s="37"/>
      <c r="L173" s="37"/>
      <c r="M173" s="38"/>
      <c r="N173" s="37"/>
      <c r="O173" s="37"/>
      <c r="P173" s="37"/>
      <c r="Q173" s="37"/>
      <c r="R173" s="37"/>
      <c r="S173" s="38"/>
      <c r="T173" s="39"/>
      <c r="U173" s="39"/>
      <c r="V173" s="39"/>
      <c r="W173" s="39"/>
      <c r="X173" s="39"/>
      <c r="Y173" s="39"/>
      <c r="Z173" s="39"/>
      <c r="AA173" s="22"/>
      <c r="AB173" s="1"/>
      <c r="AC173" s="7"/>
      <c r="AD173" s="7"/>
    </row>
    <row r="174" customFormat="false" ht="15" hidden="false" customHeight="true" outlineLevel="0" collapsed="false">
      <c r="B174" s="25" t="s">
        <v>252</v>
      </c>
      <c r="C174" s="68" t="n">
        <v>0.25</v>
      </c>
      <c r="D174" s="68" t="n">
        <v>0.25</v>
      </c>
      <c r="E174" s="68" t="n">
        <v>0.25</v>
      </c>
      <c r="F174" s="68" t="n">
        <v>0.25</v>
      </c>
      <c r="G174" s="68" t="n">
        <v>0.25</v>
      </c>
      <c r="H174" s="68" t="n">
        <v>0.25</v>
      </c>
      <c r="I174" s="68" t="n">
        <v>0.25</v>
      </c>
      <c r="J174" s="68" t="n">
        <v>0.25</v>
      </c>
      <c r="K174" s="68" t="n">
        <v>0.25</v>
      </c>
      <c r="L174" s="68" t="n">
        <v>0.25</v>
      </c>
      <c r="M174" s="68" t="n">
        <v>0.25</v>
      </c>
      <c r="N174" s="68" t="n">
        <v>0.25</v>
      </c>
      <c r="O174" s="68" t="n">
        <v>0.25</v>
      </c>
      <c r="P174" s="68" t="n">
        <v>0.25</v>
      </c>
      <c r="Q174" s="68" t="n">
        <v>0.25</v>
      </c>
      <c r="R174" s="68" t="n">
        <v>0.25</v>
      </c>
      <c r="S174" s="68" t="n">
        <v>0.25</v>
      </c>
      <c r="T174" s="27" t="n">
        <f aca="false">$AI$16</f>
        <v>0.24</v>
      </c>
      <c r="U174" s="27" t="n">
        <f aca="false">$AI$16</f>
        <v>0.24</v>
      </c>
      <c r="V174" s="27" t="n">
        <f aca="false">$AI$16</f>
        <v>0.24</v>
      </c>
      <c r="W174" s="69" t="n">
        <f aca="false">W102</f>
        <v>0.245</v>
      </c>
      <c r="X174" s="69" t="n">
        <f aca="false">X102</f>
        <v>0.245</v>
      </c>
      <c r="Y174" s="69" t="n">
        <f aca="false">Y102</f>
        <v>0.245</v>
      </c>
      <c r="Z174" s="69" t="n">
        <f aca="false">Z102</f>
        <v>0.245</v>
      </c>
      <c r="AA174" s="22" t="s">
        <v>253</v>
      </c>
      <c r="AB174" s="1"/>
      <c r="AC174" s="47"/>
      <c r="AD174" s="47"/>
    </row>
    <row r="175" customFormat="false" ht="15" hidden="false" customHeight="true" outlineLevel="0" collapsed="false">
      <c r="B175" s="18" t="s">
        <v>254</v>
      </c>
      <c r="C175" s="20" t="n">
        <f aca="false">C103+(C66+C59+C60+C61+C58+C62+C164)*(1-C174)+C165</f>
        <v>8.353</v>
      </c>
      <c r="D175" s="20" t="n">
        <f aca="false">D103+(D66+D59+D60+D61+D58+D62+D164)*(1-D174)+D165</f>
        <v>19.38225</v>
      </c>
      <c r="E175" s="20" t="n">
        <f aca="false">E103+(E66+E59+E60+E61+E58+E62+E164)*(1-E174)+E165</f>
        <v>7.0555</v>
      </c>
      <c r="F175" s="20" t="n">
        <f aca="false">F103+(F66+F59+F60+F61+F58+F62+F164)*(1-F174)+F165</f>
        <v>8.50475</v>
      </c>
      <c r="G175" s="20" t="n">
        <f aca="false">G103+(G66+G59+G60+G61+G58+G62+G164)*(1-G174)+G165</f>
        <v>15.56025</v>
      </c>
      <c r="H175" s="20" t="n">
        <f aca="false">H103+(H66+H59+H60+H61+H58+H62+H164)*(1-H174)+H165</f>
        <v>9.14525000000001</v>
      </c>
      <c r="I175" s="20" t="n">
        <f aca="false">I103+(I66+I59+I60+I61+I58+I62+I164)*(1-I174)+I165</f>
        <v>6.7635</v>
      </c>
      <c r="J175" s="20" t="n">
        <f aca="false">J103+(J66+J59+J60+J61+J58+J62+J164)*(1-J174)+J165</f>
        <v>31.469</v>
      </c>
      <c r="K175" s="20" t="n">
        <f aca="false">K103+(K66+K59+K60+K61+K58+K62+K164)*(1-K174)+K165</f>
        <v>7.17724999999999</v>
      </c>
      <c r="L175" s="20" t="n">
        <f aca="false">L103+(L66+L59+L60+L61+L58+L62+L164)*(1-L174)+L165</f>
        <v>16.1745</v>
      </c>
      <c r="M175" s="20" t="n">
        <f aca="false">M103+(M66+M59+M60+M61+M58+M62+M164)*(1-M174)+M165</f>
        <v>23.35175</v>
      </c>
      <c r="N175" s="20" t="n">
        <f aca="false">N103+(N66+N59+N60+N61+N58+N62+N164)*(1-N174)+N165</f>
        <v>15.813</v>
      </c>
      <c r="O175" s="20" t="n">
        <f aca="false">O103+(O66+O59+O60+O61+O58+O62+O164)*(1-O174)+O165</f>
        <v>18.08325</v>
      </c>
      <c r="P175" s="20" t="n">
        <f aca="false">P103+(P66+P59+P60+P61+P58+P62+P164)*(1-P174)+P165</f>
        <v>57.248</v>
      </c>
      <c r="Q175" s="20" t="n">
        <f aca="false">Q103+(Q66+Q59+Q60+Q61+Q58+Q62+Q164)*(1-Q174)+Q165</f>
        <v>21.126</v>
      </c>
      <c r="R175" s="20" t="n">
        <f aca="false">R103+(R66+R59+R60+R61+R58+R62+R164)*(1-R174)+R165</f>
        <v>24.57325</v>
      </c>
      <c r="S175" s="20" t="n">
        <f aca="false">S103+(S66+S59+S60+S61+S58+S62+S164)*(1-S174)+S165</f>
        <v>45.6992500000001</v>
      </c>
      <c r="T175" s="21" t="n">
        <f aca="false">T103+(T66+T59+T60+T61+T58+T62+T164)*(1-T174)+T165</f>
        <v>27.809840911448</v>
      </c>
      <c r="U175" s="21" t="n">
        <f aca="false">U103+(U66+U59+U60+U61+U58+U62+U164)*(1-U174)+U165</f>
        <v>32.9626249092187</v>
      </c>
      <c r="V175" s="21" t="n">
        <f aca="false">V103+(V66+V59+V60+V61+V58+V62+V164)*(1-V174)+V165</f>
        <v>106.790025820667</v>
      </c>
      <c r="W175" s="21" t="n">
        <f aca="false">W103+(W66+W59+W60+W61+W58+W62+W164)*(1-W174)+W165</f>
        <v>148.781912947641</v>
      </c>
      <c r="X175" s="21" t="n">
        <f aca="false">X103+(X66+X59+X60+X61+X58+X62+X164)*(1-X174)+X165</f>
        <v>190.082093005517</v>
      </c>
      <c r="Y175" s="21" t="n">
        <f aca="false">Y103+(Y66+Y59+Y60+Y61+Y58+Y62+Y164)*(1-Y174)+Y165</f>
        <v>235.054261819478</v>
      </c>
      <c r="Z175" s="21" t="n">
        <f aca="false">Z103+(Z66+Z59+Z60+Z61+Z58+Z62+Z164)*(1-Z174)+Z165</f>
        <v>284.111571565236</v>
      </c>
      <c r="AA175" s="22"/>
      <c r="AB175" s="1"/>
      <c r="AC175" s="23" t="n">
        <f aca="false">IFERROR(IF(AND(Z175&gt;0,P175&gt;0),(Z175/P175)^(1/5)-1,"n/m"),"n/m")</f>
        <v>0.377671647492616</v>
      </c>
      <c r="AD175" s="23" t="n">
        <f aca="false">IFERROR(IF(AND(P175&gt;0,C175&gt;0),(P175/C175)^(1/3)-1,"n/m"),"n/m")</f>
        <v>0.899499918078309</v>
      </c>
    </row>
    <row r="176" customFormat="false" ht="15" hidden="false" customHeight="true" outlineLevel="0" collapsed="false">
      <c r="B176" s="18" t="s">
        <v>255</v>
      </c>
      <c r="C176" s="62" t="n">
        <f aca="false">IFERROR(C175/C110,"")</f>
        <v>0.0524982716359751</v>
      </c>
      <c r="D176" s="62" t="n">
        <f aca="false">IFERROR(D175/D110,"")</f>
        <v>0.116217261476471</v>
      </c>
      <c r="E176" s="62" t="n">
        <f aca="false">IFERROR(E175/E110,"")</f>
        <v>0.0423052477574711</v>
      </c>
      <c r="F176" s="62" t="n">
        <f aca="false">IFERROR(F175/F110,"")</f>
        <v>0.0510069750565261</v>
      </c>
      <c r="G176" s="62" t="n">
        <f aca="false">IFERROR(G175/G110,"")</f>
        <v>0.0933112052603648</v>
      </c>
      <c r="H176" s="62" t="n">
        <f aca="false">IFERROR(H175/H110,"")</f>
        <v>0.0548483539946143</v>
      </c>
      <c r="I176" s="62" t="n">
        <f aca="false">IFERROR(I175/I110,"")</f>
        <v>0.0405638820417783</v>
      </c>
      <c r="J176" s="62" t="n">
        <f aca="false">IFERROR(J175/J110,"")</f>
        <v>0.188734354102569</v>
      </c>
      <c r="K176" s="62" t="n">
        <f aca="false">IFERROR(K175/K110,"")</f>
        <v>0.0543011159447701</v>
      </c>
      <c r="L176" s="62" t="n">
        <f aca="false">IFERROR(L175/L110,"")</f>
        <v>0.122235909372591</v>
      </c>
      <c r="M176" s="62" t="n">
        <f aca="false">IFERROR(M175/M110,"")</f>
        <v>0.176574781566521</v>
      </c>
      <c r="N176" s="62" t="n">
        <f aca="false">IFERROR(N175/N110,"")</f>
        <v>0.119503937364913</v>
      </c>
      <c r="O176" s="62" t="n">
        <f aca="false">IFERROR(O175/O110,"")</f>
        <v>0.136660948292801</v>
      </c>
      <c r="P176" s="62" t="n">
        <f aca="false">IFERROR(P175/P110,"")</f>
        <v>0.432641586433095</v>
      </c>
      <c r="Q176" s="62" t="n">
        <f aca="false">IFERROR(Q175/Q110,"")</f>
        <v>0.159410228936209</v>
      </c>
      <c r="R176" s="62" t="n">
        <f aca="false">IFERROR(R175/R110,"")</f>
        <v>0.185415110426994</v>
      </c>
      <c r="S176" s="62" t="n">
        <f aca="false">IFERROR(S175/S110,"")</f>
        <v>0.34482582991583</v>
      </c>
      <c r="T176" s="70" t="n">
        <f aca="false">IFERROR(T175/T110,"")</f>
        <v>0.209789009674399</v>
      </c>
      <c r="U176" s="70" t="n">
        <f aca="false">IFERROR(U175/U110,"")</f>
        <v>0.248603788411119</v>
      </c>
      <c r="V176" s="70" t="n">
        <f aca="false">IFERROR(V175/V110,"")</f>
        <v>0.805644761372717</v>
      </c>
      <c r="W176" s="70" t="n">
        <f aca="false">IFERROR(W175/W110,"")</f>
        <v>1.11721252936196</v>
      </c>
      <c r="X176" s="70" t="n">
        <f aca="false">IFERROR(X175/X110,"")</f>
        <v>1.42306377064637</v>
      </c>
      <c r="Y176" s="70" t="n">
        <f aca="false">IFERROR(Y175/Y110,"")</f>
        <v>1.75449719802046</v>
      </c>
      <c r="Z176" s="70" t="n">
        <f aca="false">IFERROR(Z175/Z110,"")</f>
        <v>2.11435903178532</v>
      </c>
      <c r="AA176" s="22"/>
      <c r="AB176" s="1"/>
      <c r="AC176" s="23" t="n">
        <f aca="false">IFERROR(IF(AND(Z176&gt;0,P176&gt;0),(Z176/P176)^(1/5)-1,"n/m"),"n/m")</f>
        <v>0.373441274310284</v>
      </c>
      <c r="AD176" s="23" t="n">
        <f aca="false">IFERROR(IF(AND(P176&gt;0,C176&gt;0),(P176/C176)^(1/3)-1,"n/m"),"n/m")</f>
        <v>1.01989015417394</v>
      </c>
    </row>
    <row r="178" customFormat="false" ht="15" hidden="false" customHeight="true" outlineLevel="0" collapsed="false">
      <c r="B178" s="12" t="s">
        <v>256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 t="s">
        <v>257</v>
      </c>
      <c r="AB178" s="1"/>
      <c r="AC178" s="1"/>
      <c r="AD178" s="1"/>
    </row>
    <row r="179" customFormat="false" ht="15" hidden="false" customHeight="true" outlineLevel="0" collapsed="false">
      <c r="B179" s="25" t="s">
        <v>47</v>
      </c>
      <c r="C179" s="26"/>
      <c r="D179" s="26" t="n">
        <f aca="false">IFERROR(D92/C92-1,"")</f>
        <v>0.240356148645663</v>
      </c>
      <c r="E179" s="26"/>
      <c r="F179" s="26"/>
      <c r="G179" s="26"/>
      <c r="H179" s="26"/>
      <c r="I179" s="26"/>
      <c r="J179" s="26" t="n">
        <f aca="false">IFERROR(J92/D92-1,"")</f>
        <v>0.229942466290233</v>
      </c>
      <c r="K179" s="26" t="n">
        <f aca="false">IFERROR(K92/E92-1,"")</f>
        <v>0.206226055947763</v>
      </c>
      <c r="L179" s="26" t="n">
        <f aca="false">IFERROR(L92/F92-1,"")</f>
        <v>0.353461353026259</v>
      </c>
      <c r="M179" s="26" t="n">
        <f aca="false">IFERROR(M92/G92-1,"")</f>
        <v>0.280734327114761</v>
      </c>
      <c r="N179" s="26" t="n">
        <f aca="false">IFERROR(N92/H92-1,"")</f>
        <v>0.416655034431416</v>
      </c>
      <c r="O179" s="26" t="n">
        <f aca="false">IFERROR(O92/I92-1,"")</f>
        <v>0.474078782963239</v>
      </c>
      <c r="P179" s="26" t="n">
        <f aca="false">IFERROR(P92/J92-1,"")</f>
        <v>0.365673090012773</v>
      </c>
      <c r="Q179" s="26" t="n">
        <f aca="false">IFERROR(Q92/K92-1,"")</f>
        <v>0.510227318125525</v>
      </c>
      <c r="R179" s="26" t="n">
        <f aca="false">IFERROR(R92/L92-1,"")</f>
        <v>0.581822289025778</v>
      </c>
      <c r="S179" s="26" t="n">
        <f aca="false">IFERROR(S92/M92-1,"")</f>
        <v>0.548515247118079</v>
      </c>
      <c r="T179" s="27" t="n">
        <f aca="false">IFERROR(T92/N92-1,"")</f>
        <v>0.6019258871695</v>
      </c>
      <c r="U179" s="27" t="n">
        <f aca="false">IFERROR(U92/O92-1,"")</f>
        <v>0.644211194563901</v>
      </c>
      <c r="V179" s="27" t="n">
        <f aca="false">IFERROR(V92/P92-1,"")</f>
        <v>0.589607635206787</v>
      </c>
      <c r="W179" s="27" t="n">
        <f aca="false">IFERROR(W92/V92-1,"")</f>
        <v>0.278469452703728</v>
      </c>
      <c r="X179" s="27" t="n">
        <f aca="false">IFERROR(X92/W92-1,"")</f>
        <v>0.239337168566647</v>
      </c>
      <c r="Y179" s="27" t="n">
        <f aca="false">IFERROR(Y92/X92-1,"")</f>
        <v>0.207399408135956</v>
      </c>
      <c r="Z179" s="27" t="n">
        <f aca="false">IFERROR(Z92/Y92-1,"")</f>
        <v>0.180308514637414</v>
      </c>
      <c r="AA179" s="22"/>
      <c r="AB179" s="1"/>
      <c r="AC179" s="28" t="n">
        <f aca="false">IFERROR(AVERAGE(V179,W179,X179,Y179,Z179),"n/m")</f>
        <v>0.299024435850106</v>
      </c>
      <c r="AD179" s="28" t="n">
        <f aca="false">IFERROR(AVERAGE(C179,D179,J179,P179),"n/m")</f>
        <v>0.27865723498289</v>
      </c>
    </row>
    <row r="180" customFormat="false" ht="15" hidden="false" customHeight="true" outlineLevel="0" collapsed="false">
      <c r="B180" s="25" t="s">
        <v>258</v>
      </c>
      <c r="C180" s="26"/>
      <c r="D180" s="26" t="str">
        <f aca="false">IF(ISNUMBER(D72),IFERROR(D179-D181,""),"")</f>
        <v/>
      </c>
      <c r="E180" s="26"/>
      <c r="F180" s="26"/>
      <c r="G180" s="26"/>
      <c r="H180" s="26"/>
      <c r="I180" s="26"/>
      <c r="J180" s="26" t="n">
        <f aca="false">IF(ISNUMBER(J72),IFERROR(J179-J181,""),"")</f>
        <v>0.188290197894587</v>
      </c>
      <c r="K180" s="26" t="str">
        <f aca="false">IF(ISNUMBER(K72),IFERROR(K179-K181,""),"")</f>
        <v/>
      </c>
      <c r="L180" s="26" t="str">
        <f aca="false">IF(ISNUMBER(L72),IFERROR(L179-L181,""),"")</f>
        <v/>
      </c>
      <c r="M180" s="26" t="str">
        <f aca="false">IF(ISNUMBER(M72),IFERROR(M179-M181,""),"")</f>
        <v/>
      </c>
      <c r="N180" s="26" t="str">
        <f aca="false">IF(ISNUMBER(N72),IFERROR(N179-N181,""),"")</f>
        <v/>
      </c>
      <c r="O180" s="26" t="str">
        <f aca="false">IF(ISNUMBER(O72),IFERROR(O179-O181,""),"")</f>
        <v/>
      </c>
      <c r="P180" s="26" t="str">
        <f aca="false">IF(ISNUMBER(P72),IFERROR(P179-P181,""),"")</f>
        <v/>
      </c>
      <c r="Q180" s="26" t="str">
        <f aca="false">IF(ISNUMBER(Q72),IFERROR(Q179-Q181,""),"")</f>
        <v/>
      </c>
      <c r="R180" s="26" t="n">
        <f aca="false">IF(ISNUMBER(R72),IFERROR(R179-R181,""),"")</f>
        <v>0.244002884523489</v>
      </c>
      <c r="S180" s="26" t="str">
        <f aca="false">IF(ISNUMBER(S72),IFERROR(S179-S181,""),"")</f>
        <v/>
      </c>
      <c r="T180" s="27" t="n">
        <f aca="false">IF(ISNUMBER(T72),IFERROR(T179-T181,""),"")</f>
        <v>0.289905720813485</v>
      </c>
      <c r="U180" s="27" t="n">
        <f aca="false">IF(ISNUMBER(U72),IFERROR(U179-U181,""),"")</f>
        <v>0.421149599822207</v>
      </c>
      <c r="V180" s="27" t="n">
        <f aca="false">IF(ISNUMBER(V72),IFERROR(V179-V181,""),"")</f>
        <v>0.362922587486745</v>
      </c>
      <c r="W180" s="27" t="n">
        <f aca="false">IF(ISNUMBER(W72),IFERROR(W179-W181,""),"")</f>
        <v>0.206443413366148</v>
      </c>
      <c r="X180" s="27" t="n">
        <f aca="false">IF(ISNUMBER(X72),IFERROR(X179-X181,""),"")</f>
        <v>0.160134664903112</v>
      </c>
      <c r="Y180" s="27" t="n">
        <f aca="false">IF(ISNUMBER(Y72),IFERROR(Y179-Y181,""),"")</f>
        <v>0.13597377230726</v>
      </c>
      <c r="Z180" s="27" t="n">
        <f aca="false">IF(ISNUMBER(Z72),IFERROR(Z179-Z181,""),"")</f>
        <v>0.118038416347607</v>
      </c>
      <c r="AA180" s="22" t="s">
        <v>259</v>
      </c>
      <c r="AB180" s="1"/>
      <c r="AC180" s="28" t="n">
        <f aca="false">IFERROR(AVERAGE(V180,W180,X180,Y180,Z180),"n/m")</f>
        <v>0.196702570882174</v>
      </c>
      <c r="AD180" s="28" t="n">
        <f aca="false">IFERROR(AVERAGE(C180,D180,J180,P180),"n/m")</f>
        <v>0.188290197894587</v>
      </c>
    </row>
    <row r="181" customFormat="false" ht="15" hidden="false" customHeight="true" outlineLevel="0" collapsed="false">
      <c r="B181" s="25" t="s">
        <v>260</v>
      </c>
      <c r="C181" s="26"/>
      <c r="D181" s="26" t="str">
        <f aca="false">IF(ISNUMBER(D72),IFERROR(D72/C92,""),"")</f>
        <v/>
      </c>
      <c r="E181" s="26"/>
      <c r="F181" s="26"/>
      <c r="G181" s="26"/>
      <c r="H181" s="26"/>
      <c r="I181" s="26"/>
      <c r="J181" s="26" t="n">
        <f aca="false">IF(ISNUMBER(J72),IFERROR(J72/D92,""),"")</f>
        <v>0.0416522683956467</v>
      </c>
      <c r="K181" s="26" t="str">
        <f aca="false">IF(ISNUMBER(K72),IFERROR(K72/E92,""),"")</f>
        <v/>
      </c>
      <c r="L181" s="26" t="str">
        <f aca="false">IF(ISNUMBER(L72),IFERROR(L72/F92,""),"")</f>
        <v/>
      </c>
      <c r="M181" s="26" t="str">
        <f aca="false">IF(ISNUMBER(M72),IFERROR(M72/G92,""),"")</f>
        <v/>
      </c>
      <c r="N181" s="26" t="str">
        <f aca="false">IF(ISNUMBER(N72),IFERROR(N72/H92,""),"")</f>
        <v/>
      </c>
      <c r="O181" s="26" t="str">
        <f aca="false">IF(ISNUMBER(O72),IFERROR(O72/I92,""),"")</f>
        <v/>
      </c>
      <c r="P181" s="26" t="str">
        <f aca="false">IF(ISNUMBER(P72),IFERROR(P72/J92,""),"")</f>
        <v/>
      </c>
      <c r="Q181" s="26" t="str">
        <f aca="false">IF(ISNUMBER(Q72),IFERROR(Q72/K92,""),"")</f>
        <v/>
      </c>
      <c r="R181" s="26" t="n">
        <f aca="false">IF(ISNUMBER(R72),IFERROR(R72/L92,""),"")</f>
        <v>0.337819404502289</v>
      </c>
      <c r="S181" s="26" t="str">
        <f aca="false">IF(ISNUMBER(S72),IFERROR(S72/M92,""),"")</f>
        <v/>
      </c>
      <c r="T181" s="27" t="n">
        <f aca="false">IF(ISNUMBER(T72),IFERROR(T72/N92,""),"")</f>
        <v>0.312020166356015</v>
      </c>
      <c r="U181" s="27" t="n">
        <f aca="false">IF(ISNUMBER(U72),IFERROR(U72/O92,""),"")</f>
        <v>0.223061594741695</v>
      </c>
      <c r="V181" s="27" t="n">
        <f aca="false">IF(ISNUMBER(V72),IFERROR(V72/P92,""),"")</f>
        <v>0.226685047720042</v>
      </c>
      <c r="W181" s="27" t="n">
        <f aca="false">IF(ISNUMBER(W72),IFERROR(W72/V92,""),"")</f>
        <v>0.0720260393375804</v>
      </c>
      <c r="X181" s="27" t="n">
        <f aca="false">IF(ISNUMBER(X72),IFERROR(X72/W92,""),"")</f>
        <v>0.0792025036635344</v>
      </c>
      <c r="Y181" s="27" t="n">
        <f aca="false">IF(ISNUMBER(Y72),IFERROR(Y72/X92,""),"")</f>
        <v>0.0714256358286964</v>
      </c>
      <c r="Z181" s="27" t="n">
        <f aca="false">IF(ISNUMBER(Z72),IFERROR(Z72/Y92,""),"")</f>
        <v>0.0622700982898067</v>
      </c>
      <c r="AA181" s="22"/>
      <c r="AB181" s="1"/>
      <c r="AC181" s="28" t="n">
        <f aca="false">IFERROR(AVERAGE(V181,W181,X181,Y181,Z181),"n/m")</f>
        <v>0.102321864967932</v>
      </c>
      <c r="AD181" s="28" t="n">
        <f aca="false">IFERROR(AVERAGE(C181,D181,J181,P181),"n/m")</f>
        <v>0.0416522683956467</v>
      </c>
    </row>
    <row r="182" customFormat="false" ht="15" hidden="false" customHeight="true" outlineLevel="0" collapsed="false">
      <c r="B182" s="25" t="s">
        <v>125</v>
      </c>
      <c r="C182" s="26"/>
      <c r="D182" s="26" t="n">
        <f aca="false">IFERROR(D146/C146-1,"")</f>
        <v>0.357764840523461</v>
      </c>
      <c r="E182" s="26"/>
      <c r="F182" s="26"/>
      <c r="G182" s="26"/>
      <c r="H182" s="26"/>
      <c r="I182" s="26"/>
      <c r="J182" s="26" t="n">
        <f aca="false">IFERROR(J146/D146-1,"")</f>
        <v>0.296649198030809</v>
      </c>
      <c r="K182" s="26" t="n">
        <f aca="false">IFERROR(K146/E146-1,"")</f>
        <v>0.247849528748405</v>
      </c>
      <c r="L182" s="26" t="n">
        <f aca="false">IFERROR(L146/F146-1,"")</f>
        <v>0.286500875145858</v>
      </c>
      <c r="M182" s="26" t="n">
        <f aca="false">IFERROR(M146/G146-1,"")</f>
        <v>0.268343612845846</v>
      </c>
      <c r="N182" s="26" t="n">
        <f aca="false">IFERROR(N146/H146-1,"")</f>
        <v>0.344200962052379</v>
      </c>
      <c r="O182" s="26" t="n">
        <f aca="false">IFERROR(O146/I146-1,"")</f>
        <v>0.592511096779089</v>
      </c>
      <c r="P182" s="26" t="n">
        <f aca="false">IFERROR(P146/J146-1,"")</f>
        <v>0.368901031607707</v>
      </c>
      <c r="Q182" s="26" t="n">
        <f aca="false">IFERROR(Q146/K146-1,"")</f>
        <v>0.477159536924042</v>
      </c>
      <c r="R182" s="26" t="n">
        <f aca="false">IFERROR(R146/L146-1,"")</f>
        <v>0.547008304753266</v>
      </c>
      <c r="S182" s="26" t="n">
        <f aca="false">IFERROR(S146/M146-1,"")</f>
        <v>0.514725609756098</v>
      </c>
      <c r="T182" s="27" t="n">
        <f aca="false">IFERROR(T146/N146-1,"")</f>
        <v>0.525322105220653</v>
      </c>
      <c r="U182" s="27" t="n">
        <f aca="false">IFERROR(U146/O146-1,"")</f>
        <v>0.550401972045427</v>
      </c>
      <c r="V182" s="27" t="n">
        <f aca="false">IFERROR(V146/P146-1,"")</f>
        <v>0.527783512959216</v>
      </c>
      <c r="W182" s="27" t="n">
        <f aca="false">IFERROR(W146/V146-1,"")</f>
        <v>0.284583699992398</v>
      </c>
      <c r="X182" s="27" t="n">
        <f aca="false">IFERROR(X146/W146-1,"")</f>
        <v>0.242611144914128</v>
      </c>
      <c r="Y182" s="27" t="n">
        <f aca="false">IFERROR(Y146/X146-1,"")</f>
        <v>0.21020851077502</v>
      </c>
      <c r="Z182" s="27" t="n">
        <f aca="false">IFERROR(Z146/Y146-1,"")</f>
        <v>0.185782703931262</v>
      </c>
      <c r="AA182" s="22"/>
      <c r="AB182" s="1"/>
      <c r="AC182" s="28" t="n">
        <f aca="false">IFERROR(AVERAGE(V182,W182,X182,Y182,Z182),"n/m")</f>
        <v>0.290193914514405</v>
      </c>
      <c r="AD182" s="28" t="n">
        <f aca="false">IFERROR(AVERAGE(C182,D182,J182,P182),"n/m")</f>
        <v>0.341105023387325</v>
      </c>
    </row>
    <row r="183" customFormat="false" ht="15" hidden="false" customHeight="true" outlineLevel="0" collapsed="false">
      <c r="B183" s="25" t="s">
        <v>261</v>
      </c>
      <c r="C183" s="26"/>
      <c r="D183" s="26" t="n">
        <f aca="false">IFERROR(D124/C124-1,"")</f>
        <v>0.360405789045284</v>
      </c>
      <c r="E183" s="26"/>
      <c r="F183" s="26"/>
      <c r="G183" s="26"/>
      <c r="H183" s="26"/>
      <c r="I183" s="26"/>
      <c r="J183" s="26" t="n">
        <f aca="false">IFERROR(J124/D124-1,"")</f>
        <v>0.292725282743525</v>
      </c>
      <c r="K183" s="26" t="n">
        <f aca="false">IFERROR(K124/E124-1,"")</f>
        <v>0.291527618668127</v>
      </c>
      <c r="L183" s="26" t="n">
        <f aca="false">IFERROR(L124/F124-1,"")</f>
        <v>0.281577378417511</v>
      </c>
      <c r="M183" s="26" t="n">
        <f aca="false">IFERROR(M124/G124-1,"")</f>
        <v>0.28616359420556</v>
      </c>
      <c r="N183" s="26" t="n">
        <f aca="false">IFERROR(N124/H124-1,"")</f>
        <v>0.369628947148003</v>
      </c>
      <c r="O183" s="26" t="n">
        <f aca="false">IFERROR(O124/I124-1,"")</f>
        <v>0.555376903433273</v>
      </c>
      <c r="P183" s="26" t="n">
        <f aca="false">IFERROR(P124/J124-1,"")</f>
        <v>0.372911586742527</v>
      </c>
      <c r="Q183" s="26" t="n">
        <f aca="false">IFERROR(Q124/K124-1,"")</f>
        <v>0.512842267643657</v>
      </c>
      <c r="R183" s="26" t="n">
        <f aca="false">IFERROR(R124/L124-1,"")</f>
        <v>0.624376952216388</v>
      </c>
      <c r="S183" s="26" t="n">
        <f aca="false">IFERROR(S124/M124-1,"")</f>
        <v>0.572754533771242</v>
      </c>
      <c r="T183" s="27" t="n">
        <f aca="false">IFERROR(T124/N124-1,"")</f>
        <v>0.571804562727774</v>
      </c>
      <c r="U183" s="27" t="n">
        <f aca="false">IFERROR(U124/O124-1,"")</f>
        <v>0.786979762254512</v>
      </c>
      <c r="V183" s="27" t="n">
        <f aca="false">IFERROR(V124/P124-1,"")</f>
        <v>0.630433495041852</v>
      </c>
      <c r="W183" s="27" t="n">
        <f aca="false">IFERROR(W124/V124-1,"")</f>
        <v>0.282051536120552</v>
      </c>
      <c r="X183" s="27" t="n">
        <f aca="false">IFERROR(X124/W124-1,"")</f>
        <v>0.239587623907097</v>
      </c>
      <c r="Y183" s="27" t="n">
        <f aca="false">IFERROR(Y124/X124-1,"")</f>
        <v>0.210177265225067</v>
      </c>
      <c r="Z183" s="27" t="n">
        <f aca="false">IFERROR(Z124/Y124-1,"")</f>
        <v>0.185021208069235</v>
      </c>
      <c r="AA183" s="22"/>
      <c r="AB183" s="1"/>
      <c r="AC183" s="28" t="n">
        <f aca="false">IFERROR(AVERAGE(V183,W183,X183,Y183,Z183),"n/m")</f>
        <v>0.309454225672761</v>
      </c>
      <c r="AD183" s="28" t="n">
        <f aca="false">IFERROR(AVERAGE(C183,D183,J183,P183),"n/m")</f>
        <v>0.342014219510445</v>
      </c>
    </row>
    <row r="184" customFormat="false" ht="15" hidden="false" customHeight="true" outlineLevel="0" collapsed="false">
      <c r="B184" s="25" t="s">
        <v>262</v>
      </c>
      <c r="C184" s="26"/>
      <c r="D184" s="26" t="n">
        <f aca="false">IFERROR(D97/C97-1,"")</f>
        <v>1.37308539270859</v>
      </c>
      <c r="E184" s="26"/>
      <c r="F184" s="26"/>
      <c r="G184" s="26"/>
      <c r="H184" s="26"/>
      <c r="I184" s="26"/>
      <c r="J184" s="26" t="n">
        <f aca="false">IFERROR(J97/D97-1,"")</f>
        <v>0.310677609601188</v>
      </c>
      <c r="K184" s="26" t="n">
        <f aca="false">IFERROR(K97/E97-1,"")</f>
        <v>-0.261945329283651</v>
      </c>
      <c r="L184" s="26" t="n">
        <f aca="false">IFERROR(L97/F97-1,"")</f>
        <v>0.0997210218259395</v>
      </c>
      <c r="M184" s="26" t="n">
        <f aca="false">IFERROR(M97/G97-1,"")</f>
        <v>-0.0539018250472001</v>
      </c>
      <c r="N184" s="26" t="n">
        <f aca="false">IFERROR(N97/H97-1,"")</f>
        <v>0.25305911414948</v>
      </c>
      <c r="O184" s="26" t="n">
        <f aca="false">IFERROR(O97/I97-1,"")</f>
        <v>0.465558029501809</v>
      </c>
      <c r="P184" s="26" t="n">
        <f aca="false">IFERROR(P97/J97-1,"")</f>
        <v>0.147608558842039</v>
      </c>
      <c r="Q184" s="26" t="n">
        <f aca="false">IFERROR(Q97/K97-1,"")</f>
        <v>1.15316671685236</v>
      </c>
      <c r="R184" s="26" t="n">
        <f aca="false">IFERROR(R97/L97-1,"")</f>
        <v>0.732441305212893</v>
      </c>
      <c r="S184" s="26" t="n">
        <f aca="false">IFERROR(S97/M97-1,"")</f>
        <v>0.871852861941665</v>
      </c>
      <c r="T184" s="27" t="n">
        <f aca="false">IFERROR(T97/N97-1,"")</f>
        <v>0.692069568102379</v>
      </c>
      <c r="U184" s="27" t="n">
        <f aca="false">IFERROR(U97/O97-1,"")</f>
        <v>1.09766602006129</v>
      </c>
      <c r="V184" s="27" t="n">
        <f aca="false">IFERROR(V97/P97-1,"")</f>
        <v>0.88329852211346</v>
      </c>
      <c r="W184" s="27" t="n">
        <f aca="false">IFERROR(W97/V97-1,"")</f>
        <v>0.443092537153921</v>
      </c>
      <c r="X184" s="27" t="n">
        <f aca="false">IFERROR(X97/W97-1,"")</f>
        <v>0.28931650431336</v>
      </c>
      <c r="Y184" s="27" t="n">
        <f aca="false">IFERROR(Y97/X97-1,"")</f>
        <v>0.221466938248475</v>
      </c>
      <c r="Z184" s="27" t="n">
        <f aca="false">IFERROR(Z97/Y97-1,"")</f>
        <v>0.190954814146595</v>
      </c>
      <c r="AA184" s="22"/>
      <c r="AB184" s="1"/>
      <c r="AC184" s="28" t="n">
        <f aca="false">IFERROR(AVERAGE(V184,W184,X184,Y184,Z184),"n/m")</f>
        <v>0.405625863195162</v>
      </c>
      <c r="AD184" s="28" t="n">
        <f aca="false">IFERROR(AVERAGE(C184,D184,J184,P184),"n/m")</f>
        <v>0.610457187050605</v>
      </c>
    </row>
    <row r="185" customFormat="false" ht="15" hidden="false" customHeight="true" outlineLevel="0" collapsed="false">
      <c r="B185" s="25" t="s">
        <v>263</v>
      </c>
      <c r="C185" s="26"/>
      <c r="D185" s="26" t="n">
        <f aca="false">IFERROR(D103/C103-1,"")</f>
        <v>-1.30917086318179</v>
      </c>
      <c r="E185" s="26"/>
      <c r="F185" s="26"/>
      <c r="G185" s="26"/>
      <c r="H185" s="26"/>
      <c r="I185" s="26"/>
      <c r="J185" s="26" t="n">
        <f aca="false">IFERROR(J103/D103-1,"")</f>
        <v>1.91374168387246</v>
      </c>
      <c r="K185" s="26" t="n">
        <f aca="false">IFERROR(K103/E103-1,"")</f>
        <v>-3.26107445805844</v>
      </c>
      <c r="L185" s="26" t="n">
        <f aca="false">IFERROR(L103/F103-1,"")</f>
        <v>0.478496959165943</v>
      </c>
      <c r="M185" s="26" t="n">
        <f aca="false">IFERROR(M103/G103-1,"")</f>
        <v>-0.70130835563485</v>
      </c>
      <c r="N185" s="26" t="n">
        <f aca="false">IFERROR(N103/H103-1,"")</f>
        <v>0.78098788443616</v>
      </c>
      <c r="O185" s="26" t="n">
        <f aca="false">IFERROR(O103/I103-1,"")</f>
        <v>3.58288770053476</v>
      </c>
      <c r="P185" s="26" t="n">
        <f aca="false">IFERROR(P103/J103-1,"")</f>
        <v>0.36729391386505</v>
      </c>
      <c r="Q185" s="26" t="n">
        <f aca="false">IFERROR(Q103/K103-1,"")</f>
        <v>-2.62442684451855</v>
      </c>
      <c r="R185" s="26" t="n">
        <f aca="false">IFERROR(R103/L103-1,"")</f>
        <v>1.06140737476127</v>
      </c>
      <c r="S185" s="26" t="n">
        <f aca="false">IFERROR(S103/M103-1,"")</f>
        <v>9.86411149825783</v>
      </c>
      <c r="T185" s="27" t="n">
        <f aca="false">IFERROR(T103/N103-1,"")</f>
        <v>1.19678387119937</v>
      </c>
      <c r="U185" s="27" t="n">
        <f aca="false">IFERROR(U103/O103-1,"")</f>
        <v>1.83595875913636</v>
      </c>
      <c r="V185" s="27" t="n">
        <f aca="false">IFERROR(V103/P103-1,"")</f>
        <v>2.48335631813121</v>
      </c>
      <c r="W185" s="27" t="n">
        <f aca="false">IFERROR(W103/V103-1,"")</f>
        <v>0.760868048501224</v>
      </c>
      <c r="X185" s="27" t="n">
        <f aca="false">IFERROR(X103/W103-1,"")</f>
        <v>0.362541547822463</v>
      </c>
      <c r="Y185" s="27" t="n">
        <f aca="false">IFERROR(Y103/X103-1,"")</f>
        <v>0.259784915150309</v>
      </c>
      <c r="Z185" s="27" t="n">
        <f aca="false">IFERROR(Z103/Y103-1,"")</f>
        <v>0.223119595646256</v>
      </c>
      <c r="AA185" s="22"/>
      <c r="AB185" s="1"/>
      <c r="AC185" s="28" t="n">
        <f aca="false">IFERROR(AVERAGE(V185,W185,X185,Y185,Z185),"n/m")</f>
        <v>0.817934085050293</v>
      </c>
      <c r="AD185" s="28" t="n">
        <f aca="false">IFERROR(AVERAGE(C185,D185,J185,P185),"n/m")</f>
        <v>0.323954911518574</v>
      </c>
    </row>
    <row r="186" customFormat="false" ht="15" hidden="false" customHeight="true" outlineLevel="0" collapsed="false">
      <c r="B186" s="25" t="s">
        <v>264</v>
      </c>
      <c r="C186" s="26"/>
      <c r="D186" s="26" t="n">
        <f aca="false">IFERROR(D169/C169-1,"")</f>
        <v>-2.05611231727407</v>
      </c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 t="n">
        <f aca="false">IFERROR(Q169/K169-1,"")</f>
        <v>1.2</v>
      </c>
      <c r="R186" s="26" t="n">
        <f aca="false">IFERROR(R169/L169-1,"")</f>
        <v>0.4</v>
      </c>
      <c r="S186" s="26" t="n">
        <f aca="false">IFERROR(S169/M169-1,"")</f>
        <v>0.666361733764943</v>
      </c>
      <c r="T186" s="27" t="n">
        <f aca="false">IFERROR(T169/N169-1,"")</f>
        <v>0.643938708326582</v>
      </c>
      <c r="U186" s="27" t="n">
        <f aca="false">IFERROR(U169/O169-1,"")</f>
        <v>0.808277807777895</v>
      </c>
      <c r="V186" s="27" t="n">
        <f aca="false">IFERROR(V169/P169-1,"")</f>
        <v>0.657646494030002</v>
      </c>
      <c r="W186" s="27" t="n">
        <f aca="false">IFERROR(W169/V169-1,"")</f>
        <v>0.495913952042522</v>
      </c>
      <c r="X186" s="27" t="n">
        <f aca="false">IFERROR(X169/W169-1,"")</f>
        <v>0.333208253060569</v>
      </c>
      <c r="Y186" s="27" t="n">
        <f aca="false">IFERROR(Y169/X169-1,"")</f>
        <v>0.243692262841159</v>
      </c>
      <c r="Z186" s="27" t="n">
        <f aca="false">IFERROR(Z169/Y169-1,"")</f>
        <v>0.206707238588521</v>
      </c>
      <c r="AA186" s="22" t="s">
        <v>265</v>
      </c>
      <c r="AB186" s="1"/>
      <c r="AC186" s="28" t="n">
        <f aca="false">IFERROR(AVERAGE(V186,W186,X186,Y186,Z186),"n/m")</f>
        <v>0.387433640112555</v>
      </c>
      <c r="AD186" s="28" t="n">
        <f aca="false">IFERROR(AVERAGE(C186,D186,J186,P186),"n/m")</f>
        <v>-2.05611231727407</v>
      </c>
    </row>
    <row r="187" customFormat="false" ht="15" hidden="false" customHeight="true" outlineLevel="0" collapsed="false">
      <c r="B187" s="25" t="s">
        <v>266</v>
      </c>
      <c r="C187" s="31" t="n">
        <f aca="false">IFERROR(C94/C92,"")</f>
        <v>0.35767752198312</v>
      </c>
      <c r="D187" s="31" t="n">
        <f aca="false">IFERROR(D94/D92,"")</f>
        <v>0.376013964838532</v>
      </c>
      <c r="E187" s="31" t="n">
        <f aca="false">IFERROR(E94/E92,"")</f>
        <v>0.349372334530034</v>
      </c>
      <c r="F187" s="31" t="n">
        <f aca="false">IFERROR(F94/F92,"")</f>
        <v>0.406801585155047</v>
      </c>
      <c r="G187" s="31" t="n">
        <f aca="false">IFERROR(G94/G92,"")</f>
        <v>0.378434347942516</v>
      </c>
      <c r="H187" s="31" t="n">
        <f aca="false">IFERROR(H94/H92,"")</f>
        <v>0.392983435697004</v>
      </c>
      <c r="I187" s="31" t="n">
        <f aca="false">IFERROR(I94/I92,"")</f>
        <v>0.380685679212609</v>
      </c>
      <c r="J187" s="31" t="n">
        <f aca="false">IFERROR(J94/J92,"")</f>
        <v>0.382652041558171</v>
      </c>
      <c r="K187" s="31" t="n">
        <f aca="false">IFERROR(K94/K92,"")</f>
        <v>0.394021413447325</v>
      </c>
      <c r="L187" s="31" t="n">
        <f aca="false">IFERROR(L94/L92,"")</f>
        <v>0.408533671598739</v>
      </c>
      <c r="M187" s="31" t="n">
        <f aca="false">IFERROR(M94/M92,"")</f>
        <v>0.401782353952449</v>
      </c>
      <c r="N187" s="31" t="n">
        <f aca="false">IFERROR(N94/N92,"")</f>
        <v>0.410060187047879</v>
      </c>
      <c r="O187" s="31" t="n">
        <f aca="false">IFERROR(O94/O92,"")</f>
        <v>0.398640811349374</v>
      </c>
      <c r="P187" s="31" t="n">
        <f aca="false">IFERROR(P94/P92,"")</f>
        <v>0.403024390243902</v>
      </c>
      <c r="Q187" s="31" t="n">
        <f aca="false">IFERROR(Q94/Q92,"")</f>
        <v>0.422359632299451</v>
      </c>
      <c r="R187" s="31" t="n">
        <f aca="false">IFERROR(R94/R92,"")</f>
        <v>0.429708397642574</v>
      </c>
      <c r="S187" s="31" t="n">
        <f aca="false">IFERROR(S94/S92,"")</f>
        <v>0.426374173725444</v>
      </c>
      <c r="T187" s="27" t="n">
        <f aca="false">IFERROR(T94/T92,"")</f>
        <v>0.426374173725444</v>
      </c>
      <c r="U187" s="27" t="n">
        <f aca="false">IFERROR(U94/U92,"")</f>
        <v>0.426374173725444</v>
      </c>
      <c r="V187" s="27" t="n">
        <f aca="false">IFERROR(V94/V92,"")</f>
        <v>0.426374173725444</v>
      </c>
      <c r="W187" s="27" t="n">
        <f aca="false">IFERROR(W94/W92,"")</f>
        <v>0.425</v>
      </c>
      <c r="X187" s="27" t="n">
        <f aca="false">IFERROR(X94/X92,"")</f>
        <v>0.425</v>
      </c>
      <c r="Y187" s="27" t="n">
        <f aca="false">IFERROR(Y94/Y92,"")</f>
        <v>0.425</v>
      </c>
      <c r="Z187" s="27" t="n">
        <f aca="false">IFERROR(Z94/Z92,"")</f>
        <v>0.425</v>
      </c>
      <c r="AA187" s="22"/>
      <c r="AB187" s="1"/>
      <c r="AC187" s="28" t="n">
        <f aca="false">IFERROR(AVERAGE(V187,W187,X187,Y187,Z187),"n/m")</f>
        <v>0.425274834745089</v>
      </c>
      <c r="AD187" s="28" t="n">
        <f aca="false">IFERROR(AVERAGE(C187,D187,J187,P187),"n/m")</f>
        <v>0.379841979655931</v>
      </c>
    </row>
    <row r="188" customFormat="false" ht="15" hidden="false" customHeight="true" outlineLevel="0" collapsed="false">
      <c r="B188" s="25" t="s">
        <v>124</v>
      </c>
      <c r="C188" s="31" t="n">
        <f aca="false">IFERROR(C146/C92,"")</f>
        <v>0.266408908134859</v>
      </c>
      <c r="D188" s="31" t="n">
        <f aca="false">IFERROR(D146/D92,"")</f>
        <v>0.291626440569281</v>
      </c>
      <c r="E188" s="31" t="n">
        <f aca="false">IFERROR(E146/E92,"")</f>
        <v>0.292713779726767</v>
      </c>
      <c r="F188" s="31" t="n">
        <f aca="false">IFERROR(F146/F92,"")</f>
        <v>0.322487329343007</v>
      </c>
      <c r="G188" s="31" t="n">
        <f aca="false">IFERROR(G146/G92,"")</f>
        <v>0.30778065399149</v>
      </c>
      <c r="H188" s="31" t="n">
        <f aca="false">IFERROR(H146/H92,"")</f>
        <v>0.326458682300391</v>
      </c>
      <c r="I188" s="31" t="n">
        <f aca="false">IFERROR(I146/I92,"")</f>
        <v>0.288903746246082</v>
      </c>
      <c r="J188" s="31" t="n">
        <f aca="false">IFERROR(J146/J92,"")</f>
        <v>0.307442990751656</v>
      </c>
      <c r="K188" s="31" t="n">
        <f aca="false">IFERROR(K146/K92,"")</f>
        <v>0.302814510007591</v>
      </c>
      <c r="L188" s="31" t="n">
        <f aca="false">IFERROR(L146/L92,"")</f>
        <v>0.30653275063642</v>
      </c>
      <c r="M188" s="31" t="n">
        <f aca="false">IFERROR(M146/M92,"")</f>
        <v>0.304802969970403</v>
      </c>
      <c r="N188" s="31" t="n">
        <f aca="false">IFERROR(N146/N92,"")</f>
        <v>0.309762125678439</v>
      </c>
      <c r="O188" s="31" t="n">
        <f aca="false">IFERROR(O146/O92,"")</f>
        <v>0.312115218749071</v>
      </c>
      <c r="P188" s="31" t="n">
        <f aca="false">IFERROR(P146/P92,"")</f>
        <v>0.30816967126193</v>
      </c>
      <c r="Q188" s="31" t="n">
        <f aca="false">IFERROR(Q146/Q92,"")</f>
        <v>0.296184114807222</v>
      </c>
      <c r="R188" s="31" t="n">
        <f aca="false">IFERROR(R146/R92,"")</f>
        <v>0.299786337696292</v>
      </c>
      <c r="S188" s="31" t="n">
        <f aca="false">IFERROR(S146/S92,"")</f>
        <v>0.298151965505757</v>
      </c>
      <c r="T188" s="27" t="n">
        <f aca="false">IFERROR(T146/T92,"")</f>
        <v>0.29494936154151</v>
      </c>
      <c r="U188" s="27" t="n">
        <f aca="false">IFERROR(U146/U92,"")</f>
        <v>0.29430772169283</v>
      </c>
      <c r="V188" s="27" t="n">
        <f aca="false">IFERROR(V146/V92,"")</f>
        <v>0.296184122748499</v>
      </c>
      <c r="W188" s="27" t="n">
        <f aca="false">IFERROR(W146/W92,"")</f>
        <v>0.297600615700781</v>
      </c>
      <c r="X188" s="27" t="n">
        <f aca="false">IFERROR(X146/X92,"")</f>
        <v>0.298386791893598</v>
      </c>
      <c r="Y188" s="27" t="n">
        <f aca="false">IFERROR(Y146/Y92,"")</f>
        <v>0.299081010491786</v>
      </c>
      <c r="Z188" s="27" t="n">
        <f aca="false">IFERROR(Z146/Z92,"")</f>
        <v>0.300468127542391</v>
      </c>
      <c r="AA188" s="22"/>
      <c r="AB188" s="1"/>
      <c r="AC188" s="28" t="n">
        <f aca="false">IFERROR(AVERAGE(V188,W188,X188,Y188,Z188),"n/m")</f>
        <v>0.298344133675411</v>
      </c>
      <c r="AD188" s="28" t="n">
        <f aca="false">IFERROR(AVERAGE(C188,D188,J188,P188),"n/m")</f>
        <v>0.293412002679432</v>
      </c>
    </row>
    <row r="189" customFormat="false" ht="15" hidden="false" customHeight="true" outlineLevel="0" collapsed="false">
      <c r="B189" s="25" t="s">
        <v>267</v>
      </c>
      <c r="C189" s="31" t="n">
        <f aca="false">IFERROR(C124/C92,"")</f>
        <v>0.22257522866864</v>
      </c>
      <c r="D189" s="31" t="n">
        <f aca="false">IFERROR(D124/D92,"")</f>
        <v>0.244117489891523</v>
      </c>
      <c r="E189" s="31" t="n">
        <f aca="false">IFERROR(E124/E92,"")</f>
        <v>0.241874081391707</v>
      </c>
      <c r="F189" s="31" t="n">
        <f aca="false">IFERROR(F124/F92,"")</f>
        <v>0.276132127612037</v>
      </c>
      <c r="G189" s="31" t="n">
        <f aca="false">IFERROR(G124/G92,"")</f>
        <v>0.259210330566218</v>
      </c>
      <c r="H189" s="31" t="n">
        <f aca="false">IFERROR(H124/H92,"")</f>
        <v>0.277754513307277</v>
      </c>
      <c r="I189" s="31" t="n">
        <f aca="false">IFERROR(I124/I92,"")</f>
        <v>0.231767465310507</v>
      </c>
      <c r="J189" s="31" t="n">
        <f aca="false">IFERROR(J124/J92,"")</f>
        <v>0.256578547201891</v>
      </c>
      <c r="K189" s="31" t="n">
        <f aca="false">IFERROR(K124/K92,"")</f>
        <v>0.258978866205905</v>
      </c>
      <c r="L189" s="31" t="n">
        <f aca="false">IFERROR(L124/L92,"")</f>
        <v>0.261466415284499</v>
      </c>
      <c r="M189" s="31" t="n">
        <f aca="false">IFERROR(M124/M92,"")</f>
        <v>0.260309170573504</v>
      </c>
      <c r="N189" s="31" t="n">
        <f aca="false">IFERROR(N124/N92,"")</f>
        <v>0.268534408434398</v>
      </c>
      <c r="O189" s="31" t="n">
        <f aca="false">IFERROR(O124/O92,"")</f>
        <v>0.244549861701811</v>
      </c>
      <c r="P189" s="31" t="n">
        <f aca="false">IFERROR(P124/P92,"")</f>
        <v>0.25793849416755</v>
      </c>
      <c r="Q189" s="31" t="n">
        <f aca="false">IFERROR(Q124/Q92,"")</f>
        <v>0.259427286555122</v>
      </c>
      <c r="R189" s="31" t="n">
        <f aca="false">IFERROR(R124/R92,"")</f>
        <v>0.268500464125056</v>
      </c>
      <c r="S189" s="31" t="n">
        <f aca="false">IFERROR(S124/S92,"")</f>
        <v>0.26438385347748</v>
      </c>
      <c r="T189" s="27" t="n">
        <f aca="false">IFERROR(T124/T92,"")</f>
        <v>0.263485103653818</v>
      </c>
      <c r="U189" s="27" t="n">
        <f aca="false">IFERROR(U124/U92,"")</f>
        <v>0.26578438047868</v>
      </c>
      <c r="V189" s="27" t="n">
        <f aca="false">IFERROR(V124/V92,"")</f>
        <v>0.264563123148766</v>
      </c>
      <c r="W189" s="27" t="n">
        <f aca="false">IFERROR(W124/W92,"")</f>
        <v>0.265304390117742</v>
      </c>
      <c r="X189" s="27" t="n">
        <f aca="false">IFERROR(X124/X92,"")</f>
        <v>0.26535800498788</v>
      </c>
      <c r="Y189" s="27" t="n">
        <f aca="false">IFERROR(Y124/Y92,"")</f>
        <v>0.265968512671038</v>
      </c>
      <c r="Z189" s="27" t="n">
        <f aca="false">IFERROR(Z124/Z92,"")</f>
        <v>0.267030462192873</v>
      </c>
      <c r="AA189" s="22"/>
      <c r="AB189" s="1"/>
      <c r="AC189" s="28" t="n">
        <f aca="false">IFERROR(AVERAGE(V189,W189,X189,Y189,Z189),"n/m")</f>
        <v>0.26564489862366</v>
      </c>
      <c r="AD189" s="28" t="n">
        <f aca="false">IFERROR(AVERAGE(C189,D189,J189,P189),"n/m")</f>
        <v>0.245302439982401</v>
      </c>
    </row>
    <row r="190" customFormat="false" ht="15" hidden="false" customHeight="true" outlineLevel="0" collapsed="false">
      <c r="B190" s="25" t="s">
        <v>126</v>
      </c>
      <c r="C190" s="31"/>
      <c r="D190" s="31" t="n">
        <f aca="false">IFERROR((D146-C146)/(D92-C92),"")</f>
        <v>0.396543799981616</v>
      </c>
      <c r="E190" s="31"/>
      <c r="F190" s="31"/>
      <c r="G190" s="31"/>
      <c r="H190" s="31"/>
      <c r="I190" s="31"/>
      <c r="J190" s="31" t="n">
        <f aca="false">IFERROR((J146-D146)/(J92-D92),"")</f>
        <v>0.376227806525579</v>
      </c>
      <c r="K190" s="31" t="n">
        <f aca="false">IFERROR((K146-E146)/(K92-E92),"")</f>
        <v>0.351793433812361</v>
      </c>
      <c r="L190" s="31" t="n">
        <f aca="false">IFERROR((L146-F146)/(L92-F92),"")</f>
        <v>0.261394637035066</v>
      </c>
      <c r="M190" s="31" t="n">
        <f aca="false">IFERROR((M146-G146)/(M92-G92),"")</f>
        <v>0.294196201458369</v>
      </c>
      <c r="N190" s="31" t="n">
        <f aca="false">IFERROR((N146-H146)/(N92-H92),"")</f>
        <v>0.26968927105726</v>
      </c>
      <c r="O190" s="31" t="n">
        <f aca="false">IFERROR((O146-I146)/(O92-I92),"")</f>
        <v>0.361076432237481</v>
      </c>
      <c r="P190" s="31" t="n">
        <f aca="false">IFERROR((P146-J146)/(P92-J92),"")</f>
        <v>0.310156912133958</v>
      </c>
      <c r="Q190" s="31" t="n">
        <f aca="false">IFERROR((Q146-K146)/(Q92-K92),"")</f>
        <v>0.283189132051834</v>
      </c>
      <c r="R190" s="31" t="n">
        <f aca="false">IFERROR((R146-L146)/(R92-L92),"")</f>
        <v>0.288191022309829</v>
      </c>
      <c r="S190" s="31" t="n">
        <f aca="false">IFERROR((S146-M146)/(S92-M92),"")</f>
        <v>0.286026496798021</v>
      </c>
      <c r="T190" s="27" t="n">
        <f aca="false">IFERROR((T146-N146)/(T92-N92),"")</f>
        <v>0.270340411415466</v>
      </c>
      <c r="U190" s="27" t="n">
        <f aca="false">IFERROR((U146-O146)/(U92-O92),"")</f>
        <v>0.266665393825034</v>
      </c>
      <c r="V190" s="27" t="n">
        <f aca="false">IFERROR((V146-P146)/(V92-P92),"")</f>
        <v>0.275856115107914</v>
      </c>
      <c r="W190" s="27" t="n">
        <f aca="false">IFERROR((W146-V146)/(W92-V92),"")</f>
        <v>0.302687324273403</v>
      </c>
      <c r="X190" s="27" t="n">
        <f aca="false">IFERROR((X146-W146)/(X92-W92),"")</f>
        <v>0.301671598000085</v>
      </c>
      <c r="Y190" s="27" t="n">
        <f aca="false">IFERROR((Y146-X146)/(Y92-X92),"")</f>
        <v>0.30242826497254</v>
      </c>
      <c r="Z190" s="27" t="n">
        <f aca="false">IFERROR((Z146-Y146)/(Z92-Y92),"")</f>
        <v>0.308161147771603</v>
      </c>
      <c r="AA190" s="22"/>
      <c r="AB190" s="1"/>
      <c r="AC190" s="28" t="n">
        <f aca="false">IFERROR(AVERAGE(V190,W190,X190,Y190,Z190),"n/m")</f>
        <v>0.298160890025109</v>
      </c>
      <c r="AD190" s="28" t="n">
        <f aca="false">IFERROR(AVERAGE(C190,D190,J190,P190),"n/m")</f>
        <v>0.360976172880384</v>
      </c>
    </row>
    <row r="191" customFormat="false" ht="15" hidden="false" customHeight="true" outlineLevel="0" collapsed="false">
      <c r="B191" s="25" t="s">
        <v>268</v>
      </c>
      <c r="C191" s="31" t="n">
        <f aca="false">IFERROR(C97/C92,"")</f>
        <v>0.0902964959568733</v>
      </c>
      <c r="D191" s="31" t="n">
        <f aca="false">IFERROR(D97/D92,"")</f>
        <v>0.172757877487042</v>
      </c>
      <c r="E191" s="31" t="n">
        <f aca="false">IFERROR(E97/E92,"")</f>
        <v>0.162626798062791</v>
      </c>
      <c r="F191" s="31" t="n">
        <f aca="false">IFERROR(F97/F92,"")</f>
        <v>0.214971954044615</v>
      </c>
      <c r="G191" s="31" t="n">
        <f aca="false">IFERROR(G97/G92,"")</f>
        <v>0.189116010592401</v>
      </c>
      <c r="H191" s="31" t="n">
        <f aca="false">IFERROR(H97/H92,"")</f>
        <v>0.20248231900242</v>
      </c>
      <c r="I191" s="31" t="n">
        <f aca="false">IFERROR(I97/I92,"")</f>
        <v>0.157522085096122</v>
      </c>
      <c r="J191" s="31" t="n">
        <f aca="false">IFERROR(J97/J92,"")</f>
        <v>0.184097946131945</v>
      </c>
      <c r="K191" s="31" t="n">
        <f aca="false">IFERROR(K97/K92,"")</f>
        <v>0.0995066118013663</v>
      </c>
      <c r="L191" s="31" t="n">
        <f aca="false">IFERROR(L97/L92,"")</f>
        <v>0.17467006090515</v>
      </c>
      <c r="M191" s="31" t="n">
        <f aca="false">IFERROR(M97/M92,"")</f>
        <v>0.139702910032014</v>
      </c>
      <c r="N191" s="31" t="n">
        <f aca="false">IFERROR(N97/N92,"")</f>
        <v>0.179099575488353</v>
      </c>
      <c r="O191" s="31" t="n">
        <f aca="false">IFERROR(O97/O92,"")</f>
        <v>0.156611545668144</v>
      </c>
      <c r="P191" s="31" t="n">
        <f aca="false">IFERROR(P97/P92,"")</f>
        <v>0.154702014846235</v>
      </c>
      <c r="Q191" s="31" t="n">
        <f aca="false">IFERROR(Q97/Q92,"")</f>
        <v>0.141868924012962</v>
      </c>
      <c r="R191" s="31" t="n">
        <f aca="false">IFERROR(R97/R92,"")</f>
        <v>0.191301911975525</v>
      </c>
      <c r="S191" s="31" t="n">
        <f aca="false">IFERROR(S97/S92,"")</f>
        <v>0.168873566115467</v>
      </c>
      <c r="T191" s="27" t="n">
        <f aca="false">IFERROR(T97/T92,"")</f>
        <v>0.189177878808966</v>
      </c>
      <c r="U191" s="27" t="n">
        <f aca="false">IFERROR(U97/U92,"")</f>
        <v>0.199803236216547</v>
      </c>
      <c r="V191" s="27" t="n">
        <f aca="false">IFERROR(V97/V92,"")</f>
        <v>0.183284270580387</v>
      </c>
      <c r="W191" s="27" t="n">
        <f aca="false">IFERROR(W97/W92,"")</f>
        <v>0.206885008079697</v>
      </c>
      <c r="X191" s="27" t="n">
        <f aca="false">IFERROR(X97/X92,"")</f>
        <v>0.215228157580922</v>
      </c>
      <c r="Y191" s="27" t="n">
        <f aca="false">IFERROR(Y97/Y92,"")</f>
        <v>0.217735802165994</v>
      </c>
      <c r="Z191" s="27" t="n">
        <f aca="false">IFERROR(Z97/Z92,"")</f>
        <v>0.219699763736197</v>
      </c>
      <c r="AA191" s="22"/>
      <c r="AB191" s="1"/>
      <c r="AC191" s="28" t="n">
        <f aca="false">IFERROR(AVERAGE(V191,W191,X191,Y191,Z191),"n/m")</f>
        <v>0.208566600428639</v>
      </c>
      <c r="AD191" s="28" t="n">
        <f aca="false">IFERROR(AVERAGE(C191,D191,J191,P191),"n/m")</f>
        <v>0.150463583605524</v>
      </c>
    </row>
    <row r="192" customFormat="false" ht="15" hidden="false" customHeight="true" outlineLevel="0" collapsed="false">
      <c r="B192" s="25" t="s">
        <v>269</v>
      </c>
      <c r="C192" s="31" t="n">
        <f aca="false">IFERROR(C103/C92,"")</f>
        <v>-0.0622995006849013</v>
      </c>
      <c r="D192" s="31" t="n">
        <f aca="false">IFERROR(D103/D92,"")</f>
        <v>0.0155287579487362</v>
      </c>
      <c r="E192" s="31" t="n">
        <f aca="false">IFERROR(E103/E92,"")</f>
        <v>0.0255644170300942</v>
      </c>
      <c r="F192" s="31" t="n">
        <f aca="false">IFERROR(F103/F92,"")</f>
        <v>0.0541398652383024</v>
      </c>
      <c r="G192" s="31" t="n">
        <f aca="false">IFERROR(G103/G92,"")</f>
        <v>0.0400249933053648</v>
      </c>
      <c r="H192" s="31" t="n">
        <f aca="false">IFERROR(H103/H92,"")</f>
        <v>0.049925553694398</v>
      </c>
      <c r="I192" s="31" t="n">
        <f aca="false">IFERROR(I103/I92,"")</f>
        <v>0.0184462614261601</v>
      </c>
      <c r="J192" s="31" t="n">
        <f aca="false">IFERROR(J103/J92,"")</f>
        <v>0.0367877283483611</v>
      </c>
      <c r="K192" s="31" t="n">
        <f aca="false">IFERROR(K103/K92,"")</f>
        <v>-0.0479205784826815</v>
      </c>
      <c r="L192" s="31" t="n">
        <f aca="false">IFERROR(L103/L92,"")</f>
        <v>0.0591414198458691</v>
      </c>
      <c r="M192" s="31" t="n">
        <f aca="false">IFERROR(M103/M92,"")</f>
        <v>0.0093345909553436</v>
      </c>
      <c r="N192" s="31" t="n">
        <f aca="false">IFERROR(N103/N92,"")</f>
        <v>0.0627653197796153</v>
      </c>
      <c r="O192" s="31" t="n">
        <f aca="false">IFERROR(O103/O92,"")</f>
        <v>0.0573491360080896</v>
      </c>
      <c r="P192" s="31" t="n">
        <f aca="false">IFERROR(P103/P92,"")</f>
        <v>0.0368313891834571</v>
      </c>
      <c r="Q192" s="31" t="n">
        <f aca="false">IFERROR(Q103/Q92,"")</f>
        <v>0.0515442100390186</v>
      </c>
      <c r="R192" s="31" t="n">
        <f aca="false">IFERROR(R103/R92,"")</f>
        <v>0.0770722222527367</v>
      </c>
      <c r="S192" s="31" t="n">
        <f aca="false">IFERROR(S103/S92,"")</f>
        <v>0.0654898536635132</v>
      </c>
      <c r="T192" s="27" t="n">
        <f aca="false">IFERROR(T103/T92,"")</f>
        <v>0.0860725475921724</v>
      </c>
      <c r="U192" s="27" t="n">
        <f aca="false">IFERROR(U103/U92,"")</f>
        <v>0.098916602154738</v>
      </c>
      <c r="V192" s="27" t="n">
        <f aca="false">IFERROR(V103/V92,"")</f>
        <v>0.0807097609348455</v>
      </c>
      <c r="W192" s="27" t="n">
        <f aca="false">IFERROR(W103/W92,"")</f>
        <v>0.111163578395859</v>
      </c>
      <c r="X192" s="27" t="n">
        <f aca="false">IFERROR(X103/X92,"")</f>
        <v>0.122214517574869</v>
      </c>
      <c r="Y192" s="27" t="n">
        <f aca="false">IFERROR(Y103/Y92,"")</f>
        <v>0.127517045822385</v>
      </c>
      <c r="Z192" s="27" t="n">
        <f aca="false">IFERROR(Z103/Z92,"")</f>
        <v>0.132142228569954</v>
      </c>
      <c r="AA192" s="22"/>
      <c r="AB192" s="1"/>
      <c r="AC192" s="28" t="n">
        <f aca="false">IFERROR(AVERAGE(V192,W192,X192,Y192,Z192),"n/m")</f>
        <v>0.114749426259582</v>
      </c>
      <c r="AD192" s="28" t="n">
        <f aca="false">IFERROR(AVERAGE(C192,D192,J192,P192),"n/m")</f>
        <v>0.00671209369891327</v>
      </c>
    </row>
    <row r="193" customFormat="false" ht="15" hidden="false" customHeight="true" outlineLevel="0" collapsed="false">
      <c r="B193" s="25" t="s">
        <v>270</v>
      </c>
      <c r="C193" s="31" t="n">
        <f aca="false">IFERROR(C95/C92,"")</f>
        <v>0.13272060448058</v>
      </c>
      <c r="D193" s="31" t="n">
        <f aca="false">IFERROR(D95/D92,"")</f>
        <v>0.130467928964571</v>
      </c>
      <c r="E193" s="31" t="n">
        <f aca="false">IFERROR(E95/E92,"")</f>
        <v>0.121545430450811</v>
      </c>
      <c r="F193" s="31" t="n">
        <f aca="false">IFERROR(F95/F92,"")</f>
        <v>0.117510789167323</v>
      </c>
      <c r="G193" s="31" t="n">
        <f aca="false">IFERROR(G95/G92,"")</f>
        <v>0.119503704364902</v>
      </c>
      <c r="H193" s="31" t="n">
        <f aca="false">IFERROR(H95/H92,"")</f>
        <v>0.130129815745394</v>
      </c>
      <c r="I193" s="31" t="n">
        <f aca="false">IFERROR(I95/I92,"")</f>
        <v>0.144150463622613</v>
      </c>
      <c r="J193" s="31" t="n">
        <f aca="false">IFERROR(J95/J92,"")</f>
        <v>0.128662914806909</v>
      </c>
      <c r="K193" s="31" t="n">
        <f aca="false">IFERROR(K95/K92,"")</f>
        <v>0.232591586432823</v>
      </c>
      <c r="L193" s="31" t="n">
        <f aca="false">IFERROR(L95/L92,"")</f>
        <v>0.168814130689766</v>
      </c>
      <c r="M193" s="31" t="n">
        <f aca="false">IFERROR(M95/M92,"")</f>
        <v>0.198484348646275</v>
      </c>
      <c r="N193" s="31" t="n">
        <f aca="false">IFERROR(N95/N92,"")</f>
        <v>0.164188295959339</v>
      </c>
      <c r="O193" s="31" t="n">
        <f aca="false">IFERROR(O95/O92,"")</f>
        <v>0.170582636885465</v>
      </c>
      <c r="P193" s="31" t="n">
        <f aca="false">IFERROR(P95/P92,"")</f>
        <v>0.181667020148462</v>
      </c>
      <c r="Q193" s="31" t="n">
        <f aca="false">IFERROR(Q95/Q92,"")</f>
        <v>0.189385622644005</v>
      </c>
      <c r="R193" s="31" t="n">
        <f aca="false">IFERROR(R95/R92,"")</f>
        <v>0.172132723288093</v>
      </c>
      <c r="S193" s="31" t="n">
        <f aca="false">IFERROR(S95/S92,"")</f>
        <v>0.179960572863688</v>
      </c>
      <c r="T193" s="27" t="n">
        <f aca="false">IFERROR(T95/T92,"")</f>
        <v>0.175056775182397</v>
      </c>
      <c r="U193" s="27" t="n">
        <f aca="false">IFERROR(U95/U92,"")</f>
        <v>0.170419431705621</v>
      </c>
      <c r="V193" s="27" t="n">
        <f aca="false">IFERROR(V95/V92,"")</f>
        <v>0.175869093422654</v>
      </c>
      <c r="W193" s="27" t="n">
        <f aca="false">IFERROR(W95/W92,"")</f>
        <v>0.159748259979517</v>
      </c>
      <c r="X193" s="27" t="n">
        <f aca="false">IFERROR(X95/X92,"")</f>
        <v>0.157981326328731</v>
      </c>
      <c r="Y193" s="27" t="n">
        <f aca="false">IFERROR(Y95/Y92,"")</f>
        <v>0.156544527966249</v>
      </c>
      <c r="Z193" s="27" t="n">
        <f aca="false">IFERROR(Z95/Z92,"")</f>
        <v>0.154145267918092</v>
      </c>
      <c r="AA193" s="22"/>
      <c r="AB193" s="1"/>
      <c r="AC193" s="28" t="n">
        <f aca="false">IFERROR(AVERAGE(V193,W193,X193,Y193,Z193),"n/m")</f>
        <v>0.160857695123049</v>
      </c>
      <c r="AD193" s="28" t="n">
        <f aca="false">IFERROR(AVERAGE(C193,D193,J193,P193),"n/m")</f>
        <v>0.143379617100131</v>
      </c>
    </row>
    <row r="195" customFormat="false" ht="15" hidden="false" customHeight="true" outlineLevel="0" collapsed="false">
      <c r="B195" s="12" t="s">
        <v>271</v>
      </c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 t="s">
        <v>272</v>
      </c>
      <c r="AB195" s="1"/>
      <c r="AC195" s="1"/>
      <c r="AD195" s="1"/>
    </row>
    <row r="196" customFormat="false" ht="15" hidden="false" customHeight="true" outlineLevel="0" collapsed="false">
      <c r="B196" s="29" t="s">
        <v>190</v>
      </c>
      <c r="C196" s="37" t="n">
        <v>-14.099</v>
      </c>
      <c r="D196" s="37" t="n">
        <v>4.359</v>
      </c>
      <c r="E196" s="37" t="n">
        <v>2.122</v>
      </c>
      <c r="F196" s="37" t="n">
        <v>4.604</v>
      </c>
      <c r="G196" s="38" t="n">
        <f aca="false">E196+F196</f>
        <v>6.726</v>
      </c>
      <c r="H196" s="37" t="n">
        <v>4.292</v>
      </c>
      <c r="I196" s="37" t="n">
        <v>1.683</v>
      </c>
      <c r="J196" s="37" t="n">
        <v>12.701</v>
      </c>
      <c r="K196" s="37" t="n">
        <v>-4.798</v>
      </c>
      <c r="L196" s="37" t="n">
        <v>6.807</v>
      </c>
      <c r="M196" s="38" t="n">
        <f aca="false">K196+L196</f>
        <v>2.009</v>
      </c>
      <c r="N196" s="37" t="n">
        <v>7.644</v>
      </c>
      <c r="O196" s="37" t="n">
        <v>7.713</v>
      </c>
      <c r="P196" s="37" t="n">
        <v>17.366</v>
      </c>
      <c r="Q196" s="37" t="n">
        <v>7.794</v>
      </c>
      <c r="R196" s="37" t="n">
        <v>14.032</v>
      </c>
      <c r="S196" s="38" t="n">
        <f aca="false">Q196+R196</f>
        <v>21.826</v>
      </c>
      <c r="T196" s="39"/>
      <c r="U196" s="39"/>
      <c r="V196" s="39" t="n">
        <f aca="false">V103</f>
        <v>60.4919658206667</v>
      </c>
      <c r="W196" s="39" t="n">
        <f aca="false">W103</f>
        <v>106.51836980464</v>
      </c>
      <c r="X196" s="39" t="n">
        <f aca="false">X103</f>
        <v>145.13570446514</v>
      </c>
      <c r="Y196" s="39" t="n">
        <f aca="false">Y103</f>
        <v>182.839771134896</v>
      </c>
      <c r="Z196" s="39" t="n">
        <f aca="false">Z103</f>
        <v>223.634906938568</v>
      </c>
      <c r="AA196" s="22"/>
      <c r="AB196" s="1"/>
      <c r="AC196" s="23"/>
      <c r="AD196" s="23"/>
    </row>
    <row r="197" customFormat="false" ht="15" hidden="false" customHeight="true" outlineLevel="0" collapsed="false">
      <c r="B197" s="29" t="s">
        <v>273</v>
      </c>
      <c r="C197" s="37"/>
      <c r="D197" s="37"/>
      <c r="E197" s="37"/>
      <c r="F197" s="37"/>
      <c r="G197" s="38"/>
      <c r="H197" s="37"/>
      <c r="I197" s="37"/>
      <c r="J197" s="37"/>
      <c r="K197" s="37"/>
      <c r="L197" s="37"/>
      <c r="M197" s="38"/>
      <c r="N197" s="37"/>
      <c r="O197" s="37"/>
      <c r="P197" s="37"/>
      <c r="Q197" s="37"/>
      <c r="R197" s="37"/>
      <c r="S197" s="38"/>
      <c r="T197" s="39"/>
      <c r="U197" s="39"/>
      <c r="V197" s="39"/>
      <c r="W197" s="39"/>
      <c r="X197" s="39"/>
      <c r="Y197" s="39"/>
      <c r="Z197" s="39"/>
      <c r="AA197" s="22"/>
      <c r="AB197" s="1"/>
      <c r="AC197" s="23"/>
      <c r="AD197" s="23"/>
    </row>
    <row r="198" customFormat="false" ht="15" hidden="false" customHeight="true" outlineLevel="0" collapsed="false">
      <c r="B198" s="29" t="s">
        <v>274</v>
      </c>
      <c r="C198" s="37" t="n">
        <v>34.982</v>
      </c>
      <c r="D198" s="37" t="n">
        <v>27.179</v>
      </c>
      <c r="E198" s="37" t="n">
        <v>7.35</v>
      </c>
      <c r="F198" s="37" t="n">
        <v>8.306</v>
      </c>
      <c r="G198" s="38" t="n">
        <f aca="false">E198+F198</f>
        <v>15.656</v>
      </c>
      <c r="H198" s="37" t="n">
        <v>8.136</v>
      </c>
      <c r="I198" s="37" t="n">
        <v>9.168</v>
      </c>
      <c r="J198" s="37" t="n">
        <v>32.959</v>
      </c>
      <c r="K198" s="37" t="n">
        <v>8.869</v>
      </c>
      <c r="L198" s="37" t="n">
        <v>10.307</v>
      </c>
      <c r="M198" s="38" t="n">
        <f aca="false">K198+L198</f>
        <v>19.176</v>
      </c>
      <c r="N198" s="37" t="n">
        <v>10.97</v>
      </c>
      <c r="O198" s="37" t="n">
        <v>12.591</v>
      </c>
      <c r="P198" s="37" t="n">
        <v>42.737</v>
      </c>
      <c r="Q198" s="37" t="n">
        <v>16.632</v>
      </c>
      <c r="R198" s="37" t="n">
        <v>15.176</v>
      </c>
      <c r="S198" s="38" t="n">
        <f aca="false">Q198+R198</f>
        <v>31.808</v>
      </c>
      <c r="T198" s="39"/>
      <c r="U198" s="39"/>
      <c r="V198" s="39" t="n">
        <f aca="false">V106</f>
        <v>63.8414392</v>
      </c>
      <c r="W198" s="39" t="n">
        <f aca="false">W106</f>
        <v>71.2591585152347</v>
      </c>
      <c r="X198" s="39" t="n">
        <f aca="false">X106</f>
        <v>80.5045464651984</v>
      </c>
      <c r="Y198" s="39" t="n">
        <f aca="false">Y106</f>
        <v>95.6657134749513</v>
      </c>
      <c r="Z198" s="39" t="n">
        <f aca="false">Z106</f>
        <v>113.651746750322</v>
      </c>
      <c r="AA198" s="22"/>
      <c r="AB198" s="1"/>
      <c r="AC198" s="23"/>
      <c r="AD198" s="23"/>
    </row>
    <row r="199" customFormat="false" ht="15" hidden="false" customHeight="true" outlineLevel="0" collapsed="false">
      <c r="B199" s="29" t="s">
        <v>275</v>
      </c>
      <c r="C199" s="37" t="n">
        <v>1.603</v>
      </c>
      <c r="D199" s="37" t="n">
        <v>1.291</v>
      </c>
      <c r="E199" s="37" t="n">
        <v>0.251</v>
      </c>
      <c r="F199" s="37" t="n">
        <v>0.246</v>
      </c>
      <c r="G199" s="38" t="n">
        <f aca="false">E199+F199</f>
        <v>0.497</v>
      </c>
      <c r="H199" s="37" t="n">
        <v>0.248</v>
      </c>
      <c r="I199" s="37" t="n">
        <v>0.248</v>
      </c>
      <c r="J199" s="37" t="n">
        <v>0.993</v>
      </c>
      <c r="K199" s="37" t="n">
        <v>8.084</v>
      </c>
      <c r="L199" s="37" t="n">
        <v>0</v>
      </c>
      <c r="M199" s="38" t="n">
        <f aca="false">K199+L199</f>
        <v>8.084</v>
      </c>
      <c r="N199" s="37" t="n">
        <v>0</v>
      </c>
      <c r="O199" s="37" t="n">
        <v>0</v>
      </c>
      <c r="P199" s="37" t="n">
        <v>8.084</v>
      </c>
      <c r="Q199" s="37" t="n">
        <v>0</v>
      </c>
      <c r="R199" s="37" t="n">
        <v>1.444</v>
      </c>
      <c r="S199" s="38" t="n">
        <f aca="false">Q199+R199</f>
        <v>1.444</v>
      </c>
      <c r="T199" s="39"/>
      <c r="U199" s="39"/>
      <c r="V199" s="39" t="n">
        <f aca="false">V58</f>
        <v>4.444</v>
      </c>
      <c r="W199" s="39" t="n">
        <f aca="false">W58</f>
        <v>7.66570283841156</v>
      </c>
      <c r="X199" s="39" t="n">
        <f aca="false">X58</f>
        <v>9.50039045083028</v>
      </c>
      <c r="Y199" s="39" t="n">
        <f aca="false">Y58</f>
        <v>11.470765807393</v>
      </c>
      <c r="Z199" s="39" t="n">
        <f aca="false">Z58</f>
        <v>13.5390425518776</v>
      </c>
      <c r="AA199" s="22"/>
      <c r="AB199" s="1"/>
      <c r="AC199" s="23"/>
      <c r="AD199" s="23"/>
    </row>
    <row r="200" customFormat="false" ht="15" hidden="false" customHeight="true" outlineLevel="0" collapsed="false">
      <c r="B200" s="29" t="s">
        <v>276</v>
      </c>
      <c r="C200" s="37" t="n">
        <v>1.985</v>
      </c>
      <c r="D200" s="37" t="n">
        <v>1.985</v>
      </c>
      <c r="E200" s="37" t="n">
        <v>0.541</v>
      </c>
      <c r="F200" s="37" t="n">
        <v>0.587</v>
      </c>
      <c r="G200" s="38" t="n">
        <f aca="false">E200+F200</f>
        <v>1.128</v>
      </c>
      <c r="H200" s="37" t="n">
        <v>0.587</v>
      </c>
      <c r="I200" s="37" t="n">
        <v>0.586</v>
      </c>
      <c r="J200" s="37" t="n">
        <v>2.301</v>
      </c>
      <c r="K200" s="37" t="n">
        <v>0.587</v>
      </c>
      <c r="L200" s="37" t="n">
        <v>0.202</v>
      </c>
      <c r="M200" s="38" t="n">
        <f aca="false">K200+L200</f>
        <v>0.789</v>
      </c>
      <c r="N200" s="37" t="n">
        <v>0.235</v>
      </c>
      <c r="O200" s="37" t="n">
        <v>0.303</v>
      </c>
      <c r="P200" s="37" t="n">
        <v>1.327</v>
      </c>
      <c r="Q200" s="37" t="n">
        <v>0.43</v>
      </c>
      <c r="R200" s="37" t="n">
        <v>0.517</v>
      </c>
      <c r="S200" s="38" t="n">
        <f aca="false">Q200+R200</f>
        <v>0.947</v>
      </c>
      <c r="T200" s="39"/>
      <c r="U200" s="39"/>
      <c r="V200" s="39" t="n">
        <f aca="false">V302</f>
        <v>2</v>
      </c>
      <c r="W200" s="39" t="n">
        <f aca="false">W302</f>
        <v>2.2</v>
      </c>
      <c r="X200" s="39" t="n">
        <f aca="false">X302</f>
        <v>2.2</v>
      </c>
      <c r="Y200" s="39" t="n">
        <f aca="false">Y302</f>
        <v>2.2</v>
      </c>
      <c r="Z200" s="39" t="n">
        <f aca="false">Z302</f>
        <v>2.2</v>
      </c>
      <c r="AA200" s="22"/>
      <c r="AB200" s="1"/>
      <c r="AC200" s="23"/>
      <c r="AD200" s="23"/>
    </row>
    <row r="201" customFormat="false" ht="15" hidden="false" customHeight="true" outlineLevel="0" collapsed="false">
      <c r="B201" s="29" t="s">
        <v>277</v>
      </c>
      <c r="C201" s="37" t="n">
        <v>-9.806</v>
      </c>
      <c r="D201" s="37" t="n">
        <v>-10.707</v>
      </c>
      <c r="E201" s="37" t="n">
        <v>-1.312</v>
      </c>
      <c r="F201" s="37" t="n">
        <v>-3.939</v>
      </c>
      <c r="G201" s="38" t="n">
        <f aca="false">E201+F201</f>
        <v>-5.251</v>
      </c>
      <c r="H201" s="37" t="n">
        <v>-3.44</v>
      </c>
      <c r="I201" s="37" t="n">
        <v>-2.819</v>
      </c>
      <c r="J201" s="37" t="n">
        <v>-11.51</v>
      </c>
      <c r="K201" s="37" t="n">
        <v>1.072</v>
      </c>
      <c r="L201" s="37" t="n">
        <v>-1.79</v>
      </c>
      <c r="M201" s="38" t="n">
        <f aca="false">K201+L201</f>
        <v>-0.718</v>
      </c>
      <c r="N201" s="37" t="n">
        <v>5.849</v>
      </c>
      <c r="O201" s="37" t="n">
        <v>5.385</v>
      </c>
      <c r="P201" s="37" t="n">
        <v>10.516</v>
      </c>
      <c r="Q201" s="37" t="n">
        <v>-2.083</v>
      </c>
      <c r="R201" s="37" t="n">
        <v>-0.171</v>
      </c>
      <c r="S201" s="38" t="n">
        <f aca="false">Q201+R201</f>
        <v>-2.254</v>
      </c>
      <c r="T201" s="39"/>
      <c r="U201" s="39"/>
      <c r="V201" s="40" t="n">
        <v>-3</v>
      </c>
      <c r="W201" s="39" t="n">
        <f aca="false">-0.15*W66</f>
        <v>-6.046875</v>
      </c>
      <c r="X201" s="39" t="n">
        <f aca="false">-0.15*X66</f>
        <v>-6.1921875</v>
      </c>
      <c r="Y201" s="39" t="n">
        <f aca="false">-0.15*Y66</f>
        <v>-7.228125</v>
      </c>
      <c r="Z201" s="39" t="n">
        <f aca="false">-0.15*Z66</f>
        <v>-8.559375</v>
      </c>
      <c r="AA201" s="22" t="s">
        <v>278</v>
      </c>
      <c r="AB201" s="1"/>
      <c r="AC201" s="23"/>
      <c r="AD201" s="23"/>
    </row>
    <row r="202" customFormat="false" ht="15" hidden="false" customHeight="true" outlineLevel="0" collapsed="false">
      <c r="B202" s="29" t="s">
        <v>279</v>
      </c>
      <c r="C202" s="37" t="n">
        <v>-20.558</v>
      </c>
      <c r="D202" s="37" t="n">
        <v>-3.78</v>
      </c>
      <c r="E202" s="37" t="n">
        <v>-5.882</v>
      </c>
      <c r="F202" s="37" t="n">
        <v>-3.661</v>
      </c>
      <c r="G202" s="38" t="n">
        <f aca="false">E202+F202</f>
        <v>-9.543</v>
      </c>
      <c r="H202" s="37" t="n">
        <v>0.051</v>
      </c>
      <c r="I202" s="37" t="n">
        <v>-1.308</v>
      </c>
      <c r="J202" s="37" t="n">
        <v>-10.799</v>
      </c>
      <c r="K202" s="37" t="n">
        <v>-27.398</v>
      </c>
      <c r="L202" s="37" t="n">
        <v>-32.897</v>
      </c>
      <c r="M202" s="38" t="n">
        <f aca="false">K202+L202</f>
        <v>-60.295</v>
      </c>
      <c r="N202" s="37" t="n">
        <v>-24.567</v>
      </c>
      <c r="O202" s="37" t="n">
        <v>-17.287</v>
      </c>
      <c r="P202" s="37" t="n">
        <v>-102.149</v>
      </c>
      <c r="Q202" s="37" t="n">
        <v>-22.564</v>
      </c>
      <c r="R202" s="37" t="n">
        <v>-34.182</v>
      </c>
      <c r="S202" s="38" t="n">
        <f aca="false">Q202+R202</f>
        <v>-56.746</v>
      </c>
      <c r="T202" s="39"/>
      <c r="U202" s="39"/>
      <c r="V202" s="39" t="n">
        <f aca="false">-(V243-P243)-(V244-P244)-(V245-P245)+(V257-P257)+(V258-P258)+(V259-P259)</f>
        <v>-64.3456947402206</v>
      </c>
      <c r="W202" s="39" t="n">
        <f aca="false">-(W243-V243)-(W244-V244)-(W245-V245)+(W257-V257)+(W258-V258)+(W259-V259)</f>
        <v>-57.6615116904664</v>
      </c>
      <c r="X202" s="39" t="n">
        <f aca="false">-(X243-W243)-(X244-W244)-(X245-W245)+(X257-W257)+(X258-W258)+(X259-W259)</f>
        <v>-59.7967091791348</v>
      </c>
      <c r="Y202" s="39" t="n">
        <f aca="false">-(Y243-X243)-(Y244-X244)-(Y245-X245)+(Y257-X257)+(Y258-X258)+(Y259-X259)</f>
        <v>-67.3406504360139</v>
      </c>
      <c r="Z202" s="39" t="n">
        <f aca="false">-(Z243-Y243)-(Z244-Y244)-(Z245-Y245)+(Z257-Y257)+(Z258-Y258)+(Z259-Y259)</f>
        <v>-68.4574521952517</v>
      </c>
      <c r="AA202" s="22" t="s">
        <v>280</v>
      </c>
      <c r="AB202" s="1"/>
      <c r="AC202" s="23"/>
      <c r="AD202" s="23"/>
    </row>
    <row r="203" customFormat="false" ht="15" hidden="false" customHeight="true" outlineLevel="0" collapsed="false">
      <c r="B203" s="18" t="s">
        <v>281</v>
      </c>
      <c r="C203" s="19" t="n">
        <v>-5.893</v>
      </c>
      <c r="D203" s="19" t="n">
        <v>20.327</v>
      </c>
      <c r="E203" s="19" t="n">
        <v>3.07</v>
      </c>
      <c r="F203" s="19" t="n">
        <v>6.143</v>
      </c>
      <c r="G203" s="20" t="n">
        <f aca="false">E203+F203</f>
        <v>9.213</v>
      </c>
      <c r="H203" s="19" t="n">
        <v>9.874</v>
      </c>
      <c r="I203" s="19" t="n">
        <v>7.558</v>
      </c>
      <c r="J203" s="19" t="n">
        <v>26.645</v>
      </c>
      <c r="K203" s="19" t="n">
        <v>-13.584</v>
      </c>
      <c r="L203" s="19" t="n">
        <v>-17.371</v>
      </c>
      <c r="M203" s="20" t="n">
        <f aca="false">K203+L203</f>
        <v>-30.955</v>
      </c>
      <c r="N203" s="19" t="n">
        <v>0.131</v>
      </c>
      <c r="O203" s="19" t="n">
        <v>8.705</v>
      </c>
      <c r="P203" s="19" t="n">
        <v>-22.119</v>
      </c>
      <c r="Q203" s="19" t="n">
        <v>0.209</v>
      </c>
      <c r="R203" s="19" t="n">
        <v>-3.184</v>
      </c>
      <c r="S203" s="20" t="n">
        <f aca="false">Q203+R203</f>
        <v>-2.975</v>
      </c>
      <c r="T203" s="21"/>
      <c r="U203" s="21"/>
      <c r="V203" s="21" t="n">
        <f aca="false">SUM(V196:V202)</f>
        <v>63.4317102804461</v>
      </c>
      <c r="W203" s="21" t="n">
        <f aca="false">SUM(W196:W202)</f>
        <v>123.93484446782</v>
      </c>
      <c r="X203" s="21" t="n">
        <f aca="false">SUM(X196:X202)</f>
        <v>171.351744702034</v>
      </c>
      <c r="Y203" s="21" t="n">
        <f aca="false">SUM(Y196:Y202)</f>
        <v>217.607474981227</v>
      </c>
      <c r="Z203" s="21" t="n">
        <f aca="false">SUM(Z196:Z202)</f>
        <v>276.008869045516</v>
      </c>
      <c r="AA203" s="22"/>
      <c r="AB203" s="1"/>
      <c r="AC203" s="7"/>
      <c r="AD203" s="7"/>
    </row>
    <row r="204" customFormat="false" ht="15" hidden="false" customHeight="true" outlineLevel="0" collapsed="false">
      <c r="B204" s="29" t="s">
        <v>282</v>
      </c>
      <c r="C204" s="37" t="n">
        <v>-21.269</v>
      </c>
      <c r="D204" s="37" t="n">
        <v>-16.775</v>
      </c>
      <c r="E204" s="37" t="n">
        <v>-1.616</v>
      </c>
      <c r="F204" s="37" t="n">
        <v>-5.087</v>
      </c>
      <c r="G204" s="38" t="n">
        <f aca="false">E204+F204</f>
        <v>-6.703</v>
      </c>
      <c r="H204" s="37" t="n">
        <v>-4.552</v>
      </c>
      <c r="I204" s="37" t="n">
        <v>-3.997</v>
      </c>
      <c r="J204" s="37" t="n">
        <v>-15.252</v>
      </c>
      <c r="K204" s="37" t="n">
        <v>-5.042</v>
      </c>
      <c r="L204" s="37" t="n">
        <v>-3.627</v>
      </c>
      <c r="M204" s="38" t="n">
        <f aca="false">K204+L204</f>
        <v>-8.669</v>
      </c>
      <c r="N204" s="37" t="n">
        <v>-6.971</v>
      </c>
      <c r="O204" s="37" t="n">
        <v>-4.696</v>
      </c>
      <c r="P204" s="37" t="n">
        <v>-20.336</v>
      </c>
      <c r="Q204" s="37" t="n">
        <v>-7.375</v>
      </c>
      <c r="R204" s="37" t="n">
        <v>-14.49</v>
      </c>
      <c r="S204" s="38" t="n">
        <f aca="false">Q204+R204</f>
        <v>-21.865</v>
      </c>
      <c r="T204" s="39"/>
      <c r="U204" s="39"/>
      <c r="V204" s="39" t="n">
        <f aca="false">-$AI$17</f>
        <v>-36.5</v>
      </c>
      <c r="W204" s="39" t="n">
        <f aca="false">-W92*W228</f>
        <v>-43.119578466065</v>
      </c>
      <c r="X204" s="39" t="n">
        <f aca="false">-X92*X228</f>
        <v>-47.5019522541514</v>
      </c>
      <c r="Y204" s="39" t="n">
        <f aca="false">-Y92*Y228</f>
        <v>-50.1846004073443</v>
      </c>
      <c r="Z204" s="39" t="n">
        <f aca="false">-Z92*Z228</f>
        <v>-59.2333111644647</v>
      </c>
      <c r="AA204" s="22" t="s">
        <v>283</v>
      </c>
      <c r="AB204" s="1"/>
      <c r="AC204" s="23"/>
      <c r="AD204" s="23"/>
    </row>
    <row r="205" customFormat="false" ht="15" hidden="false" customHeight="true" outlineLevel="0" collapsed="false">
      <c r="B205" s="29" t="s">
        <v>284</v>
      </c>
      <c r="C205" s="37"/>
      <c r="D205" s="37"/>
      <c r="E205" s="37" t="n">
        <v>-30.687</v>
      </c>
      <c r="F205" s="37" t="n">
        <v>0</v>
      </c>
      <c r="G205" s="38" t="n">
        <f aca="false">E205+F205</f>
        <v>-30.687</v>
      </c>
      <c r="H205" s="37" t="n">
        <v>-0.148</v>
      </c>
      <c r="I205" s="37" t="n">
        <v>-0.455</v>
      </c>
      <c r="J205" s="37" t="n">
        <v>-31.29</v>
      </c>
      <c r="K205" s="37" t="n">
        <v>0</v>
      </c>
      <c r="L205" s="37" t="n">
        <v>-126.279</v>
      </c>
      <c r="M205" s="38" t="n">
        <f aca="false">K205+L205</f>
        <v>-126.279</v>
      </c>
      <c r="N205" s="37" t="n">
        <v>0</v>
      </c>
      <c r="O205" s="37" t="n">
        <v>-85.656</v>
      </c>
      <c r="P205" s="37" t="n">
        <v>-211.935</v>
      </c>
      <c r="Q205" s="37" t="n">
        <v>-210.15</v>
      </c>
      <c r="R205" s="37" t="n">
        <v>0.15</v>
      </c>
      <c r="S205" s="38" t="n">
        <f aca="false">Q205+R205</f>
        <v>-210</v>
      </c>
      <c r="T205" s="39"/>
      <c r="U205" s="39"/>
      <c r="V205" s="39" t="n">
        <f aca="false">S205-V32</f>
        <v>-305</v>
      </c>
      <c r="W205" s="39" t="n">
        <f aca="false">-W32</f>
        <v>-200</v>
      </c>
      <c r="X205" s="39" t="n">
        <f aca="false">-X32</f>
        <v>-225</v>
      </c>
      <c r="Y205" s="39" t="n">
        <f aca="false">-Y32</f>
        <v>-250</v>
      </c>
      <c r="Z205" s="39" t="n">
        <f aca="false">-Z32</f>
        <v>-250</v>
      </c>
      <c r="AA205" s="22" t="s">
        <v>285</v>
      </c>
      <c r="AB205" s="1"/>
      <c r="AC205" s="23"/>
      <c r="AD205" s="23"/>
    </row>
    <row r="206" customFormat="false" ht="15" hidden="false" customHeight="true" outlineLevel="0" collapsed="false">
      <c r="B206" s="29" t="s">
        <v>286</v>
      </c>
      <c r="C206" s="37" t="n">
        <v>0.011</v>
      </c>
      <c r="D206" s="37" t="n">
        <v>0.563</v>
      </c>
      <c r="E206" s="37" t="n">
        <v>0</v>
      </c>
      <c r="F206" s="37" t="n">
        <v>0</v>
      </c>
      <c r="G206" s="38" t="n">
        <f aca="false">E206+F206</f>
        <v>0</v>
      </c>
      <c r="H206" s="37" t="n">
        <v>0.116</v>
      </c>
      <c r="I206" s="37" t="n">
        <v>0.19</v>
      </c>
      <c r="J206" s="37" t="n">
        <v>0.306</v>
      </c>
      <c r="K206" s="37" t="n">
        <v>-6</v>
      </c>
      <c r="L206" s="37" t="n">
        <v>0</v>
      </c>
      <c r="M206" s="38" t="n">
        <f aca="false">K206+L206</f>
        <v>-6</v>
      </c>
      <c r="N206" s="37" t="n">
        <v>0</v>
      </c>
      <c r="O206" s="37" t="n">
        <v>0</v>
      </c>
      <c r="P206" s="37" t="n">
        <v>-6</v>
      </c>
      <c r="Q206" s="37" t="n">
        <v>0</v>
      </c>
      <c r="R206" s="37" t="n">
        <v>0.387</v>
      </c>
      <c r="S206" s="38" t="n">
        <f aca="false">Q206+R206</f>
        <v>0.387</v>
      </c>
      <c r="T206" s="39"/>
      <c r="U206" s="39"/>
      <c r="V206" s="39" t="n">
        <f aca="false">S206</f>
        <v>0.387</v>
      </c>
      <c r="W206" s="40" t="n">
        <v>0</v>
      </c>
      <c r="X206" s="40" t="n">
        <v>0</v>
      </c>
      <c r="Y206" s="40" t="n">
        <v>0</v>
      </c>
      <c r="Z206" s="40" t="n">
        <v>0</v>
      </c>
      <c r="AA206" s="22"/>
      <c r="AB206" s="1"/>
      <c r="AC206" s="23"/>
      <c r="AD206" s="23"/>
    </row>
    <row r="207" customFormat="false" ht="15" hidden="false" customHeight="true" outlineLevel="0" collapsed="false">
      <c r="B207" s="18" t="s">
        <v>287</v>
      </c>
      <c r="C207" s="19" t="n">
        <v>-21.258</v>
      </c>
      <c r="D207" s="19" t="n">
        <v>-16.212</v>
      </c>
      <c r="E207" s="19" t="n">
        <v>-32.303</v>
      </c>
      <c r="F207" s="19" t="n">
        <v>-5.087</v>
      </c>
      <c r="G207" s="20" t="n">
        <f aca="false">E207+F207</f>
        <v>-37.39</v>
      </c>
      <c r="H207" s="19" t="n">
        <v>-4.584</v>
      </c>
      <c r="I207" s="19" t="n">
        <v>-4.262</v>
      </c>
      <c r="J207" s="19" t="n">
        <v>-46.236</v>
      </c>
      <c r="K207" s="19" t="n">
        <v>-11.042</v>
      </c>
      <c r="L207" s="19" t="n">
        <v>-129.906</v>
      </c>
      <c r="M207" s="20" t="n">
        <f aca="false">K207+L207</f>
        <v>-140.948</v>
      </c>
      <c r="N207" s="19" t="n">
        <v>-6.971</v>
      </c>
      <c r="O207" s="19" t="n">
        <v>-90.352</v>
      </c>
      <c r="P207" s="19" t="n">
        <v>-238.271</v>
      </c>
      <c r="Q207" s="19" t="n">
        <v>-217.525</v>
      </c>
      <c r="R207" s="19" t="n">
        <v>-13.953</v>
      </c>
      <c r="S207" s="20" t="n">
        <f aca="false">Q207+R207</f>
        <v>-231.478</v>
      </c>
      <c r="T207" s="21"/>
      <c r="U207" s="21"/>
      <c r="V207" s="21" t="n">
        <f aca="false">SUM(V204:V206)</f>
        <v>-341.113</v>
      </c>
      <c r="W207" s="21" t="n">
        <f aca="false">SUM(W204:W206)</f>
        <v>-243.119578466065</v>
      </c>
      <c r="X207" s="21" t="n">
        <f aca="false">SUM(X204:X206)</f>
        <v>-272.501952254151</v>
      </c>
      <c r="Y207" s="21" t="n">
        <f aca="false">SUM(Y204:Y206)</f>
        <v>-300.184600407344</v>
      </c>
      <c r="Z207" s="21" t="n">
        <f aca="false">SUM(Z204:Z206)</f>
        <v>-309.233311164465</v>
      </c>
      <c r="AA207" s="22"/>
      <c r="AB207" s="1"/>
      <c r="AC207" s="7"/>
      <c r="AD207" s="7"/>
    </row>
    <row r="208" customFormat="false" ht="15" hidden="false" customHeight="true" outlineLevel="0" collapsed="false">
      <c r="B208" s="29" t="s">
        <v>288</v>
      </c>
      <c r="C208" s="37" t="n">
        <v>17.5</v>
      </c>
      <c r="D208" s="37" t="n">
        <v>33.5</v>
      </c>
      <c r="E208" s="37" t="n">
        <v>43</v>
      </c>
      <c r="F208" s="37" t="n">
        <v>9</v>
      </c>
      <c r="G208" s="38" t="n">
        <f aca="false">E208+F208</f>
        <v>52</v>
      </c>
      <c r="H208" s="37" t="n">
        <v>8.5</v>
      </c>
      <c r="I208" s="37" t="n">
        <v>16</v>
      </c>
      <c r="J208" s="37" t="n">
        <v>76.5</v>
      </c>
      <c r="K208" s="37" t="n">
        <v>0</v>
      </c>
      <c r="L208" s="37" t="n">
        <v>405</v>
      </c>
      <c r="M208" s="38" t="n">
        <f aca="false">K208+L208</f>
        <v>405</v>
      </c>
      <c r="N208" s="37" t="n">
        <v>0</v>
      </c>
      <c r="O208" s="37" t="n">
        <v>130</v>
      </c>
      <c r="P208" s="37" t="n">
        <v>535</v>
      </c>
      <c r="Q208" s="37" t="n">
        <v>265</v>
      </c>
      <c r="R208" s="37" t="n">
        <v>0</v>
      </c>
      <c r="S208" s="38" t="n">
        <f aca="false">Q208+R208</f>
        <v>265</v>
      </c>
      <c r="T208" s="39"/>
      <c r="U208" s="39"/>
      <c r="V208" s="39" t="n">
        <f aca="false">V305+MAX(0,V313-P313)</f>
        <v>365</v>
      </c>
      <c r="W208" s="39" t="n">
        <f aca="false">W305+MAX(0,W313-V313)</f>
        <v>81.9488437177991</v>
      </c>
      <c r="X208" s="39" t="n">
        <f aca="false">X305+MAX(0,X313-W313)</f>
        <v>114.531215402118</v>
      </c>
      <c r="Y208" s="39" t="n">
        <f aca="false">Y305+MAX(0,Y313-X313)</f>
        <v>96.1204041603675</v>
      </c>
      <c r="Z208" s="39" t="n">
        <f aca="false">Z305+MAX(0,Z313-Y313)</f>
        <v>46.9414703595324</v>
      </c>
      <c r="AA208" s="22"/>
      <c r="AB208" s="1"/>
      <c r="AC208" s="23"/>
      <c r="AD208" s="23"/>
    </row>
    <row r="209" customFormat="false" ht="15" hidden="false" customHeight="true" outlineLevel="0" collapsed="false">
      <c r="B209" s="29" t="s">
        <v>289</v>
      </c>
      <c r="C209" s="37" t="n">
        <v>-31.338</v>
      </c>
      <c r="D209" s="37" t="n">
        <v>-38.25</v>
      </c>
      <c r="E209" s="37" t="n">
        <v>-10.703</v>
      </c>
      <c r="F209" s="37" t="n">
        <v>-11.781</v>
      </c>
      <c r="G209" s="38" t="n">
        <f aca="false">E209+F209</f>
        <v>-22.484</v>
      </c>
      <c r="H209" s="37" t="n">
        <v>-9.86</v>
      </c>
      <c r="I209" s="37" t="n">
        <v>-13.703</v>
      </c>
      <c r="J209" s="37" t="n">
        <v>-46.047</v>
      </c>
      <c r="K209" s="37" t="n">
        <v>-27.281</v>
      </c>
      <c r="L209" s="37" t="n">
        <v>-334.834</v>
      </c>
      <c r="M209" s="38" t="n">
        <f aca="false">K209+L209</f>
        <v>-362.115</v>
      </c>
      <c r="N209" s="37" t="n">
        <v>-0.937</v>
      </c>
      <c r="O209" s="37" t="n">
        <v>-31.263</v>
      </c>
      <c r="P209" s="37" t="n">
        <v>-394.315</v>
      </c>
      <c r="Q209" s="37" t="n">
        <v>-1.92</v>
      </c>
      <c r="R209" s="37" t="n">
        <v>-2.015</v>
      </c>
      <c r="S209" s="38" t="n">
        <f aca="false">Q209+R209</f>
        <v>-3.935</v>
      </c>
      <c r="T209" s="39"/>
      <c r="U209" s="39"/>
      <c r="V209" s="39" t="n">
        <f aca="false">V306+MIN(0,V313-P313)</f>
        <v>-8.2</v>
      </c>
      <c r="W209" s="39" t="n">
        <f aca="false">W306+MIN(0,W313-V313)</f>
        <v>-8.64</v>
      </c>
      <c r="X209" s="39" t="n">
        <f aca="false">X306+MIN(0,X313-W313)</f>
        <v>-8.64</v>
      </c>
      <c r="Y209" s="39" t="n">
        <f aca="false">Y306+MIN(0,Y313-X313)</f>
        <v>-8.64</v>
      </c>
      <c r="Z209" s="39" t="n">
        <f aca="false">Z306+MIN(0,Z313-Y313)</f>
        <v>-8.64</v>
      </c>
      <c r="AA209" s="22"/>
      <c r="AB209" s="1"/>
      <c r="AC209" s="23"/>
      <c r="AD209" s="23"/>
    </row>
    <row r="210" customFormat="false" ht="15" hidden="false" customHeight="true" outlineLevel="0" collapsed="false">
      <c r="B210" s="29" t="s">
        <v>290</v>
      </c>
      <c r="C210" s="37" t="n">
        <v>-1.096</v>
      </c>
      <c r="D210" s="37" t="n">
        <v>-1.532</v>
      </c>
      <c r="E210" s="37" t="n">
        <v>-0.329</v>
      </c>
      <c r="F210" s="37" t="n">
        <v>-0.769</v>
      </c>
      <c r="G210" s="38" t="n">
        <f aca="false">E210+F210</f>
        <v>-1.098</v>
      </c>
      <c r="H210" s="37" t="n">
        <v>-0.877</v>
      </c>
      <c r="I210" s="37" t="n">
        <v>-0.894</v>
      </c>
      <c r="J210" s="37" t="n">
        <v>-2.869</v>
      </c>
      <c r="K210" s="37" t="n">
        <v>-1.226</v>
      </c>
      <c r="L210" s="37" t="n">
        <v>-0.67</v>
      </c>
      <c r="M210" s="38" t="n">
        <f aca="false">K210+L210</f>
        <v>-1.896</v>
      </c>
      <c r="N210" s="37" t="n">
        <v>-0.996</v>
      </c>
      <c r="O210" s="37" t="n">
        <v>-1.007</v>
      </c>
      <c r="P210" s="37" t="n">
        <v>-3.899</v>
      </c>
      <c r="Q210" s="37" t="n">
        <v>-1.055</v>
      </c>
      <c r="R210" s="37" t="n">
        <v>-1.093</v>
      </c>
      <c r="S210" s="38" t="n">
        <f aca="false">Q210+R210</f>
        <v>-2.148</v>
      </c>
      <c r="T210" s="39"/>
      <c r="U210" s="39"/>
      <c r="V210" s="39" t="n">
        <f aca="false">V310</f>
        <v>-4.4</v>
      </c>
      <c r="W210" s="39" t="n">
        <f aca="false">W310</f>
        <v>-4.58982</v>
      </c>
      <c r="X210" s="39" t="n">
        <f aca="false">X310</f>
        <v>-4.74100785</v>
      </c>
      <c r="Y210" s="39" t="n">
        <f aca="false">Y310</f>
        <v>-4.90327873425</v>
      </c>
      <c r="Z210" s="39" t="n">
        <f aca="false">Z310</f>
        <v>-5.07702824058375</v>
      </c>
      <c r="AA210" s="22"/>
      <c r="AB210" s="1"/>
      <c r="AC210" s="23"/>
      <c r="AD210" s="23"/>
    </row>
    <row r="211" customFormat="false" ht="15" hidden="false" customHeight="true" outlineLevel="0" collapsed="false">
      <c r="B211" s="29" t="s">
        <v>291</v>
      </c>
      <c r="C211" s="37"/>
      <c r="D211" s="37"/>
      <c r="E211" s="37" t="n">
        <v>-0.963</v>
      </c>
      <c r="F211" s="37" t="n">
        <v>0.001</v>
      </c>
      <c r="G211" s="38" t="n">
        <f aca="false">E211+F211</f>
        <v>-0.962</v>
      </c>
      <c r="H211" s="37" t="n">
        <v>-0.001</v>
      </c>
      <c r="I211" s="37" t="n">
        <v>0.001</v>
      </c>
      <c r="J211" s="37" t="n">
        <v>-0.962</v>
      </c>
      <c r="K211" s="37"/>
      <c r="L211" s="37"/>
      <c r="M211" s="38" t="n">
        <f aca="false">K211+L211</f>
        <v>0</v>
      </c>
      <c r="N211" s="37" t="n">
        <v>0</v>
      </c>
      <c r="O211" s="37" t="n">
        <v>-1.818</v>
      </c>
      <c r="P211" s="37" t="n">
        <v>-8.359</v>
      </c>
      <c r="Q211" s="37" t="n">
        <v>-4.87</v>
      </c>
      <c r="R211" s="37" t="n">
        <v>0</v>
      </c>
      <c r="S211" s="38" t="n">
        <f aca="false">Q211+R211</f>
        <v>-4.87</v>
      </c>
      <c r="T211" s="39"/>
      <c r="U211" s="39"/>
      <c r="V211" s="39" t="n">
        <f aca="false">V307</f>
        <v>-6.4</v>
      </c>
      <c r="W211" s="39" t="n">
        <f aca="false">W307</f>
        <v>0</v>
      </c>
      <c r="X211" s="39" t="n">
        <f aca="false">X307</f>
        <v>0</v>
      </c>
      <c r="Y211" s="39" t="n">
        <f aca="false">Y307</f>
        <v>0</v>
      </c>
      <c r="Z211" s="39" t="n">
        <f aca="false">Z307</f>
        <v>0</v>
      </c>
      <c r="AA211" s="22"/>
      <c r="AB211" s="1"/>
      <c r="AC211" s="23"/>
      <c r="AD211" s="23"/>
    </row>
    <row r="212" customFormat="false" ht="15" hidden="false" customHeight="true" outlineLevel="0" collapsed="false">
      <c r="B212" s="29" t="s">
        <v>292</v>
      </c>
      <c r="C212" s="37"/>
      <c r="D212" s="37"/>
      <c r="E212" s="37"/>
      <c r="F212" s="37"/>
      <c r="G212" s="38" t="n">
        <f aca="false">E212+F212</f>
        <v>0</v>
      </c>
      <c r="H212" s="37"/>
      <c r="I212" s="37"/>
      <c r="J212" s="37"/>
      <c r="K212" s="37" t="n">
        <v>153.808</v>
      </c>
      <c r="L212" s="37" t="n">
        <v>0</v>
      </c>
      <c r="M212" s="38" t="n">
        <f aca="false">K212+L212</f>
        <v>153.808</v>
      </c>
      <c r="N212" s="37" t="n">
        <v>0</v>
      </c>
      <c r="O212" s="37" t="n">
        <v>1.028</v>
      </c>
      <c r="P212" s="37" t="n">
        <v>154.836</v>
      </c>
      <c r="Q212" s="37"/>
      <c r="R212" s="37"/>
      <c r="S212" s="38" t="n">
        <f aca="false">Q212+R212</f>
        <v>0</v>
      </c>
      <c r="T212" s="39"/>
      <c r="U212" s="39"/>
      <c r="V212" s="40" t="n">
        <v>0</v>
      </c>
      <c r="W212" s="40" t="n">
        <v>0</v>
      </c>
      <c r="X212" s="40" t="n">
        <v>0</v>
      </c>
      <c r="Y212" s="40" t="n">
        <v>0</v>
      </c>
      <c r="Z212" s="40" t="n">
        <v>0</v>
      </c>
      <c r="AA212" s="22"/>
      <c r="AB212" s="1"/>
      <c r="AC212" s="23"/>
      <c r="AD212" s="23"/>
    </row>
    <row r="213" customFormat="false" ht="15" hidden="false" customHeight="true" outlineLevel="0" collapsed="false">
      <c r="B213" s="29" t="s">
        <v>293</v>
      </c>
      <c r="C213" s="37"/>
      <c r="D213" s="37"/>
      <c r="E213" s="37"/>
      <c r="F213" s="37"/>
      <c r="G213" s="38"/>
      <c r="H213" s="37"/>
      <c r="I213" s="37"/>
      <c r="J213" s="37"/>
      <c r="K213" s="37"/>
      <c r="L213" s="37"/>
      <c r="M213" s="38"/>
      <c r="N213" s="37"/>
      <c r="O213" s="37"/>
      <c r="P213" s="37"/>
      <c r="Q213" s="37"/>
      <c r="R213" s="37"/>
      <c r="S213" s="38"/>
      <c r="T213" s="39"/>
      <c r="U213" s="39"/>
      <c r="V213" s="40" t="n">
        <v>0</v>
      </c>
      <c r="W213" s="39" t="n">
        <f aca="false">-W233</f>
        <v>-0</v>
      </c>
      <c r="X213" s="39" t="n">
        <f aca="false">-X233</f>
        <v>-0</v>
      </c>
      <c r="Y213" s="39" t="n">
        <f aca="false">-Y233</f>
        <v>-0</v>
      </c>
      <c r="Z213" s="39" t="n">
        <f aca="false">-Z233</f>
        <v>-0</v>
      </c>
      <c r="AA213" s="22"/>
      <c r="AB213" s="1"/>
      <c r="AC213" s="23"/>
      <c r="AD213" s="23"/>
    </row>
    <row r="214" customFormat="false" ht="15" hidden="false" customHeight="true" outlineLevel="0" collapsed="false">
      <c r="B214" s="29" t="s">
        <v>294</v>
      </c>
      <c r="C214" s="37" t="n">
        <v>31.665</v>
      </c>
      <c r="D214" s="37" t="n">
        <v>0.996</v>
      </c>
      <c r="E214" s="37" t="n">
        <v>-0.037</v>
      </c>
      <c r="F214" s="37" t="n">
        <v>-0.039</v>
      </c>
      <c r="G214" s="38" t="n">
        <f aca="false">E214+F214</f>
        <v>-0.076</v>
      </c>
      <c r="H214" s="37" t="n">
        <v>-0.039</v>
      </c>
      <c r="I214" s="37" t="n">
        <v>-0.841</v>
      </c>
      <c r="J214" s="37" t="n">
        <v>-0.956</v>
      </c>
      <c r="K214" s="37" t="n">
        <v>1.474</v>
      </c>
      <c r="L214" s="37" t="n">
        <v>-1.919</v>
      </c>
      <c r="M214" s="38" t="n">
        <f aca="false">K214+L214</f>
        <v>-0.445</v>
      </c>
      <c r="N214" s="37" t="n">
        <v>0</v>
      </c>
      <c r="O214" s="37" t="n">
        <v>0.001</v>
      </c>
      <c r="P214" s="37" t="n">
        <v>-0.444</v>
      </c>
      <c r="Q214" s="37" t="n">
        <v>0</v>
      </c>
      <c r="R214" s="37" t="n">
        <v>-1.812</v>
      </c>
      <c r="S214" s="38" t="n">
        <f aca="false">Q214+R214</f>
        <v>-1.812</v>
      </c>
      <c r="T214" s="39"/>
      <c r="U214" s="39"/>
      <c r="V214" s="39" t="n">
        <f aca="false">S214</f>
        <v>-1.812</v>
      </c>
      <c r="W214" s="40" t="n">
        <v>0</v>
      </c>
      <c r="X214" s="40" t="n">
        <v>0</v>
      </c>
      <c r="Y214" s="40" t="n">
        <v>0</v>
      </c>
      <c r="Z214" s="40" t="n">
        <v>0</v>
      </c>
      <c r="AA214" s="22"/>
      <c r="AB214" s="1"/>
      <c r="AC214" s="23"/>
      <c r="AD214" s="23"/>
    </row>
    <row r="215" customFormat="false" ht="15" hidden="false" customHeight="true" outlineLevel="0" collapsed="false">
      <c r="B215" s="18" t="s">
        <v>295</v>
      </c>
      <c r="C215" s="19" t="n">
        <v>16.731</v>
      </c>
      <c r="D215" s="19" t="n">
        <v>-5.286</v>
      </c>
      <c r="E215" s="19" t="n">
        <v>30.968</v>
      </c>
      <c r="F215" s="19" t="n">
        <v>-3.588</v>
      </c>
      <c r="G215" s="20" t="n">
        <f aca="false">E215+F215</f>
        <v>27.38</v>
      </c>
      <c r="H215" s="19" t="n">
        <v>-2.277</v>
      </c>
      <c r="I215" s="19" t="n">
        <v>0.563</v>
      </c>
      <c r="J215" s="19" t="n">
        <v>25.666</v>
      </c>
      <c r="K215" s="19" t="n">
        <v>126.775</v>
      </c>
      <c r="L215" s="19" t="n">
        <v>61.036</v>
      </c>
      <c r="M215" s="20" t="n">
        <f aca="false">K215+L215</f>
        <v>187.811</v>
      </c>
      <c r="N215" s="19" t="n">
        <v>-1.933</v>
      </c>
      <c r="O215" s="19" t="n">
        <v>96.941</v>
      </c>
      <c r="P215" s="19" t="n">
        <v>282.819</v>
      </c>
      <c r="Q215" s="19" t="n">
        <v>257.155</v>
      </c>
      <c r="R215" s="19" t="n">
        <v>-4.92</v>
      </c>
      <c r="S215" s="20" t="n">
        <f aca="false">Q215+R215</f>
        <v>252.235</v>
      </c>
      <c r="T215" s="21"/>
      <c r="U215" s="21"/>
      <c r="V215" s="21" t="n">
        <f aca="false">SUM(V208:V214)</f>
        <v>344.188</v>
      </c>
      <c r="W215" s="21" t="n">
        <f aca="false">SUM(W208:W214)</f>
        <v>68.7190237177991</v>
      </c>
      <c r="X215" s="21" t="n">
        <f aca="false">SUM(X208:X214)</f>
        <v>101.150207552118</v>
      </c>
      <c r="Y215" s="21" t="n">
        <f aca="false">SUM(Y208:Y214)</f>
        <v>82.5771254261175</v>
      </c>
      <c r="Z215" s="21" t="n">
        <f aca="false">SUM(Z208:Z214)</f>
        <v>33.2244421189486</v>
      </c>
      <c r="AA215" s="22"/>
      <c r="AB215" s="1"/>
      <c r="AC215" s="7"/>
      <c r="AD215" s="7"/>
    </row>
    <row r="216" customFormat="false" ht="15" hidden="false" customHeight="true" outlineLevel="0" collapsed="false">
      <c r="B216" s="18" t="s">
        <v>296</v>
      </c>
      <c r="C216" s="19" t="n">
        <v>-10.42</v>
      </c>
      <c r="D216" s="19" t="n">
        <v>-1.171</v>
      </c>
      <c r="E216" s="19" t="n">
        <v>1.735</v>
      </c>
      <c r="F216" s="19" t="n">
        <v>-2.532</v>
      </c>
      <c r="G216" s="20" t="n">
        <f aca="false">E216+F216</f>
        <v>-0.797</v>
      </c>
      <c r="H216" s="19" t="n">
        <v>3.013</v>
      </c>
      <c r="I216" s="19" t="n">
        <v>3.859</v>
      </c>
      <c r="J216" s="19" t="n">
        <v>6.075</v>
      </c>
      <c r="K216" s="19" t="n">
        <v>102.149</v>
      </c>
      <c r="L216" s="19" t="n">
        <v>-86.241</v>
      </c>
      <c r="M216" s="20" t="n">
        <f aca="false">K216+L216</f>
        <v>15.908</v>
      </c>
      <c r="N216" s="19" t="n">
        <v>-8.773</v>
      </c>
      <c r="O216" s="19" t="n">
        <v>15.294</v>
      </c>
      <c r="P216" s="19" t="n">
        <v>22.429</v>
      </c>
      <c r="Q216" s="19" t="n">
        <v>39.839</v>
      </c>
      <c r="R216" s="19" t="n">
        <v>-22.057</v>
      </c>
      <c r="S216" s="20" t="n">
        <f aca="false">Q216+R216</f>
        <v>17.782</v>
      </c>
      <c r="T216" s="21"/>
      <c r="U216" s="21"/>
      <c r="V216" s="21" t="n">
        <f aca="false">V203+V207+V215</f>
        <v>66.506710280446</v>
      </c>
      <c r="W216" s="21" t="n">
        <f aca="false">W203+W207+W215</f>
        <v>-50.4657102804461</v>
      </c>
      <c r="X216" s="21" t="n">
        <f aca="false">X203+X207+X215</f>
        <v>0</v>
      </c>
      <c r="Y216" s="21" t="n">
        <f aca="false">Y203+Y207+Y215</f>
        <v>0</v>
      </c>
      <c r="Z216" s="21" t="n">
        <f aca="false">Z203+Z207+Z215</f>
        <v>0</v>
      </c>
      <c r="AA216" s="22"/>
      <c r="AB216" s="1"/>
      <c r="AC216" s="7"/>
      <c r="AD216" s="7"/>
    </row>
    <row r="217" customFormat="false" ht="15" hidden="false" customHeight="true" outlineLevel="0" collapsed="false">
      <c r="B217" s="29" t="s">
        <v>297</v>
      </c>
      <c r="C217" s="37" t="n">
        <v>17.046</v>
      </c>
      <c r="D217" s="38" t="n">
        <f aca="false">C218</f>
        <v>6.626</v>
      </c>
      <c r="E217" s="38" t="n">
        <f aca="false">D218</f>
        <v>5.455</v>
      </c>
      <c r="F217" s="38" t="n">
        <f aca="false">E218</f>
        <v>7.19</v>
      </c>
      <c r="G217" s="38" t="n">
        <f aca="false">D218</f>
        <v>5.455</v>
      </c>
      <c r="H217" s="38" t="n">
        <f aca="false">F218</f>
        <v>4.658</v>
      </c>
      <c r="I217" s="38" t="n">
        <f aca="false">H218</f>
        <v>7.671</v>
      </c>
      <c r="J217" s="38" t="n">
        <f aca="false">D218</f>
        <v>5.455</v>
      </c>
      <c r="K217" s="38" t="n">
        <f aca="false">J218</f>
        <v>11.53</v>
      </c>
      <c r="L217" s="38" t="n">
        <f aca="false">K218</f>
        <v>113.679</v>
      </c>
      <c r="M217" s="38" t="n">
        <f aca="false">J218</f>
        <v>11.53</v>
      </c>
      <c r="N217" s="38" t="n">
        <f aca="false">L218</f>
        <v>27.438</v>
      </c>
      <c r="O217" s="38" t="n">
        <f aca="false">N218</f>
        <v>18.665</v>
      </c>
      <c r="P217" s="38" t="n">
        <f aca="false">J218</f>
        <v>11.53</v>
      </c>
      <c r="Q217" s="38" t="n">
        <f aca="false">P218</f>
        <v>33.959</v>
      </c>
      <c r="R217" s="38" t="n">
        <f aca="false">Q218</f>
        <v>73.798</v>
      </c>
      <c r="S217" s="38" t="n">
        <f aca="false">P218</f>
        <v>33.959</v>
      </c>
      <c r="T217" s="39"/>
      <c r="U217" s="39"/>
      <c r="V217" s="39" t="n">
        <f aca="false">P218</f>
        <v>33.959</v>
      </c>
      <c r="W217" s="39" t="n">
        <f aca="false">V218</f>
        <v>100.465710280446</v>
      </c>
      <c r="X217" s="39" t="n">
        <f aca="false">W218</f>
        <v>50</v>
      </c>
      <c r="Y217" s="39" t="n">
        <f aca="false">X218</f>
        <v>50</v>
      </c>
      <c r="Z217" s="39" t="n">
        <f aca="false">Y218</f>
        <v>50</v>
      </c>
      <c r="AA217" s="22"/>
      <c r="AB217" s="1"/>
      <c r="AC217" s="23"/>
      <c r="AD217" s="23"/>
    </row>
    <row r="218" customFormat="false" ht="15" hidden="false" customHeight="true" outlineLevel="0" collapsed="false">
      <c r="B218" s="18" t="s">
        <v>298</v>
      </c>
      <c r="C218" s="20" t="n">
        <f aca="false">C217+C216</f>
        <v>6.626</v>
      </c>
      <c r="D218" s="20" t="n">
        <f aca="false">D217+D216</f>
        <v>5.455</v>
      </c>
      <c r="E218" s="20" t="n">
        <f aca="false">E217+E216</f>
        <v>7.19</v>
      </c>
      <c r="F218" s="20" t="n">
        <f aca="false">F217+F216</f>
        <v>4.658</v>
      </c>
      <c r="G218" s="20" t="n">
        <f aca="false">G217+G216</f>
        <v>4.658</v>
      </c>
      <c r="H218" s="20" t="n">
        <f aca="false">H217+H216</f>
        <v>7.671</v>
      </c>
      <c r="I218" s="20" t="n">
        <f aca="false">I217+I216</f>
        <v>11.53</v>
      </c>
      <c r="J218" s="20" t="n">
        <f aca="false">J217+J216</f>
        <v>11.53</v>
      </c>
      <c r="K218" s="20" t="n">
        <f aca="false">K217+K216</f>
        <v>113.679</v>
      </c>
      <c r="L218" s="20" t="n">
        <f aca="false">L217+L216</f>
        <v>27.438</v>
      </c>
      <c r="M218" s="20" t="n">
        <f aca="false">M217+M216</f>
        <v>27.438</v>
      </c>
      <c r="N218" s="20" t="n">
        <f aca="false">N217+N216</f>
        <v>18.665</v>
      </c>
      <c r="O218" s="20" t="n">
        <f aca="false">O217+O216</f>
        <v>33.959</v>
      </c>
      <c r="P218" s="20" t="n">
        <f aca="false">P217+P216</f>
        <v>33.959</v>
      </c>
      <c r="Q218" s="20" t="n">
        <f aca="false">Q217+Q216</f>
        <v>73.798</v>
      </c>
      <c r="R218" s="20" t="n">
        <f aca="false">R217+R216</f>
        <v>51.741</v>
      </c>
      <c r="S218" s="20" t="n">
        <f aca="false">S217+S216</f>
        <v>51.741</v>
      </c>
      <c r="T218" s="21"/>
      <c r="U218" s="21"/>
      <c r="V218" s="21" t="n">
        <f aca="false">V217+V216</f>
        <v>100.465710280446</v>
      </c>
      <c r="W218" s="21" t="n">
        <f aca="false">W217+W216</f>
        <v>50</v>
      </c>
      <c r="X218" s="21" t="n">
        <f aca="false">X217+X216</f>
        <v>50</v>
      </c>
      <c r="Y218" s="21" t="n">
        <f aca="false">Y217+Y216</f>
        <v>50</v>
      </c>
      <c r="Z218" s="21" t="n">
        <f aca="false">Z217+Z216</f>
        <v>50</v>
      </c>
      <c r="AA218" s="22"/>
      <c r="AB218" s="1"/>
      <c r="AC218" s="7"/>
      <c r="AD218" s="7"/>
    </row>
    <row r="219" customFormat="false" ht="15" hidden="false" customHeight="true" outlineLevel="0" collapsed="false">
      <c r="B219" s="59" t="s">
        <v>299</v>
      </c>
      <c r="C219" s="38" t="n">
        <f aca="false">IF(ISNUMBER(C203),ROUND(C203+C207+C215-C216,1),"")</f>
        <v>0</v>
      </c>
      <c r="D219" s="38" t="n">
        <f aca="false">IF(ISNUMBER(D203),ROUND(D203+D207+D215-D216,1),"")</f>
        <v>0</v>
      </c>
      <c r="E219" s="38" t="n">
        <f aca="false">IF(ISNUMBER(E203),ROUND(E203+E207+E215-E216,1),"")</f>
        <v>0</v>
      </c>
      <c r="F219" s="38" t="n">
        <f aca="false">IF(ISNUMBER(F203),ROUND(F203+F207+F215-F216,1),"")</f>
        <v>0</v>
      </c>
      <c r="G219" s="38" t="n">
        <f aca="false">ROUND(G203+G207+G215-G216,1)</f>
        <v>0</v>
      </c>
      <c r="H219" s="38" t="n">
        <f aca="false">IF(ISNUMBER(H203),ROUND(H203+H207+H215-H216,1),"")</f>
        <v>0</v>
      </c>
      <c r="I219" s="38" t="n">
        <f aca="false">IF(ISNUMBER(I203),ROUND(I203+I207+I215-I216,1),"")</f>
        <v>0</v>
      </c>
      <c r="J219" s="38" t="n">
        <f aca="false">IF(ISNUMBER(J203),ROUND(J203+J207+J215-J216,1),"")</f>
        <v>0</v>
      </c>
      <c r="K219" s="38" t="n">
        <f aca="false">IF(ISNUMBER(K203),ROUND(K203+K207+K215-K216,1),"")</f>
        <v>0</v>
      </c>
      <c r="L219" s="38" t="n">
        <f aca="false">IF(ISNUMBER(L203),ROUND(L203+L207+L215-L216,1),"")</f>
        <v>0</v>
      </c>
      <c r="M219" s="38" t="n">
        <f aca="false">ROUND(M203+M207+M215-M216,1)</f>
        <v>0</v>
      </c>
      <c r="N219" s="38" t="n">
        <f aca="false">IF(ISNUMBER(N203),ROUND(N203+N207+N215-N216,1),"")</f>
        <v>0</v>
      </c>
      <c r="O219" s="38" t="n">
        <f aca="false">IF(ISNUMBER(O203),ROUND(O203+O207+O215-O216,1),"")</f>
        <v>0</v>
      </c>
      <c r="P219" s="38" t="n">
        <f aca="false">IF(ISNUMBER(P203),ROUND(P203+P207+P215-P216,1),"")</f>
        <v>0</v>
      </c>
      <c r="Q219" s="38" t="n">
        <f aca="false">IF(ISNUMBER(Q203),ROUND(Q203+Q207+Q215-Q216,1),"")</f>
        <v>0</v>
      </c>
      <c r="R219" s="38" t="n">
        <f aca="false">IF(ISNUMBER(R203),ROUND(R203+R207+R215-R216,1),"")</f>
        <v>0</v>
      </c>
      <c r="S219" s="38" t="n">
        <f aca="false">ROUND(S203+S207+S215-S216,1)</f>
        <v>0</v>
      </c>
      <c r="T219" s="39"/>
      <c r="U219" s="39"/>
      <c r="V219" s="39"/>
      <c r="W219" s="39"/>
      <c r="X219" s="39"/>
      <c r="Y219" s="39"/>
      <c r="Z219" s="39"/>
      <c r="AA219" s="22"/>
      <c r="AB219" s="1"/>
      <c r="AC219" s="7"/>
      <c r="AD219" s="7"/>
    </row>
    <row r="220" customFormat="false" ht="15" hidden="false" customHeight="true" outlineLevel="0" collapsed="false">
      <c r="B220" s="59" t="s">
        <v>300</v>
      </c>
      <c r="C220" s="38" t="n">
        <f aca="false">IF(ISNUMBER(C242),ROUND(C218-C242,1),"")</f>
        <v>0</v>
      </c>
      <c r="D220" s="38" t="n">
        <f aca="false">IF(ISNUMBER(D242),ROUND(D218-D242,1),"")</f>
        <v>0</v>
      </c>
      <c r="E220" s="38"/>
      <c r="F220" s="38"/>
      <c r="G220" s="38"/>
      <c r="H220" s="38" t="n">
        <f aca="false">IF(ISNUMBER(H242),ROUND(H218-H242,1),"")</f>
        <v>0</v>
      </c>
      <c r="I220" s="38" t="n">
        <f aca="false">IF(ISNUMBER(I242),ROUND(I218-I242,1),"")</f>
        <v>0</v>
      </c>
      <c r="J220" s="38" t="n">
        <f aca="false">IF(ISNUMBER(J242),ROUND(J218-J242,1),"")</f>
        <v>0</v>
      </c>
      <c r="K220" s="38" t="n">
        <f aca="false">IF(ISNUMBER(K242),ROUND(K218-K242,1),"")</f>
        <v>0</v>
      </c>
      <c r="L220" s="38" t="n">
        <f aca="false">IF(ISNUMBER(L242),ROUND(L218-L242,1),"")</f>
        <v>0</v>
      </c>
      <c r="M220" s="38" t="n">
        <f aca="false">IF(ISNUMBER(M242),ROUND(M218-M242,1),"")</f>
        <v>0</v>
      </c>
      <c r="N220" s="38" t="n">
        <f aca="false">IF(ISNUMBER(N242),ROUND(N218-N242,1),"")</f>
        <v>0</v>
      </c>
      <c r="O220" s="38" t="n">
        <f aca="false">IF(ISNUMBER(O242),ROUND(O218-O242,1),"")</f>
        <v>0</v>
      </c>
      <c r="P220" s="38" t="n">
        <f aca="false">IF(ISNUMBER(P242),ROUND(P218-P242,1),"")</f>
        <v>0</v>
      </c>
      <c r="Q220" s="38" t="n">
        <f aca="false">IF(ISNUMBER(Q242),ROUND(Q218-Q242,1),"")</f>
        <v>0</v>
      </c>
      <c r="R220" s="38" t="n">
        <f aca="false">IF(ISNUMBER(R242),ROUND(R218-R242,1),"")</f>
        <v>0</v>
      </c>
      <c r="S220" s="38" t="n">
        <f aca="false">IF(ISNUMBER(S242),ROUND(S218-S242,1),"")</f>
        <v>0</v>
      </c>
      <c r="T220" s="39"/>
      <c r="U220" s="39"/>
      <c r="V220" s="39" t="n">
        <f aca="false">IF(ISNUMBER(V242),ROUND(V218-V242,1),"")</f>
        <v>0</v>
      </c>
      <c r="W220" s="39" t="n">
        <f aca="false">IF(ISNUMBER(W242),ROUND(W218-W242,1),"")</f>
        <v>0</v>
      </c>
      <c r="X220" s="39" t="n">
        <f aca="false">IF(ISNUMBER(X242),ROUND(X218-X242,1),"")</f>
        <v>0</v>
      </c>
      <c r="Y220" s="39" t="n">
        <f aca="false">IF(ISNUMBER(Y242),ROUND(Y218-Y242,1),"")</f>
        <v>0</v>
      </c>
      <c r="Z220" s="39" t="n">
        <f aca="false">IF(ISNUMBER(Z242),ROUND(Z218-Z242,1),"")</f>
        <v>0</v>
      </c>
      <c r="AA220" s="22"/>
      <c r="AB220" s="1"/>
      <c r="AC220" s="7"/>
      <c r="AD220" s="7"/>
    </row>
    <row r="221" customFormat="false" ht="15" hidden="false" customHeight="true" outlineLevel="0" collapsed="false">
      <c r="B221" s="29" t="s">
        <v>301</v>
      </c>
      <c r="C221" s="37"/>
      <c r="D221" s="37"/>
      <c r="E221" s="37"/>
      <c r="F221" s="37"/>
      <c r="G221" s="38"/>
      <c r="H221" s="37"/>
      <c r="I221" s="37"/>
      <c r="J221" s="37"/>
      <c r="K221" s="37"/>
      <c r="L221" s="37"/>
      <c r="M221" s="38"/>
      <c r="N221" s="37"/>
      <c r="O221" s="37"/>
      <c r="P221" s="37"/>
      <c r="Q221" s="37"/>
      <c r="R221" s="37"/>
      <c r="S221" s="38"/>
      <c r="T221" s="39"/>
      <c r="U221" s="39"/>
      <c r="V221" s="39"/>
      <c r="W221" s="39"/>
      <c r="X221" s="39"/>
      <c r="Y221" s="39"/>
      <c r="Z221" s="39"/>
      <c r="AA221" s="22"/>
      <c r="AB221" s="1"/>
      <c r="AC221" s="23"/>
      <c r="AD221" s="23"/>
    </row>
    <row r="222" customFormat="false" ht="15" hidden="false" customHeight="true" outlineLevel="0" collapsed="false">
      <c r="B222" s="51" t="s">
        <v>302</v>
      </c>
      <c r="C222" s="52" t="n">
        <f aca="false">IF(ISNUMBER(C203),C203+C204,"")</f>
        <v>-27.162</v>
      </c>
      <c r="D222" s="52" t="n">
        <f aca="false">IF(ISNUMBER(D203),D203+D204,"")</f>
        <v>3.552</v>
      </c>
      <c r="E222" s="20" t="n">
        <f aca="false">IF(ISNUMBER(E203),E203+E204,"")</f>
        <v>1.454</v>
      </c>
      <c r="F222" s="20" t="n">
        <f aca="false">IF(ISNUMBER(F203),F203+F204,"")</f>
        <v>1.056</v>
      </c>
      <c r="G222" s="20" t="n">
        <f aca="false">IF(ISNUMBER(G203),G203+G204,"")</f>
        <v>2.51</v>
      </c>
      <c r="H222" s="20" t="n">
        <f aca="false">IF(ISNUMBER(H203),H203+H204,"")</f>
        <v>5.322</v>
      </c>
      <c r="I222" s="20" t="n">
        <f aca="false">IF(ISNUMBER(I203),I203+I204,"")</f>
        <v>3.561</v>
      </c>
      <c r="J222" s="52" t="n">
        <f aca="false">IF(ISNUMBER(J203),J203+J204,"")</f>
        <v>11.393</v>
      </c>
      <c r="K222" s="20" t="n">
        <f aca="false">IF(ISNUMBER(K203),K203+K204,"")</f>
        <v>-18.626</v>
      </c>
      <c r="L222" s="20" t="n">
        <f aca="false">IF(ISNUMBER(L203),L203+L204,"")</f>
        <v>-20.998</v>
      </c>
      <c r="M222" s="20" t="n">
        <f aca="false">IF(ISNUMBER(M203),M203+M204,"")</f>
        <v>-39.624</v>
      </c>
      <c r="N222" s="20" t="n">
        <f aca="false">IF(ISNUMBER(N203),N203+N204,"")</f>
        <v>-6.84</v>
      </c>
      <c r="O222" s="20" t="n">
        <f aca="false">IF(ISNUMBER(O203),O203+O204,"")</f>
        <v>4.009</v>
      </c>
      <c r="P222" s="52" t="n">
        <f aca="false">IF(ISNUMBER(P203),P203+P204,"")</f>
        <v>-42.455</v>
      </c>
      <c r="Q222" s="20" t="n">
        <f aca="false">IF(ISNUMBER(Q203),Q203+Q204,"")</f>
        <v>-7.166</v>
      </c>
      <c r="R222" s="20" t="n">
        <f aca="false">IF(ISNUMBER(R203),R203+R204,"")</f>
        <v>-17.674</v>
      </c>
      <c r="S222" s="20" t="n">
        <f aca="false">IF(ISNUMBER(S203),S203+S204,"")</f>
        <v>-24.84</v>
      </c>
      <c r="T222" s="52"/>
      <c r="U222" s="52"/>
      <c r="V222" s="52" t="n">
        <f aca="false">IF(ISNUMBER(V203),V203+V204,"")</f>
        <v>26.9317102804461</v>
      </c>
      <c r="W222" s="52" t="n">
        <f aca="false">IF(ISNUMBER(W203),W203+W204,"")</f>
        <v>80.8152660017549</v>
      </c>
      <c r="X222" s="52" t="n">
        <f aca="false">IF(ISNUMBER(X203),X203+X204,"")</f>
        <v>123.849792447882</v>
      </c>
      <c r="Y222" s="52" t="n">
        <f aca="false">IF(ISNUMBER(Y203),Y203+Y204,"")</f>
        <v>167.422874573883</v>
      </c>
      <c r="Z222" s="52" t="n">
        <f aca="false">IF(ISNUMBER(Z203),Z203+Z204,"")</f>
        <v>216.775557881051</v>
      </c>
      <c r="AA222" s="22"/>
      <c r="AB222" s="1"/>
      <c r="AC222" s="23" t="str">
        <f aca="false">IFERROR(IF(AND(Z222&gt;0,P222&gt;0),(Z222/P222)^(1/5)-1,"n/m"),"n/m")</f>
        <v>n/m</v>
      </c>
      <c r="AD222" s="23" t="str">
        <f aca="false">IFERROR(IF(AND(P222&gt;0,C222&gt;0),(P222/C222)^(1/3)-1,"n/m"),"n/m")</f>
        <v>n/m</v>
      </c>
    </row>
    <row r="223" customFormat="false" ht="15" hidden="false" customHeight="true" outlineLevel="0" collapsed="false">
      <c r="B223" s="25" t="s">
        <v>303</v>
      </c>
      <c r="C223" s="26"/>
      <c r="D223" s="26" t="n">
        <f aca="false">IFERROR(D222/C222-1,"")</f>
        <v>-1.1307709299757</v>
      </c>
      <c r="E223" s="26"/>
      <c r="F223" s="26"/>
      <c r="G223" s="26"/>
      <c r="H223" s="26"/>
      <c r="I223" s="26"/>
      <c r="J223" s="26" t="n">
        <f aca="false">IFERROR(J222/D222-1,"")</f>
        <v>2.20748873873874</v>
      </c>
      <c r="K223" s="26" t="n">
        <f aca="false">IFERROR(K222/E222-1,"")</f>
        <v>-13.8101788170564</v>
      </c>
      <c r="L223" s="26" t="n">
        <f aca="false">IFERROR(L222/F222-1,"")</f>
        <v>-20.8844696969697</v>
      </c>
      <c r="M223" s="26" t="n">
        <f aca="false">IFERROR(M222/G222-1,"")</f>
        <v>-16.7864541832669</v>
      </c>
      <c r="N223" s="26" t="n">
        <f aca="false">IFERROR(N222/H222-1,"")</f>
        <v>-2.28523111612176</v>
      </c>
      <c r="O223" s="26" t="n">
        <f aca="false">IFERROR(O222/I222-1,"")</f>
        <v>0.125807357483853</v>
      </c>
      <c r="P223" s="26" t="n">
        <f aca="false">IFERROR(P222/J222-1,"")</f>
        <v>-4.72641095409462</v>
      </c>
      <c r="Q223" s="26" t="n">
        <f aca="false">IFERROR(Q222/K222-1,"")</f>
        <v>-0.615268978846773</v>
      </c>
      <c r="R223" s="26" t="n">
        <f aca="false">IFERROR(R222/L222-1,"")</f>
        <v>-0.158300790551481</v>
      </c>
      <c r="S223" s="26" t="n">
        <f aca="false">IFERROR(S222/M222-1,"")</f>
        <v>-0.373107207752877</v>
      </c>
      <c r="T223" s="27"/>
      <c r="U223" s="27"/>
      <c r="V223" s="27" t="n">
        <f aca="false">IFERROR(V222/P222-1,"")</f>
        <v>-1.63435897492512</v>
      </c>
      <c r="W223" s="27" t="n">
        <f aca="false">IFERROR(W222/V222-1,"")</f>
        <v>2.00074763764377</v>
      </c>
      <c r="X223" s="27" t="n">
        <f aca="false">IFERROR(X222/W222-1,"")</f>
        <v>0.532504916152759</v>
      </c>
      <c r="Y223" s="27" t="n">
        <f aca="false">IFERROR(Y222/X222-1,"")</f>
        <v>0.351822003612452</v>
      </c>
      <c r="Z223" s="27" t="n">
        <f aca="false">IFERROR(Z222/Y222-1,"")</f>
        <v>0.294778616319778</v>
      </c>
      <c r="AA223" s="22"/>
      <c r="AB223" s="1"/>
      <c r="AC223" s="7"/>
      <c r="AD223" s="7"/>
    </row>
    <row r="224" customFormat="false" ht="15" hidden="false" customHeight="true" outlineLevel="0" collapsed="false">
      <c r="B224" s="25" t="s">
        <v>304</v>
      </c>
      <c r="C224" s="31" t="n">
        <f aca="false">IFERROR(C222/C92,"")</f>
        <v>-0.120021209844903</v>
      </c>
      <c r="D224" s="31" t="n">
        <f aca="false">IFERROR(D222/D92,"")</f>
        <v>0.0126538536898167</v>
      </c>
      <c r="E224" s="31" t="n">
        <f aca="false">IFERROR(E222/E92,"")</f>
        <v>0.0175168060140231</v>
      </c>
      <c r="F224" s="31" t="n">
        <f aca="false">IFERROR(F222/F92,"")</f>
        <v>0.0124178318183422</v>
      </c>
      <c r="G224" s="31" t="n">
        <f aca="false">IFERROR(G222/G92,"")</f>
        <v>0.0149364753488649</v>
      </c>
      <c r="H224" s="31" t="n">
        <f aca="false">IFERROR(H222/H92,"")</f>
        <v>0.0619067560022334</v>
      </c>
      <c r="I224" s="31" t="n">
        <f aca="false">IFERROR(I222/I92,"")</f>
        <v>0.0390297902189877</v>
      </c>
      <c r="J224" s="31" t="n">
        <f aca="false">IFERROR(J222/J92,"")</f>
        <v>0.0329991803065016</v>
      </c>
      <c r="K224" s="31" t="n">
        <f aca="false">IFERROR(K222/K92,"")</f>
        <v>-0.186029323638688</v>
      </c>
      <c r="L224" s="31" t="n">
        <f aca="false">IFERROR(L222/L92,"")</f>
        <v>-0.182437422348106</v>
      </c>
      <c r="M224" s="31" t="n">
        <f aca="false">IFERROR(M222/M92,"")</f>
        <v>-0.184108428080903</v>
      </c>
      <c r="N224" s="31" t="n">
        <f aca="false">IFERROR(N222/N92,"")</f>
        <v>-0.0561636299440827</v>
      </c>
      <c r="O224" s="31" t="n">
        <f aca="false">IFERROR(O222/O92,"")</f>
        <v>0.0298084644439818</v>
      </c>
      <c r="P224" s="31" t="n">
        <f aca="false">IFERROR(P222/P92,"")</f>
        <v>-0.0900424178154825</v>
      </c>
      <c r="Q224" s="31" t="n">
        <f aca="false">IFERROR(Q222/Q92,"")</f>
        <v>-0.0473910455657695</v>
      </c>
      <c r="R224" s="31" t="n">
        <f aca="false">IFERROR(R222/R92,"")</f>
        <v>-0.0970762867798509</v>
      </c>
      <c r="S224" s="31" t="n">
        <f aca="false">IFERROR(S222/S92,"")</f>
        <v>-0.0745334905617917</v>
      </c>
      <c r="T224" s="27"/>
      <c r="U224" s="27"/>
      <c r="V224" s="27" t="n">
        <f aca="false">IFERROR(V222/V92,"")</f>
        <v>0.0359329023088006</v>
      </c>
      <c r="W224" s="27" t="n">
        <f aca="false">IFERROR(W222/W92,"")</f>
        <v>0.0843395761148508</v>
      </c>
      <c r="X224" s="27" t="n">
        <f aca="false">IFERROR(X222/X92,"")</f>
        <v>0.104290275721928</v>
      </c>
      <c r="Y224" s="27" t="n">
        <f aca="false">IFERROR(Y222/Y92,"")</f>
        <v>0.11676491518359</v>
      </c>
      <c r="Z224" s="27" t="n">
        <f aca="false">IFERROR(Z222/Z92,"")</f>
        <v>0.128089150795077</v>
      </c>
      <c r="AA224" s="22"/>
      <c r="AB224" s="1"/>
      <c r="AC224" s="28" t="n">
        <f aca="false">IFERROR(AVERAGE(V224,W224,X224,Y224,Z224),"n/m")</f>
        <v>0.093883364024849</v>
      </c>
      <c r="AD224" s="28" t="n">
        <f aca="false">IFERROR(AVERAGE(C224,D224,J224,P224),"n/m")</f>
        <v>-0.0411026484160168</v>
      </c>
    </row>
    <row r="225" customFormat="false" ht="15" hidden="false" customHeight="true" outlineLevel="0" collapsed="false">
      <c r="B225" s="25" t="s">
        <v>305</v>
      </c>
      <c r="C225" s="31" t="n">
        <f aca="false">IFERROR(C222/C167,"")</f>
        <v>3.01164208892338</v>
      </c>
      <c r="D225" s="31" t="n">
        <f aca="false">IFERROR(D222/D167,"")</f>
        <v>0.355769230769231</v>
      </c>
      <c r="E225" s="31" t="n">
        <f aca="false">IFERROR(E222/E167,"")</f>
        <v>0.29060936025967</v>
      </c>
      <c r="F225" s="31" t="n">
        <f aca="false">IFERROR(F222/F167,"")</f>
        <v>0.211110911195475</v>
      </c>
      <c r="G225" s="31" t="n">
        <f aca="false">IFERROR(G222/G167,"")</f>
        <v>0.250864783881487</v>
      </c>
      <c r="H225" s="31" t="n">
        <f aca="false">IFERROR(H222/H167,"")</f>
        <v>0.797963259504489</v>
      </c>
      <c r="I225" s="31" t="n">
        <f aca="false">IFERROR(I222/I167,"")</f>
        <v>0.711899578377925</v>
      </c>
      <c r="J225" s="31" t="n">
        <f aca="false">IFERROR(J222/J167,"")</f>
        <v>0.5256089622487</v>
      </c>
      <c r="K225" s="31" t="n">
        <f aca="false">IFERROR(K222/K167,"")</f>
        <v>-2.81838471723094</v>
      </c>
      <c r="L225" s="31" t="n">
        <f aca="false">IFERROR(L222/L167,"")</f>
        <v>-1.58688653436314</v>
      </c>
      <c r="M225" s="31" t="n">
        <f aca="false">IFERROR(M222/M167,"")</f>
        <v>-1.9970817929585</v>
      </c>
      <c r="N225" s="31" t="n">
        <f aca="false">IFERROR(N222/N167,"")</f>
        <v>-0.516920844606339</v>
      </c>
      <c r="O225" s="31" t="n">
        <f aca="false">IFERROR(O222/O167,"")</f>
        <v>0.275430045989741</v>
      </c>
      <c r="P225" s="31" t="n">
        <f aca="false">IFERROR(P222/P167,"")</f>
        <v>-0.867151669739297</v>
      </c>
      <c r="Q225" s="31" t="n">
        <f aca="false">IFERROR(Q222/Q167,"")</f>
        <v>-0.491567349391474</v>
      </c>
      <c r="R225" s="31" t="n">
        <f aca="false">IFERROR(R222/R167,"")</f>
        <v>-0.95255341876887</v>
      </c>
      <c r="S225" s="31" t="n">
        <f aca="false">IFERROR(S222/S167,"")</f>
        <v>-0.749723833612014</v>
      </c>
      <c r="T225" s="27"/>
      <c r="U225" s="27"/>
      <c r="V225" s="27" t="n">
        <f aca="false">IFERROR(V222/V167,"")</f>
        <v>0.331270822761905</v>
      </c>
      <c r="W225" s="27" t="n">
        <f aca="false">IFERROR(W222/W167,"")</f>
        <v>0.661422264404694</v>
      </c>
      <c r="X225" s="27" t="n">
        <f aca="false">IFERROR(X222/X167,"")</f>
        <v>0.758019172387825</v>
      </c>
      <c r="Y225" s="27" t="n">
        <f aca="false">IFERROR(Y222/Y167,"")</f>
        <v>0.821463291769305</v>
      </c>
      <c r="Z225" s="27" t="n">
        <f aca="false">IFERROR(Z222/Z167,"")</f>
        <v>0.878793882892151</v>
      </c>
      <c r="AA225" s="22"/>
      <c r="AB225" s="1"/>
      <c r="AC225" s="28" t="n">
        <f aca="false">IFERROR(AVERAGE(V225,W225,X225,Y225,Z225),"n/m")</f>
        <v>0.690193886843176</v>
      </c>
      <c r="AD225" s="28" t="n">
        <f aca="false">IFERROR(AVERAGE(C225,D225,J225,P225),"n/m")</f>
        <v>0.756467153050504</v>
      </c>
    </row>
    <row r="226" customFormat="false" ht="15" hidden="false" customHeight="true" outlineLevel="0" collapsed="false">
      <c r="B226" s="18" t="s">
        <v>306</v>
      </c>
      <c r="C226" s="62" t="n">
        <f aca="false">IFERROR(C222/C110,"")</f>
        <v>-0.170712085978254</v>
      </c>
      <c r="D226" s="62" t="n">
        <f aca="false">IFERROR(D222/D110,"")</f>
        <v>0.0212980284933084</v>
      </c>
      <c r="E226" s="62" t="n">
        <f aca="false">IFERROR(E222/E110,"")</f>
        <v>0.00871828080779009</v>
      </c>
      <c r="F226" s="62" t="n">
        <f aca="false">IFERROR(F222/F110,"")</f>
        <v>0.00633332733586427</v>
      </c>
      <c r="G226" s="62" t="n">
        <f aca="false">IFERROR(G222/G110,"")</f>
        <v>0.0150518870328893</v>
      </c>
      <c r="H226" s="62" t="n">
        <f aca="false">IFERROR(H222/H110,"")</f>
        <v>0.0319185303801796</v>
      </c>
      <c r="I226" s="62" t="n">
        <f aca="false">IFERROR(I222/I110,"")</f>
        <v>0.0213569873513377</v>
      </c>
      <c r="J226" s="62" t="n">
        <f aca="false">IFERROR(J222/J110,"")</f>
        <v>0.068329165092331</v>
      </c>
      <c r="K226" s="62" t="n">
        <f aca="false">IFERROR(K222/K110,"")</f>
        <v>-0.140919235861547</v>
      </c>
      <c r="L226" s="62" t="n">
        <f aca="false">IFERROR(L222/L110,"")</f>
        <v>-0.158688653436314</v>
      </c>
      <c r="M226" s="62" t="n">
        <f aca="false">IFERROR(M222/M110,"")</f>
        <v>-0.299617765040813</v>
      </c>
      <c r="N226" s="62" t="n">
        <f aca="false">IFERROR(N222/N110,"")</f>
        <v>-0.0516920844606339</v>
      </c>
      <c r="O226" s="62" t="n">
        <f aca="false">IFERROR(O222/O110,"")</f>
        <v>0.0302973050588715</v>
      </c>
      <c r="P226" s="62" t="n">
        <f aca="false">IFERROR(P222/P110,"")</f>
        <v>-0.32084611780354</v>
      </c>
      <c r="Q226" s="62" t="n">
        <f aca="false">IFERROR(Q222/Q110,"")</f>
        <v>-0.0540724084330622</v>
      </c>
      <c r="R226" s="62" t="n">
        <f aca="false">IFERROR(R222/R110,"")</f>
        <v>-0.133357478627642</v>
      </c>
      <c r="S226" s="62" t="n">
        <f aca="false">IFERROR(S222/S110,"")</f>
        <v>-0.187431382683725</v>
      </c>
      <c r="T226" s="70"/>
      <c r="U226" s="70"/>
      <c r="V226" s="70" t="n">
        <f aca="false">IFERROR(V222/V110,"")</f>
        <v>0.203178069632511</v>
      </c>
      <c r="W226" s="70" t="n">
        <f aca="false">IFERROR(W222/W110,"")</f>
        <v>0.606846799803239</v>
      </c>
      <c r="X226" s="70" t="n">
        <f aca="false">IFERROR(X222/X110,"")</f>
        <v>0.927210711161193</v>
      </c>
      <c r="Y226" s="70" t="n">
        <f aca="false">IFERROR(Y222/Y110,"")</f>
        <v>1.24968150779586</v>
      </c>
      <c r="Z226" s="70" t="n">
        <f aca="false">IFERROR(Z222/Z110,"")</f>
        <v>1.61324424820501</v>
      </c>
      <c r="AA226" s="22"/>
      <c r="AB226" s="1"/>
      <c r="AC226" s="23"/>
      <c r="AD226" s="23"/>
    </row>
    <row r="227" customFormat="false" ht="15" hidden="false" customHeight="true" outlineLevel="0" collapsed="false">
      <c r="B227" s="29" t="s">
        <v>307</v>
      </c>
      <c r="C227" s="37"/>
      <c r="D227" s="37"/>
      <c r="E227" s="37"/>
      <c r="F227" s="37"/>
      <c r="G227" s="38"/>
      <c r="H227" s="37"/>
      <c r="I227" s="37"/>
      <c r="J227" s="37"/>
      <c r="K227" s="37"/>
      <c r="L227" s="37"/>
      <c r="M227" s="38"/>
      <c r="N227" s="37"/>
      <c r="O227" s="37"/>
      <c r="P227" s="37"/>
      <c r="Q227" s="37"/>
      <c r="R227" s="37"/>
      <c r="S227" s="38"/>
      <c r="T227" s="39"/>
      <c r="U227" s="39"/>
      <c r="V227" s="39"/>
      <c r="W227" s="39"/>
      <c r="X227" s="39"/>
      <c r="Y227" s="39"/>
      <c r="Z227" s="39"/>
      <c r="AA227" s="22"/>
      <c r="AB227" s="1"/>
      <c r="AC227" s="23"/>
      <c r="AD227" s="23"/>
    </row>
    <row r="228" customFormat="false" ht="15" hidden="false" customHeight="true" outlineLevel="0" collapsed="false">
      <c r="B228" s="25" t="s">
        <v>308</v>
      </c>
      <c r="C228" s="31" t="n">
        <f aca="false">IFERROR(-C204/C92,"")</f>
        <v>0.0939817065087712</v>
      </c>
      <c r="D228" s="31" t="n">
        <f aca="false">IFERROR(-D204/D92,"")</f>
        <v>0.0597602465221496</v>
      </c>
      <c r="E228" s="31" t="n">
        <f aca="false">IFERROR(-E204/E92,"")</f>
        <v>0.0194684721586391</v>
      </c>
      <c r="F228" s="31" t="n">
        <f aca="false">IFERROR(-F204/F92,"")</f>
        <v>0.0598196121779419</v>
      </c>
      <c r="G228" s="31" t="n">
        <f aca="false">IFERROR(-G204/G92,"")</f>
        <v>0.0398881252045583</v>
      </c>
      <c r="H228" s="31" t="n">
        <f aca="false">IFERROR(-H204/H92,"")</f>
        <v>0.0529499348594826</v>
      </c>
      <c r="I228" s="31" t="n">
        <f aca="false">IFERROR(-I204/I92,"")</f>
        <v>0.0438085008439466</v>
      </c>
      <c r="J228" s="31" t="n">
        <f aca="false">IFERROR(-J204/J92,"")</f>
        <v>0.0441765556073697</v>
      </c>
      <c r="K228" s="31" t="n">
        <f aca="false">IFERROR(-K204/K92,"")</f>
        <v>0.0503575566297791</v>
      </c>
      <c r="L228" s="31" t="n">
        <f aca="false">IFERROR(-L204/L92,"")</f>
        <v>0.0315125502836738</v>
      </c>
      <c r="M228" s="31" t="n">
        <f aca="false">IFERROR(-M204/M92,"")</f>
        <v>0.0402795266261192</v>
      </c>
      <c r="N228" s="31" t="n">
        <f aca="false">IFERROR(-N204/N92,"")</f>
        <v>0.05723927841231</v>
      </c>
      <c r="O228" s="31" t="n">
        <f aca="false">IFERROR(-O204/O92,"")</f>
        <v>0.0349165749635666</v>
      </c>
      <c r="P228" s="31" t="n">
        <f aca="false">IFERROR(-P204/P92,"")</f>
        <v>0.0431304347826087</v>
      </c>
      <c r="Q228" s="31" t="n">
        <f aca="false">IFERROR(-Q204/Q92,"")</f>
        <v>0.0487732292837775</v>
      </c>
      <c r="R228" s="31" t="n">
        <f aca="false">IFERROR(-R204/R92,"")</f>
        <v>0.0795878349801992</v>
      </c>
      <c r="S228" s="31" t="n">
        <f aca="false">IFERROR(-S204/S92,"")</f>
        <v>0.0656068748443468</v>
      </c>
      <c r="T228" s="27"/>
      <c r="U228" s="27"/>
      <c r="V228" s="27" t="n">
        <f aca="false">IFERROR(-V204/V92,"")</f>
        <v>0.0486991327551701</v>
      </c>
      <c r="W228" s="46" t="n">
        <v>0.045</v>
      </c>
      <c r="X228" s="46" t="n">
        <v>0.04</v>
      </c>
      <c r="Y228" s="46" t="n">
        <v>0.035</v>
      </c>
      <c r="Z228" s="46" t="n">
        <v>0.035</v>
      </c>
      <c r="AA228" s="22" t="s">
        <v>309</v>
      </c>
      <c r="AB228" s="1"/>
      <c r="AC228" s="28" t="n">
        <f aca="false">IFERROR(AVERAGE(V228,W228,X228,Y228,Z228),"n/m")</f>
        <v>0.040739826551034</v>
      </c>
      <c r="AD228" s="28" t="n">
        <f aca="false">IFERROR(AVERAGE(C228,D228,J228,P228),"n/m")</f>
        <v>0.0602622358552248</v>
      </c>
    </row>
    <row r="229" customFormat="false" ht="15" hidden="false" customHeight="true" outlineLevel="0" collapsed="false">
      <c r="B229" s="25" t="s">
        <v>310</v>
      </c>
      <c r="C229" s="71" t="n">
        <f aca="false">IFERROR(-C204/C64,"")</f>
        <v>3.79871405608145</v>
      </c>
      <c r="D229" s="71" t="n">
        <f aca="false">IFERROR(-D204/D64,"")</f>
        <v>2.09451866650019</v>
      </c>
      <c r="E229" s="71" t="n">
        <f aca="false">IFERROR(-E204/E64,"")</f>
        <v>0.834279814145586</v>
      </c>
      <c r="F229" s="71" t="n">
        <f aca="false">IFERROR(-F204/F64,"")</f>
        <v>2.21655773420479</v>
      </c>
      <c r="G229" s="71" t="n">
        <f aca="false">IFERROR(-G204/G64,"")</f>
        <v>1.58388468809074</v>
      </c>
      <c r="H229" s="71" t="n">
        <f aca="false">IFERROR(-H204/H64,"")</f>
        <v>2.08234217749314</v>
      </c>
      <c r="I229" s="71" t="n">
        <f aca="false">IFERROR(-I204/I64,"")</f>
        <v>1.17697290930506</v>
      </c>
      <c r="J229" s="71" t="n">
        <f aca="false">IFERROR(-J204/J64,"")</f>
        <v>1.55426475084072</v>
      </c>
      <c r="K229" s="71" t="n">
        <f aca="false">IFERROR(-K204/K64,"")</f>
        <v>2.3170955882353</v>
      </c>
      <c r="L229" s="71" t="n">
        <f aca="false">IFERROR(-L204/L64,"")</f>
        <v>0.986670293797606</v>
      </c>
      <c r="M229" s="71" t="n">
        <f aca="false">IFERROR(-M204/M64,"")</f>
        <v>1.48137388926863</v>
      </c>
      <c r="N229" s="71" t="n">
        <f aca="false">IFERROR(-N204/N64,"")</f>
        <v>2.13703249540159</v>
      </c>
      <c r="O229" s="71" t="n">
        <f aca="false">IFERROR(-O204/O64,"")</f>
        <v>1.35722543352601</v>
      </c>
      <c r="P229" s="71" t="n">
        <f aca="false">IFERROR(-P204/P64,"")</f>
        <v>1.61730555113727</v>
      </c>
      <c r="Q229" s="71" t="n">
        <f aca="false">IFERROR(-Q204/Q64,"")</f>
        <v>1.88957212400717</v>
      </c>
      <c r="R229" s="71" t="n">
        <f aca="false">IFERROR(-R204/R64,"")</f>
        <v>3.5672082717873</v>
      </c>
      <c r="S229" s="71" t="n">
        <f aca="false">IFERROR(-S204/S64,"")</f>
        <v>2.74513496547395</v>
      </c>
      <c r="T229" s="72"/>
      <c r="U229" s="72"/>
      <c r="V229" s="72" t="n">
        <f aca="false">IFERROR(-V204/V64,"")</f>
        <v>2.20105733729036</v>
      </c>
      <c r="W229" s="72" t="n">
        <f aca="false">IFERROR(-W204/W64,"")</f>
        <v>1.875</v>
      </c>
      <c r="X229" s="72" t="n">
        <f aca="false">IFERROR(-X204/X64,"")</f>
        <v>1.53846153846154</v>
      </c>
      <c r="Y229" s="72" t="n">
        <f aca="false">IFERROR(-Y204/Y64,"")</f>
        <v>1.2962962962963</v>
      </c>
      <c r="Z229" s="72" t="n">
        <f aca="false">IFERROR(-Z204/Z64,"")</f>
        <v>1.25</v>
      </c>
      <c r="AA229" s="22"/>
      <c r="AB229" s="1"/>
      <c r="AC229" s="47"/>
      <c r="AD229" s="47"/>
    </row>
    <row r="231" customFormat="false" ht="15" hidden="false" customHeight="true" outlineLevel="0" collapsed="false">
      <c r="B231" s="12" t="s">
        <v>311</v>
      </c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"/>
      <c r="AC231" s="1"/>
      <c r="AD231" s="1"/>
    </row>
    <row r="232" customFormat="false" ht="15" hidden="false" customHeight="true" outlineLevel="0" collapsed="false">
      <c r="B232" s="29" t="s">
        <v>312</v>
      </c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5"/>
      <c r="U232" s="65"/>
      <c r="V232" s="65" t="n">
        <f aca="false">V362</f>
        <v>34.14</v>
      </c>
      <c r="W232" s="65" t="n">
        <f aca="false">V232*(1+W300)</f>
        <v>37.554</v>
      </c>
      <c r="X232" s="65" t="n">
        <f aca="false">W232*(1+X300)</f>
        <v>41.3094</v>
      </c>
      <c r="Y232" s="65" t="n">
        <f aca="false">X232*(1+Y300)</f>
        <v>45.44034</v>
      </c>
      <c r="Z232" s="65" t="n">
        <f aca="false">Y232*(1+Z300)</f>
        <v>49.984374</v>
      </c>
      <c r="AA232" s="22"/>
      <c r="AB232" s="1"/>
      <c r="AC232" s="7"/>
      <c r="AD232" s="7"/>
    </row>
    <row r="233" customFormat="false" ht="15" hidden="false" customHeight="true" outlineLevel="0" collapsed="false">
      <c r="B233" s="29" t="s">
        <v>313</v>
      </c>
      <c r="C233" s="37"/>
      <c r="D233" s="37"/>
      <c r="E233" s="37"/>
      <c r="F233" s="37"/>
      <c r="G233" s="38"/>
      <c r="H233" s="37"/>
      <c r="I233" s="37"/>
      <c r="J233" s="37"/>
      <c r="K233" s="37"/>
      <c r="L233" s="37"/>
      <c r="M233" s="38"/>
      <c r="N233" s="37"/>
      <c r="O233" s="37"/>
      <c r="P233" s="37"/>
      <c r="Q233" s="37"/>
      <c r="R233" s="37"/>
      <c r="S233" s="38"/>
      <c r="T233" s="39"/>
      <c r="U233" s="39"/>
      <c r="V233" s="40" t="n">
        <v>0</v>
      </c>
      <c r="W233" s="39" t="n">
        <f aca="false">W322+CHOOSE(MATCH($AA$2,{"Bull","Base","Bear"},0),$AH$58,$AI$58,$AJ$58)</f>
        <v>0</v>
      </c>
      <c r="X233" s="39" t="n">
        <f aca="false">X322+CHOOSE(MATCH($AA$2,{"Bull","Base","Bear"},0),$AH$59,$AI$59,$AJ$59)</f>
        <v>0</v>
      </c>
      <c r="Y233" s="39" t="n">
        <f aca="false">Y322+CHOOSE(MATCH($AA$2,{"Bull","Base","Bear"},0),$AH$60,$AI$60,$AJ$60)</f>
        <v>0</v>
      </c>
      <c r="Z233" s="39" t="n">
        <f aca="false">Z322+CHOOSE(MATCH($AA$2,{"Bull","Base","Bear"},0),$AH$61,$AI$61,$AJ$61)</f>
        <v>0</v>
      </c>
      <c r="AA233" s="22"/>
      <c r="AB233" s="1"/>
      <c r="AC233" s="23"/>
      <c r="AD233" s="23"/>
    </row>
    <row r="234" customFormat="false" ht="15" hidden="false" customHeight="true" outlineLevel="0" collapsed="false">
      <c r="B234" s="29" t="s">
        <v>314</v>
      </c>
      <c r="C234" s="37"/>
      <c r="D234" s="37"/>
      <c r="E234" s="37"/>
      <c r="F234" s="37"/>
      <c r="G234" s="38"/>
      <c r="H234" s="37"/>
      <c r="I234" s="38"/>
      <c r="J234" s="37"/>
      <c r="K234" s="37"/>
      <c r="L234" s="37"/>
      <c r="M234" s="38"/>
      <c r="N234" s="37"/>
      <c r="O234" s="38"/>
      <c r="P234" s="37"/>
      <c r="Q234" s="37"/>
      <c r="R234" s="37"/>
      <c r="S234" s="38"/>
      <c r="T234" s="39"/>
      <c r="U234" s="39"/>
      <c r="V234" s="39" t="n">
        <f aca="false">IFERROR(V233/V232,0)</f>
        <v>0</v>
      </c>
      <c r="W234" s="39" t="n">
        <f aca="false">IFERROR(W233/W232,0)</f>
        <v>0</v>
      </c>
      <c r="X234" s="39" t="n">
        <f aca="false">IFERROR(X233/X232,0)</f>
        <v>0</v>
      </c>
      <c r="Y234" s="39" t="n">
        <f aca="false">IFERROR(Y233/Y232,0)</f>
        <v>0</v>
      </c>
      <c r="Z234" s="39" t="n">
        <f aca="false">IFERROR(Z233/Z232,0)</f>
        <v>0</v>
      </c>
      <c r="AA234" s="22"/>
      <c r="AB234" s="1"/>
      <c r="AC234" s="7"/>
      <c r="AD234" s="7"/>
    </row>
    <row r="235" customFormat="false" ht="15" hidden="false" customHeight="true" outlineLevel="0" collapsed="false">
      <c r="B235" s="29" t="s">
        <v>315</v>
      </c>
      <c r="C235" s="37"/>
      <c r="D235" s="37"/>
      <c r="E235" s="37"/>
      <c r="F235" s="37"/>
      <c r="G235" s="38"/>
      <c r="H235" s="37"/>
      <c r="I235" s="38"/>
      <c r="J235" s="37"/>
      <c r="K235" s="37"/>
      <c r="L235" s="37"/>
      <c r="M235" s="38"/>
      <c r="N235" s="37"/>
      <c r="O235" s="38"/>
      <c r="P235" s="37"/>
      <c r="Q235" s="37"/>
      <c r="R235" s="37"/>
      <c r="S235" s="38"/>
      <c r="T235" s="39"/>
      <c r="U235" s="39"/>
      <c r="V235" s="40" t="n">
        <v>0.25</v>
      </c>
      <c r="W235" s="40" t="n">
        <v>0.4</v>
      </c>
      <c r="X235" s="40" t="n">
        <v>0.4</v>
      </c>
      <c r="Y235" s="40" t="n">
        <v>0.4</v>
      </c>
      <c r="Z235" s="40" t="n">
        <v>0.4</v>
      </c>
      <c r="AA235" s="22"/>
      <c r="AB235" s="1"/>
      <c r="AC235" s="7"/>
      <c r="AD235" s="7"/>
    </row>
    <row r="236" customFormat="false" ht="15" hidden="false" customHeight="true" outlineLevel="0" collapsed="false">
      <c r="B236" s="29" t="s">
        <v>316</v>
      </c>
      <c r="C236" s="37"/>
      <c r="D236" s="37"/>
      <c r="E236" s="37"/>
      <c r="F236" s="37"/>
      <c r="G236" s="38"/>
      <c r="H236" s="37"/>
      <c r="I236" s="38"/>
      <c r="J236" s="37"/>
      <c r="K236" s="37"/>
      <c r="L236" s="37"/>
      <c r="M236" s="38"/>
      <c r="N236" s="37"/>
      <c r="O236" s="38"/>
      <c r="P236" s="37"/>
      <c r="Q236" s="37"/>
      <c r="R236" s="37"/>
      <c r="S236" s="38"/>
      <c r="T236" s="39"/>
      <c r="U236" s="39"/>
      <c r="V236" s="39" t="n">
        <f aca="false">P282</f>
        <v>132.322435</v>
      </c>
      <c r="W236" s="39" t="n">
        <f aca="false">V237</f>
        <v>132.572435</v>
      </c>
      <c r="X236" s="39" t="n">
        <f aca="false">W237</f>
        <v>132.972435</v>
      </c>
      <c r="Y236" s="39" t="n">
        <f aca="false">X237</f>
        <v>133.372435</v>
      </c>
      <c r="Z236" s="39" t="n">
        <f aca="false">Y237</f>
        <v>133.772435</v>
      </c>
      <c r="AA236" s="22"/>
      <c r="AB236" s="1"/>
      <c r="AC236" s="7"/>
      <c r="AD236" s="7"/>
    </row>
    <row r="237" customFormat="false" ht="15" hidden="false" customHeight="true" outlineLevel="0" collapsed="false">
      <c r="B237" s="29" t="s">
        <v>317</v>
      </c>
      <c r="C237" s="37"/>
      <c r="D237" s="37"/>
      <c r="E237" s="37"/>
      <c r="F237" s="37"/>
      <c r="G237" s="38"/>
      <c r="H237" s="37"/>
      <c r="I237" s="38"/>
      <c r="J237" s="37"/>
      <c r="K237" s="37"/>
      <c r="L237" s="37"/>
      <c r="M237" s="38"/>
      <c r="N237" s="37"/>
      <c r="O237" s="38"/>
      <c r="P237" s="37"/>
      <c r="Q237" s="37"/>
      <c r="R237" s="37"/>
      <c r="S237" s="38"/>
      <c r="T237" s="39"/>
      <c r="U237" s="39"/>
      <c r="V237" s="39" t="n">
        <f aca="false">V236-V234+V235</f>
        <v>132.572435</v>
      </c>
      <c r="W237" s="39" t="n">
        <f aca="false">W236-W234+W235</f>
        <v>132.972435</v>
      </c>
      <c r="X237" s="39" t="n">
        <f aca="false">X236-X234+X235</f>
        <v>133.372435</v>
      </c>
      <c r="Y237" s="39" t="n">
        <f aca="false">Y236-Y234+Y235</f>
        <v>133.772435</v>
      </c>
      <c r="Z237" s="39" t="n">
        <f aca="false">Z236-Z234+Z235</f>
        <v>134.172435</v>
      </c>
      <c r="AA237" s="22"/>
      <c r="AB237" s="1"/>
      <c r="AC237" s="7"/>
      <c r="AD237" s="7"/>
    </row>
    <row r="238" customFormat="false" ht="15" hidden="false" customHeight="true" outlineLevel="0" collapsed="false">
      <c r="B238" s="25" t="s">
        <v>318</v>
      </c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27"/>
      <c r="U238" s="27"/>
      <c r="V238" s="27" t="n">
        <f aca="false">IFERROR(V234/V236,"")</f>
        <v>0</v>
      </c>
      <c r="W238" s="27" t="n">
        <f aca="false">IFERROR(W234/W236,"")</f>
        <v>0</v>
      </c>
      <c r="X238" s="27" t="n">
        <f aca="false">IFERROR(X234/X236,"")</f>
        <v>0</v>
      </c>
      <c r="Y238" s="27" t="n">
        <f aca="false">IFERROR(Y234/Y236,"")</f>
        <v>0</v>
      </c>
      <c r="Z238" s="27" t="n">
        <f aca="false">IFERROR(Z234/Z236,"")</f>
        <v>0</v>
      </c>
      <c r="AA238" s="22"/>
      <c r="AB238" s="1"/>
      <c r="AC238" s="47"/>
      <c r="AD238" s="47"/>
    </row>
    <row r="240" customFormat="false" ht="15" hidden="false" customHeight="true" outlineLevel="0" collapsed="false">
      <c r="B240" s="12" t="s">
        <v>319</v>
      </c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 t="s">
        <v>320</v>
      </c>
      <c r="AB240" s="1"/>
      <c r="AC240" s="1"/>
      <c r="AD240" s="1"/>
    </row>
    <row r="241" customFormat="false" ht="15" hidden="false" customHeight="true" outlineLevel="0" collapsed="false">
      <c r="B241" s="29" t="s">
        <v>321</v>
      </c>
      <c r="C241" s="37"/>
      <c r="D241" s="37"/>
      <c r="E241" s="37"/>
      <c r="F241" s="37"/>
      <c r="G241" s="38"/>
      <c r="H241" s="37"/>
      <c r="I241" s="37"/>
      <c r="J241" s="37"/>
      <c r="K241" s="37"/>
      <c r="L241" s="37"/>
      <c r="M241" s="38"/>
      <c r="N241" s="37"/>
      <c r="O241" s="37"/>
      <c r="P241" s="37"/>
      <c r="Q241" s="37"/>
      <c r="R241" s="37"/>
      <c r="S241" s="38"/>
      <c r="T241" s="39"/>
      <c r="U241" s="39"/>
      <c r="V241" s="39"/>
      <c r="W241" s="39"/>
      <c r="X241" s="39"/>
      <c r="Y241" s="39"/>
      <c r="Z241" s="39"/>
      <c r="AA241" s="22"/>
      <c r="AB241" s="1"/>
      <c r="AC241" s="23"/>
      <c r="AD241" s="23"/>
    </row>
    <row r="242" customFormat="false" ht="15" hidden="false" customHeight="true" outlineLevel="0" collapsed="false">
      <c r="B242" s="29" t="s">
        <v>322</v>
      </c>
      <c r="C242" s="37" t="n">
        <v>6.626</v>
      </c>
      <c r="D242" s="37" t="n">
        <v>5.455</v>
      </c>
      <c r="E242" s="37"/>
      <c r="F242" s="37"/>
      <c r="G242" s="38" t="str">
        <f aca="false">IF(ISNUMBER(F242),F242,"")</f>
        <v/>
      </c>
      <c r="H242" s="37" t="n">
        <v>7.671</v>
      </c>
      <c r="I242" s="38" t="n">
        <f aca="false">IF(ISNUMBER(J242),J242,"")</f>
        <v>11.53</v>
      </c>
      <c r="J242" s="37" t="n">
        <v>11.53</v>
      </c>
      <c r="K242" s="37" t="n">
        <v>113.679</v>
      </c>
      <c r="L242" s="37" t="n">
        <v>27.438</v>
      </c>
      <c r="M242" s="38" t="n">
        <f aca="false">IF(ISNUMBER(L242),L242,"")</f>
        <v>27.438</v>
      </c>
      <c r="N242" s="37" t="n">
        <v>18.665</v>
      </c>
      <c r="O242" s="38" t="n">
        <f aca="false">IF(ISNUMBER(P242),P242,"")</f>
        <v>33.959</v>
      </c>
      <c r="P242" s="37" t="n">
        <v>33.959</v>
      </c>
      <c r="Q242" s="37" t="n">
        <v>73.798</v>
      </c>
      <c r="R242" s="37" t="n">
        <v>51.741</v>
      </c>
      <c r="S242" s="38" t="n">
        <f aca="false">IF(ISNUMBER(R242),R242,"")</f>
        <v>51.741</v>
      </c>
      <c r="T242" s="39"/>
      <c r="U242" s="39"/>
      <c r="V242" s="39" t="n">
        <f aca="false">V218</f>
        <v>100.465710280446</v>
      </c>
      <c r="W242" s="39" t="n">
        <f aca="false">W218</f>
        <v>50</v>
      </c>
      <c r="X242" s="39" t="n">
        <f aca="false">X218</f>
        <v>50</v>
      </c>
      <c r="Y242" s="39" t="n">
        <f aca="false">Y218</f>
        <v>50</v>
      </c>
      <c r="Z242" s="39" t="n">
        <f aca="false">Z218</f>
        <v>50</v>
      </c>
      <c r="AA242" s="22"/>
      <c r="AB242" s="1"/>
      <c r="AC242" s="23"/>
      <c r="AD242" s="23"/>
    </row>
    <row r="243" customFormat="false" ht="15" hidden="false" customHeight="true" outlineLevel="0" collapsed="false">
      <c r="B243" s="29" t="s">
        <v>323</v>
      </c>
      <c r="C243" s="37" t="n">
        <v>47.594</v>
      </c>
      <c r="D243" s="37" t="n">
        <v>50.597</v>
      </c>
      <c r="E243" s="37"/>
      <c r="F243" s="37"/>
      <c r="G243" s="38" t="str">
        <f aca="false">IF(ISNUMBER(F243),F243,"")</f>
        <v/>
      </c>
      <c r="H243" s="37" t="n">
        <v>56.508</v>
      </c>
      <c r="I243" s="38" t="n">
        <f aca="false">IF(ISNUMBER(J243),J243,"")</f>
        <v>55.22</v>
      </c>
      <c r="J243" s="37" t="n">
        <v>55.22</v>
      </c>
      <c r="K243" s="37" t="n">
        <v>47.768</v>
      </c>
      <c r="L243" s="37" t="n">
        <v>57.902</v>
      </c>
      <c r="M243" s="38" t="n">
        <f aca="false">IF(ISNUMBER(L243),L243,"")</f>
        <v>57.902</v>
      </c>
      <c r="N243" s="37" t="n">
        <v>70.183</v>
      </c>
      <c r="O243" s="38" t="n">
        <f aca="false">IF(ISNUMBER(P243),P243,"")</f>
        <v>78.716</v>
      </c>
      <c r="P243" s="37" t="n">
        <v>78.716</v>
      </c>
      <c r="Q243" s="37" t="n">
        <v>98.614</v>
      </c>
      <c r="R243" s="37" t="n">
        <v>114.96</v>
      </c>
      <c r="S243" s="38" t="n">
        <f aca="false">IF(ISNUMBER(R243),R243,"")</f>
        <v>114.96</v>
      </c>
      <c r="T243" s="39"/>
      <c r="U243" s="39"/>
      <c r="V243" s="39" t="n">
        <f aca="false">V92*V285/365</f>
        <v>119.098630136986</v>
      </c>
      <c r="W243" s="39" t="n">
        <f aca="false">W92*W285/365</f>
        <v>152.263960488997</v>
      </c>
      <c r="X243" s="39" t="n">
        <f aca="false">X92*X285/365</f>
        <v>188.706385667177</v>
      </c>
      <c r="Y243" s="39" t="n">
        <f aca="false">Y92*Y285/365</f>
        <v>227.843978366025</v>
      </c>
      <c r="Z243" s="39" t="n">
        <f aca="false">Z92*Z285/365</f>
        <v>268.926187674282</v>
      </c>
      <c r="AA243" s="22"/>
      <c r="AB243" s="1"/>
      <c r="AC243" s="23"/>
      <c r="AD243" s="23"/>
    </row>
    <row r="244" customFormat="false" ht="15" hidden="false" customHeight="true" outlineLevel="0" collapsed="false">
      <c r="B244" s="29" t="s">
        <v>324</v>
      </c>
      <c r="C244" s="37" t="n">
        <v>61.319</v>
      </c>
      <c r="D244" s="37" t="n">
        <v>89.184</v>
      </c>
      <c r="E244" s="37"/>
      <c r="F244" s="37"/>
      <c r="G244" s="38" t="str">
        <f aca="false">IF(ISNUMBER(F244),F244,"")</f>
        <v/>
      </c>
      <c r="H244" s="37" t="n">
        <v>101.322</v>
      </c>
      <c r="I244" s="38" t="n">
        <f aca="false">IF(ISNUMBER(J244),J244,"")</f>
        <v>107.222</v>
      </c>
      <c r="J244" s="37" t="n">
        <v>107.222</v>
      </c>
      <c r="K244" s="37" t="n">
        <v>122.154</v>
      </c>
      <c r="L244" s="37" t="n">
        <v>133.59</v>
      </c>
      <c r="M244" s="38" t="n">
        <f aca="false">IF(ISNUMBER(L244),L244,"")</f>
        <v>133.59</v>
      </c>
      <c r="N244" s="37" t="n">
        <v>146.98</v>
      </c>
      <c r="O244" s="38" t="n">
        <f aca="false">IF(ISNUMBER(P244),P244,"")</f>
        <v>156.298</v>
      </c>
      <c r="P244" s="37" t="n">
        <v>156.298</v>
      </c>
      <c r="Q244" s="37" t="n">
        <v>169.37</v>
      </c>
      <c r="R244" s="37" t="n">
        <v>187.12</v>
      </c>
      <c r="S244" s="38" t="n">
        <f aca="false">IF(ISNUMBER(R244),R244,"")</f>
        <v>187.12</v>
      </c>
      <c r="T244" s="39"/>
      <c r="U244" s="39"/>
      <c r="V244" s="39" t="n">
        <f aca="false">V92*V286</f>
        <v>194.87</v>
      </c>
      <c r="W244" s="39" t="n">
        <f aca="false">W92*W286</f>
        <v>239.553213700361</v>
      </c>
      <c r="X244" s="39" t="n">
        <f aca="false">X92*X286</f>
        <v>285.011713524908</v>
      </c>
      <c r="Y244" s="39" t="n">
        <f aca="false">Y92*Y286</f>
        <v>336.953745592169</v>
      </c>
      <c r="Z244" s="39" t="n">
        <f aca="false">Z92*Z286</f>
        <v>389.247473366482</v>
      </c>
      <c r="AA244" s="22"/>
      <c r="AB244" s="1"/>
      <c r="AC244" s="23"/>
      <c r="AD244" s="23"/>
    </row>
    <row r="245" customFormat="false" ht="15" hidden="false" customHeight="true" outlineLevel="0" collapsed="false">
      <c r="B245" s="29" t="s">
        <v>325</v>
      </c>
      <c r="C245" s="37" t="n">
        <v>0</v>
      </c>
      <c r="D245" s="37" t="n">
        <v>9.84</v>
      </c>
      <c r="E245" s="37"/>
      <c r="F245" s="37"/>
      <c r="G245" s="38" t="str">
        <f aca="false">IF(ISNUMBER(F245),F245,"")</f>
        <v/>
      </c>
      <c r="H245" s="37" t="n">
        <v>0</v>
      </c>
      <c r="I245" s="38" t="n">
        <f aca="false">IF(ISNUMBER(J245),J245,"")</f>
        <v>9.883</v>
      </c>
      <c r="J245" s="37" t="n">
        <v>9.883</v>
      </c>
      <c r="K245" s="37" t="n">
        <v>10.417</v>
      </c>
      <c r="L245" s="37" t="n">
        <v>14.74</v>
      </c>
      <c r="M245" s="38" t="n">
        <f aca="false">IF(ISNUMBER(L245),L245,"")</f>
        <v>14.74</v>
      </c>
      <c r="N245" s="37" t="n">
        <v>15.379</v>
      </c>
      <c r="O245" s="38" t="n">
        <f aca="false">IF(ISNUMBER(P245),P245,"")</f>
        <v>10.662</v>
      </c>
      <c r="P245" s="37" t="n">
        <v>10.662</v>
      </c>
      <c r="Q245" s="37" t="n">
        <v>16.14</v>
      </c>
      <c r="R245" s="37" t="n">
        <v>16.299</v>
      </c>
      <c r="S245" s="38" t="n">
        <f aca="false">IF(ISNUMBER(R245),R245,"")</f>
        <v>16.299</v>
      </c>
      <c r="T245" s="39"/>
      <c r="U245" s="39"/>
      <c r="V245" s="39" t="n">
        <f aca="false">V93*V287/365</f>
        <v>17.6684612380594</v>
      </c>
      <c r="W245" s="39" t="n">
        <f aca="false">W93*W287/365</f>
        <v>22.642701020993</v>
      </c>
      <c r="X245" s="39" t="n">
        <f aca="false">X93*X287/365</f>
        <v>28.0619409720586</v>
      </c>
      <c r="Y245" s="39" t="n">
        <f aca="false">Y93*Y287/365</f>
        <v>33.8819709208097</v>
      </c>
      <c r="Z245" s="39" t="n">
        <f aca="false">Z93*Z287/365</f>
        <v>39.991178770529</v>
      </c>
      <c r="AA245" s="22" t="s">
        <v>326</v>
      </c>
      <c r="AB245" s="1"/>
      <c r="AC245" s="23"/>
      <c r="AD245" s="23"/>
    </row>
    <row r="246" customFormat="false" ht="15" hidden="false" customHeight="true" outlineLevel="0" collapsed="false">
      <c r="B246" s="29" t="s">
        <v>327</v>
      </c>
      <c r="C246" s="37" t="n">
        <v>4.194</v>
      </c>
      <c r="D246" s="37" t="n">
        <v>2.618</v>
      </c>
      <c r="E246" s="37"/>
      <c r="F246" s="37"/>
      <c r="G246" s="38" t="str">
        <f aca="false">IF(ISNUMBER(F246),F246,"")</f>
        <v/>
      </c>
      <c r="H246" s="37" t="n">
        <v>8.313</v>
      </c>
      <c r="I246" s="38" t="n">
        <f aca="false">IF(ISNUMBER(J246),J246,"")</f>
        <v>17.856</v>
      </c>
      <c r="J246" s="37" t="n">
        <v>17.856</v>
      </c>
      <c r="K246" s="37" t="n">
        <v>7.522</v>
      </c>
      <c r="L246" s="37" t="n">
        <v>8.382</v>
      </c>
      <c r="M246" s="38" t="n">
        <f aca="false">IF(ISNUMBER(L246),L246,"")</f>
        <v>8.382</v>
      </c>
      <c r="N246" s="37" t="n">
        <v>9.361</v>
      </c>
      <c r="O246" s="38" t="n">
        <f aca="false">IF(ISNUMBER(P246),P246,"")</f>
        <v>11.768</v>
      </c>
      <c r="P246" s="37" t="n">
        <v>11.768</v>
      </c>
      <c r="Q246" s="37" t="n">
        <v>12.37</v>
      </c>
      <c r="R246" s="37" t="n">
        <v>14.66</v>
      </c>
      <c r="S246" s="38" t="n">
        <f aca="false">IF(ISNUMBER(R246),R246,"")</f>
        <v>14.66</v>
      </c>
      <c r="T246" s="39"/>
      <c r="U246" s="39"/>
      <c r="V246" s="39" t="n">
        <f aca="false">P246</f>
        <v>11.768</v>
      </c>
      <c r="W246" s="39" t="n">
        <f aca="false">V246</f>
        <v>11.768</v>
      </c>
      <c r="X246" s="39" t="n">
        <f aca="false">W246</f>
        <v>11.768</v>
      </c>
      <c r="Y246" s="39" t="n">
        <f aca="false">X246</f>
        <v>11.768</v>
      </c>
      <c r="Z246" s="39" t="n">
        <f aca="false">Y246</f>
        <v>11.768</v>
      </c>
      <c r="AA246" s="22"/>
      <c r="AB246" s="1"/>
      <c r="AC246" s="23"/>
      <c r="AD246" s="23"/>
    </row>
    <row r="247" customFormat="false" ht="15" hidden="false" customHeight="true" outlineLevel="0" collapsed="false">
      <c r="B247" s="18" t="s">
        <v>328</v>
      </c>
      <c r="C247" s="20" t="n">
        <f aca="false">IF(ISNUMBER(C242),SUM(C242:C246),"")</f>
        <v>119.733</v>
      </c>
      <c r="D247" s="20" t="n">
        <f aca="false">IF(ISNUMBER(D242),SUM(D242:D246),"")</f>
        <v>157.694</v>
      </c>
      <c r="E247" s="20"/>
      <c r="F247" s="20"/>
      <c r="G247" s="20"/>
      <c r="H247" s="20" t="n">
        <f aca="false">IF(ISNUMBER(H242),SUM(H242:H246),"")</f>
        <v>173.814</v>
      </c>
      <c r="I247" s="20" t="n">
        <f aca="false">IF(ISNUMBER(I242),SUM(I242:I246),"")</f>
        <v>201.711</v>
      </c>
      <c r="J247" s="20" t="n">
        <f aca="false">IF(ISNUMBER(J242),SUM(J242:J246),"")</f>
        <v>201.711</v>
      </c>
      <c r="K247" s="20" t="n">
        <f aca="false">IF(ISNUMBER(K242),SUM(K242:K246),"")</f>
        <v>301.54</v>
      </c>
      <c r="L247" s="20" t="n">
        <f aca="false">IF(ISNUMBER(L242),SUM(L242:L246),"")</f>
        <v>242.052</v>
      </c>
      <c r="M247" s="20" t="n">
        <f aca="false">IF(ISNUMBER(M242),SUM(M242:M246),"")</f>
        <v>242.052</v>
      </c>
      <c r="N247" s="20" t="n">
        <f aca="false">IF(ISNUMBER(N242),SUM(N242:N246),"")</f>
        <v>260.568</v>
      </c>
      <c r="O247" s="20" t="n">
        <f aca="false">IF(ISNUMBER(O242),SUM(O242:O246),"")</f>
        <v>291.403</v>
      </c>
      <c r="P247" s="20" t="n">
        <f aca="false">IF(ISNUMBER(P242),SUM(P242:P246),"")</f>
        <v>291.403</v>
      </c>
      <c r="Q247" s="20" t="n">
        <f aca="false">IF(ISNUMBER(Q242),SUM(Q242:Q246),"")</f>
        <v>370.292</v>
      </c>
      <c r="R247" s="20" t="n">
        <f aca="false">IF(ISNUMBER(R242),SUM(R242:R246),"")</f>
        <v>384.78</v>
      </c>
      <c r="S247" s="20" t="n">
        <f aca="false">IF(ISNUMBER(S242),SUM(S242:S246),"")</f>
        <v>384.78</v>
      </c>
      <c r="T247" s="21"/>
      <c r="U247" s="21"/>
      <c r="V247" s="21" t="n">
        <f aca="false">IF(ISNUMBER(V242),SUM(V242:V246),"")</f>
        <v>443.870801655492</v>
      </c>
      <c r="W247" s="21" t="n">
        <f aca="false">IF(ISNUMBER(W242),SUM(W242:W246),"")</f>
        <v>476.227875210351</v>
      </c>
      <c r="X247" s="21" t="n">
        <f aca="false">IF(ISNUMBER(X242),SUM(X242:X246),"")</f>
        <v>563.548040164144</v>
      </c>
      <c r="Y247" s="21" t="n">
        <f aca="false">IF(ISNUMBER(Y242),SUM(Y242:Y246),"")</f>
        <v>660.447694879003</v>
      </c>
      <c r="Z247" s="21" t="n">
        <f aca="false">IF(ISNUMBER(Z242),SUM(Z242:Z246),"")</f>
        <v>759.932839811293</v>
      </c>
      <c r="AA247" s="22"/>
      <c r="AB247" s="1"/>
      <c r="AC247" s="7"/>
      <c r="AD247" s="7"/>
    </row>
    <row r="248" customFormat="false" ht="15" hidden="false" customHeight="true" outlineLevel="0" collapsed="false">
      <c r="B248" s="29" t="s">
        <v>329</v>
      </c>
      <c r="C248" s="37" t="n">
        <v>50.985</v>
      </c>
      <c r="D248" s="37" t="n">
        <v>51.829</v>
      </c>
      <c r="E248" s="37"/>
      <c r="F248" s="37"/>
      <c r="G248" s="38" t="str">
        <f aca="false">IF(ISNUMBER(F248),F248,"")</f>
        <v/>
      </c>
      <c r="H248" s="37" t="n">
        <v>59.36</v>
      </c>
      <c r="I248" s="38" t="n">
        <f aca="false">IF(ISNUMBER(J248),J248,"")</f>
        <v>60.88</v>
      </c>
      <c r="J248" s="37" t="n">
        <v>60.88</v>
      </c>
      <c r="K248" s="37" t="n">
        <v>63.364</v>
      </c>
      <c r="L248" s="37" t="n">
        <v>79.272</v>
      </c>
      <c r="M248" s="38" t="n">
        <f aca="false">IF(ISNUMBER(L248),L248,"")</f>
        <v>79.272</v>
      </c>
      <c r="N248" s="37" t="n">
        <v>83.032</v>
      </c>
      <c r="O248" s="38" t="n">
        <f aca="false">IF(ISNUMBER(P248),P248,"")</f>
        <v>95.409</v>
      </c>
      <c r="P248" s="37" t="n">
        <v>95.409</v>
      </c>
      <c r="Q248" s="37" t="n">
        <v>107.318</v>
      </c>
      <c r="R248" s="37" t="n">
        <v>126.254</v>
      </c>
      <c r="S248" s="38" t="n">
        <f aca="false">IF(ISNUMBER(R248),R248,"")</f>
        <v>126.254</v>
      </c>
      <c r="T248" s="39"/>
      <c r="U248" s="39"/>
      <c r="V248" s="39" t="n">
        <f aca="false">P248-V204-V64-V206</f>
        <v>114.9390608</v>
      </c>
      <c r="W248" s="39" t="n">
        <f aca="false">V248-W204-W64-W206</f>
        <v>135.06153075083</v>
      </c>
      <c r="X248" s="39" t="n">
        <f aca="false">W248-X204-X64-X206</f>
        <v>151.687214039783</v>
      </c>
      <c r="Y248" s="39" t="n">
        <f aca="false">X248-Y204-Y64-Y206</f>
        <v>163.157979847176</v>
      </c>
      <c r="Z248" s="39" t="n">
        <f aca="false">Y248-Z204-Z64-Z206</f>
        <v>175.004642080069</v>
      </c>
      <c r="AA248" s="22" t="s">
        <v>330</v>
      </c>
      <c r="AB248" s="1"/>
      <c r="AC248" s="23"/>
      <c r="AD248" s="23"/>
    </row>
    <row r="249" customFormat="false" ht="15" hidden="false" customHeight="true" outlineLevel="0" collapsed="false">
      <c r="B249" s="29" t="s">
        <v>331</v>
      </c>
      <c r="C249" s="37" t="n">
        <v>217.273</v>
      </c>
      <c r="D249" s="37" t="n">
        <v>217.274</v>
      </c>
      <c r="E249" s="37"/>
      <c r="F249" s="37"/>
      <c r="G249" s="38" t="str">
        <f aca="false">IF(ISNUMBER(F249),F249,"")</f>
        <v/>
      </c>
      <c r="H249" s="37" t="n">
        <v>225.146</v>
      </c>
      <c r="I249" s="38" t="n">
        <f aca="false">IF(ISNUMBER(J249),J249,"")</f>
        <v>225.146</v>
      </c>
      <c r="J249" s="37" t="n">
        <v>225.146</v>
      </c>
      <c r="K249" s="37" t="n">
        <v>225.146</v>
      </c>
      <c r="L249" s="37" t="n">
        <v>301.84</v>
      </c>
      <c r="M249" s="38" t="n">
        <f aca="false">IF(ISNUMBER(L249),L249,"")</f>
        <v>301.84</v>
      </c>
      <c r="N249" s="37" t="n">
        <v>301.84</v>
      </c>
      <c r="O249" s="38" t="n">
        <f aca="false">IF(ISNUMBER(P249),P249,"")</f>
        <v>352.513</v>
      </c>
      <c r="P249" s="37" t="n">
        <v>352.513</v>
      </c>
      <c r="Q249" s="37" t="n">
        <v>439.21</v>
      </c>
      <c r="R249" s="37" t="n">
        <v>498.148</v>
      </c>
      <c r="S249" s="38" t="n">
        <f aca="false">IF(ISNUMBER(R249),R249,"")</f>
        <v>498.148</v>
      </c>
      <c r="T249" s="39"/>
      <c r="U249" s="39"/>
      <c r="V249" s="39" t="n">
        <f aca="false">P249-V205*(1-V298)</f>
        <v>553.813</v>
      </c>
      <c r="W249" s="39" t="n">
        <f aca="false">V249+W32*(1-W40)</f>
        <v>663.813</v>
      </c>
      <c r="X249" s="39" t="n">
        <f aca="false">W249+X32*(1-X40)</f>
        <v>787.563</v>
      </c>
      <c r="Y249" s="39" t="n">
        <f aca="false">X249+Y32*(1-Y40)</f>
        <v>925.063</v>
      </c>
      <c r="Z249" s="39" t="n">
        <f aca="false">Y249+Z32*(1-Z40)</f>
        <v>1062.563</v>
      </c>
      <c r="AA249" s="22" t="s">
        <v>332</v>
      </c>
      <c r="AB249" s="1"/>
      <c r="AC249" s="23"/>
      <c r="AD249" s="23"/>
    </row>
    <row r="250" customFormat="false" ht="15" hidden="false" customHeight="true" outlineLevel="0" collapsed="false">
      <c r="B250" s="29" t="s">
        <v>333</v>
      </c>
      <c r="C250" s="37" t="n">
        <v>221.963</v>
      </c>
      <c r="D250" s="37" t="n">
        <v>207.557</v>
      </c>
      <c r="E250" s="37"/>
      <c r="F250" s="37"/>
      <c r="G250" s="38" t="str">
        <f aca="false">IF(ISNUMBER(F250),F250,"")</f>
        <v/>
      </c>
      <c r="H250" s="37" t="n">
        <v>213.254</v>
      </c>
      <c r="I250" s="38" t="n">
        <f aca="false">IF(ISNUMBER(J250),J250,"")</f>
        <v>208.952</v>
      </c>
      <c r="J250" s="37" t="n">
        <v>208.952</v>
      </c>
      <c r="K250" s="37" t="n">
        <v>204.575</v>
      </c>
      <c r="L250" s="37" t="n">
        <v>251.144</v>
      </c>
      <c r="M250" s="38" t="n">
        <f aca="false">IF(ISNUMBER(L250),L250,"")</f>
        <v>251.144</v>
      </c>
      <c r="N250" s="37" t="n">
        <v>245.128</v>
      </c>
      <c r="O250" s="38" t="n">
        <f aca="false">IF(ISNUMBER(P250),P250,"")</f>
        <v>285.888</v>
      </c>
      <c r="P250" s="37" t="n">
        <v>285.888</v>
      </c>
      <c r="Q250" s="37" t="n">
        <v>400.459</v>
      </c>
      <c r="R250" s="37" t="n">
        <v>326.758</v>
      </c>
      <c r="S250" s="38" t="n">
        <f aca="false">IF(ISNUMBER(R250),R250,"")</f>
        <v>326.758</v>
      </c>
      <c r="T250" s="39"/>
      <c r="U250" s="39"/>
      <c r="V250" s="39" t="n">
        <f aca="false">P250-V205*V298-V66</f>
        <v>349.9005</v>
      </c>
      <c r="W250" s="39" t="n">
        <f aca="false">V250+W32*W40-W66</f>
        <v>399.588</v>
      </c>
      <c r="X250" s="39" t="n">
        <f aca="false">W250+X32*X40-X66</f>
        <v>459.55675</v>
      </c>
      <c r="Y250" s="39" t="n">
        <f aca="false">X250+Y32*Y40-Y66</f>
        <v>523.86925</v>
      </c>
      <c r="Z250" s="39" t="n">
        <f aca="false">Y250+Z32*Z40-Z66</f>
        <v>579.30675</v>
      </c>
      <c r="AA250" s="22" t="s">
        <v>334</v>
      </c>
      <c r="AB250" s="1"/>
      <c r="AC250" s="23"/>
      <c r="AD250" s="23"/>
    </row>
    <row r="251" customFormat="false" ht="15" hidden="false" customHeight="true" outlineLevel="0" collapsed="false">
      <c r="B251" s="29" t="s">
        <v>335</v>
      </c>
      <c r="C251" s="37" t="n">
        <v>4.548</v>
      </c>
      <c r="D251" s="37" t="n">
        <v>6.36</v>
      </c>
      <c r="E251" s="37"/>
      <c r="F251" s="37"/>
      <c r="G251" s="38" t="str">
        <f aca="false">IF(ISNUMBER(F251),F251,"")</f>
        <v/>
      </c>
      <c r="H251" s="37" t="n">
        <v>5.996</v>
      </c>
      <c r="I251" s="38" t="n">
        <f aca="false">IF(ISNUMBER(J251),J251,"")</f>
        <v>6.071</v>
      </c>
      <c r="J251" s="37" t="n">
        <v>6.071</v>
      </c>
      <c r="K251" s="37" t="n">
        <v>5.721</v>
      </c>
      <c r="L251" s="37" t="n">
        <v>6.697</v>
      </c>
      <c r="M251" s="38" t="n">
        <f aca="false">IF(ISNUMBER(L251),L251,"")</f>
        <v>6.697</v>
      </c>
      <c r="N251" s="37" t="n">
        <v>6.316</v>
      </c>
      <c r="O251" s="38" t="n">
        <f aca="false">IF(ISNUMBER(P251),P251,"")</f>
        <v>6.021</v>
      </c>
      <c r="P251" s="37" t="n">
        <v>6.021</v>
      </c>
      <c r="Q251" s="37" t="n">
        <v>10.727</v>
      </c>
      <c r="R251" s="37" t="n">
        <v>15.466</v>
      </c>
      <c r="S251" s="38" t="n">
        <f aca="false">IF(ISNUMBER(R251),R251,"")</f>
        <v>15.466</v>
      </c>
      <c r="T251" s="39"/>
      <c r="U251" s="39"/>
      <c r="V251" s="39" t="n">
        <f aca="false">P251</f>
        <v>6.021</v>
      </c>
      <c r="W251" s="39" t="n">
        <f aca="false">V251</f>
        <v>6.021</v>
      </c>
      <c r="X251" s="39" t="n">
        <f aca="false">W251</f>
        <v>6.021</v>
      </c>
      <c r="Y251" s="39" t="n">
        <f aca="false">X251</f>
        <v>6.021</v>
      </c>
      <c r="Z251" s="39" t="n">
        <f aca="false">Y251</f>
        <v>6.021</v>
      </c>
      <c r="AA251" s="22"/>
      <c r="AB251" s="1"/>
      <c r="AC251" s="23"/>
      <c r="AD251" s="23"/>
    </row>
    <row r="252" customFormat="false" ht="15" hidden="false" customHeight="true" outlineLevel="0" collapsed="false">
      <c r="B252" s="29" t="s">
        <v>336</v>
      </c>
      <c r="C252" s="37" t="n">
        <v>66.32</v>
      </c>
      <c r="D252" s="37" t="n">
        <v>69.045</v>
      </c>
      <c r="E252" s="37"/>
      <c r="F252" s="37"/>
      <c r="G252" s="38" t="str">
        <f aca="false">IF(ISNUMBER(F252),F252,"")</f>
        <v/>
      </c>
      <c r="H252" s="37" t="n">
        <v>69.741</v>
      </c>
      <c r="I252" s="38" t="n">
        <f aca="false">IF(ISNUMBER(J252),J252,"")</f>
        <v>70.013</v>
      </c>
      <c r="J252" s="37" t="n">
        <v>70.013</v>
      </c>
      <c r="K252" s="37" t="n">
        <v>67.852</v>
      </c>
      <c r="L252" s="37" t="n">
        <v>66.144</v>
      </c>
      <c r="M252" s="38" t="n">
        <f aca="false">IF(ISNUMBER(L252),L252,"")</f>
        <v>66.144</v>
      </c>
      <c r="N252" s="37" t="n">
        <v>64.436</v>
      </c>
      <c r="O252" s="38" t="n">
        <f aca="false">IF(ISNUMBER(P252),P252,"")</f>
        <v>66.193</v>
      </c>
      <c r="P252" s="37" t="n">
        <v>66.193</v>
      </c>
      <c r="Q252" s="37" t="n">
        <v>81.706</v>
      </c>
      <c r="R252" s="37" t="n">
        <v>85.181</v>
      </c>
      <c r="S252" s="38" t="n">
        <f aca="false">IF(ISNUMBER(R252),R252,"")</f>
        <v>85.181</v>
      </c>
      <c r="T252" s="39"/>
      <c r="U252" s="39"/>
      <c r="V252" s="39" t="n">
        <f aca="false">P252-V65+V301</f>
        <v>83.622</v>
      </c>
      <c r="W252" s="39" t="n">
        <f aca="false">V252-W65+W301</f>
        <v>83.622</v>
      </c>
      <c r="X252" s="39" t="n">
        <f aca="false">W252-X65+X301</f>
        <v>83.622</v>
      </c>
      <c r="Y252" s="39" t="n">
        <f aca="false">X252-Y65+Y301</f>
        <v>83.622</v>
      </c>
      <c r="Z252" s="39" t="n">
        <f aca="false">Y252-Z65+Z301</f>
        <v>83.622</v>
      </c>
      <c r="AA252" s="22"/>
      <c r="AB252" s="1"/>
      <c r="AC252" s="23"/>
      <c r="AD252" s="23"/>
    </row>
    <row r="253" customFormat="false" ht="15" hidden="false" customHeight="true" outlineLevel="0" collapsed="false">
      <c r="B253" s="29" t="s">
        <v>337</v>
      </c>
      <c r="C253" s="37" t="n">
        <v>1.772</v>
      </c>
      <c r="D253" s="37" t="n">
        <v>1.073</v>
      </c>
      <c r="E253" s="37"/>
      <c r="F253" s="37"/>
      <c r="G253" s="38" t="str">
        <f aca="false">IF(ISNUMBER(F253),F253,"")</f>
        <v/>
      </c>
      <c r="H253" s="37" t="n">
        <v>1.164</v>
      </c>
      <c r="I253" s="38" t="n">
        <f aca="false">IF(ISNUMBER(J253),J253,"")</f>
        <v>1.187</v>
      </c>
      <c r="J253" s="37" t="n">
        <v>1.187</v>
      </c>
      <c r="K253" s="37" t="n">
        <v>7.195</v>
      </c>
      <c r="L253" s="37" t="n">
        <v>6.78</v>
      </c>
      <c r="M253" s="38" t="n">
        <f aca="false">IF(ISNUMBER(L253),L253,"")</f>
        <v>6.78</v>
      </c>
      <c r="N253" s="37" t="n">
        <v>6.759</v>
      </c>
      <c r="O253" s="38" t="n">
        <f aca="false">IF(ISNUMBER(P253),P253,"")</f>
        <v>6.669</v>
      </c>
      <c r="P253" s="37" t="n">
        <v>6.669</v>
      </c>
      <c r="Q253" s="37" t="n">
        <v>8.026</v>
      </c>
      <c r="R253" s="37" t="n">
        <v>7.39</v>
      </c>
      <c r="S253" s="38" t="n">
        <f aca="false">IF(ISNUMBER(R253),R253,"")</f>
        <v>7.39</v>
      </c>
      <c r="T253" s="39"/>
      <c r="U253" s="39"/>
      <c r="V253" s="39" t="n">
        <f aca="false">P253</f>
        <v>6.669</v>
      </c>
      <c r="W253" s="39" t="n">
        <f aca="false">V253</f>
        <v>6.669</v>
      </c>
      <c r="X253" s="39" t="n">
        <f aca="false">W253</f>
        <v>6.669</v>
      </c>
      <c r="Y253" s="39" t="n">
        <f aca="false">X253</f>
        <v>6.669</v>
      </c>
      <c r="Z253" s="39" t="n">
        <f aca="false">Y253</f>
        <v>6.669</v>
      </c>
      <c r="AA253" s="22"/>
      <c r="AB253" s="1"/>
      <c r="AC253" s="23"/>
      <c r="AD253" s="23"/>
    </row>
    <row r="254" customFormat="false" ht="15" hidden="false" customHeight="true" outlineLevel="0" collapsed="false">
      <c r="B254" s="51" t="s">
        <v>338</v>
      </c>
      <c r="C254" s="52" t="n">
        <f aca="false">IF(ISNUMBER(C242),C247+SUM(C248:C253),"")</f>
        <v>682.594</v>
      </c>
      <c r="D254" s="52" t="n">
        <f aca="false">IF(ISNUMBER(D242),D247+SUM(D248:D253),"")</f>
        <v>710.832</v>
      </c>
      <c r="E254" s="20"/>
      <c r="F254" s="20"/>
      <c r="G254" s="20"/>
      <c r="H254" s="20" t="n">
        <f aca="false">IF(ISNUMBER(H242),H247+SUM(H248:H253),"")</f>
        <v>748.475</v>
      </c>
      <c r="I254" s="20" t="n">
        <f aca="false">IF(ISNUMBER(I242),I247+SUM(I248:I253),"")</f>
        <v>773.96</v>
      </c>
      <c r="J254" s="52" t="n">
        <f aca="false">IF(ISNUMBER(J242),J247+SUM(J248:J253),"")</f>
        <v>773.96</v>
      </c>
      <c r="K254" s="20" t="n">
        <f aca="false">IF(ISNUMBER(K242),K247+SUM(K248:K253),"")</f>
        <v>875.393</v>
      </c>
      <c r="L254" s="20" t="n">
        <f aca="false">IF(ISNUMBER(L242),L247+SUM(L248:L253),"")</f>
        <v>953.929</v>
      </c>
      <c r="M254" s="20" t="n">
        <f aca="false">IF(ISNUMBER(M242),M247+SUM(M248:M253),"")</f>
        <v>953.929</v>
      </c>
      <c r="N254" s="20" t="n">
        <f aca="false">IF(ISNUMBER(N242),N247+SUM(N248:N253),"")</f>
        <v>968.079</v>
      </c>
      <c r="O254" s="20" t="n">
        <f aca="false">IF(ISNUMBER(O242),O247+SUM(O248:O253),"")</f>
        <v>1104.096</v>
      </c>
      <c r="P254" s="52" t="n">
        <f aca="false">IF(ISNUMBER(P242),P247+SUM(P248:P253),"")</f>
        <v>1104.096</v>
      </c>
      <c r="Q254" s="20" t="n">
        <f aca="false">IF(ISNUMBER(Q242),Q247+SUM(Q248:Q253),"")</f>
        <v>1417.738</v>
      </c>
      <c r="R254" s="20" t="n">
        <f aca="false">IF(ISNUMBER(R242),R247+SUM(R248:R253),"")</f>
        <v>1443.977</v>
      </c>
      <c r="S254" s="20" t="n">
        <f aca="false">IF(ISNUMBER(S242),S247+SUM(S248:S253),"")</f>
        <v>1443.977</v>
      </c>
      <c r="T254" s="52"/>
      <c r="U254" s="52"/>
      <c r="V254" s="52" t="n">
        <f aca="false">IF(ISNUMBER(V242),V247+SUM(V248:V253),"")</f>
        <v>1558.83536245549</v>
      </c>
      <c r="W254" s="52" t="n">
        <f aca="false">IF(ISNUMBER(W242),W247+SUM(W248:W253),"")</f>
        <v>1771.00240596118</v>
      </c>
      <c r="X254" s="52" t="n">
        <f aca="false">IF(ISNUMBER(X242),X247+SUM(X248:X253),"")</f>
        <v>2058.66700420393</v>
      </c>
      <c r="Y254" s="52" t="n">
        <f aca="false">IF(ISNUMBER(Y242),Y247+SUM(Y248:Y253),"")</f>
        <v>2368.84992472618</v>
      </c>
      <c r="Z254" s="52" t="n">
        <f aca="false">IF(ISNUMBER(Z242),Z247+SUM(Z248:Z253),"")</f>
        <v>2673.11923189136</v>
      </c>
      <c r="AA254" s="22"/>
      <c r="AB254" s="1"/>
      <c r="AC254" s="23"/>
      <c r="AD254" s="23"/>
    </row>
    <row r="256" customFormat="false" ht="15" hidden="false" customHeight="true" outlineLevel="0" collapsed="false">
      <c r="B256" s="29" t="s">
        <v>339</v>
      </c>
      <c r="C256" s="37"/>
      <c r="D256" s="37"/>
      <c r="E256" s="37"/>
      <c r="F256" s="37"/>
      <c r="G256" s="38"/>
      <c r="H256" s="37"/>
      <c r="I256" s="37"/>
      <c r="J256" s="37"/>
      <c r="K256" s="37"/>
      <c r="L256" s="37"/>
      <c r="M256" s="38"/>
      <c r="N256" s="37"/>
      <c r="O256" s="37"/>
      <c r="P256" s="37"/>
      <c r="Q256" s="37"/>
      <c r="R256" s="37"/>
      <c r="S256" s="38"/>
      <c r="T256" s="39"/>
      <c r="U256" s="39"/>
      <c r="V256" s="39"/>
      <c r="W256" s="39"/>
      <c r="X256" s="39"/>
      <c r="Y256" s="39"/>
      <c r="Z256" s="39"/>
      <c r="AA256" s="22"/>
      <c r="AB256" s="1"/>
      <c r="AC256" s="23"/>
      <c r="AD256" s="23"/>
    </row>
    <row r="257" customFormat="false" ht="15" hidden="false" customHeight="true" outlineLevel="0" collapsed="false">
      <c r="B257" s="29" t="s">
        <v>340</v>
      </c>
      <c r="C257" s="37" t="n">
        <v>12.92</v>
      </c>
      <c r="D257" s="37" t="n">
        <v>21.042</v>
      </c>
      <c r="E257" s="37"/>
      <c r="F257" s="37"/>
      <c r="G257" s="38" t="str">
        <f aca="false">IF(ISNUMBER(F257),F257,"")</f>
        <v/>
      </c>
      <c r="H257" s="37" t="n">
        <v>26.16</v>
      </c>
      <c r="I257" s="38" t="n">
        <f aca="false">IF(ISNUMBER(J257),J257,"")</f>
        <v>28.296</v>
      </c>
      <c r="J257" s="37" t="n">
        <v>28.296</v>
      </c>
      <c r="K257" s="37" t="n">
        <v>25.445</v>
      </c>
      <c r="L257" s="37" t="n">
        <v>28.056</v>
      </c>
      <c r="M257" s="38" t="n">
        <f aca="false">IF(ISNUMBER(L257),L257,"")</f>
        <v>28.056</v>
      </c>
      <c r="N257" s="37" t="n">
        <v>32.665</v>
      </c>
      <c r="O257" s="38" t="n">
        <f aca="false">IF(ISNUMBER(P257),P257,"")</f>
        <v>31.632</v>
      </c>
      <c r="P257" s="37" t="n">
        <v>31.632</v>
      </c>
      <c r="Q257" s="37" t="n">
        <v>38.425</v>
      </c>
      <c r="R257" s="37" t="n">
        <v>45.382</v>
      </c>
      <c r="S257" s="38" t="n">
        <f aca="false">IF(ISNUMBER(R257),R257,"")</f>
        <v>45.382</v>
      </c>
      <c r="T257" s="39"/>
      <c r="U257" s="39"/>
      <c r="V257" s="39" t="n">
        <f aca="false">V93*V288/365</f>
        <v>47.1158966348252</v>
      </c>
      <c r="W257" s="39" t="n">
        <f aca="false">W93*W288/365</f>
        <v>60.3805360559814</v>
      </c>
      <c r="X257" s="39" t="n">
        <f aca="false">X93*X288/365</f>
        <v>74.8318425921563</v>
      </c>
      <c r="Y257" s="39" t="n">
        <f aca="false">Y93*Y288/365</f>
        <v>90.3519224554926</v>
      </c>
      <c r="Z257" s="39" t="n">
        <f aca="false">Z93*Z288/365</f>
        <v>106.643143388077</v>
      </c>
      <c r="AA257" s="22"/>
      <c r="AB257" s="1"/>
      <c r="AC257" s="23"/>
      <c r="AD257" s="23"/>
    </row>
    <row r="258" customFormat="false" ht="15" hidden="false" customHeight="true" outlineLevel="0" collapsed="false">
      <c r="B258" s="29" t="s">
        <v>341</v>
      </c>
      <c r="C258" s="37" t="n">
        <v>5.777</v>
      </c>
      <c r="D258" s="37" t="n">
        <v>6.43</v>
      </c>
      <c r="E258" s="37"/>
      <c r="F258" s="37"/>
      <c r="G258" s="38" t="str">
        <f aca="false">IF(ISNUMBER(F258),F258,"")</f>
        <v/>
      </c>
      <c r="H258" s="37" t="n">
        <v>6.524</v>
      </c>
      <c r="I258" s="38" t="n">
        <f aca="false">IF(ISNUMBER(J258),J258,"")</f>
        <v>11.249</v>
      </c>
      <c r="J258" s="37" t="n">
        <v>11.249</v>
      </c>
      <c r="K258" s="37" t="n">
        <v>8.289</v>
      </c>
      <c r="L258" s="37" t="n">
        <v>10.677</v>
      </c>
      <c r="M258" s="38" t="n">
        <f aca="false">IF(ISNUMBER(L258),L258,"")</f>
        <v>10.677</v>
      </c>
      <c r="N258" s="37" t="n">
        <v>13.127</v>
      </c>
      <c r="O258" s="38" t="n">
        <f aca="false">IF(ISNUMBER(P258),P258,"")</f>
        <v>13.776</v>
      </c>
      <c r="P258" s="37" t="n">
        <v>13.776</v>
      </c>
      <c r="Q258" s="37" t="n">
        <v>12.901</v>
      </c>
      <c r="R258" s="37" t="n">
        <v>14.805</v>
      </c>
      <c r="S258" s="38" t="n">
        <f aca="false">IF(ISNUMBER(R258),R258,"")</f>
        <v>14.805</v>
      </c>
      <c r="T258" s="39"/>
      <c r="U258" s="39"/>
      <c r="V258" s="39" t="n">
        <f aca="false">V92*V289</f>
        <v>15.7395</v>
      </c>
      <c r="W258" s="39" t="n">
        <f aca="false">W92*W289</f>
        <v>20.1224699508303</v>
      </c>
      <c r="X258" s="39" t="n">
        <f aca="false">X92*X289</f>
        <v>24.9385249334295</v>
      </c>
      <c r="Y258" s="39" t="n">
        <f aca="false">Y92*Y289</f>
        <v>30.1107602444066</v>
      </c>
      <c r="Z258" s="39" t="n">
        <f aca="false">Z92*Z289</f>
        <v>35.5399866986788</v>
      </c>
      <c r="AA258" s="22"/>
      <c r="AB258" s="1"/>
      <c r="AC258" s="23"/>
      <c r="AD258" s="23"/>
    </row>
    <row r="259" customFormat="false" ht="15" hidden="false" customHeight="true" outlineLevel="0" collapsed="false">
      <c r="B259" s="29" t="s">
        <v>342</v>
      </c>
      <c r="C259" s="37" t="n">
        <v>16.069</v>
      </c>
      <c r="D259" s="37" t="n">
        <v>36.074</v>
      </c>
      <c r="E259" s="37"/>
      <c r="F259" s="37"/>
      <c r="G259" s="38" t="str">
        <f aca="false">IF(ISNUMBER(F259),F259,"")</f>
        <v/>
      </c>
      <c r="H259" s="37" t="n">
        <v>27.192</v>
      </c>
      <c r="I259" s="38" t="n">
        <f aca="false">IF(ISNUMBER(J259),J259,"")</f>
        <v>29.868</v>
      </c>
      <c r="J259" s="37" t="n">
        <v>29.868</v>
      </c>
      <c r="K259" s="37" t="n">
        <v>26.001</v>
      </c>
      <c r="L259" s="37" t="n">
        <v>19.897</v>
      </c>
      <c r="M259" s="38" t="n">
        <f aca="false">IF(ISNUMBER(L259),L259,"")</f>
        <v>19.897</v>
      </c>
      <c r="N259" s="37" t="n">
        <v>18.789</v>
      </c>
      <c r="O259" s="38" t="n">
        <f aca="false">IF(ISNUMBER(P259),P259,"")</f>
        <v>22.814</v>
      </c>
      <c r="P259" s="37" t="n">
        <v>22.814</v>
      </c>
      <c r="Q259" s="37" t="n">
        <v>25.752</v>
      </c>
      <c r="R259" s="37" t="n">
        <v>26.154</v>
      </c>
      <c r="S259" s="38" t="n">
        <f aca="false">IF(ISNUMBER(R259),R259,"")</f>
        <v>26.154</v>
      </c>
      <c r="T259" s="39"/>
      <c r="U259" s="39"/>
      <c r="V259" s="39" t="n">
        <f aca="false">V92*V290</f>
        <v>26.982</v>
      </c>
      <c r="W259" s="39" t="n">
        <f aca="false">W92*W290</f>
        <v>34.495662772852</v>
      </c>
      <c r="X259" s="39" t="n">
        <f aca="false">X92*X290</f>
        <v>42.7517570287363</v>
      </c>
      <c r="Y259" s="39" t="n">
        <f aca="false">Y92*Y290</f>
        <v>51.6184461332684</v>
      </c>
      <c r="Z259" s="39" t="n">
        <f aca="false">Z92*Z290</f>
        <v>60.9256914834494</v>
      </c>
      <c r="AA259" s="22"/>
      <c r="AB259" s="1"/>
      <c r="AC259" s="23"/>
      <c r="AD259" s="23"/>
    </row>
    <row r="260" customFormat="false" ht="15" hidden="false" customHeight="true" outlineLevel="0" collapsed="false">
      <c r="B260" s="29" t="s">
        <v>343</v>
      </c>
      <c r="C260" s="37" t="n">
        <v>1.393</v>
      </c>
      <c r="D260" s="37" t="n">
        <v>1.155</v>
      </c>
      <c r="E260" s="37"/>
      <c r="F260" s="37"/>
      <c r="G260" s="38" t="str">
        <f aca="false">IF(ISNUMBER(F260),F260,"")</f>
        <v/>
      </c>
      <c r="H260" s="37" t="n">
        <v>1.325</v>
      </c>
      <c r="I260" s="38" t="n">
        <f aca="false">IF(ISNUMBER(J260),J260,"")</f>
        <v>1.533</v>
      </c>
      <c r="J260" s="37" t="n">
        <v>1.533</v>
      </c>
      <c r="K260" s="37" t="n">
        <v>1.468</v>
      </c>
      <c r="L260" s="37" t="n">
        <v>1.641</v>
      </c>
      <c r="M260" s="38" t="n">
        <f aca="false">IF(ISNUMBER(L260),L260,"")</f>
        <v>1.641</v>
      </c>
      <c r="N260" s="37" t="n">
        <v>1.676</v>
      </c>
      <c r="O260" s="38" t="n">
        <f aca="false">IF(ISNUMBER(P260),P260,"")</f>
        <v>1.815</v>
      </c>
      <c r="P260" s="37" t="n">
        <v>1.815</v>
      </c>
      <c r="Q260" s="37" t="n">
        <v>2.254</v>
      </c>
      <c r="R260" s="37" t="n">
        <v>2.464</v>
      </c>
      <c r="S260" s="38" t="n">
        <f aca="false">IF(ISNUMBER(R260),R260,"")</f>
        <v>2.464</v>
      </c>
      <c r="T260" s="39"/>
      <c r="U260" s="39"/>
      <c r="V260" s="39" t="n">
        <f aca="false">P260</f>
        <v>1.815</v>
      </c>
      <c r="W260" s="39" t="n">
        <f aca="false">V260</f>
        <v>1.815</v>
      </c>
      <c r="X260" s="39" t="n">
        <f aca="false">W260</f>
        <v>1.815</v>
      </c>
      <c r="Y260" s="39" t="n">
        <f aca="false">X260</f>
        <v>1.815</v>
      </c>
      <c r="Z260" s="39" t="n">
        <f aca="false">Y260</f>
        <v>1.815</v>
      </c>
      <c r="AA260" s="22"/>
      <c r="AB260" s="1"/>
      <c r="AC260" s="23"/>
      <c r="AD260" s="23"/>
    </row>
    <row r="261" customFormat="false" ht="15" hidden="false" customHeight="true" outlineLevel="0" collapsed="false">
      <c r="B261" s="29" t="s">
        <v>344</v>
      </c>
      <c r="C261" s="37" t="n">
        <v>4.598</v>
      </c>
      <c r="D261" s="37" t="n">
        <v>2.488</v>
      </c>
      <c r="E261" s="37"/>
      <c r="F261" s="37"/>
      <c r="G261" s="38" t="str">
        <f aca="false">IF(ISNUMBER(F261),F261,"")</f>
        <v/>
      </c>
      <c r="H261" s="37" t="n">
        <v>3.634</v>
      </c>
      <c r="I261" s="38" t="n">
        <f aca="false">IF(ISNUMBER(J261),J261,"")</f>
        <v>3.98</v>
      </c>
      <c r="J261" s="37" t="n">
        <v>3.98</v>
      </c>
      <c r="K261" s="37" t="n">
        <v>4.043</v>
      </c>
      <c r="L261" s="37" t="n">
        <v>4.165</v>
      </c>
      <c r="M261" s="38" t="n">
        <f aca="false">IF(ISNUMBER(L261),L261,"")</f>
        <v>4.165</v>
      </c>
      <c r="N261" s="37" t="n">
        <v>4.297</v>
      </c>
      <c r="O261" s="38" t="n">
        <f aca="false">IF(ISNUMBER(P261),P261,"")</f>
        <v>4.401</v>
      </c>
      <c r="P261" s="37" t="n">
        <v>4.401</v>
      </c>
      <c r="Q261" s="37" t="n">
        <v>4.553</v>
      </c>
      <c r="R261" s="37" t="n">
        <v>5.009</v>
      </c>
      <c r="S261" s="38" t="n">
        <f aca="false">IF(ISNUMBER(R261),R261,"")</f>
        <v>5.009</v>
      </c>
      <c r="T261" s="39"/>
      <c r="U261" s="39"/>
      <c r="V261" s="39" t="n">
        <f aca="false">P261</f>
        <v>4.401</v>
      </c>
      <c r="W261" s="39" t="n">
        <f aca="false">V261</f>
        <v>4.401</v>
      </c>
      <c r="X261" s="39" t="n">
        <f aca="false">W261</f>
        <v>4.401</v>
      </c>
      <c r="Y261" s="39" t="n">
        <f aca="false">X261</f>
        <v>4.401</v>
      </c>
      <c r="Z261" s="39" t="n">
        <f aca="false">Y261</f>
        <v>4.401</v>
      </c>
      <c r="AA261" s="22"/>
      <c r="AB261" s="1"/>
      <c r="AC261" s="23"/>
      <c r="AD261" s="23"/>
    </row>
    <row r="262" customFormat="false" ht="15" hidden="false" customHeight="true" outlineLevel="0" collapsed="false">
      <c r="B262" s="29" t="s">
        <v>345</v>
      </c>
      <c r="C262" s="37" t="n">
        <v>6.265</v>
      </c>
      <c r="D262" s="37" t="n">
        <v>6.265</v>
      </c>
      <c r="E262" s="37"/>
      <c r="F262" s="37"/>
      <c r="G262" s="38" t="str">
        <f aca="false">IF(ISNUMBER(F262),F262,"")</f>
        <v/>
      </c>
      <c r="H262" s="37" t="n">
        <v>6.265</v>
      </c>
      <c r="I262" s="38" t="n">
        <f aca="false">IF(ISNUMBER(J262),J262,"")</f>
        <v>7.14</v>
      </c>
      <c r="J262" s="37" t="n">
        <v>7.14</v>
      </c>
      <c r="K262" s="37" t="n">
        <v>7.14</v>
      </c>
      <c r="L262" s="37" t="n">
        <v>2.816</v>
      </c>
      <c r="M262" s="38" t="n">
        <f aca="false">IF(ISNUMBER(L262),L262,"")</f>
        <v>2.816</v>
      </c>
      <c r="N262" s="37" t="n">
        <v>2.816</v>
      </c>
      <c r="O262" s="38" t="n">
        <f aca="false">IF(ISNUMBER(P262),P262,"")</f>
        <v>3.836</v>
      </c>
      <c r="P262" s="37" t="n">
        <v>3.836</v>
      </c>
      <c r="Q262" s="37" t="n">
        <v>5.61</v>
      </c>
      <c r="R262" s="37" t="n">
        <v>5.61</v>
      </c>
      <c r="S262" s="38" t="n">
        <f aca="false">IF(ISNUMBER(R262),R262,"")</f>
        <v>5.61</v>
      </c>
      <c r="T262" s="39"/>
      <c r="U262" s="39"/>
      <c r="V262" s="39" t="n">
        <f aca="false">-V306</f>
        <v>8.2</v>
      </c>
      <c r="W262" s="39" t="n">
        <f aca="false">-W306</f>
        <v>8.64</v>
      </c>
      <c r="X262" s="39" t="n">
        <f aca="false">-X306</f>
        <v>8.64</v>
      </c>
      <c r="Y262" s="39" t="n">
        <f aca="false">-Y306</f>
        <v>8.64</v>
      </c>
      <c r="Z262" s="39" t="n">
        <f aca="false">-Z306</f>
        <v>8.64</v>
      </c>
      <c r="AA262" s="22"/>
      <c r="AB262" s="1"/>
      <c r="AC262" s="23"/>
      <c r="AD262" s="23"/>
    </row>
    <row r="263" customFormat="false" ht="15" hidden="false" customHeight="true" outlineLevel="0" collapsed="false">
      <c r="B263" s="29" t="s">
        <v>346</v>
      </c>
      <c r="C263" s="37" t="n">
        <v>2.414</v>
      </c>
      <c r="D263" s="37" t="n">
        <v>7.572</v>
      </c>
      <c r="E263" s="37"/>
      <c r="F263" s="37"/>
      <c r="G263" s="38" t="str">
        <f aca="false">IF(ISNUMBER(F263),F263,"")</f>
        <v/>
      </c>
      <c r="H263" s="37" t="n">
        <v>18.348</v>
      </c>
      <c r="I263" s="38" t="n">
        <f aca="false">IF(ISNUMBER(J263),J263,"")</f>
        <v>20.054</v>
      </c>
      <c r="J263" s="37" t="n">
        <v>20.054</v>
      </c>
      <c r="K263" s="37" t="n">
        <v>16.817</v>
      </c>
      <c r="L263" s="37" t="n">
        <v>15.104</v>
      </c>
      <c r="M263" s="38" t="n">
        <f aca="false">IF(ISNUMBER(L263),L263,"")</f>
        <v>15.104</v>
      </c>
      <c r="N263" s="37" t="n">
        <v>11.433</v>
      </c>
      <c r="O263" s="38" t="n">
        <f aca="false">IF(ISNUMBER(P263),P263,"")</f>
        <v>5.299</v>
      </c>
      <c r="P263" s="37" t="n">
        <v>5.299</v>
      </c>
      <c r="Q263" s="37" t="n">
        <v>5.106</v>
      </c>
      <c r="R263" s="37" t="n">
        <v>2.077</v>
      </c>
      <c r="S263" s="38" t="n">
        <f aca="false">IF(ISNUMBER(R263),R263,"")</f>
        <v>2.077</v>
      </c>
      <c r="T263" s="39"/>
      <c r="U263" s="39"/>
      <c r="V263" s="39" t="n">
        <f aca="false">P263</f>
        <v>5.299</v>
      </c>
      <c r="W263" s="39" t="n">
        <f aca="false">V263</f>
        <v>5.299</v>
      </c>
      <c r="X263" s="39" t="n">
        <f aca="false">W263</f>
        <v>5.299</v>
      </c>
      <c r="Y263" s="39" t="n">
        <f aca="false">X263</f>
        <v>5.299</v>
      </c>
      <c r="Z263" s="39" t="n">
        <f aca="false">Y263</f>
        <v>5.299</v>
      </c>
      <c r="AA263" s="22"/>
      <c r="AB263" s="1"/>
      <c r="AC263" s="23"/>
      <c r="AD263" s="23"/>
    </row>
    <row r="264" customFormat="false" ht="15" hidden="false" customHeight="true" outlineLevel="0" collapsed="false">
      <c r="B264" s="29" t="s">
        <v>347</v>
      </c>
      <c r="C264" s="37" t="n">
        <v>8.868</v>
      </c>
      <c r="D264" s="37" t="n">
        <v>6.044</v>
      </c>
      <c r="E264" s="37"/>
      <c r="F264" s="37"/>
      <c r="G264" s="38" t="str">
        <f aca="false">IF(ISNUMBER(F264),F264,"")</f>
        <v/>
      </c>
      <c r="H264" s="37" t="n">
        <v>3.537</v>
      </c>
      <c r="I264" s="38" t="n">
        <f aca="false">IF(ISNUMBER(J264),J264,"")</f>
        <v>12.487</v>
      </c>
      <c r="J264" s="37" t="n">
        <v>12.487</v>
      </c>
      <c r="K264" s="37" t="n">
        <v>1.062</v>
      </c>
      <c r="L264" s="37" t="n">
        <v>5.803</v>
      </c>
      <c r="M264" s="38" t="n">
        <f aca="false">IF(ISNUMBER(L264),L264,"")</f>
        <v>5.803</v>
      </c>
      <c r="N264" s="37" t="n">
        <v>6.334</v>
      </c>
      <c r="O264" s="38" t="n">
        <f aca="false">IF(ISNUMBER(P264),P264,"")</f>
        <v>5.094</v>
      </c>
      <c r="P264" s="37" t="n">
        <v>5.094</v>
      </c>
      <c r="Q264" s="37" t="n">
        <v>10.195</v>
      </c>
      <c r="R264" s="37" t="n">
        <v>6.728</v>
      </c>
      <c r="S264" s="38" t="n">
        <f aca="false">IF(ISNUMBER(R264),R264,"")</f>
        <v>6.728</v>
      </c>
      <c r="T264" s="39"/>
      <c r="U264" s="39"/>
      <c r="V264" s="39" t="n">
        <f aca="false">P264</f>
        <v>5.094</v>
      </c>
      <c r="W264" s="39" t="n">
        <f aca="false">V264</f>
        <v>5.094</v>
      </c>
      <c r="X264" s="39" t="n">
        <f aca="false">W264</f>
        <v>5.094</v>
      </c>
      <c r="Y264" s="39" t="n">
        <f aca="false">X264</f>
        <v>5.094</v>
      </c>
      <c r="Z264" s="39" t="n">
        <f aca="false">Y264</f>
        <v>5.094</v>
      </c>
      <c r="AA264" s="22"/>
      <c r="AB264" s="1"/>
      <c r="AC264" s="23"/>
      <c r="AD264" s="23"/>
    </row>
    <row r="265" customFormat="false" ht="15" hidden="false" customHeight="true" outlineLevel="0" collapsed="false">
      <c r="B265" s="18" t="s">
        <v>348</v>
      </c>
      <c r="C265" s="20" t="n">
        <f aca="false">IF(ISNUMBER(C257),SUM(C257:C264),"")</f>
        <v>58.304</v>
      </c>
      <c r="D265" s="20" t="n">
        <f aca="false">IF(ISNUMBER(D257),SUM(D257:D264),"")</f>
        <v>87.07</v>
      </c>
      <c r="E265" s="20"/>
      <c r="F265" s="20"/>
      <c r="G265" s="20"/>
      <c r="H265" s="20" t="n">
        <f aca="false">IF(ISNUMBER(H257),SUM(H257:H264),"")</f>
        <v>92.985</v>
      </c>
      <c r="I265" s="20" t="n">
        <f aca="false">IF(ISNUMBER(I257),SUM(I257:I264),"")</f>
        <v>114.607</v>
      </c>
      <c r="J265" s="20" t="n">
        <f aca="false">IF(ISNUMBER(J257),SUM(J257:J264),"")</f>
        <v>114.607</v>
      </c>
      <c r="K265" s="20" t="n">
        <f aca="false">IF(ISNUMBER(K257),SUM(K257:K264),"")</f>
        <v>90.265</v>
      </c>
      <c r="L265" s="20" t="n">
        <f aca="false">IF(ISNUMBER(L257),SUM(L257:L264),"")</f>
        <v>88.159</v>
      </c>
      <c r="M265" s="20" t="n">
        <f aca="false">IF(ISNUMBER(M257),SUM(M257:M264),"")</f>
        <v>88.159</v>
      </c>
      <c r="N265" s="20" t="n">
        <f aca="false">IF(ISNUMBER(N257),SUM(N257:N264),"")</f>
        <v>91.137</v>
      </c>
      <c r="O265" s="20" t="n">
        <f aca="false">IF(ISNUMBER(O257),SUM(O257:O264),"")</f>
        <v>88.667</v>
      </c>
      <c r="P265" s="20" t="n">
        <f aca="false">IF(ISNUMBER(P257),SUM(P257:P264),"")</f>
        <v>88.667</v>
      </c>
      <c r="Q265" s="20" t="n">
        <f aca="false">IF(ISNUMBER(Q257),SUM(Q257:Q264),"")</f>
        <v>104.796</v>
      </c>
      <c r="R265" s="20" t="n">
        <f aca="false">IF(ISNUMBER(R257),SUM(R257:R264),"")</f>
        <v>108.229</v>
      </c>
      <c r="S265" s="20" t="n">
        <f aca="false">IF(ISNUMBER(S257),SUM(S257:S264),"")</f>
        <v>108.229</v>
      </c>
      <c r="T265" s="21"/>
      <c r="U265" s="21"/>
      <c r="V265" s="21" t="n">
        <f aca="false">IF(ISNUMBER(V257),SUM(V257:V264),"")</f>
        <v>114.646396634825</v>
      </c>
      <c r="W265" s="21" t="n">
        <f aca="false">IF(ISNUMBER(W257),SUM(W257:W264),"")</f>
        <v>140.247668779664</v>
      </c>
      <c r="X265" s="21" t="n">
        <f aca="false">IF(ISNUMBER(X257),SUM(X257:X264),"")</f>
        <v>167.771124554322</v>
      </c>
      <c r="Y265" s="21" t="n">
        <f aca="false">IF(ISNUMBER(Y257),SUM(Y257:Y264),"")</f>
        <v>197.330128833168</v>
      </c>
      <c r="Z265" s="21" t="n">
        <f aca="false">IF(ISNUMBER(Z257),SUM(Z257:Z264),"")</f>
        <v>228.357821570205</v>
      </c>
      <c r="AA265" s="22"/>
      <c r="AB265" s="1"/>
      <c r="AC265" s="7"/>
      <c r="AD265" s="7"/>
    </row>
    <row r="266" customFormat="false" ht="15" hidden="false" customHeight="true" outlineLevel="0" collapsed="false">
      <c r="B266" s="29" t="s">
        <v>349</v>
      </c>
      <c r="C266" s="37" t="n">
        <v>16.5</v>
      </c>
      <c r="D266" s="37" t="n">
        <v>20</v>
      </c>
      <c r="E266" s="37"/>
      <c r="F266" s="37"/>
      <c r="G266" s="38" t="str">
        <f aca="false">IF(ISNUMBER(F266),F266,"")</f>
        <v/>
      </c>
      <c r="H266" s="37" t="n">
        <v>20</v>
      </c>
      <c r="I266" s="38" t="n">
        <f aca="false">IF(ISNUMBER(J266),J266,"")</f>
        <v>25</v>
      </c>
      <c r="J266" s="37" t="n">
        <v>25</v>
      </c>
      <c r="K266" s="37" t="n">
        <v>0</v>
      </c>
      <c r="L266" s="37" t="n">
        <v>30</v>
      </c>
      <c r="M266" s="38" t="n">
        <f aca="false">IF(ISNUMBER(L266),L266,"")</f>
        <v>30</v>
      </c>
      <c r="N266" s="37" t="n">
        <v>30</v>
      </c>
      <c r="O266" s="38" t="n">
        <f aca="false">IF(ISNUMBER(P266),P266,"")</f>
        <v>0</v>
      </c>
      <c r="P266" s="37" t="n">
        <v>0</v>
      </c>
      <c r="Q266" s="37"/>
      <c r="R266" s="37"/>
      <c r="S266" s="38" t="str">
        <f aca="false">IF(ISNUMBER(R266),R266,"")</f>
        <v/>
      </c>
      <c r="T266" s="39"/>
      <c r="U266" s="39"/>
      <c r="V266" s="39" t="n">
        <f aca="false">V313</f>
        <v>0</v>
      </c>
      <c r="W266" s="39" t="n">
        <f aca="false">W313</f>
        <v>81.9488437177991</v>
      </c>
      <c r="X266" s="39" t="n">
        <f aca="false">X313</f>
        <v>196.480059119917</v>
      </c>
      <c r="Y266" s="39" t="n">
        <f aca="false">Y313</f>
        <v>292.600463280284</v>
      </c>
      <c r="Z266" s="39" t="n">
        <f aca="false">Z313</f>
        <v>339.541933639817</v>
      </c>
      <c r="AA266" s="22"/>
      <c r="AB266" s="1"/>
      <c r="AC266" s="23"/>
      <c r="AD266" s="23"/>
    </row>
    <row r="267" customFormat="false" ht="15" hidden="false" customHeight="true" outlineLevel="0" collapsed="false">
      <c r="B267" s="29" t="s">
        <v>350</v>
      </c>
      <c r="C267" s="37" t="n">
        <v>303.737</v>
      </c>
      <c r="D267" s="37" t="n">
        <v>298.024</v>
      </c>
      <c r="E267" s="37"/>
      <c r="F267" s="37"/>
      <c r="G267" s="38" t="str">
        <f aca="false">IF(ISNUMBER(F267),F267,"")</f>
        <v/>
      </c>
      <c r="H267" s="37" t="n">
        <v>328.772</v>
      </c>
      <c r="I267" s="38" t="n">
        <f aca="false">IF(ISNUMBER(J267),J267,"")</f>
        <v>326.92</v>
      </c>
      <c r="J267" s="37" t="n">
        <v>326.92</v>
      </c>
      <c r="K267" s="37" t="n">
        <v>325.419</v>
      </c>
      <c r="L267" s="37" t="n">
        <v>365.847</v>
      </c>
      <c r="M267" s="38" t="n">
        <f aca="false">IF(ISNUMBER(L267),L267,"")</f>
        <v>365.847</v>
      </c>
      <c r="N267" s="37" t="n">
        <v>365.144</v>
      </c>
      <c r="O267" s="38" t="n">
        <f aca="false">IF(ISNUMBER(P267),P267,"")</f>
        <v>495.312</v>
      </c>
      <c r="P267" s="37" t="n">
        <v>495.312</v>
      </c>
      <c r="Q267" s="37" t="n">
        <v>752.18</v>
      </c>
      <c r="R267" s="37" t="n">
        <v>751.327</v>
      </c>
      <c r="S267" s="38" t="n">
        <f aca="false">IF(ISNUMBER(R267),R267,"")</f>
        <v>751.327</v>
      </c>
      <c r="T267" s="39"/>
      <c r="U267" s="39"/>
      <c r="V267" s="39" t="n">
        <f aca="false">V308-V262</f>
        <v>843.348</v>
      </c>
      <c r="W267" s="39" t="n">
        <f aca="false">W308-W262</f>
        <v>836.468</v>
      </c>
      <c r="X267" s="39" t="n">
        <f aca="false">X308-X262</f>
        <v>830.028</v>
      </c>
      <c r="Y267" s="39" t="n">
        <f aca="false">Y308-Y262</f>
        <v>823.588</v>
      </c>
      <c r="Z267" s="39" t="n">
        <f aca="false">Z308-Z262</f>
        <v>817.148</v>
      </c>
      <c r="AA267" s="22"/>
      <c r="AB267" s="1"/>
      <c r="AC267" s="23"/>
      <c r="AD267" s="23"/>
    </row>
    <row r="268" customFormat="false" ht="15" hidden="false" customHeight="true" outlineLevel="0" collapsed="false">
      <c r="B268" s="29" t="s">
        <v>351</v>
      </c>
      <c r="C268" s="37" t="n">
        <v>0.524</v>
      </c>
      <c r="D268" s="37" t="n">
        <v>6.002</v>
      </c>
      <c r="E268" s="37"/>
      <c r="F268" s="37"/>
      <c r="G268" s="38" t="str">
        <f aca="false">IF(ISNUMBER(F268),F268,"")</f>
        <v/>
      </c>
      <c r="H268" s="37" t="n">
        <v>5.475</v>
      </c>
      <c r="I268" s="38" t="n">
        <f aca="false">IF(ISNUMBER(J268),J268,"")</f>
        <v>5.338</v>
      </c>
      <c r="J268" s="37" t="n">
        <v>5.338</v>
      </c>
      <c r="K268" s="37" t="n">
        <v>5.037</v>
      </c>
      <c r="L268" s="37" t="n">
        <v>5.838</v>
      </c>
      <c r="M268" s="38" t="n">
        <f aca="false">IF(ISNUMBER(L268),L268,"")</f>
        <v>5.838</v>
      </c>
      <c r="N268" s="37" t="n">
        <v>5.401</v>
      </c>
      <c r="O268" s="38" t="n">
        <f aca="false">IF(ISNUMBER(P268),P268,"")</f>
        <v>4.949</v>
      </c>
      <c r="P268" s="37" t="n">
        <v>4.949</v>
      </c>
      <c r="Q268" s="37" t="n">
        <v>9.2</v>
      </c>
      <c r="R268" s="37" t="n">
        <v>13.725</v>
      </c>
      <c r="S268" s="38" t="n">
        <f aca="false">IF(ISNUMBER(R268),R268,"")</f>
        <v>13.725</v>
      </c>
      <c r="T268" s="39"/>
      <c r="U268" s="39"/>
      <c r="V268" s="39" t="n">
        <f aca="false">P268</f>
        <v>4.949</v>
      </c>
      <c r="W268" s="39" t="n">
        <f aca="false">V268</f>
        <v>4.949</v>
      </c>
      <c r="X268" s="39" t="n">
        <f aca="false">W268</f>
        <v>4.949</v>
      </c>
      <c r="Y268" s="39" t="n">
        <f aca="false">X268</f>
        <v>4.949</v>
      </c>
      <c r="Z268" s="39" t="n">
        <f aca="false">Y268</f>
        <v>4.949</v>
      </c>
      <c r="AA268" s="22"/>
      <c r="AB268" s="1"/>
      <c r="AC268" s="23"/>
      <c r="AD268" s="23"/>
    </row>
    <row r="269" customFormat="false" ht="15" hidden="false" customHeight="true" outlineLevel="0" collapsed="false">
      <c r="B269" s="29" t="s">
        <v>352</v>
      </c>
      <c r="C269" s="37" t="n">
        <v>70.562</v>
      </c>
      <c r="D269" s="37" t="n">
        <v>75.4</v>
      </c>
      <c r="E269" s="37"/>
      <c r="F269" s="37"/>
      <c r="G269" s="38" t="str">
        <f aca="false">IF(ISNUMBER(F269),F269,"")</f>
        <v/>
      </c>
      <c r="H269" s="37" t="n">
        <v>77.261</v>
      </c>
      <c r="I269" s="38" t="n">
        <f aca="false">IF(ISNUMBER(J269),J269,"")</f>
        <v>77.957</v>
      </c>
      <c r="J269" s="37" t="n">
        <v>77.957</v>
      </c>
      <c r="K269" s="37" t="n">
        <v>76.565</v>
      </c>
      <c r="L269" s="37" t="n">
        <v>75.477</v>
      </c>
      <c r="M269" s="38" t="n">
        <f aca="false">IF(ISNUMBER(L269),L269,"")</f>
        <v>75.477</v>
      </c>
      <c r="N269" s="37" t="n">
        <v>74.351</v>
      </c>
      <c r="O269" s="38" t="n">
        <f aca="false">IF(ISNUMBER(P269),P269,"")</f>
        <v>76.995</v>
      </c>
      <c r="P269" s="37" t="n">
        <v>76.995</v>
      </c>
      <c r="Q269" s="37" t="n">
        <v>93.195</v>
      </c>
      <c r="R269" s="37" t="n">
        <v>97.13</v>
      </c>
      <c r="S269" s="38" t="n">
        <f aca="false">IF(ISNUMBER(R269),R269,"")</f>
        <v>97.13</v>
      </c>
      <c r="T269" s="39"/>
      <c r="U269" s="39"/>
      <c r="V269" s="39" t="n">
        <f aca="false">V309-V261</f>
        <v>97.595</v>
      </c>
      <c r="W269" s="39" t="n">
        <f aca="false">W309-W261</f>
        <v>100.95473</v>
      </c>
      <c r="X269" s="39" t="n">
        <f aca="false">X309-X261</f>
        <v>104.56074965</v>
      </c>
      <c r="Y269" s="39" t="n">
        <f aca="false">Y309-Y261</f>
        <v>108.42184979075</v>
      </c>
      <c r="Z269" s="39" t="n">
        <f aca="false">Z309-Z261</f>
        <v>112.547419368916</v>
      </c>
      <c r="AA269" s="22"/>
      <c r="AB269" s="1"/>
      <c r="AC269" s="23"/>
      <c r="AD269" s="23"/>
    </row>
    <row r="270" customFormat="false" ht="15" hidden="false" customHeight="true" outlineLevel="0" collapsed="false">
      <c r="B270" s="29" t="s">
        <v>353</v>
      </c>
      <c r="C270" s="37" t="n">
        <v>7.781</v>
      </c>
      <c r="D270" s="37" t="n">
        <v>4.997</v>
      </c>
      <c r="E270" s="37"/>
      <c r="F270" s="37"/>
      <c r="G270" s="38" t="str">
        <f aca="false">IF(ISNUMBER(F270),F270,"")</f>
        <v/>
      </c>
      <c r="H270" s="37" t="n">
        <v>1.685</v>
      </c>
      <c r="I270" s="38" t="n">
        <f aca="false">IF(ISNUMBER(J270),J270,"")</f>
        <v>2.772</v>
      </c>
      <c r="J270" s="37" t="n">
        <v>2.772</v>
      </c>
      <c r="K270" s="37" t="n">
        <v>2.746</v>
      </c>
      <c r="L270" s="37" t="n">
        <v>2.479</v>
      </c>
      <c r="M270" s="38" t="n">
        <f aca="false">IF(ISNUMBER(L270),L270,"")</f>
        <v>2.479</v>
      </c>
      <c r="N270" s="37" t="n">
        <v>2.424</v>
      </c>
      <c r="O270" s="38" t="n">
        <f aca="false">IF(ISNUMBER(P270),P270,"")</f>
        <v>7.65</v>
      </c>
      <c r="P270" s="37" t="n">
        <v>7.65</v>
      </c>
      <c r="Q270" s="37" t="n">
        <v>6.928</v>
      </c>
      <c r="R270" s="37" t="n">
        <v>6.892</v>
      </c>
      <c r="S270" s="38" t="n">
        <f aca="false">IF(ISNUMBER(R270),R270,"")</f>
        <v>6.892</v>
      </c>
      <c r="T270" s="39"/>
      <c r="U270" s="39"/>
      <c r="V270" s="39" t="n">
        <f aca="false">P270</f>
        <v>7.65</v>
      </c>
      <c r="W270" s="39" t="n">
        <f aca="false">V270</f>
        <v>7.65</v>
      </c>
      <c r="X270" s="39" t="n">
        <f aca="false">W270</f>
        <v>7.65</v>
      </c>
      <c r="Y270" s="39" t="n">
        <f aca="false">X270</f>
        <v>7.65</v>
      </c>
      <c r="Z270" s="39" t="n">
        <f aca="false">Y270</f>
        <v>7.65</v>
      </c>
      <c r="AA270" s="22"/>
      <c r="AB270" s="1"/>
      <c r="AC270" s="23"/>
      <c r="AD270" s="23"/>
    </row>
    <row r="271" customFormat="false" ht="15" hidden="false" customHeight="true" outlineLevel="0" collapsed="false">
      <c r="B271" s="29" t="s">
        <v>354</v>
      </c>
      <c r="C271" s="37" t="n">
        <v>47.588</v>
      </c>
      <c r="D271" s="37" t="n">
        <v>36.88</v>
      </c>
      <c r="E271" s="37"/>
      <c r="F271" s="37"/>
      <c r="G271" s="38" t="str">
        <f aca="false">IF(ISNUMBER(F271),F271,"")</f>
        <v/>
      </c>
      <c r="H271" s="37" t="n">
        <v>28.189</v>
      </c>
      <c r="I271" s="38" t="n">
        <f aca="false">IF(ISNUMBER(J271),J271,"")</f>
        <v>25.37</v>
      </c>
      <c r="J271" s="37" t="n">
        <v>25.37</v>
      </c>
      <c r="K271" s="37" t="n">
        <v>26.443</v>
      </c>
      <c r="L271" s="37" t="n">
        <v>24.652</v>
      </c>
      <c r="M271" s="38" t="n">
        <f aca="false">IF(ISNUMBER(L271),L271,"")</f>
        <v>24.652</v>
      </c>
      <c r="N271" s="37" t="n">
        <v>30.501</v>
      </c>
      <c r="O271" s="38" t="n">
        <f aca="false">IF(ISNUMBER(P271),P271,"")</f>
        <v>47.832</v>
      </c>
      <c r="P271" s="37" t="n">
        <v>47.832</v>
      </c>
      <c r="Q271" s="37" t="n">
        <v>45.748</v>
      </c>
      <c r="R271" s="37" t="n">
        <v>45.577</v>
      </c>
      <c r="S271" s="38" t="n">
        <f aca="false">IF(ISNUMBER(R271),R271,"")</f>
        <v>45.577</v>
      </c>
      <c r="T271" s="39"/>
      <c r="U271" s="39"/>
      <c r="V271" s="39" t="n">
        <f aca="false">P271+V201</f>
        <v>44.832</v>
      </c>
      <c r="W271" s="39" t="n">
        <f aca="false">V271+W201</f>
        <v>38.785125</v>
      </c>
      <c r="X271" s="39" t="n">
        <f aca="false">W271+X201</f>
        <v>32.5929375</v>
      </c>
      <c r="Y271" s="39" t="n">
        <f aca="false">X271+Y201</f>
        <v>25.3648125</v>
      </c>
      <c r="Z271" s="39" t="n">
        <f aca="false">Y271+Z201</f>
        <v>16.8054375</v>
      </c>
      <c r="AA271" s="22"/>
      <c r="AB271" s="1"/>
      <c r="AC271" s="23"/>
      <c r="AD271" s="23"/>
    </row>
    <row r="272" customFormat="false" ht="15" hidden="false" customHeight="true" outlineLevel="0" collapsed="false">
      <c r="B272" s="51" t="s">
        <v>355</v>
      </c>
      <c r="C272" s="52" t="n">
        <f aca="false">IF(ISNUMBER(C257),C265+SUM(C266:C271),"")</f>
        <v>504.996</v>
      </c>
      <c r="D272" s="52" t="n">
        <f aca="false">IF(ISNUMBER(D257),D265+SUM(D266:D271),"")</f>
        <v>528.373</v>
      </c>
      <c r="E272" s="20"/>
      <c r="F272" s="20"/>
      <c r="G272" s="20"/>
      <c r="H272" s="20" t="n">
        <f aca="false">IF(ISNUMBER(H257),H265+SUM(H266:H271),"")</f>
        <v>554.367</v>
      </c>
      <c r="I272" s="20" t="n">
        <f aca="false">IF(ISNUMBER(I257),I265+SUM(I266:I271),"")</f>
        <v>577.964</v>
      </c>
      <c r="J272" s="52" t="n">
        <f aca="false">IF(ISNUMBER(J257),J265+SUM(J266:J271),"")</f>
        <v>577.964</v>
      </c>
      <c r="K272" s="20" t="n">
        <f aca="false">IF(ISNUMBER(K257),K265+SUM(K266:K271),"")</f>
        <v>526.475</v>
      </c>
      <c r="L272" s="20" t="n">
        <f aca="false">IF(ISNUMBER(L257),L265+SUM(L266:L271),"")</f>
        <v>592.452</v>
      </c>
      <c r="M272" s="20" t="n">
        <f aca="false">IF(ISNUMBER(M257),M265+SUM(M266:M271),"")</f>
        <v>592.452</v>
      </c>
      <c r="N272" s="20" t="n">
        <f aca="false">IF(ISNUMBER(N257),N265+SUM(N266:N271),"")</f>
        <v>598.958</v>
      </c>
      <c r="O272" s="20" t="n">
        <f aca="false">IF(ISNUMBER(O257),O265+SUM(O266:O271),"")</f>
        <v>721.405</v>
      </c>
      <c r="P272" s="52" t="n">
        <f aca="false">IF(ISNUMBER(P257),P265+SUM(P266:P271),"")</f>
        <v>721.405</v>
      </c>
      <c r="Q272" s="20" t="n">
        <f aca="false">IF(ISNUMBER(Q257),Q265+SUM(Q266:Q271),"")</f>
        <v>1012.047</v>
      </c>
      <c r="R272" s="20" t="n">
        <f aca="false">IF(ISNUMBER(R257),R265+SUM(R266:R271),"")</f>
        <v>1022.88</v>
      </c>
      <c r="S272" s="20" t="n">
        <f aca="false">IF(ISNUMBER(S257),S265+SUM(S266:S271),"")</f>
        <v>1022.88</v>
      </c>
      <c r="T272" s="52"/>
      <c r="U272" s="52"/>
      <c r="V272" s="52" t="n">
        <f aca="false">IF(ISNUMBER(V257),V265+SUM(V266:V271),"")</f>
        <v>1113.02039663483</v>
      </c>
      <c r="W272" s="52" t="n">
        <f aca="false">IF(ISNUMBER(W257),W265+SUM(W266:W271),"")</f>
        <v>1211.00336749746</v>
      </c>
      <c r="X272" s="52" t="n">
        <f aca="false">IF(ISNUMBER(X257),X265+SUM(X266:X271),"")</f>
        <v>1344.03187082424</v>
      </c>
      <c r="Y272" s="52" t="n">
        <f aca="false">IF(ISNUMBER(Y257),Y265+SUM(Y266:Y271),"")</f>
        <v>1459.9042544042</v>
      </c>
      <c r="Z272" s="52" t="n">
        <f aca="false">IF(ISNUMBER(Z257),Z265+SUM(Z266:Z271),"")</f>
        <v>1526.99961207894</v>
      </c>
      <c r="AA272" s="22"/>
      <c r="AB272" s="1"/>
      <c r="AC272" s="23"/>
      <c r="AD272" s="23"/>
    </row>
    <row r="273" customFormat="false" ht="15" hidden="false" customHeight="true" outlineLevel="0" collapsed="false">
      <c r="B273" s="29" t="s">
        <v>356</v>
      </c>
      <c r="C273" s="37"/>
      <c r="D273" s="37"/>
      <c r="E273" s="37"/>
      <c r="F273" s="37"/>
      <c r="G273" s="38"/>
      <c r="H273" s="37"/>
      <c r="I273" s="37"/>
      <c r="J273" s="37"/>
      <c r="K273" s="37"/>
      <c r="L273" s="37"/>
      <c r="M273" s="38"/>
      <c r="N273" s="37"/>
      <c r="O273" s="37"/>
      <c r="P273" s="37"/>
      <c r="Q273" s="37"/>
      <c r="R273" s="37"/>
      <c r="S273" s="38"/>
      <c r="T273" s="39"/>
      <c r="U273" s="39"/>
      <c r="V273" s="39"/>
      <c r="W273" s="39"/>
      <c r="X273" s="39"/>
      <c r="Y273" s="39"/>
      <c r="Z273" s="39"/>
      <c r="AA273" s="22"/>
      <c r="AB273" s="1"/>
      <c r="AC273" s="23"/>
      <c r="AD273" s="23"/>
    </row>
    <row r="274" customFormat="false" ht="15" hidden="false" customHeight="true" outlineLevel="0" collapsed="false">
      <c r="B274" s="29" t="s">
        <v>357</v>
      </c>
      <c r="C274" s="37" t="n">
        <v>177.597</v>
      </c>
      <c r="D274" s="37" t="n">
        <v>182.459</v>
      </c>
      <c r="E274" s="37"/>
      <c r="F274" s="37"/>
      <c r="G274" s="38" t="str">
        <f aca="false">IF(ISNUMBER(F274),F274,"")</f>
        <v/>
      </c>
      <c r="H274" s="37" t="n">
        <v>194.106</v>
      </c>
      <c r="I274" s="38" t="n">
        <f aca="false">IF(ISNUMBER(J274),J274,"")</f>
        <v>204.258</v>
      </c>
      <c r="J274" s="37" t="n">
        <v>204.258</v>
      </c>
      <c r="K274" s="37" t="n">
        <v>361.978</v>
      </c>
      <c r="L274" s="37" t="n">
        <v>367.73</v>
      </c>
      <c r="M274" s="38" t="n">
        <f aca="false">IF(ISNUMBER(L274),L274,"")</f>
        <v>367.73</v>
      </c>
      <c r="N274" s="37" t="n">
        <v>367.73</v>
      </c>
      <c r="O274" s="38" t="n">
        <f aca="false">IF(ISNUMBER(P274),P274,"")</f>
        <v>373.587</v>
      </c>
      <c r="P274" s="37" t="n">
        <v>373.587</v>
      </c>
      <c r="Q274" s="37" t="n">
        <v>388.793</v>
      </c>
      <c r="R274" s="37" t="n">
        <v>390.167</v>
      </c>
      <c r="S274" s="38" t="n">
        <f aca="false">IF(ISNUMBER(R274),R274,"")</f>
        <v>390.167</v>
      </c>
      <c r="T274" s="39"/>
      <c r="U274" s="39"/>
      <c r="V274" s="39" t="n">
        <f aca="false">P274+V199+V212+S214</f>
        <v>376.219</v>
      </c>
      <c r="W274" s="39" t="n">
        <f aca="false">V274+W199+W212-W233</f>
        <v>383.884702838412</v>
      </c>
      <c r="X274" s="39" t="n">
        <f aca="false">W274+X199+X212-X233</f>
        <v>393.385093289242</v>
      </c>
      <c r="Y274" s="39" t="n">
        <f aca="false">X274+Y199+Y212-Y233</f>
        <v>404.855859096635</v>
      </c>
      <c r="Z274" s="39" t="n">
        <f aca="false">Y274+Z199+Z212-Z233</f>
        <v>418.394901648513</v>
      </c>
      <c r="AA274" s="22" t="s">
        <v>358</v>
      </c>
      <c r="AB274" s="1"/>
      <c r="AC274" s="23"/>
      <c r="AD274" s="23"/>
    </row>
    <row r="275" customFormat="false" ht="15" hidden="false" customHeight="true" outlineLevel="0" collapsed="false">
      <c r="B275" s="29" t="s">
        <v>359</v>
      </c>
      <c r="C275" s="37" t="n">
        <v>0</v>
      </c>
      <c r="D275" s="37" t="n">
        <v>0</v>
      </c>
      <c r="E275" s="37"/>
      <c r="F275" s="37"/>
      <c r="G275" s="38" t="str">
        <f aca="false">IF(ISNUMBER(F275),F275,"")</f>
        <v/>
      </c>
      <c r="H275" s="37" t="n">
        <v>0</v>
      </c>
      <c r="I275" s="38" t="n">
        <f aca="false">IF(ISNUMBER(J275),J275,"")</f>
        <v>-8.337</v>
      </c>
      <c r="J275" s="37" t="n">
        <v>-8.337</v>
      </c>
      <c r="K275" s="37" t="n">
        <v>-13.135</v>
      </c>
      <c r="L275" s="37" t="n">
        <v>-6.328</v>
      </c>
      <c r="M275" s="38" t="n">
        <f aca="false">IF(ISNUMBER(L275),L275,"")</f>
        <v>-6.328</v>
      </c>
      <c r="N275" s="37" t="n">
        <v>1.316</v>
      </c>
      <c r="O275" s="38" t="n">
        <f aca="false">IF(ISNUMBER(P275),P275,"")</f>
        <v>9.029</v>
      </c>
      <c r="P275" s="37" t="n">
        <v>9.029</v>
      </c>
      <c r="Q275" s="37" t="n">
        <v>16.823</v>
      </c>
      <c r="R275" s="37" t="n">
        <v>30.855</v>
      </c>
      <c r="S275" s="38" t="n">
        <f aca="false">IF(ISNUMBER(R275),R275,"")</f>
        <v>30.855</v>
      </c>
      <c r="T275" s="39"/>
      <c r="U275" s="39"/>
      <c r="V275" s="39" t="n">
        <f aca="false">P275+V103</f>
        <v>69.5209658206667</v>
      </c>
      <c r="W275" s="39" t="n">
        <f aca="false">V275+W103</f>
        <v>176.039335625307</v>
      </c>
      <c r="X275" s="39" t="n">
        <f aca="false">W275+X103</f>
        <v>321.175040090447</v>
      </c>
      <c r="Y275" s="39" t="n">
        <f aca="false">X275+Y103</f>
        <v>504.014811225343</v>
      </c>
      <c r="Z275" s="39" t="n">
        <f aca="false">Y275+Z103</f>
        <v>727.649718163911</v>
      </c>
      <c r="AA275" s="22"/>
      <c r="AB275" s="1"/>
      <c r="AC275" s="23"/>
      <c r="AD275" s="23"/>
    </row>
    <row r="276" customFormat="false" ht="15" hidden="false" customHeight="true" outlineLevel="0" collapsed="false">
      <c r="B276" s="29" t="s">
        <v>360</v>
      </c>
      <c r="C276" s="37" t="n">
        <v>0</v>
      </c>
      <c r="D276" s="37" t="n">
        <v>0</v>
      </c>
      <c r="E276" s="37"/>
      <c r="F276" s="37"/>
      <c r="G276" s="38" t="str">
        <f aca="false">IF(ISNUMBER(F276),F276,"")</f>
        <v/>
      </c>
      <c r="H276" s="37" t="n">
        <v>0</v>
      </c>
      <c r="I276" s="38" t="n">
        <f aca="false">IF(ISNUMBER(J276),J276,"")</f>
        <v>0.075</v>
      </c>
      <c r="J276" s="37" t="n">
        <v>0.075</v>
      </c>
      <c r="K276" s="37" t="n">
        <v>0.075</v>
      </c>
      <c r="L276" s="37" t="n">
        <v>0.075</v>
      </c>
      <c r="M276" s="38" t="n">
        <f aca="false">IF(ISNUMBER(L276),L276,"")</f>
        <v>0.075</v>
      </c>
      <c r="N276" s="37" t="n">
        <v>0.075</v>
      </c>
      <c r="O276" s="38" t="n">
        <f aca="false">IF(ISNUMBER(P276),P276,"")</f>
        <v>0.075</v>
      </c>
      <c r="P276" s="37" t="n">
        <v>0.075</v>
      </c>
      <c r="Q276" s="37" t="n">
        <v>0.075</v>
      </c>
      <c r="R276" s="37" t="n">
        <v>0.075</v>
      </c>
      <c r="S276" s="38" t="n">
        <f aca="false">IF(ISNUMBER(R276),R276,"")</f>
        <v>0.075</v>
      </c>
      <c r="T276" s="39"/>
      <c r="U276" s="39"/>
      <c r="V276" s="39" t="n">
        <f aca="false">P276</f>
        <v>0.075</v>
      </c>
      <c r="W276" s="39" t="n">
        <f aca="false">V276</f>
        <v>0.075</v>
      </c>
      <c r="X276" s="39" t="n">
        <f aca="false">W276</f>
        <v>0.075</v>
      </c>
      <c r="Y276" s="39" t="n">
        <f aca="false">X276</f>
        <v>0.075</v>
      </c>
      <c r="Z276" s="39" t="n">
        <f aca="false">Y276</f>
        <v>0.075</v>
      </c>
      <c r="AA276" s="22"/>
      <c r="AB276" s="1"/>
      <c r="AC276" s="23"/>
      <c r="AD276" s="23"/>
    </row>
    <row r="277" customFormat="false" ht="15" hidden="false" customHeight="true" outlineLevel="0" collapsed="false">
      <c r="B277" s="18" t="s">
        <v>361</v>
      </c>
      <c r="C277" s="20" t="n">
        <f aca="false">IF(ISNUMBER(C274),SUM(C274:C276),"")</f>
        <v>177.597</v>
      </c>
      <c r="D277" s="20" t="n">
        <f aca="false">IF(ISNUMBER(D274),SUM(D274:D276),"")</f>
        <v>182.459</v>
      </c>
      <c r="E277" s="20"/>
      <c r="F277" s="20"/>
      <c r="G277" s="20"/>
      <c r="H277" s="20" t="n">
        <f aca="false">IF(ISNUMBER(H274),SUM(H274:H276),"")</f>
        <v>194.106</v>
      </c>
      <c r="I277" s="20" t="n">
        <f aca="false">IF(ISNUMBER(I274),SUM(I274:I276),"")</f>
        <v>195.996</v>
      </c>
      <c r="J277" s="20" t="n">
        <f aca="false">IF(ISNUMBER(J274),SUM(J274:J276),"")</f>
        <v>195.996</v>
      </c>
      <c r="K277" s="20" t="n">
        <f aca="false">IF(ISNUMBER(K274),SUM(K274:K276),"")</f>
        <v>348.918</v>
      </c>
      <c r="L277" s="20" t="n">
        <f aca="false">IF(ISNUMBER(L274),SUM(L274:L276),"")</f>
        <v>361.477</v>
      </c>
      <c r="M277" s="20" t="n">
        <f aca="false">IF(ISNUMBER(M274),SUM(M274:M276),"")</f>
        <v>361.477</v>
      </c>
      <c r="N277" s="20" t="n">
        <f aca="false">IF(ISNUMBER(N274),SUM(N274:N276),"")</f>
        <v>369.121</v>
      </c>
      <c r="O277" s="20" t="n">
        <f aca="false">IF(ISNUMBER(O274),SUM(O274:O276),"")</f>
        <v>382.691</v>
      </c>
      <c r="P277" s="20" t="n">
        <f aca="false">IF(ISNUMBER(P274),SUM(P274:P276),"")</f>
        <v>382.691</v>
      </c>
      <c r="Q277" s="20" t="n">
        <f aca="false">IF(ISNUMBER(Q274),SUM(Q274:Q276),"")</f>
        <v>405.691</v>
      </c>
      <c r="R277" s="20" t="n">
        <f aca="false">IF(ISNUMBER(R274),SUM(R274:R276),"")</f>
        <v>421.097</v>
      </c>
      <c r="S277" s="20" t="n">
        <f aca="false">IF(ISNUMBER(S274),SUM(S274:S276),"")</f>
        <v>421.097</v>
      </c>
      <c r="T277" s="21"/>
      <c r="U277" s="21"/>
      <c r="V277" s="21" t="n">
        <f aca="false">IF(ISNUMBER(V274),SUM(V274:V276),"")</f>
        <v>445.814965820667</v>
      </c>
      <c r="W277" s="21" t="n">
        <f aca="false">IF(ISNUMBER(W274),SUM(W274:W276),"")</f>
        <v>559.999038463718</v>
      </c>
      <c r="X277" s="21" t="n">
        <f aca="false">IF(ISNUMBER(X274),SUM(X274:X276),"")</f>
        <v>714.635133379688</v>
      </c>
      <c r="Y277" s="21" t="n">
        <f aca="false">IF(ISNUMBER(Y274),SUM(Y274:Y276),"")</f>
        <v>908.945670321978</v>
      </c>
      <c r="Z277" s="21" t="n">
        <f aca="false">IF(ISNUMBER(Z274),SUM(Z274:Z276),"")</f>
        <v>1146.11961981242</v>
      </c>
      <c r="AA277" s="22"/>
      <c r="AB277" s="1"/>
      <c r="AC277" s="7"/>
      <c r="AD277" s="7"/>
    </row>
    <row r="278" customFormat="false" ht="15" hidden="false" customHeight="true" outlineLevel="0" collapsed="false">
      <c r="B278" s="51" t="s">
        <v>362</v>
      </c>
      <c r="C278" s="52" t="n">
        <f aca="false">IF(ISNUMBER(C272),C272+C277,"")</f>
        <v>682.593</v>
      </c>
      <c r="D278" s="52" t="n">
        <f aca="false">IF(ISNUMBER(D272),D272+D277,"")</f>
        <v>710.832</v>
      </c>
      <c r="E278" s="20"/>
      <c r="F278" s="20"/>
      <c r="G278" s="20"/>
      <c r="H278" s="20" t="n">
        <f aca="false">IF(ISNUMBER(H272),H272+H277,"")</f>
        <v>748.473</v>
      </c>
      <c r="I278" s="20" t="n">
        <f aca="false">IF(ISNUMBER(I272),I272+I277,"")</f>
        <v>773.96</v>
      </c>
      <c r="J278" s="52" t="n">
        <f aca="false">IF(ISNUMBER(J272),J272+J277,"")</f>
        <v>773.96</v>
      </c>
      <c r="K278" s="20" t="n">
        <f aca="false">IF(ISNUMBER(K272),K272+K277,"")</f>
        <v>875.393</v>
      </c>
      <c r="L278" s="20" t="n">
        <f aca="false">IF(ISNUMBER(L272),L272+L277,"")</f>
        <v>953.929</v>
      </c>
      <c r="M278" s="20" t="n">
        <f aca="false">IF(ISNUMBER(M272),M272+M277,"")</f>
        <v>953.929</v>
      </c>
      <c r="N278" s="20" t="n">
        <f aca="false">IF(ISNUMBER(N272),N272+N277,"")</f>
        <v>968.079</v>
      </c>
      <c r="O278" s="20" t="n">
        <f aca="false">IF(ISNUMBER(O272),O272+O277,"")</f>
        <v>1104.096</v>
      </c>
      <c r="P278" s="52" t="n">
        <f aca="false">IF(ISNUMBER(P272),P272+P277,"")</f>
        <v>1104.096</v>
      </c>
      <c r="Q278" s="20" t="n">
        <f aca="false">IF(ISNUMBER(Q272),Q272+Q277,"")</f>
        <v>1417.738</v>
      </c>
      <c r="R278" s="20" t="n">
        <f aca="false">IF(ISNUMBER(R272),R272+R277,"")</f>
        <v>1443.977</v>
      </c>
      <c r="S278" s="20" t="n">
        <f aca="false">IF(ISNUMBER(S272),S272+S277,"")</f>
        <v>1443.977</v>
      </c>
      <c r="T278" s="52"/>
      <c r="U278" s="52"/>
      <c r="V278" s="52" t="n">
        <f aca="false">IF(ISNUMBER(V272),V272+V277,"")</f>
        <v>1558.83536245549</v>
      </c>
      <c r="W278" s="52" t="n">
        <f aca="false">IF(ISNUMBER(W272),W272+W277,"")</f>
        <v>1771.00240596118</v>
      </c>
      <c r="X278" s="52" t="n">
        <f aca="false">IF(ISNUMBER(X272),X272+X277,"")</f>
        <v>2058.66700420393</v>
      </c>
      <c r="Y278" s="52" t="n">
        <f aca="false">IF(ISNUMBER(Y272),Y272+Y277,"")</f>
        <v>2368.84992472618</v>
      </c>
      <c r="Z278" s="52" t="n">
        <f aca="false">IF(ISNUMBER(Z272),Z272+Z277,"")</f>
        <v>2673.11923189136</v>
      </c>
      <c r="AA278" s="22"/>
      <c r="AB278" s="1"/>
      <c r="AC278" s="23"/>
      <c r="AD278" s="23"/>
    </row>
    <row r="279" customFormat="false" ht="15" hidden="false" customHeight="true" outlineLevel="0" collapsed="false">
      <c r="B279" s="59" t="s">
        <v>363</v>
      </c>
      <c r="C279" s="38" t="n">
        <f aca="false">IF(ISNUMBER(C254),ROUND(C254-C278,1),"")</f>
        <v>0</v>
      </c>
      <c r="D279" s="38" t="n">
        <f aca="false">IF(ISNUMBER(D254),ROUND(D254-D278,1),"")</f>
        <v>0</v>
      </c>
      <c r="E279" s="38"/>
      <c r="F279" s="38"/>
      <c r="G279" s="38"/>
      <c r="H279" s="38" t="n">
        <f aca="false">IF(ISNUMBER(H254),ROUND(H254-H278,1),"")</f>
        <v>0</v>
      </c>
      <c r="I279" s="38" t="n">
        <f aca="false">IF(ISNUMBER(I254),ROUND(I254-I278,1),"")</f>
        <v>0</v>
      </c>
      <c r="J279" s="38" t="n">
        <f aca="false">IF(ISNUMBER(J254),ROUND(J254-J278,1),"")</f>
        <v>0</v>
      </c>
      <c r="K279" s="38" t="n">
        <f aca="false">IF(ISNUMBER(K254),ROUND(K254-K278,1),"")</f>
        <v>0</v>
      </c>
      <c r="L279" s="38" t="n">
        <f aca="false">IF(ISNUMBER(L254),ROUND(L254-L278,1),"")</f>
        <v>0</v>
      </c>
      <c r="M279" s="38" t="n">
        <f aca="false">IF(ISNUMBER(M254),ROUND(M254-M278,1),"")</f>
        <v>0</v>
      </c>
      <c r="N279" s="38" t="n">
        <f aca="false">IF(ISNUMBER(N254),ROUND(N254-N278,1),"")</f>
        <v>0</v>
      </c>
      <c r="O279" s="38" t="n">
        <f aca="false">IF(ISNUMBER(O254),ROUND(O254-O278,1),"")</f>
        <v>0</v>
      </c>
      <c r="P279" s="38" t="n">
        <f aca="false">IF(ISNUMBER(P254),ROUND(P254-P278,1),"")</f>
        <v>0</v>
      </c>
      <c r="Q279" s="38" t="n">
        <f aca="false">IF(ISNUMBER(Q254),ROUND(Q254-Q278,1),"")</f>
        <v>0</v>
      </c>
      <c r="R279" s="38" t="n">
        <f aca="false">IF(ISNUMBER(R254),ROUND(R254-R278,1),"")</f>
        <v>0</v>
      </c>
      <c r="S279" s="38" t="n">
        <f aca="false">IF(ISNUMBER(S254),ROUND(S254-S278,1),"")</f>
        <v>0</v>
      </c>
      <c r="T279" s="39"/>
      <c r="U279" s="39"/>
      <c r="V279" s="39" t="n">
        <f aca="false">IF(ISNUMBER(V254),ROUND(V254-V278,1),"")</f>
        <v>0</v>
      </c>
      <c r="W279" s="39" t="n">
        <f aca="false">IF(ISNUMBER(W254),ROUND(W254-W278,1),"")</f>
        <v>0</v>
      </c>
      <c r="X279" s="39" t="n">
        <f aca="false">IF(ISNUMBER(X254),ROUND(X254-X278,1),"")</f>
        <v>0</v>
      </c>
      <c r="Y279" s="39" t="n">
        <f aca="false">IF(ISNUMBER(Y254),ROUND(Y254-Y278,1),"")</f>
        <v>0</v>
      </c>
      <c r="Z279" s="39" t="n">
        <f aca="false">IF(ISNUMBER(Z254),ROUND(Z254-Z278,1),"")</f>
        <v>0</v>
      </c>
      <c r="AA279" s="22"/>
      <c r="AB279" s="1"/>
      <c r="AC279" s="7"/>
      <c r="AD279" s="7"/>
    </row>
    <row r="280" customFormat="false" ht="15" hidden="false" customHeight="true" outlineLevel="0" collapsed="false">
      <c r="B280" s="59" t="s">
        <v>364</v>
      </c>
      <c r="C280" s="38" t="n">
        <f aca="false">IF(ISNUMBER(C281),ROUND(C254-C281,1),"")</f>
        <v>0</v>
      </c>
      <c r="D280" s="38" t="n">
        <f aca="false">IF(ISNUMBER(D281),ROUND(D254-D281,1),"")</f>
        <v>0</v>
      </c>
      <c r="E280" s="38" t="str">
        <f aca="false">IF(ISNUMBER(E281),ROUND(E254-E281,1),"")</f>
        <v/>
      </c>
      <c r="F280" s="38" t="str">
        <f aca="false">IF(ISNUMBER(F281),ROUND(F254-F281,1),"")</f>
        <v/>
      </c>
      <c r="G280" s="38" t="str">
        <f aca="false">IF(ISNUMBER(G281),ROUND(G254-G281,1),"")</f>
        <v/>
      </c>
      <c r="H280" s="38" t="n">
        <f aca="false">IF(ISNUMBER(H281),ROUND(H254-H281,1),"")</f>
        <v>0</v>
      </c>
      <c r="I280" s="38" t="n">
        <f aca="false">IF(ISNUMBER(I281),ROUND(I254-I281,1),"")</f>
        <v>0</v>
      </c>
      <c r="J280" s="38" t="n">
        <f aca="false">IF(ISNUMBER(J281),ROUND(J254-J281,1),"")</f>
        <v>0</v>
      </c>
      <c r="K280" s="38" t="n">
        <f aca="false">IF(ISNUMBER(K281),ROUND(K254-K281,1),"")</f>
        <v>0</v>
      </c>
      <c r="L280" s="38" t="n">
        <f aca="false">IF(ISNUMBER(L281),ROUND(L254-L281,1),"")</f>
        <v>0</v>
      </c>
      <c r="M280" s="38" t="n">
        <f aca="false">IF(ISNUMBER(M281),ROUND(M254-M281,1),"")</f>
        <v>0</v>
      </c>
      <c r="N280" s="38" t="n">
        <f aca="false">IF(ISNUMBER(N281),ROUND(N254-N281,1),"")</f>
        <v>0</v>
      </c>
      <c r="O280" s="38" t="n">
        <f aca="false">IF(ISNUMBER(O281),ROUND(O254-O281,1),"")</f>
        <v>0</v>
      </c>
      <c r="P280" s="38" t="n">
        <f aca="false">IF(ISNUMBER(P281),ROUND(P254-P281,1),"")</f>
        <v>0</v>
      </c>
      <c r="Q280" s="38" t="n">
        <f aca="false">IF(ISNUMBER(Q281),ROUND(Q254-Q281,1),"")</f>
        <v>0</v>
      </c>
      <c r="R280" s="38" t="n">
        <f aca="false">IF(ISNUMBER(R281),ROUND(R254-R281,1),"")</f>
        <v>0</v>
      </c>
      <c r="S280" s="38" t="n">
        <f aca="false">IF(ISNUMBER(S281),ROUND(S254-S281,1),"")</f>
        <v>0</v>
      </c>
      <c r="T280" s="39"/>
      <c r="U280" s="39"/>
      <c r="V280" s="39"/>
      <c r="W280" s="39"/>
      <c r="X280" s="39"/>
      <c r="Y280" s="39"/>
      <c r="Z280" s="39"/>
      <c r="AA280" s="22"/>
      <c r="AB280" s="1"/>
      <c r="AC280" s="7"/>
      <c r="AD280" s="7"/>
    </row>
    <row r="281" customFormat="false" ht="15" hidden="false" customHeight="true" outlineLevel="0" collapsed="false">
      <c r="B281" s="36" t="s">
        <v>365</v>
      </c>
      <c r="C281" s="37" t="n">
        <v>682.593</v>
      </c>
      <c r="D281" s="37" t="n">
        <v>710.832</v>
      </c>
      <c r="E281" s="37"/>
      <c r="F281" s="37"/>
      <c r="G281" s="38" t="str">
        <f aca="false">IF(ISNUMBER(F281),F281,"")</f>
        <v/>
      </c>
      <c r="H281" s="37" t="n">
        <v>748.474</v>
      </c>
      <c r="I281" s="38" t="n">
        <f aca="false">IF(ISNUMBER(J281),J281,"")</f>
        <v>773.96</v>
      </c>
      <c r="J281" s="37" t="n">
        <v>773.96</v>
      </c>
      <c r="K281" s="37" t="n">
        <v>875.393</v>
      </c>
      <c r="L281" s="37" t="n">
        <v>953.929</v>
      </c>
      <c r="M281" s="38" t="n">
        <f aca="false">IF(ISNUMBER(L281),L281,"")</f>
        <v>953.929</v>
      </c>
      <c r="N281" s="37" t="n">
        <v>968.079</v>
      </c>
      <c r="O281" s="38" t="n">
        <f aca="false">IF(ISNUMBER(P281),P281,"")</f>
        <v>1104.096</v>
      </c>
      <c r="P281" s="37" t="n">
        <v>1104.096</v>
      </c>
      <c r="Q281" s="37" t="n">
        <v>1417.738</v>
      </c>
      <c r="R281" s="37" t="n">
        <v>1443.977</v>
      </c>
      <c r="S281" s="38" t="n">
        <f aca="false">IF(ISNUMBER(R281),R281,"")</f>
        <v>1443.977</v>
      </c>
      <c r="T281" s="39"/>
      <c r="U281" s="39"/>
      <c r="V281" s="39"/>
      <c r="W281" s="39"/>
      <c r="X281" s="39"/>
      <c r="Y281" s="39"/>
      <c r="Z281" s="39"/>
      <c r="AA281" s="22"/>
      <c r="AB281" s="1"/>
      <c r="AC281" s="7"/>
      <c r="AD281" s="7"/>
    </row>
    <row r="282" customFormat="false" ht="15" hidden="false" customHeight="true" outlineLevel="0" collapsed="false">
      <c r="B282" s="29" t="s">
        <v>366</v>
      </c>
      <c r="C282" s="37"/>
      <c r="D282" s="37"/>
      <c r="E282" s="37"/>
      <c r="F282" s="37"/>
      <c r="G282" s="38" t="str">
        <f aca="false">IF(ISNUMBER(F282),F282,"")</f>
        <v/>
      </c>
      <c r="H282" s="37"/>
      <c r="I282" s="38" t="str">
        <f aca="false">IF(ISNUMBER(J282),J282,"")</f>
        <v/>
      </c>
      <c r="J282" s="37"/>
      <c r="K282" s="37" t="n">
        <v>132.174593</v>
      </c>
      <c r="L282" s="37" t="n">
        <v>132.322435</v>
      </c>
      <c r="M282" s="38" t="n">
        <f aca="false">IF(ISNUMBER(L282),L282,"")</f>
        <v>132.322435</v>
      </c>
      <c r="N282" s="37" t="n">
        <v>132.322435</v>
      </c>
      <c r="O282" s="38" t="n">
        <f aca="false">IF(ISNUMBER(P282),P282,"")</f>
        <v>132.322435</v>
      </c>
      <c r="P282" s="37" t="n">
        <v>132.322435</v>
      </c>
      <c r="Q282" s="37" t="n">
        <v>132.526299</v>
      </c>
      <c r="R282" s="37" t="n">
        <v>132.533486</v>
      </c>
      <c r="S282" s="38" t="n">
        <f aca="false">IF(ISNUMBER(R282),R282,"")</f>
        <v>132.533486</v>
      </c>
      <c r="T282" s="39"/>
      <c r="U282" s="39"/>
      <c r="V282" s="39" t="n">
        <f aca="false">V237</f>
        <v>132.572435</v>
      </c>
      <c r="W282" s="39" t="n">
        <f aca="false">W237</f>
        <v>132.972435</v>
      </c>
      <c r="X282" s="39" t="n">
        <f aca="false">X237</f>
        <v>133.372435</v>
      </c>
      <c r="Y282" s="39" t="n">
        <f aca="false">Y237</f>
        <v>133.772435</v>
      </c>
      <c r="Z282" s="39" t="n">
        <f aca="false">Z237</f>
        <v>134.172435</v>
      </c>
      <c r="AA282" s="22"/>
      <c r="AB282" s="1"/>
      <c r="AC282" s="7"/>
      <c r="AD282" s="7"/>
    </row>
    <row r="284" customFormat="false" ht="15" hidden="false" customHeight="true" outlineLevel="0" collapsed="false">
      <c r="B284" s="12" t="s">
        <v>367</v>
      </c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 t="s">
        <v>368</v>
      </c>
      <c r="AB284" s="1"/>
      <c r="AC284" s="1"/>
      <c r="AD284" s="1"/>
    </row>
    <row r="285" customFormat="false" ht="15" hidden="false" customHeight="true" outlineLevel="0" collapsed="false">
      <c r="B285" s="25" t="s">
        <v>369</v>
      </c>
      <c r="C285" s="73" t="n">
        <f aca="false">IFERROR(C243/(C92*IF(LEFT("2022",1)="Q",4,IF(LEFT("2022",2)="1H",2,1)))*365,"")</f>
        <v>76.7611241217799</v>
      </c>
      <c r="D285" s="73" t="n">
        <f aca="false">IFERROR(D243/(D92*IF(LEFT("2023",1)="Q",4,IF(LEFT("2023",2)="1H",2,1)))*365,"")</f>
        <v>65.7911508523183</v>
      </c>
      <c r="E285" s="73" t="n">
        <f aca="false">IFERROR(E243/(E92*IF(LEFT("Q1/24",1)="Q",4,IF(LEFT("Q1/24",2)="1H",2,1)))*365,"")</f>
        <v>0</v>
      </c>
      <c r="F285" s="73" t="n">
        <f aca="false">IFERROR(F243/(F92*IF(LEFT("Q2/24",1)="Q",4,IF(LEFT("Q2/24",2)="1H",2,1)))*365,"")</f>
        <v>0</v>
      </c>
      <c r="G285" s="73" t="str">
        <f aca="false">IFERROR(G243/(G92*IF(LEFT("1H/24",1)="Q",4,IF(LEFT("1H/24",2)="1H",2,1)))*365,"")</f>
        <v/>
      </c>
      <c r="H285" s="73" t="n">
        <f aca="false">IFERROR(H243/(H92*IF(LEFT("Q3/24",1)="Q",4,IF(LEFT("Q3/24",2)="1H",2,1)))*365,"")</f>
        <v>59.9799343941932</v>
      </c>
      <c r="I285" s="73" t="n">
        <f aca="false">IFERROR(I243/(I92*IF(LEFT("Q4/24",1)="Q",4,IF(LEFT("Q4/24",2)="1H",2,1)))*365,"")</f>
        <v>55.2272627633223</v>
      </c>
      <c r="J285" s="73" t="n">
        <f aca="false">IFERROR(J243/(J92*IF(LEFT("2024",1)="Q",4,IF(LEFT("2024",2)="1H",2,1)))*365,"")</f>
        <v>58.3786868104654</v>
      </c>
      <c r="K285" s="73" t="n">
        <f aca="false">IFERROR(K243/(K92*IF(LEFT("Q1/25",1)="Q",4,IF(LEFT("Q1/25",2)="1H",2,1)))*365,"")</f>
        <v>43.5343174463665</v>
      </c>
      <c r="L285" s="73" t="n">
        <f aca="false">IFERROR(L243/(L92*IF(LEFT("Q2/25",1)="Q",4,IF(LEFT("Q2/25",2)="1H",2,1)))*365,"")</f>
        <v>45.9052581735406</v>
      </c>
      <c r="M285" s="73" t="n">
        <f aca="false">IFERROR(M243/(M92*IF(LEFT("1H/25",1)="Q",4,IF(LEFT("1H/25",2)="1H",2,1)))*365,"")</f>
        <v>49.0989029880913</v>
      </c>
      <c r="N285" s="73" t="n">
        <f aca="false">IFERROR(N243/(N92*IF(LEFT("Q3/25",1)="Q",4,IF(LEFT("Q3/25",2)="1H",2,1)))*365,"")</f>
        <v>52.5852410355785</v>
      </c>
      <c r="O285" s="73" t="n">
        <f aca="false">IFERROR(O243/(O92*IF(LEFT("Q4/25",1)="Q",4,IF(LEFT("Q4/25",2)="1H",2,1)))*365,"")</f>
        <v>53.407154328882</v>
      </c>
      <c r="P285" s="73" t="n">
        <f aca="false">IFERROR(P243/(P92*IF(LEFT("2025",1)="Q",4,IF(LEFT("2025",2)="1H",2,1)))*365,"")</f>
        <v>60.9360339342524</v>
      </c>
      <c r="Q285" s="73" t="n">
        <f aca="false">IFERROR(Q243/(Q92*IF(LEFT("Q1/26",1)="Q",4,IF(LEFT("Q1/26",2)="1H",2,1)))*365,"")</f>
        <v>59.5101349117122</v>
      </c>
      <c r="R285" s="73" t="n">
        <f aca="false">IFERROR(R243/(R92*IF(LEFT("Q2/26",1)="Q",4,IF(LEFT("Q2/26",2)="1H",2,1)))*365,"")</f>
        <v>57.6179674068866</v>
      </c>
      <c r="S285" s="73" t="n">
        <f aca="false">IFERROR(S243/(S92*IF(LEFT("1H/26",1)="Q",4,IF(LEFT("1H/26",2)="1H",2,1)))*365,"")</f>
        <v>62.9519943109703</v>
      </c>
      <c r="T285" s="74"/>
      <c r="U285" s="74"/>
      <c r="V285" s="75" t="n">
        <v>58</v>
      </c>
      <c r="W285" s="75" t="n">
        <v>58</v>
      </c>
      <c r="X285" s="75" t="n">
        <v>58</v>
      </c>
      <c r="Y285" s="75" t="n">
        <v>58</v>
      </c>
      <c r="Z285" s="75" t="n">
        <v>58</v>
      </c>
      <c r="AA285" s="22"/>
      <c r="AB285" s="1"/>
      <c r="AC285" s="7"/>
      <c r="AD285" s="7"/>
    </row>
    <row r="286" customFormat="false" ht="15" hidden="false" customHeight="true" outlineLevel="0" collapsed="false">
      <c r="B286" s="25" t="s">
        <v>370</v>
      </c>
      <c r="C286" s="31" t="n">
        <f aca="false">IFERROR(C244/(C92*IF(LEFT("2022",1)="Q",4,IF(LEFT("2022",2)="1H",2,1))),"")</f>
        <v>0.270951349918254</v>
      </c>
      <c r="D286" s="31" t="n">
        <f aca="false">IFERROR(D244/(D92*IF(LEFT("2023",1)="Q",4,IF(LEFT("2023",2)="1H",2,1))),"")</f>
        <v>0.317714326428101</v>
      </c>
      <c r="E286" s="31" t="n">
        <f aca="false">IFERROR(E244/(E92*IF(LEFT("Q1/24",1)="Q",4,IF(LEFT("Q1/24",2)="1H",2,1))),"")</f>
        <v>0</v>
      </c>
      <c r="F286" s="31" t="n">
        <f aca="false">IFERROR(F244/(F92*IF(LEFT("Q2/24",1)="Q",4,IF(LEFT("Q2/24",2)="1H",2,1))),"")</f>
        <v>0</v>
      </c>
      <c r="G286" s="31" t="str">
        <f aca="false">IFERROR(G244/(G92*IF(LEFT("1H/24",1)="Q",4,IF(LEFT("1H/24",2)="1H",2,1))),"")</f>
        <v/>
      </c>
      <c r="H286" s="31" t="n">
        <f aca="false">IFERROR(H244/(H92*IF(LEFT("Q3/24",1)="Q",4,IF(LEFT("Q3/24",2)="1H",2,1))),"")</f>
        <v>0.294650335008375</v>
      </c>
      <c r="I286" s="31" t="n">
        <f aca="false">IFERROR(I244/(I92*IF(LEFT("Q4/24",1)="Q",4,IF(LEFT("Q4/24",2)="1H",2,1))),"")</f>
        <v>0.293797540498477</v>
      </c>
      <c r="J286" s="31" t="n">
        <f aca="false">IFERROR(J244/(J92*IF(LEFT("2024",1)="Q",4,IF(LEFT("2024",2)="1H",2,1))),"")</f>
        <v>0.31056246035493</v>
      </c>
      <c r="K286" s="31" t="n">
        <f aca="false">IFERROR(K244/(K92*IF(LEFT("Q1/25",1)="Q",4,IF(LEFT("Q1/25",2)="1H",2,1))),"")</f>
        <v>0.305006791578443</v>
      </c>
      <c r="L286" s="31" t="n">
        <f aca="false">IFERROR(L244/(L92*IF(LEFT("Q2/25",1)="Q",4,IF(LEFT("Q2/25",2)="1H",2,1))),"")</f>
        <v>0.290168292831264</v>
      </c>
      <c r="M286" s="31" t="n">
        <f aca="false">IFERROR(M244/(M92*IF(LEFT("1H/25",1)="Q",4,IF(LEFT("1H/25",2)="1H",2,1))),"")</f>
        <v>0.31035540212154</v>
      </c>
      <c r="N286" s="31" t="n">
        <f aca="false">IFERROR(N244/(N92*IF(LEFT("Q3/25",1)="Q",4,IF(LEFT("Q3/25",2)="1H",2,1))),"")</f>
        <v>0.301715289809257</v>
      </c>
      <c r="O286" s="31" t="n">
        <f aca="false">IFERROR(O244/(O92*IF(LEFT("Q4/25",1)="Q",4,IF(LEFT("Q4/25",2)="1H",2,1))),"")</f>
        <v>0.290534009457812</v>
      </c>
      <c r="P286" s="31" t="n">
        <f aca="false">IFERROR(P244/(P92*IF(LEFT("2025",1)="Q",4,IF(LEFT("2025",2)="1H",2,1))),"")</f>
        <v>0.33149098621421</v>
      </c>
      <c r="Q286" s="31" t="n">
        <f aca="false">IFERROR(Q244/(Q92*IF(LEFT("Q1/26",1)="Q",4,IF(LEFT("Q1/26",2)="1H",2,1))),"")</f>
        <v>0.280024469281132</v>
      </c>
      <c r="R286" s="31" t="n">
        <f aca="false">IFERROR(R244/(R92*IF(LEFT("Q2/26",1)="Q",4,IF(LEFT("Q2/26",2)="1H",2,1))),"")</f>
        <v>0.256944024870512</v>
      </c>
      <c r="S286" s="31" t="n">
        <f aca="false">IFERROR(S244/(S92*IF(LEFT("1H/26",1)="Q",4,IF(LEFT("1H/26",2)="1H",2,1))),"")</f>
        <v>0.280730812277022</v>
      </c>
      <c r="T286" s="27"/>
      <c r="U286" s="27"/>
      <c r="V286" s="46" t="n">
        <v>0.26</v>
      </c>
      <c r="W286" s="46" t="n">
        <v>0.25</v>
      </c>
      <c r="X286" s="46" t="n">
        <v>0.24</v>
      </c>
      <c r="Y286" s="46" t="n">
        <v>0.235</v>
      </c>
      <c r="Z286" s="46" t="n">
        <v>0.23</v>
      </c>
      <c r="AA286" s="22" t="s">
        <v>371</v>
      </c>
      <c r="AB286" s="1"/>
      <c r="AC286" s="47"/>
      <c r="AD286" s="47"/>
    </row>
    <row r="287" customFormat="false" ht="15" hidden="false" customHeight="true" outlineLevel="0" collapsed="false">
      <c r="B287" s="25" t="s">
        <v>372</v>
      </c>
      <c r="C287" s="73" t="n">
        <f aca="false">IFERROR(C245/(C93*IF(LEFT("2022",1)="Q",4,IF(LEFT("2022",2)="1H",2,1)))*365,"")</f>
        <v>0</v>
      </c>
      <c r="D287" s="73" t="n">
        <f aca="false">IFERROR(D245/(D93*IF(LEFT("2023",1)="Q",4,IF(LEFT("2023",2)="1H",2,1)))*365,"")</f>
        <v>20.5051496951289</v>
      </c>
      <c r="E287" s="73" t="n">
        <f aca="false">IFERROR(E245/(E93*IF(LEFT("Q1/24",1)="Q",4,IF(LEFT("Q1/24",2)="1H",2,1)))*365,"")</f>
        <v>0</v>
      </c>
      <c r="F287" s="73" t="n">
        <f aca="false">IFERROR(F245/(F93*IF(LEFT("Q2/24",1)="Q",4,IF(LEFT("Q2/24",2)="1H",2,1)))*365,"")</f>
        <v>0</v>
      </c>
      <c r="G287" s="73" t="str">
        <f aca="false">IFERROR(G245/(G93*IF(LEFT("1H/24",1)="Q",4,IF(LEFT("1H/24",2)="1H",2,1)))*365,"")</f>
        <v/>
      </c>
      <c r="H287" s="73" t="n">
        <f aca="false">IFERROR(H245/(H93*IF(LEFT("Q3/24",1)="Q",4,IF(LEFT("Q3/24",2)="1H",2,1)))*365,"")</f>
        <v>0</v>
      </c>
      <c r="I287" s="73" t="n">
        <f aca="false">IFERROR(I245/(I93*IF(LEFT("Q4/24",1)="Q",4,IF(LEFT("Q4/24",2)="1H",2,1)))*365,"")</f>
        <v>15.9600699053181</v>
      </c>
      <c r="J287" s="73" t="n">
        <f aca="false">IFERROR(J245/(J93*IF(LEFT("2024",1)="Q",4,IF(LEFT("2024",2)="1H",2,1)))*365,"")</f>
        <v>16.9245331706859</v>
      </c>
      <c r="K287" s="73" t="n">
        <f aca="false">IFERROR(K245/(K93*IF(LEFT("Q1/25",1)="Q",4,IF(LEFT("Q1/25",2)="1H",2,1)))*365,"")</f>
        <v>15.6667916536186</v>
      </c>
      <c r="L287" s="73" t="n">
        <f aca="false">IFERROR(L245/(L93*IF(LEFT("Q2/25",1)="Q",4,IF(LEFT("Q2/25",2)="1H",2,1)))*365,"")</f>
        <v>19.7576972795111</v>
      </c>
      <c r="M287" s="73" t="n">
        <f aca="false">IFERROR(M245/(M93*IF(LEFT("1H/25",1)="Q",4,IF(LEFT("1H/25",2)="1H",2,1)))*365,"")</f>
        <v>20.8937545145982</v>
      </c>
      <c r="N287" s="73" t="n">
        <f aca="false">IFERROR(N245/(N93*IF(LEFT("Q3/25",1)="Q",4,IF(LEFT("Q3/25",2)="1H",2,1)))*365,"")</f>
        <v>19.5322525644773</v>
      </c>
      <c r="O287" s="73" t="n">
        <f aca="false">IFERROR(O245/(O93*IF(LEFT("Q4/25",1)="Q",4,IF(LEFT("Q4/25",2)="1H",2,1)))*365,"")</f>
        <v>12.02932194169</v>
      </c>
      <c r="P287" s="73" t="n">
        <f aca="false">IFERROR(P245/(P93*IF(LEFT("2025",1)="Q",4,IF(LEFT("2025",2)="1H",2,1)))*365,"")</f>
        <v>13.8258951093174</v>
      </c>
      <c r="Q287" s="73" t="n">
        <f aca="false">IFERROR(Q245/(Q93*IF(LEFT("Q1/26",1)="Q",4,IF(LEFT("Q1/26",2)="1H",2,1)))*365,"")</f>
        <v>16.8615833762665</v>
      </c>
      <c r="R287" s="73" t="n">
        <f aca="false">IFERROR(R245/(R93*IF(LEFT("Q2/26",1)="Q",4,IF(LEFT("Q2/26",2)="1H",2,1)))*365,"")</f>
        <v>14.3243578383689</v>
      </c>
      <c r="S287" s="73" t="n">
        <f aca="false">IFERROR(S245/(S93*IF(LEFT("1H/26",1)="Q",4,IF(LEFT("1H/26",2)="1H",2,1)))*365,"")</f>
        <v>15.5594772301673</v>
      </c>
      <c r="T287" s="74"/>
      <c r="U287" s="74"/>
      <c r="V287" s="75" t="n">
        <v>15</v>
      </c>
      <c r="W287" s="75" t="n">
        <v>15</v>
      </c>
      <c r="X287" s="75" t="n">
        <v>15</v>
      </c>
      <c r="Y287" s="75" t="n">
        <v>15</v>
      </c>
      <c r="Z287" s="75" t="n">
        <v>15</v>
      </c>
      <c r="AA287" s="22"/>
      <c r="AB287" s="1"/>
      <c r="AC287" s="7"/>
      <c r="AD287" s="7"/>
    </row>
    <row r="288" customFormat="false" ht="15" hidden="false" customHeight="true" outlineLevel="0" collapsed="false">
      <c r="B288" s="25" t="s">
        <v>373</v>
      </c>
      <c r="C288" s="73" t="n">
        <f aca="false">IFERROR(C257/(C93*IF(LEFT("2022",1)="Q",4,IF(LEFT("2022",2)="1H",2,1)))*365,"")</f>
        <v>32.4413197215267</v>
      </c>
      <c r="D288" s="73" t="n">
        <f aca="false">IFERROR(D257/(D93*IF(LEFT("2023",1)="Q",4,IF(LEFT("2023",2)="1H",2,1)))*365,"")</f>
        <v>43.8485121834251</v>
      </c>
      <c r="E288" s="73" t="n">
        <f aca="false">IFERROR(E257/(E93*IF(LEFT("Q1/24",1)="Q",4,IF(LEFT("Q1/24",2)="1H",2,1)))*365,"")</f>
        <v>0</v>
      </c>
      <c r="F288" s="73" t="n">
        <f aca="false">IFERROR(F257/(F93*IF(LEFT("Q2/24",1)="Q",4,IF(LEFT("Q2/24",2)="1H",2,1)))*365,"")</f>
        <v>0</v>
      </c>
      <c r="G288" s="73" t="str">
        <f aca="false">IFERROR(G257/(G93*IF(LEFT("1H/24",1)="Q",4,IF(LEFT("1H/24",2)="1H",2,1)))*365,"")</f>
        <v/>
      </c>
      <c r="H288" s="73" t="n">
        <f aca="false">IFERROR(H257/(H93*IF(LEFT("Q3/24",1)="Q",4,IF(LEFT("Q3/24",2)="1H",2,1)))*365,"")</f>
        <v>45.7439061781389</v>
      </c>
      <c r="I288" s="73" t="n">
        <f aca="false">IFERROR(I257/(I93*IF(LEFT("Q4/24",1)="Q",4,IF(LEFT("Q4/24",2)="1H",2,1)))*365,"")</f>
        <v>45.6952482081232</v>
      </c>
      <c r="J288" s="73" t="n">
        <f aca="false">IFERROR(J257/(J93*IF(LEFT("2024",1)="Q",4,IF(LEFT("2024",2)="1H",2,1)))*365,"")</f>
        <v>48.4566012949235</v>
      </c>
      <c r="K288" s="73" t="n">
        <f aca="false">IFERROR(K257/(K93*IF(LEFT("Q1/25",1)="Q",4,IF(LEFT("Q1/25",2)="1H",2,1)))*365,"")</f>
        <v>38.2683607205841</v>
      </c>
      <c r="L288" s="73" t="n">
        <f aca="false">IFERROR(L257/(L93*IF(LEFT("Q2/25",1)="Q",4,IF(LEFT("Q2/25",2)="1H",2,1)))*365,"")</f>
        <v>37.6066455138375</v>
      </c>
      <c r="M288" s="73" t="n">
        <f aca="false">IFERROR(M257/(M93*IF(LEFT("1H/25",1)="Q",4,IF(LEFT("1H/25",2)="1H",2,1)))*365,"")</f>
        <v>39.7690079146246</v>
      </c>
      <c r="N288" s="73" t="n">
        <f aca="false">IFERROR(N257/(N93*IF(LEFT("Q3/25",1)="Q",4,IF(LEFT("Q3/25",2)="1H",2,1)))*365,"")</f>
        <v>41.4865095271897</v>
      </c>
      <c r="O288" s="73" t="n">
        <f aca="false">IFERROR(O257/(O93*IF(LEFT("Q4/25",1)="Q",4,IF(LEFT("Q4/25",2)="1H",2,1)))*365,"")</f>
        <v>35.6885679665669</v>
      </c>
      <c r="P288" s="73" t="n">
        <f aca="false">IFERROR(P257/(P93*IF(LEFT("2025",1)="Q",4,IF(LEFT("2025",2)="1H",2,1)))*365,"")</f>
        <v>41.018637600631</v>
      </c>
      <c r="Q288" s="73" t="n">
        <f aca="false">IFERROR(Q257/(Q93*IF(LEFT("Q1/26",1)="Q",4,IF(LEFT("Q1/26",2)="1H",2,1)))*365,"")</f>
        <v>40.1428959871773</v>
      </c>
      <c r="R288" s="73" t="n">
        <f aca="false">IFERROR(R257/(R93*IF(LEFT("Q2/26",1)="Q",4,IF(LEFT("Q2/26",2)="1H",2,1)))*365,"")</f>
        <v>39.8839197141454</v>
      </c>
      <c r="S288" s="73" t="n">
        <f aca="false">IFERROR(S257/(S93*IF(LEFT("1H/26",1)="Q",4,IF(LEFT("1H/26",2)="1H",2,1)))*365,"")</f>
        <v>43.3229152499817</v>
      </c>
      <c r="T288" s="74"/>
      <c r="U288" s="74"/>
      <c r="V288" s="75" t="n">
        <v>40</v>
      </c>
      <c r="W288" s="75" t="n">
        <v>40</v>
      </c>
      <c r="X288" s="75" t="n">
        <v>40</v>
      </c>
      <c r="Y288" s="75" t="n">
        <v>40</v>
      </c>
      <c r="Z288" s="75" t="n">
        <v>40</v>
      </c>
      <c r="AA288" s="22"/>
      <c r="AB288" s="1"/>
      <c r="AC288" s="7"/>
      <c r="AD288" s="7"/>
    </row>
    <row r="289" customFormat="false" ht="15" hidden="false" customHeight="true" outlineLevel="0" collapsed="false">
      <c r="B289" s="25" t="s">
        <v>374</v>
      </c>
      <c r="C289" s="31" t="n">
        <f aca="false">IFERROR(C258/(C92*IF(LEFT("2022",1)="Q",4,IF(LEFT("2022",2)="1H",2,1))),"")</f>
        <v>0.0255269320843091</v>
      </c>
      <c r="D289" s="31" t="n">
        <f aca="false">IFERROR(D258/(D92*IF(LEFT("2023",1)="Q",4,IF(LEFT("2023",2)="1H",2,1))),"")</f>
        <v>0.0229066101423202</v>
      </c>
      <c r="E289" s="31" t="n">
        <f aca="false">IFERROR(E258/(E92*IF(LEFT("Q1/24",1)="Q",4,IF(LEFT("Q1/24",2)="1H",2,1))),"")</f>
        <v>0</v>
      </c>
      <c r="F289" s="31" t="n">
        <f aca="false">IFERROR(F258/(F92*IF(LEFT("Q2/24",1)="Q",4,IF(LEFT("Q2/24",2)="1H",2,1))),"")</f>
        <v>0</v>
      </c>
      <c r="G289" s="31" t="str">
        <f aca="false">IFERROR(G258/(G92*IF(LEFT("1H/24",1)="Q",4,IF(LEFT("1H/24",2)="1H",2,1))),"")</f>
        <v/>
      </c>
      <c r="H289" s="31" t="n">
        <f aca="false">IFERROR(H258/(H92*IF(LEFT("Q3/24",1)="Q",4,IF(LEFT("Q3/24",2)="1H",2,1))),"")</f>
        <v>0.0189721756932812</v>
      </c>
      <c r="I289" s="31" t="n">
        <f aca="false">IFERROR(I258/(I92*IF(LEFT("Q4/24",1)="Q",4,IF(LEFT("Q4/24",2)="1H",2,1))),"")</f>
        <v>0.0308232315482584</v>
      </c>
      <c r="J289" s="31" t="n">
        <f aca="false">IFERROR(J258/(J92*IF(LEFT("2024",1)="Q",4,IF(LEFT("2024",2)="1H",2,1))),"")</f>
        <v>0.0325820924486823</v>
      </c>
      <c r="K289" s="31" t="n">
        <f aca="false">IFERROR(K258/(K92*IF(LEFT("Q1/25",1)="Q",4,IF(LEFT("Q1/25",2)="1H",2,1))),"")</f>
        <v>0.0206968359234549</v>
      </c>
      <c r="L289" s="31" t="n">
        <f aca="false">IFERROR(L258/(L92*IF(LEFT("Q2/25",1)="Q",4,IF(LEFT("Q2/25",2)="1H",2,1))),"")</f>
        <v>0.0231913082009088</v>
      </c>
      <c r="M289" s="31" t="n">
        <f aca="false">IFERROR(M258/(M92*IF(LEFT("1H/25",1)="Q",4,IF(LEFT("1H/25",2)="1H",2,1))),"")</f>
        <v>0.0248047355973627</v>
      </c>
      <c r="N289" s="31" t="n">
        <f aca="false">IFERROR(N258/(N92*IF(LEFT("Q3/25",1)="Q",4,IF(LEFT("Q3/25",2)="1H",2,1))),"")</f>
        <v>0.0269466363404961</v>
      </c>
      <c r="O289" s="31" t="n">
        <f aca="false">IFERROR(O258/(O92*IF(LEFT("Q4/25",1)="Q",4,IF(LEFT("Q4/25",2)="1H",2,1))),"")</f>
        <v>0.0256074710763466</v>
      </c>
      <c r="P289" s="31" t="n">
        <f aca="false">IFERROR(P258/(P92*IF(LEFT("2025",1)="Q",4,IF(LEFT("2025",2)="1H",2,1))),"")</f>
        <v>0.0292173913043478</v>
      </c>
      <c r="Q289" s="31" t="n">
        <f aca="false">IFERROR(Q258/(Q92*IF(LEFT("Q1/26",1)="Q",4,IF(LEFT("Q1/26",2)="1H",2,1))),"")</f>
        <v>0.02132960783017</v>
      </c>
      <c r="R289" s="31" t="n">
        <f aca="false">IFERROR(R258/(R92*IF(LEFT("Q2/26",1)="Q",4,IF(LEFT("Q2/26",2)="1H",2,1))),"")</f>
        <v>0.0203295013264639</v>
      </c>
      <c r="S289" s="31" t="n">
        <f aca="false">IFERROR(S258/(S92*IF(LEFT("1H/26",1)="Q",4,IF(LEFT("1H/26",2)="1H",2,1))),"")</f>
        <v>0.0222115202851716</v>
      </c>
      <c r="T289" s="27"/>
      <c r="U289" s="27"/>
      <c r="V289" s="46" t="n">
        <v>0.021</v>
      </c>
      <c r="W289" s="46" t="n">
        <v>0.021</v>
      </c>
      <c r="X289" s="46" t="n">
        <v>0.021</v>
      </c>
      <c r="Y289" s="46" t="n">
        <v>0.021</v>
      </c>
      <c r="Z289" s="46" t="n">
        <v>0.021</v>
      </c>
      <c r="AA289" s="22"/>
      <c r="AB289" s="1"/>
      <c r="AC289" s="47"/>
      <c r="AD289" s="47"/>
    </row>
    <row r="290" customFormat="false" ht="15" hidden="false" customHeight="true" outlineLevel="0" collapsed="false">
      <c r="B290" s="25" t="s">
        <v>375</v>
      </c>
      <c r="C290" s="31" t="n">
        <f aca="false">IFERROR(C259/(C92*IF(LEFT("2022",1)="Q",4,IF(LEFT("2022",2)="1H",2,1))),"")</f>
        <v>0.0710043745305112</v>
      </c>
      <c r="D290" s="31" t="n">
        <f aca="false">IFERROR(D259/(D92*IF(LEFT("2023",1)="Q",4,IF(LEFT("2023",2)="1H",2,1))),"")</f>
        <v>0.128512139078392</v>
      </c>
      <c r="E290" s="31" t="n">
        <f aca="false">IFERROR(E259/(E92*IF(LEFT("Q1/24",1)="Q",4,IF(LEFT("Q1/24",2)="1H",2,1))),"")</f>
        <v>0</v>
      </c>
      <c r="F290" s="31" t="n">
        <f aca="false">IFERROR(F259/(F92*IF(LEFT("Q2/24",1)="Q",4,IF(LEFT("Q2/24",2)="1H",2,1))),"")</f>
        <v>0</v>
      </c>
      <c r="G290" s="31" t="str">
        <f aca="false">IFERROR(G259/(G92*IF(LEFT("1H/24",1)="Q",4,IF(LEFT("1H/24",2)="1H",2,1))),"")</f>
        <v/>
      </c>
      <c r="H290" s="31" t="n">
        <f aca="false">IFERROR(H259/(H92*IF(LEFT("Q3/24",1)="Q",4,IF(LEFT("Q3/24",2)="1H",2,1))),"")</f>
        <v>0.0790759352317141</v>
      </c>
      <c r="I290" s="31" t="n">
        <f aca="false">IFERROR(I259/(I92*IF(LEFT("Q4/24",1)="Q",4,IF(LEFT("Q4/24",2)="1H",2,1))),"")</f>
        <v>0.0818408996251562</v>
      </c>
      <c r="J290" s="31" t="n">
        <f aca="false">IFERROR(J259/(J92*IF(LEFT("2024",1)="Q",4,IF(LEFT("2024",2)="1H",2,1))),"")</f>
        <v>0.0865109731760372</v>
      </c>
      <c r="K290" s="31" t="n">
        <f aca="false">IFERROR(K259/(K92*IF(LEFT("Q1/25",1)="Q",4,IF(LEFT("Q1/25",2)="1H",2,1))),"")</f>
        <v>0.0649219967240622</v>
      </c>
      <c r="L290" s="31" t="n">
        <f aca="false">IFERROR(L259/(L92*IF(LEFT("Q2/25",1)="Q",4,IF(LEFT("Q2/25",2)="1H",2,1))),"")</f>
        <v>0.0432178944716196</v>
      </c>
      <c r="M290" s="31" t="n">
        <f aca="false">IFERROR(M259/(M92*IF(LEFT("1H/25",1)="Q",4,IF(LEFT("1H/25",2)="1H",2,1))),"")</f>
        <v>0.0462245784565633</v>
      </c>
      <c r="N290" s="31" t="n">
        <f aca="false">IFERROR(N259/(N92*IF(LEFT("Q3/25",1)="Q",4,IF(LEFT("Q3/25",2)="1H",2,1))),"")</f>
        <v>0.0385693875372577</v>
      </c>
      <c r="O290" s="31" t="n">
        <f aca="false">IFERROR(O259/(O92*IF(LEFT("Q4/25",1)="Q",4,IF(LEFT("Q4/25",2)="1H",2,1))),"")</f>
        <v>0.0424077268536419</v>
      </c>
      <c r="P290" s="31" t="n">
        <f aca="false">IFERROR(P259/(P92*IF(LEFT("2025",1)="Q",4,IF(LEFT("2025",2)="1H",2,1))),"")</f>
        <v>0.0483860021208908</v>
      </c>
      <c r="Q290" s="31" t="n">
        <f aca="false">IFERROR(Q259/(Q92*IF(LEFT("Q1/26",1)="Q",4,IF(LEFT("Q1/26",2)="1H",2,1))),"")</f>
        <v>0.0425765491700284</v>
      </c>
      <c r="R290" s="31" t="n">
        <f aca="false">IFERROR(R259/(R92*IF(LEFT("Q2/26",1)="Q",4,IF(LEFT("Q2/26",2)="1H",2,1))),"")</f>
        <v>0.0359133926168414</v>
      </c>
      <c r="S290" s="31" t="n">
        <f aca="false">IFERROR(S259/(S92*IF(LEFT("1H/26",1)="Q",4,IF(LEFT("1H/26",2)="1H",2,1))),"")</f>
        <v>0.0392381020964795</v>
      </c>
      <c r="T290" s="27"/>
      <c r="U290" s="27"/>
      <c r="V290" s="46" t="n">
        <v>0.036</v>
      </c>
      <c r="W290" s="46" t="n">
        <v>0.036</v>
      </c>
      <c r="X290" s="46" t="n">
        <v>0.036</v>
      </c>
      <c r="Y290" s="46" t="n">
        <v>0.036</v>
      </c>
      <c r="Z290" s="46" t="n">
        <v>0.036</v>
      </c>
      <c r="AA290" s="22"/>
      <c r="AB290" s="1"/>
      <c r="AC290" s="47"/>
      <c r="AD290" s="47"/>
    </row>
    <row r="291" customFormat="false" ht="15" hidden="false" customHeight="true" outlineLevel="0" collapsed="false">
      <c r="B291" s="29" t="s">
        <v>376</v>
      </c>
      <c r="C291" s="38" t="n">
        <f aca="false">IF(ISNUMBER(C243),C243+C244+N(C245)-C257-C258-C259,"")</f>
        <v>74.147</v>
      </c>
      <c r="D291" s="38" t="n">
        <f aca="false">IF(ISNUMBER(D243),D243+D244+N(D245)-D257-D258-D259,"")</f>
        <v>86.075</v>
      </c>
      <c r="E291" s="38" t="str">
        <f aca="false">IF(ISNUMBER(E243),E243+E244+N(E245)-E257-E258-E259,"")</f>
        <v/>
      </c>
      <c r="F291" s="38" t="str">
        <f aca="false">IF(ISNUMBER(F243),F243+F244+N(F245)-F257-F258-F259,"")</f>
        <v/>
      </c>
      <c r="G291" s="38" t="str">
        <f aca="false">IF(ISNUMBER(G243),G243+G244+N(G245)-G257-G258-G259,"")</f>
        <v/>
      </c>
      <c r="H291" s="38" t="n">
        <f aca="false">IF(ISNUMBER(H243),H243+H244+N(H245)-H257-H258-H259,"")</f>
        <v>97.954</v>
      </c>
      <c r="I291" s="38" t="n">
        <f aca="false">IF(ISNUMBER(I243),I243+I244+N(I245)-I257-I258-I259,"")</f>
        <v>102.912</v>
      </c>
      <c r="J291" s="38" t="n">
        <f aca="false">IF(ISNUMBER(J243),J243+J244+N(J245)-J257-J258-J259,"")</f>
        <v>102.912</v>
      </c>
      <c r="K291" s="38" t="n">
        <f aca="false">IF(ISNUMBER(K243),K243+K244+N(K245)-K257-K258-K259,"")</f>
        <v>120.604</v>
      </c>
      <c r="L291" s="38" t="n">
        <f aca="false">IF(ISNUMBER(L243),L243+L244+N(L245)-L257-L258-L259,"")</f>
        <v>147.602</v>
      </c>
      <c r="M291" s="38" t="n">
        <f aca="false">IF(ISNUMBER(M243),M243+M244+N(M245)-M257-M258-M259,"")</f>
        <v>147.602</v>
      </c>
      <c r="N291" s="38" t="n">
        <f aca="false">IF(ISNUMBER(N243),N243+N244+N(N245)-N257-N258-N259,"")</f>
        <v>167.961</v>
      </c>
      <c r="O291" s="38" t="n">
        <f aca="false">IF(ISNUMBER(O243),O243+O244+N(O245)-O257-O258-O259,"")</f>
        <v>177.454</v>
      </c>
      <c r="P291" s="38" t="n">
        <f aca="false">IF(ISNUMBER(P243),P243+P244+N(P245)-P257-P258-P259,"")</f>
        <v>177.454</v>
      </c>
      <c r="Q291" s="38" t="n">
        <f aca="false">IF(ISNUMBER(Q243),Q243+Q244+N(Q245)-Q257-Q258-Q259,"")</f>
        <v>207.046</v>
      </c>
      <c r="R291" s="38" t="n">
        <f aca="false">IF(ISNUMBER(R243),R243+R244+N(R245)-R257-R258-R259,"")</f>
        <v>232.038</v>
      </c>
      <c r="S291" s="38" t="n">
        <f aca="false">IF(ISNUMBER(S243),S243+S244+N(S245)-S257-S258-S259,"")</f>
        <v>232.038</v>
      </c>
      <c r="T291" s="39"/>
      <c r="U291" s="39"/>
      <c r="V291" s="39" t="n">
        <f aca="false">IF(ISNUMBER(V243),V243+V244+N(V245)-V257-V258-V259,"")</f>
        <v>241.799694740221</v>
      </c>
      <c r="W291" s="39" t="n">
        <f aca="false">IF(ISNUMBER(W243),W243+W244+N(W245)-W257-W258-W259,"")</f>
        <v>299.461206430687</v>
      </c>
      <c r="X291" s="39" t="n">
        <f aca="false">IF(ISNUMBER(X243),X243+X244+N(X245)-X257-X258-X259,"")</f>
        <v>359.257915609822</v>
      </c>
      <c r="Y291" s="39" t="n">
        <f aca="false">IF(ISNUMBER(Y243),Y243+Y244+N(Y245)-Y257-Y258-Y259,"")</f>
        <v>426.598566045836</v>
      </c>
      <c r="Z291" s="39" t="n">
        <f aca="false">IF(ISNUMBER(Z243),Z243+Z244+N(Z245)-Z257-Z258-Z259,"")</f>
        <v>495.056018241087</v>
      </c>
      <c r="AA291" s="22"/>
      <c r="AB291" s="1"/>
      <c r="AC291" s="23"/>
      <c r="AD291" s="23"/>
    </row>
    <row r="292" customFormat="false" ht="15" hidden="false" customHeight="true" outlineLevel="0" collapsed="false">
      <c r="B292" s="25" t="s">
        <v>377</v>
      </c>
      <c r="C292" s="31" t="n">
        <f aca="false">IFERROR(C291/(C92*IF(LEFT("2022",1)="Q",4,IF(LEFT("2022",2)="1H",2,1))),"")</f>
        <v>0.327634660421546</v>
      </c>
      <c r="D292" s="31" t="n">
        <f aca="false">IFERROR(D291/(D92*IF(LEFT("2023",1)="Q",4,IF(LEFT("2023",2)="1H",2,1))),"")</f>
        <v>0.306638641990702</v>
      </c>
      <c r="E292" s="31" t="str">
        <f aca="false">IFERROR(E291/(E92*IF(LEFT("Q1/24",1)="Q",4,IF(LEFT("Q1/24",2)="1H",2,1))),"")</f>
        <v/>
      </c>
      <c r="F292" s="31" t="str">
        <f aca="false">IFERROR(F291/(F92*IF(LEFT("Q2/24",1)="Q",4,IF(LEFT("Q2/24",2)="1H",2,1))),"")</f>
        <v/>
      </c>
      <c r="G292" s="31" t="str">
        <f aca="false">IFERROR(G291/(G92*IF(LEFT("1H/24",1)="Q",4,IF(LEFT("1H/24",2)="1H",2,1))),"")</f>
        <v/>
      </c>
      <c r="H292" s="31" t="n">
        <f aca="false">IFERROR(H291/(H92*IF(LEFT("Q3/24",1)="Q",4,IF(LEFT("Q3/24",2)="1H",2,1))),"")</f>
        <v>0.284855992927601</v>
      </c>
      <c r="I292" s="31" t="n">
        <f aca="false">IFERROR(I291/(I92*IF(LEFT("Q4/24",1)="Q",4,IF(LEFT("Q4/24",2)="1H",2,1))),"")</f>
        <v>0.281987768254456</v>
      </c>
      <c r="J292" s="31" t="n">
        <f aca="false">IFERROR(J291/(J92*IF(LEFT("2024",1)="Q",4,IF(LEFT("2024",2)="1H",2,1))),"")</f>
        <v>0.29807878905492</v>
      </c>
      <c r="K292" s="31" t="n">
        <f aca="false">IFERROR(K291/(K92*IF(LEFT("Q1/25",1)="Q",4,IF(LEFT("Q1/25",2)="1H",2,1))),"")</f>
        <v>0.301136590627622</v>
      </c>
      <c r="L292" s="31" t="n">
        <f aca="false">IFERROR(L291/(L92*IF(LEFT("Q2/25",1)="Q",4,IF(LEFT("Q2/25",2)="1H",2,1))),"")</f>
        <v>0.320603490968488</v>
      </c>
      <c r="M292" s="31" t="n">
        <f aca="false">IFERROR(M291/(M92*IF(LEFT("1H/25",1)="Q",4,IF(LEFT("1H/25",2)="1H",2,1))),"")</f>
        <v>0.34290798760344</v>
      </c>
      <c r="N292" s="31" t="n">
        <f aca="false">IFERROR(N291/(N92*IF(LEFT("Q3/25",1)="Q",4,IF(LEFT("Q3/25",2)="1H",2,1))),"")</f>
        <v>0.344784336587649</v>
      </c>
      <c r="O292" s="31" t="n">
        <f aca="false">IFERROR(O291/(O92*IF(LEFT("Q4/25",1)="Q",4,IF(LEFT("Q4/25",2)="1H",2,1))),"")</f>
        <v>0.329859768610772</v>
      </c>
      <c r="P292" s="31" t="n">
        <f aca="false">IFERROR(P291/(P92*IF(LEFT("2025",1)="Q",4,IF(LEFT("2025",2)="1H",2,1))),"")</f>
        <v>0.376360551431601</v>
      </c>
      <c r="Q292" s="31" t="n">
        <f aca="false">IFERROR(Q291/(Q92*IF(LEFT("Q1/26",1)="Q",4,IF(LEFT("Q1/26",2)="1H",2,1))),"")</f>
        <v>0.342315323060644</v>
      </c>
      <c r="R292" s="31" t="n">
        <f aca="false">IFERROR(R291/(R92*IF(LEFT("Q2/26",1)="Q",4,IF(LEFT("Q2/26",2)="1H",2,1))),"")</f>
        <v>0.318623223829114</v>
      </c>
      <c r="S292" s="31" t="n">
        <f aca="false">IFERROR(S291/(S92*IF(LEFT("1H/26",1)="Q",4,IF(LEFT("1H/26",2)="1H",2,1))),"")</f>
        <v>0.34812000972176</v>
      </c>
      <c r="T292" s="27"/>
      <c r="U292" s="27"/>
      <c r="V292" s="27" t="n">
        <f aca="false">IFERROR(V291/V92,"")</f>
        <v>0.32261466943325</v>
      </c>
      <c r="W292" s="27" t="n">
        <f aca="false">IFERROR(W291/W92,"")</f>
        <v>0.312520547945206</v>
      </c>
      <c r="X292" s="27" t="n">
        <f aca="false">IFERROR(X291/X92,"")</f>
        <v>0.302520547945205</v>
      </c>
      <c r="Y292" s="27" t="n">
        <f aca="false">IFERROR(Y291/Y92,"")</f>
        <v>0.297520547945206</v>
      </c>
      <c r="Z292" s="27" t="n">
        <f aca="false">IFERROR(Z291/Z92,"")</f>
        <v>0.292520547945205</v>
      </c>
      <c r="AA292" s="22"/>
      <c r="AB292" s="1"/>
      <c r="AC292" s="47"/>
      <c r="AD292" s="47"/>
    </row>
    <row r="293" customFormat="false" ht="15" hidden="false" customHeight="true" outlineLevel="0" collapsed="false">
      <c r="B293" s="29" t="s">
        <v>378</v>
      </c>
      <c r="C293" s="37"/>
      <c r="D293" s="38" t="n">
        <f aca="false">IFERROR(D291-C291,"")</f>
        <v>11.928</v>
      </c>
      <c r="E293" s="37"/>
      <c r="F293" s="37"/>
      <c r="G293" s="38"/>
      <c r="H293" s="37"/>
      <c r="I293" s="37"/>
      <c r="J293" s="38" t="n">
        <f aca="false">IFERROR(J291-D291,"")</f>
        <v>16.837</v>
      </c>
      <c r="K293" s="37"/>
      <c r="L293" s="37"/>
      <c r="M293" s="38" t="str">
        <f aca="false">IFERROR(M291-G291,"")</f>
        <v/>
      </c>
      <c r="N293" s="37"/>
      <c r="O293" s="37"/>
      <c r="P293" s="38" t="n">
        <f aca="false">IFERROR(P291-J291,"")</f>
        <v>74.542</v>
      </c>
      <c r="Q293" s="37"/>
      <c r="R293" s="37"/>
      <c r="S293" s="38" t="n">
        <f aca="false">IFERROR(S291-M291,"")</f>
        <v>84.4359999999999</v>
      </c>
      <c r="T293" s="39"/>
      <c r="U293" s="39"/>
      <c r="V293" s="39" t="n">
        <f aca="false">IFERROR(V291-P291,"")</f>
        <v>64.3456947402205</v>
      </c>
      <c r="W293" s="39" t="n">
        <f aca="false">IFERROR(W291-V291,"")</f>
        <v>57.6615116904665</v>
      </c>
      <c r="X293" s="39" t="n">
        <f aca="false">IFERROR(X291-W291,"")</f>
        <v>59.7967091791348</v>
      </c>
      <c r="Y293" s="39" t="n">
        <f aca="false">IFERROR(Y291-X291,"")</f>
        <v>67.340650436014</v>
      </c>
      <c r="Z293" s="39" t="n">
        <f aca="false">IFERROR(Z291-Y291,"")</f>
        <v>68.4574521952515</v>
      </c>
      <c r="AA293" s="22"/>
      <c r="AB293" s="1"/>
      <c r="AC293" s="23"/>
      <c r="AD293" s="23"/>
    </row>
    <row r="295" customFormat="false" ht="15" hidden="false" customHeight="true" outlineLevel="0" collapsed="false">
      <c r="B295" s="12" t="s">
        <v>379</v>
      </c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 t="s">
        <v>380</v>
      </c>
      <c r="AB295" s="1"/>
      <c r="AC295" s="1"/>
      <c r="AD295" s="1"/>
    </row>
    <row r="296" customFormat="false" ht="15" hidden="false" customHeight="true" outlineLevel="0" collapsed="false">
      <c r="B296" s="16" t="s">
        <v>381</v>
      </c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7"/>
      <c r="AB296" s="1"/>
      <c r="AC296" s="1"/>
      <c r="AD296" s="1"/>
    </row>
    <row r="297" customFormat="false" ht="15" hidden="false" customHeight="true" outlineLevel="0" collapsed="false">
      <c r="B297" s="42" t="s">
        <v>382</v>
      </c>
      <c r="C297" s="38" t="n">
        <f aca="false">N(C66)</f>
        <v>24.856</v>
      </c>
      <c r="D297" s="38" t="n">
        <f aca="false">N(D66)</f>
        <v>14.406</v>
      </c>
      <c r="E297" s="38" t="n">
        <f aca="false">N(E66)</f>
        <v>3.9</v>
      </c>
      <c r="F297" s="38" t="n">
        <f aca="false">N(F66)</f>
        <v>4.4</v>
      </c>
      <c r="G297" s="38" t="n">
        <f aca="false">N(G66)</f>
        <v>8.3</v>
      </c>
      <c r="H297" s="38" t="n">
        <f aca="false">N(H66)</f>
        <v>4.3</v>
      </c>
      <c r="I297" s="38" t="n">
        <f aca="false">N(I66)</f>
        <v>4.3</v>
      </c>
      <c r="J297" s="38" t="n">
        <f aca="false">N(J66)</f>
        <v>16.9</v>
      </c>
      <c r="K297" s="38" t="n">
        <f aca="false">N(K66)</f>
        <v>4.4</v>
      </c>
      <c r="L297" s="38" t="n">
        <f aca="false">N(L66)</f>
        <v>5.5</v>
      </c>
      <c r="M297" s="38" t="n">
        <f aca="false">N(M66)</f>
        <v>9.9</v>
      </c>
      <c r="N297" s="38" t="n">
        <f aca="false">N(N66)</f>
        <v>6</v>
      </c>
      <c r="O297" s="38" t="n">
        <f aca="false">N(O66)</f>
        <v>7.3</v>
      </c>
      <c r="P297" s="38" t="n">
        <f aca="false">N(P66)</f>
        <v>23.2</v>
      </c>
      <c r="Q297" s="38" t="n">
        <f aca="false">N(Q66)</f>
        <v>10.9</v>
      </c>
      <c r="R297" s="38" t="n">
        <f aca="false">N(R66)</f>
        <v>9.2</v>
      </c>
      <c r="S297" s="38" t="n">
        <f aca="false">N(S66)</f>
        <v>20.1</v>
      </c>
      <c r="T297" s="39"/>
      <c r="U297" s="39"/>
      <c r="V297" s="40" t="n">
        <v>38.5</v>
      </c>
      <c r="W297" s="40" t="n">
        <v>33</v>
      </c>
      <c r="X297" s="40" t="n">
        <v>26</v>
      </c>
      <c r="Y297" s="40" t="n">
        <v>24</v>
      </c>
      <c r="Z297" s="40" t="n">
        <v>23.5</v>
      </c>
      <c r="AA297" s="22" t="s">
        <v>383</v>
      </c>
      <c r="AB297" s="1"/>
      <c r="AC297" s="7"/>
      <c r="AD297" s="7"/>
    </row>
    <row r="298" customFormat="false" ht="15" hidden="false" customHeight="true" outlineLevel="0" collapsed="false">
      <c r="B298" s="42" t="s">
        <v>384</v>
      </c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9"/>
      <c r="U298" s="39"/>
      <c r="V298" s="40" t="n">
        <v>0.34</v>
      </c>
      <c r="W298" s="40"/>
      <c r="X298" s="40"/>
      <c r="Y298" s="40"/>
      <c r="Z298" s="40"/>
      <c r="AA298" s="22" t="s">
        <v>385</v>
      </c>
      <c r="AB298" s="1"/>
      <c r="AC298" s="7"/>
      <c r="AD298" s="7"/>
    </row>
    <row r="299" customFormat="false" ht="15" hidden="false" customHeight="true" outlineLevel="0" collapsed="false">
      <c r="B299" s="42" t="s">
        <v>386</v>
      </c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7"/>
      <c r="U299" s="77"/>
      <c r="V299" s="78" t="n">
        <v>0.05</v>
      </c>
      <c r="W299" s="78" t="n">
        <v>0.4</v>
      </c>
      <c r="X299" s="78" t="n">
        <v>0.4</v>
      </c>
      <c r="Y299" s="78" t="n">
        <v>0.4</v>
      </c>
      <c r="Z299" s="78" t="n">
        <v>0.4</v>
      </c>
      <c r="AA299" s="22"/>
      <c r="AB299" s="1"/>
      <c r="AC299" s="7"/>
      <c r="AD299" s="7"/>
    </row>
    <row r="300" customFormat="false" ht="15" hidden="false" customHeight="true" outlineLevel="0" collapsed="false">
      <c r="B300" s="42" t="s">
        <v>387</v>
      </c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9"/>
      <c r="U300" s="39"/>
      <c r="V300" s="40"/>
      <c r="W300" s="40" t="n">
        <v>0.1</v>
      </c>
      <c r="X300" s="40" t="n">
        <v>0.1</v>
      </c>
      <c r="Y300" s="40" t="n">
        <v>0.1</v>
      </c>
      <c r="Z300" s="40" t="n">
        <v>0.1</v>
      </c>
      <c r="AA300" s="22"/>
      <c r="AB300" s="1"/>
      <c r="AC300" s="7"/>
      <c r="AD300" s="7"/>
    </row>
    <row r="301" customFormat="false" ht="15" hidden="false" customHeight="true" outlineLevel="0" collapsed="false">
      <c r="B301" s="42" t="s">
        <v>388</v>
      </c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9"/>
      <c r="U301" s="39"/>
      <c r="V301" s="40" t="n">
        <v>25</v>
      </c>
      <c r="W301" s="41" t="n">
        <f aca="false">W65</f>
        <v>7.94955</v>
      </c>
      <c r="X301" s="41" t="n">
        <f aca="false">X65</f>
        <v>8.3470275</v>
      </c>
      <c r="Y301" s="41" t="n">
        <f aca="false">Y65</f>
        <v>8.764378875</v>
      </c>
      <c r="Z301" s="41" t="n">
        <f aca="false">Z65</f>
        <v>9.20259781875</v>
      </c>
      <c r="AA301" s="22" t="s">
        <v>389</v>
      </c>
      <c r="AB301" s="1"/>
      <c r="AC301" s="7"/>
      <c r="AD301" s="7"/>
    </row>
    <row r="302" customFormat="false" ht="15" hidden="false" customHeight="true" outlineLevel="0" collapsed="false">
      <c r="B302" s="42" t="s">
        <v>390</v>
      </c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9"/>
      <c r="U302" s="39"/>
      <c r="V302" s="40" t="n">
        <v>2</v>
      </c>
      <c r="W302" s="40" t="n">
        <v>2.2</v>
      </c>
      <c r="X302" s="40" t="n">
        <v>2.2</v>
      </c>
      <c r="Y302" s="40" t="n">
        <v>2.2</v>
      </c>
      <c r="Z302" s="40" t="n">
        <v>2.2</v>
      </c>
      <c r="AA302" s="22"/>
      <c r="AB302" s="1"/>
      <c r="AC302" s="7"/>
      <c r="AD302" s="7"/>
    </row>
    <row r="303" customFormat="false" ht="15" hidden="false" customHeight="true" outlineLevel="0" collapsed="false">
      <c r="B303" s="16" t="s">
        <v>391</v>
      </c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7"/>
      <c r="AB303" s="1"/>
      <c r="AC303" s="1"/>
      <c r="AD303" s="1"/>
    </row>
    <row r="304" customFormat="false" ht="15" hidden="false" customHeight="true" outlineLevel="0" collapsed="false">
      <c r="B304" s="42" t="s">
        <v>392</v>
      </c>
      <c r="C304" s="38"/>
      <c r="D304" s="37" t="n">
        <v>308.7</v>
      </c>
      <c r="E304" s="38"/>
      <c r="F304" s="38"/>
      <c r="G304" s="38" t="str">
        <f aca="false">IF(ISNUMBER(F304),F304,"")</f>
        <v/>
      </c>
      <c r="H304" s="38"/>
      <c r="I304" s="38" t="n">
        <f aca="false">IF(ISNUMBER(J304),J304,"")</f>
        <v>326.662</v>
      </c>
      <c r="J304" s="37" t="n">
        <v>326.662</v>
      </c>
      <c r="K304" s="38"/>
      <c r="L304" s="37" t="n">
        <v>375</v>
      </c>
      <c r="M304" s="38" t="n">
        <f aca="false">IF(ISNUMBER(L304),L304,"")</f>
        <v>375</v>
      </c>
      <c r="N304" s="37" t="n">
        <v>374.1</v>
      </c>
      <c r="O304" s="38" t="n">
        <f aca="false">IF(ISNUMBER(P304),P304,"")</f>
        <v>502.8</v>
      </c>
      <c r="P304" s="37" t="n">
        <v>502.8</v>
      </c>
      <c r="Q304" s="37" t="n">
        <v>769.8</v>
      </c>
      <c r="R304" s="37" t="n">
        <v>763.962</v>
      </c>
      <c r="S304" s="38" t="n">
        <f aca="false">IF(ISNUMBER(R304),R304,"")</f>
        <v>763.962</v>
      </c>
      <c r="T304" s="39"/>
      <c r="U304" s="39"/>
      <c r="V304" s="39" t="n">
        <f aca="false">P304+V305+V306</f>
        <v>859.6</v>
      </c>
      <c r="W304" s="39" t="n">
        <f aca="false">V304+W305+W306</f>
        <v>850.96</v>
      </c>
      <c r="X304" s="39" t="n">
        <f aca="false">W304+X305+X306</f>
        <v>842.32</v>
      </c>
      <c r="Y304" s="39" t="n">
        <f aca="false">X304+Y305+Y306</f>
        <v>833.68</v>
      </c>
      <c r="Z304" s="39" t="n">
        <f aca="false">Y304+Z305+Z306</f>
        <v>825.04</v>
      </c>
      <c r="AA304" s="22"/>
      <c r="AB304" s="1"/>
      <c r="AC304" s="7"/>
      <c r="AD304" s="7"/>
    </row>
    <row r="305" customFormat="false" ht="15" hidden="false" customHeight="true" outlineLevel="0" collapsed="false">
      <c r="B305" s="42" t="s">
        <v>393</v>
      </c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9"/>
      <c r="U305" s="39"/>
      <c r="V305" s="40" t="n">
        <v>365</v>
      </c>
      <c r="W305" s="40" t="n">
        <v>0</v>
      </c>
      <c r="X305" s="40" t="n">
        <v>0</v>
      </c>
      <c r="Y305" s="40" t="n">
        <v>0</v>
      </c>
      <c r="Z305" s="40" t="n">
        <v>0</v>
      </c>
      <c r="AA305" s="22" t="s">
        <v>394</v>
      </c>
      <c r="AB305" s="1"/>
      <c r="AC305" s="7"/>
      <c r="AD305" s="7"/>
    </row>
    <row r="306" customFormat="false" ht="15" hidden="false" customHeight="true" outlineLevel="0" collapsed="false">
      <c r="B306" s="42" t="s">
        <v>395</v>
      </c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9"/>
      <c r="U306" s="39"/>
      <c r="V306" s="40" t="n">
        <v>-8.2</v>
      </c>
      <c r="W306" s="40" t="n">
        <v>-8.64</v>
      </c>
      <c r="X306" s="40" t="n">
        <v>-8.64</v>
      </c>
      <c r="Y306" s="40" t="n">
        <v>-8.64</v>
      </c>
      <c r="Z306" s="40" t="n">
        <v>-8.64</v>
      </c>
      <c r="AA306" s="22" t="s">
        <v>396</v>
      </c>
      <c r="AB306" s="1"/>
      <c r="AC306" s="7"/>
      <c r="AD306" s="7"/>
    </row>
    <row r="307" customFormat="false" ht="15" hidden="false" customHeight="true" outlineLevel="0" collapsed="false">
      <c r="B307" s="42" t="s">
        <v>397</v>
      </c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9"/>
      <c r="U307" s="39"/>
      <c r="V307" s="40" t="n">
        <v>-6.4</v>
      </c>
      <c r="W307" s="40" t="n">
        <v>0</v>
      </c>
      <c r="X307" s="40" t="n">
        <v>0</v>
      </c>
      <c r="Y307" s="40" t="n">
        <v>0</v>
      </c>
      <c r="Z307" s="40" t="n">
        <v>0</v>
      </c>
      <c r="AA307" s="22" t="s">
        <v>398</v>
      </c>
      <c r="AB307" s="1"/>
      <c r="AC307" s="7"/>
      <c r="AD307" s="7"/>
    </row>
    <row r="308" customFormat="false" ht="15" hidden="false" customHeight="true" outlineLevel="0" collapsed="false">
      <c r="B308" s="42" t="s">
        <v>399</v>
      </c>
      <c r="C308" s="38" t="n">
        <f aca="false">IF(ISNUMBER(C267),N(C262)+C267,"")</f>
        <v>310.002</v>
      </c>
      <c r="D308" s="38" t="n">
        <f aca="false">IF(ISNUMBER(D267),N(D262)+D267,"")</f>
        <v>304.289</v>
      </c>
      <c r="E308" s="38"/>
      <c r="F308" s="38"/>
      <c r="G308" s="38"/>
      <c r="H308" s="38" t="n">
        <f aca="false">IF(ISNUMBER(H267),N(H262)+H267,"")</f>
        <v>335.037</v>
      </c>
      <c r="I308" s="38" t="n">
        <f aca="false">IF(ISNUMBER(I267),N(I262)+I267,"")</f>
        <v>334.06</v>
      </c>
      <c r="J308" s="38" t="n">
        <f aca="false">IF(ISNUMBER(J267),N(J262)+J267,"")</f>
        <v>334.06</v>
      </c>
      <c r="K308" s="38" t="n">
        <f aca="false">IF(ISNUMBER(K267),N(K262)+K267,"")</f>
        <v>332.559</v>
      </c>
      <c r="L308" s="38" t="n">
        <f aca="false">IF(ISNUMBER(L267),N(L262)+L267,"")</f>
        <v>368.663</v>
      </c>
      <c r="M308" s="38" t="n">
        <f aca="false">IF(ISNUMBER(M267),N(M262)+M267,"")</f>
        <v>368.663</v>
      </c>
      <c r="N308" s="38" t="n">
        <f aca="false">IF(ISNUMBER(N267),N(N262)+N267,"")</f>
        <v>367.96</v>
      </c>
      <c r="O308" s="38" t="n">
        <f aca="false">IF(ISNUMBER(O267),N(O262)+O267,"")</f>
        <v>499.148</v>
      </c>
      <c r="P308" s="38" t="n">
        <f aca="false">IF(ISNUMBER(P267),N(P262)+P267,"")</f>
        <v>499.148</v>
      </c>
      <c r="Q308" s="38" t="n">
        <f aca="false">IF(ISNUMBER(Q267),N(Q262)+Q267,"")</f>
        <v>757.79</v>
      </c>
      <c r="R308" s="38" t="n">
        <f aca="false">IF(ISNUMBER(R267),N(R262)+R267,"")</f>
        <v>756.937</v>
      </c>
      <c r="S308" s="38" t="n">
        <f aca="false">IF(ISNUMBER(S267),N(S262)+S267,"")</f>
        <v>756.937</v>
      </c>
      <c r="T308" s="39"/>
      <c r="U308" s="39"/>
      <c r="V308" s="39" t="n">
        <f aca="false">P308+V305+V306+V307+V302</f>
        <v>851.548</v>
      </c>
      <c r="W308" s="39" t="n">
        <f aca="false">V308+W305+W306+W307+W302</f>
        <v>845.108</v>
      </c>
      <c r="X308" s="39" t="n">
        <f aca="false">W308+X305+X306+X307+X302</f>
        <v>838.668</v>
      </c>
      <c r="Y308" s="39" t="n">
        <f aca="false">X308+Y305+Y306+Y307+Y302</f>
        <v>832.228</v>
      </c>
      <c r="Z308" s="39" t="n">
        <f aca="false">Y308+Z305+Z306+Z307+Z302</f>
        <v>825.788</v>
      </c>
      <c r="AA308" s="22"/>
      <c r="AB308" s="1"/>
      <c r="AC308" s="7"/>
      <c r="AD308" s="7"/>
    </row>
    <row r="309" customFormat="false" ht="15" hidden="false" customHeight="true" outlineLevel="0" collapsed="false">
      <c r="B309" s="42" t="s">
        <v>400</v>
      </c>
      <c r="C309" s="38" t="n">
        <f aca="false">IF(ISNUMBER(C261),C261+C269,"")</f>
        <v>75.16</v>
      </c>
      <c r="D309" s="38" t="n">
        <f aca="false">IF(ISNUMBER(D261),D261+D269,"")</f>
        <v>77.888</v>
      </c>
      <c r="E309" s="38"/>
      <c r="F309" s="38"/>
      <c r="G309" s="38"/>
      <c r="H309" s="38" t="n">
        <f aca="false">IF(ISNUMBER(H261),H261+H269,"")</f>
        <v>80.895</v>
      </c>
      <c r="I309" s="38" t="n">
        <f aca="false">IF(ISNUMBER(I261),I261+I269,"")</f>
        <v>81.937</v>
      </c>
      <c r="J309" s="38" t="n">
        <f aca="false">IF(ISNUMBER(J261),J261+J269,"")</f>
        <v>81.937</v>
      </c>
      <c r="K309" s="38" t="n">
        <f aca="false">IF(ISNUMBER(K261),K261+K269,"")</f>
        <v>80.608</v>
      </c>
      <c r="L309" s="38" t="n">
        <f aca="false">IF(ISNUMBER(L261),L261+L269,"")</f>
        <v>79.642</v>
      </c>
      <c r="M309" s="38" t="n">
        <f aca="false">IF(ISNUMBER(M261),M261+M269,"")</f>
        <v>79.642</v>
      </c>
      <c r="N309" s="38" t="n">
        <f aca="false">IF(ISNUMBER(N261),N261+N269,"")</f>
        <v>78.648</v>
      </c>
      <c r="O309" s="38" t="n">
        <f aca="false">IF(ISNUMBER(O261),O261+O269,"")</f>
        <v>81.396</v>
      </c>
      <c r="P309" s="38" t="n">
        <f aca="false">IF(ISNUMBER(P261),P261+P269,"")</f>
        <v>81.396</v>
      </c>
      <c r="Q309" s="38" t="n">
        <f aca="false">IF(ISNUMBER(Q261),Q261+Q269,"")</f>
        <v>97.748</v>
      </c>
      <c r="R309" s="38" t="n">
        <f aca="false">IF(ISNUMBER(R261),R261+R269,"")</f>
        <v>102.139</v>
      </c>
      <c r="S309" s="38" t="n">
        <f aca="false">IF(ISNUMBER(S261),S261+S269,"")</f>
        <v>102.139</v>
      </c>
      <c r="T309" s="39"/>
      <c r="U309" s="39"/>
      <c r="V309" s="39" t="n">
        <f aca="false">P309+V310+V301</f>
        <v>101.996</v>
      </c>
      <c r="W309" s="39" t="n">
        <f aca="false">V309+W310+W301</f>
        <v>105.35573</v>
      </c>
      <c r="X309" s="39" t="n">
        <f aca="false">W309+X310+X301</f>
        <v>108.96174965</v>
      </c>
      <c r="Y309" s="39" t="n">
        <f aca="false">X309+Y310+Y301</f>
        <v>112.82284979075</v>
      </c>
      <c r="Z309" s="39" t="n">
        <f aca="false">Y309+Z310+Z301</f>
        <v>116.948419368916</v>
      </c>
      <c r="AA309" s="22"/>
      <c r="AB309" s="1"/>
      <c r="AC309" s="7"/>
      <c r="AD309" s="7"/>
    </row>
    <row r="310" customFormat="false" ht="15" hidden="false" customHeight="true" outlineLevel="0" collapsed="false">
      <c r="B310" s="42" t="s">
        <v>401</v>
      </c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9"/>
      <c r="U310" s="39"/>
      <c r="V310" s="40" t="n">
        <v>-4.4</v>
      </c>
      <c r="W310" s="41" t="n">
        <f aca="false">-V309*0.045</f>
        <v>-4.58982</v>
      </c>
      <c r="X310" s="41" t="n">
        <f aca="false">-W309*0.045</f>
        <v>-4.74100785</v>
      </c>
      <c r="Y310" s="41" t="n">
        <f aca="false">-X309*0.045</f>
        <v>-4.90327873425</v>
      </c>
      <c r="Z310" s="41" t="n">
        <f aca="false">-Y309*0.045</f>
        <v>-5.07702824058375</v>
      </c>
      <c r="AA310" s="22"/>
      <c r="AB310" s="1"/>
      <c r="AC310" s="7"/>
      <c r="AD310" s="7"/>
    </row>
    <row r="311" customFormat="false" ht="15" hidden="false" customHeight="true" outlineLevel="0" collapsed="false">
      <c r="B311" s="42" t="s">
        <v>402</v>
      </c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9"/>
      <c r="U311" s="39"/>
      <c r="V311" s="39" t="n">
        <f aca="false">P242+V203+V207+V305+V306+V210+V211+V212+V213+V214-P313</f>
        <v>100.465710280446</v>
      </c>
      <c r="W311" s="39" t="n">
        <f aca="false">V242+W203+W207+W305+W306+W210+W211+W212+W213+W214-V313</f>
        <v>-31.9488437177991</v>
      </c>
      <c r="X311" s="39" t="n">
        <f aca="false">W242+X203+X207+X305+X306+X210+X211+X212+X213+X214-W313</f>
        <v>-146.480059119917</v>
      </c>
      <c r="Y311" s="39" t="n">
        <f aca="false">X242+Y203+Y207+Y305+Y306+Y210+Y211+Y212+Y213+Y214-X313</f>
        <v>-242.600463280284</v>
      </c>
      <c r="Z311" s="39" t="n">
        <f aca="false">Y242+Z203+Z207+Z305+Z306+Z210+Z211+Z212+Z213+Z214-Y313</f>
        <v>-289.541933639817</v>
      </c>
      <c r="AA311" s="22"/>
      <c r="AB311" s="1"/>
      <c r="AC311" s="7"/>
      <c r="AD311" s="7"/>
    </row>
    <row r="312" customFormat="false" ht="15" hidden="false" customHeight="true" outlineLevel="0" collapsed="false">
      <c r="B312" s="42" t="s">
        <v>403</v>
      </c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9"/>
      <c r="U312" s="39"/>
      <c r="V312" s="40" t="n">
        <v>40</v>
      </c>
      <c r="W312" s="40" t="n">
        <v>50</v>
      </c>
      <c r="X312" s="40" t="n">
        <v>50</v>
      </c>
      <c r="Y312" s="40" t="n">
        <v>50</v>
      </c>
      <c r="Z312" s="40" t="n">
        <v>50</v>
      </c>
      <c r="AA312" s="22"/>
      <c r="AB312" s="1"/>
      <c r="AC312" s="7"/>
      <c r="AD312" s="7"/>
    </row>
    <row r="313" customFormat="false" ht="15" hidden="false" customHeight="true" outlineLevel="0" collapsed="false">
      <c r="B313" s="42" t="s">
        <v>404</v>
      </c>
      <c r="C313" s="37" t="n">
        <v>16.5</v>
      </c>
      <c r="D313" s="37" t="n">
        <v>20</v>
      </c>
      <c r="E313" s="38"/>
      <c r="F313" s="38"/>
      <c r="G313" s="38" t="str">
        <f aca="false">IF(ISNUMBER(F313),F313,"")</f>
        <v/>
      </c>
      <c r="H313" s="37" t="n">
        <v>20</v>
      </c>
      <c r="I313" s="38" t="n">
        <f aca="false">IF(ISNUMBER(J313),J313,"")</f>
        <v>25</v>
      </c>
      <c r="J313" s="37" t="n">
        <v>25</v>
      </c>
      <c r="K313" s="37" t="n">
        <v>0</v>
      </c>
      <c r="L313" s="37" t="n">
        <v>30</v>
      </c>
      <c r="M313" s="38" t="n">
        <f aca="false">IF(ISNUMBER(L313),L313,"")</f>
        <v>30</v>
      </c>
      <c r="N313" s="37" t="n">
        <v>30</v>
      </c>
      <c r="O313" s="38" t="n">
        <f aca="false">IF(ISNUMBER(P313),P313,"")</f>
        <v>0</v>
      </c>
      <c r="P313" s="37" t="n">
        <v>0</v>
      </c>
      <c r="Q313" s="38"/>
      <c r="R313" s="38"/>
      <c r="S313" s="38" t="str">
        <f aca="false">IF(ISNUMBER(R313),R313,"")</f>
        <v/>
      </c>
      <c r="T313" s="39"/>
      <c r="U313" s="39"/>
      <c r="V313" s="39" t="n">
        <f aca="false">MAX(0,V312-V311)</f>
        <v>0</v>
      </c>
      <c r="W313" s="39" t="n">
        <f aca="false">MAX(0,W312-W311)</f>
        <v>81.9488437177991</v>
      </c>
      <c r="X313" s="39" t="n">
        <f aca="false">MAX(0,X312-X311)</f>
        <v>196.480059119917</v>
      </c>
      <c r="Y313" s="39" t="n">
        <f aca="false">MAX(0,Y312-Y311)</f>
        <v>292.600463280284</v>
      </c>
      <c r="Z313" s="39" t="n">
        <f aca="false">MAX(0,Z312-Z311)</f>
        <v>339.541933639817</v>
      </c>
      <c r="AA313" s="22" t="s">
        <v>405</v>
      </c>
      <c r="AB313" s="1"/>
      <c r="AC313" s="7"/>
      <c r="AD313" s="7"/>
    </row>
    <row r="314" customFormat="false" ht="15" hidden="false" customHeight="true" outlineLevel="0" collapsed="false">
      <c r="B314" s="42" t="s">
        <v>406</v>
      </c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40" t="n">
        <v>0.0613</v>
      </c>
      <c r="U314" s="40" t="n">
        <v>0.0596</v>
      </c>
      <c r="V314" s="41" t="n">
        <f aca="false">U314</f>
        <v>0.0596</v>
      </c>
      <c r="W314" s="40" t="n">
        <v>0.058</v>
      </c>
      <c r="X314" s="40" t="n">
        <v>0.058</v>
      </c>
      <c r="Y314" s="40" t="n">
        <v>0.058</v>
      </c>
      <c r="Z314" s="40" t="n">
        <v>0.058</v>
      </c>
      <c r="AA314" s="22" t="s">
        <v>407</v>
      </c>
      <c r="AB314" s="1"/>
      <c r="AC314" s="7"/>
      <c r="AD314" s="7"/>
    </row>
    <row r="315" customFormat="false" ht="15" hidden="false" customHeight="true" outlineLevel="0" collapsed="false">
      <c r="B315" s="42" t="s">
        <v>408</v>
      </c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9"/>
      <c r="U315" s="39"/>
      <c r="V315" s="40" t="n">
        <v>0.082</v>
      </c>
      <c r="W315" s="40" t="n">
        <v>0.082</v>
      </c>
      <c r="X315" s="40" t="n">
        <v>0.082</v>
      </c>
      <c r="Y315" s="40" t="n">
        <v>0.082</v>
      </c>
      <c r="Z315" s="40" t="n">
        <v>0.082</v>
      </c>
      <c r="AA315" s="22" t="s">
        <v>409</v>
      </c>
      <c r="AB315" s="1"/>
      <c r="AC315" s="7"/>
      <c r="AD315" s="7"/>
    </row>
    <row r="316" customFormat="false" ht="15" hidden="false" customHeight="true" outlineLevel="0" collapsed="false">
      <c r="B316" s="42" t="s">
        <v>410</v>
      </c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9"/>
      <c r="U316" s="39"/>
      <c r="V316" s="40"/>
      <c r="W316" s="40" t="n">
        <v>0.06</v>
      </c>
      <c r="X316" s="40" t="n">
        <v>0.06</v>
      </c>
      <c r="Y316" s="40" t="n">
        <v>0.06</v>
      </c>
      <c r="Z316" s="40" t="n">
        <v>0.06</v>
      </c>
      <c r="AA316" s="22"/>
      <c r="AB316" s="1"/>
      <c r="AC316" s="7"/>
      <c r="AD316" s="7"/>
    </row>
    <row r="317" customFormat="false" ht="15" hidden="false" customHeight="true" outlineLevel="0" collapsed="false">
      <c r="B317" s="42" t="s">
        <v>411</v>
      </c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9"/>
      <c r="U317" s="39"/>
      <c r="V317" s="40" t="n">
        <v>0.03</v>
      </c>
      <c r="W317" s="40" t="n">
        <v>0.03</v>
      </c>
      <c r="X317" s="40" t="n">
        <v>0.03</v>
      </c>
      <c r="Y317" s="40" t="n">
        <v>0.03</v>
      </c>
      <c r="Z317" s="40" t="n">
        <v>0.03</v>
      </c>
      <c r="AA317" s="22"/>
      <c r="AB317" s="1"/>
      <c r="AC317" s="7"/>
      <c r="AD317" s="7"/>
    </row>
    <row r="318" customFormat="false" ht="15" hidden="false" customHeight="true" outlineLevel="0" collapsed="false">
      <c r="B318" s="16" t="s">
        <v>412</v>
      </c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7"/>
      <c r="AB318" s="1"/>
      <c r="AC318" s="1"/>
      <c r="AD318" s="1"/>
    </row>
    <row r="319" customFormat="false" ht="15" hidden="false" customHeight="true" outlineLevel="0" collapsed="false">
      <c r="B319" s="42" t="s">
        <v>413</v>
      </c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2"/>
      <c r="U319" s="72"/>
      <c r="V319" s="72"/>
      <c r="W319" s="79" t="n">
        <f aca="false">CHOOSE(MATCH($AA$2,{"Bull","Base","Bear"},0),$AH$63,$AI$63,$AJ$63)</f>
        <v>2</v>
      </c>
      <c r="X319" s="79" t="n">
        <f aca="false">CHOOSE(MATCH($AA$2,{"Bull","Base","Bear"},0),$AH$63,$AI$63,$AJ$63)</f>
        <v>2</v>
      </c>
      <c r="Y319" s="79" t="n">
        <f aca="false">CHOOSE(MATCH($AA$2,{"Bull","Base","Bear"},0),$AH$63,$AI$63,$AJ$63)</f>
        <v>2</v>
      </c>
      <c r="Z319" s="79" t="n">
        <f aca="false">CHOOSE(MATCH($AA$2,{"Bull","Base","Bear"},0),$AH$63,$AI$63,$AJ$63)</f>
        <v>2</v>
      </c>
      <c r="AA319" s="22" t="s">
        <v>414</v>
      </c>
      <c r="AB319" s="1"/>
      <c r="AC319" s="7"/>
      <c r="AD319" s="7"/>
    </row>
    <row r="320" customFormat="false" ht="15" hidden="false" customHeight="true" outlineLevel="0" collapsed="false">
      <c r="B320" s="42" t="s">
        <v>415</v>
      </c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9"/>
      <c r="U320" s="39"/>
      <c r="V320" s="39"/>
      <c r="W320" s="39" t="n">
        <f aca="false">W308+W309+V313-(V242+W203+W207+W305+W306+W210+W211+W212+W214)</f>
        <v>982.412573717799</v>
      </c>
      <c r="X320" s="39" t="n">
        <f aca="false">X308+X309+W313-(W242+X203+X207+X305+X306+X210+X211+X212+X214)</f>
        <v>1094.10980876992</v>
      </c>
      <c r="Y320" s="39" t="n">
        <f aca="false">Y308+Y309+X313-(X242+Y203+Y207+Y305+Y306+Y210+Y211+Y212+Y214)</f>
        <v>1187.65131307103</v>
      </c>
      <c r="Z320" s="39" t="n">
        <f aca="false">Z308+Z309+Y313-(Y242+Z203+Z207+Z305+Z306+Z210+Z211+Z212+Z214)</f>
        <v>1232.27835300873</v>
      </c>
      <c r="AA320" s="22" t="s">
        <v>416</v>
      </c>
      <c r="AB320" s="1"/>
      <c r="AC320" s="7"/>
      <c r="AD320" s="7"/>
    </row>
    <row r="321" customFormat="false" ht="15" hidden="false" customHeight="true" outlineLevel="0" collapsed="false">
      <c r="B321" s="42" t="s">
        <v>417</v>
      </c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9"/>
      <c r="U321" s="39"/>
      <c r="V321" s="39"/>
      <c r="W321" s="39" t="n">
        <f aca="false">W319*W146</f>
        <v>570.329471122625</v>
      </c>
      <c r="X321" s="39" t="n">
        <f aca="false">X319*X146</f>
        <v>708.697757089954</v>
      </c>
      <c r="Y321" s="39" t="n">
        <f aca="false">Y319*Y146</f>
        <v>857.672057197431</v>
      </c>
      <c r="Z321" s="39" t="n">
        <f aca="false">Z319*Z146</f>
        <v>1017.01269106986</v>
      </c>
      <c r="AA321" s="22"/>
      <c r="AB321" s="1"/>
      <c r="AC321" s="7"/>
      <c r="AD321" s="7"/>
    </row>
    <row r="322" customFormat="false" ht="15" hidden="false" customHeight="true" outlineLevel="0" collapsed="false">
      <c r="B322" s="42" t="s">
        <v>418</v>
      </c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9"/>
      <c r="U322" s="39"/>
      <c r="V322" s="39"/>
      <c r="W322" s="39" t="n">
        <f aca="false">MAX(0,W321-W320)</f>
        <v>0</v>
      </c>
      <c r="X322" s="39" t="n">
        <f aca="false">MAX(0,X321-X320)</f>
        <v>0</v>
      </c>
      <c r="Y322" s="39" t="n">
        <f aca="false">MAX(0,Y321-Y320)</f>
        <v>0</v>
      </c>
      <c r="Z322" s="39" t="n">
        <f aca="false">MAX(0,Z321-Z320)</f>
        <v>0</v>
      </c>
      <c r="AA322" s="22"/>
      <c r="AB322" s="1"/>
      <c r="AC322" s="7"/>
      <c r="AD322" s="7"/>
    </row>
    <row r="323" customFormat="false" ht="15" hidden="false" customHeight="true" outlineLevel="0" collapsed="false">
      <c r="B323" s="16" t="s">
        <v>419</v>
      </c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7"/>
      <c r="AB323" s="1"/>
      <c r="AC323" s="1"/>
      <c r="AD323" s="1"/>
    </row>
    <row r="324" customFormat="false" ht="15" hidden="false" customHeight="true" outlineLevel="0" collapsed="false">
      <c r="B324" s="25" t="s">
        <v>420</v>
      </c>
      <c r="C324" s="31" t="n">
        <f aca="false">IFERROR(C106/C92,"")</f>
        <v>0.154575582166055</v>
      </c>
      <c r="D324" s="31" t="n">
        <f aca="false">IFERROR(D106/D92,"")</f>
        <v>0.0968240679717141</v>
      </c>
      <c r="E324" s="31" t="n">
        <f aca="false">IFERROR(E106/E92,"")</f>
        <v>0.0885478158205431</v>
      </c>
      <c r="F324" s="31" t="n">
        <f aca="false">IFERROR(F106/F92,"")</f>
        <v>0.0976728324651042</v>
      </c>
      <c r="G324" s="31" t="n">
        <f aca="false">IFERROR(G106/G92,"")</f>
        <v>0.0931655211401708</v>
      </c>
      <c r="H324" s="31" t="n">
        <f aca="false">IFERROR(H106/H92,"")</f>
        <v>0.0946398659966499</v>
      </c>
      <c r="I324" s="31" t="n">
        <f aca="false">IFERROR(I106/I92,"")</f>
        <v>0.100484447269778</v>
      </c>
      <c r="J324" s="31" t="n">
        <f aca="false">IFERROR(J106/J92,"")</f>
        <v>0.0954638799018685</v>
      </c>
      <c r="K324" s="31" t="n">
        <f aca="false">IFERROR(K106/K92,"")</f>
        <v>0.0885801606008549</v>
      </c>
      <c r="L324" s="31" t="n">
        <f aca="false">IFERROR(L106/L92,"")</f>
        <v>0.0895505530118074</v>
      </c>
      <c r="M324" s="31" t="n">
        <f aca="false">IFERROR(M106/M92,"")</f>
        <v>0.0890991120754945</v>
      </c>
      <c r="N324" s="31" t="n">
        <f aca="false">IFERROR(N106/N92,"")</f>
        <v>0.0900752953927759</v>
      </c>
      <c r="O324" s="31" t="n">
        <f aca="false">IFERROR(O106/O92,"")</f>
        <v>0.0936189513130893</v>
      </c>
      <c r="P324" s="31" t="n">
        <f aca="false">IFERROR(P106/P92,"")</f>
        <v>0.0906405090137858</v>
      </c>
      <c r="Q324" s="31" t="n">
        <f aca="false">IFERROR(Q106/Q92,"")</f>
        <v>0.109992725348853</v>
      </c>
      <c r="R324" s="31" t="n">
        <f aca="false">IFERROR(R106/R92,"")</f>
        <v>0.0833557614671844</v>
      </c>
      <c r="S324" s="31" t="n">
        <f aca="false">IFERROR(S106/S92,"")</f>
        <v>0.0954412748707516</v>
      </c>
      <c r="T324" s="27" t="n">
        <f aca="false">IFERROR(T106/T92,"")</f>
        <v>0.0801427783238861</v>
      </c>
      <c r="U324" s="27" t="n">
        <f aca="false">IFERROR(U106/U92,"")</f>
        <v>0.0741547643930813</v>
      </c>
      <c r="V324" s="27" t="n">
        <f aca="false">IFERROR(V106/V92,"")</f>
        <v>0.085178704736491</v>
      </c>
      <c r="W324" s="27" t="n">
        <f aca="false">IFERROR(W106/W92,"")</f>
        <v>0.0743667319407864</v>
      </c>
      <c r="X324" s="27" t="n">
        <f aca="false">IFERROR(X106/X92,"")</f>
        <v>0.0677905160903468</v>
      </c>
      <c r="Y324" s="27" t="n">
        <f aca="false">IFERROR(Y106/Y92,"")</f>
        <v>0.0667196698677567</v>
      </c>
      <c r="Z324" s="27" t="n">
        <f aca="false">IFERROR(Z106/Z92,"")</f>
        <v>0.0671549683457108</v>
      </c>
      <c r="AA324" s="22"/>
      <c r="AB324" s="1"/>
      <c r="AC324" s="28" t="n">
        <f aca="false">IFERROR(AVERAGE(V324,W324,X324,Y324,Z324),"n/m")</f>
        <v>0.0722421181962183</v>
      </c>
      <c r="AD324" s="28" t="n">
        <f aca="false">IFERROR(AVERAGE(C324,D324,J324,P324),"n/m")</f>
        <v>0.109376009763356</v>
      </c>
    </row>
    <row r="325" customFormat="false" ht="15" hidden="false" customHeight="true" outlineLevel="0" collapsed="false">
      <c r="B325" s="25" t="s">
        <v>421</v>
      </c>
      <c r="C325" s="31" t="n">
        <f aca="false">IFERROR(C66/C92,"")</f>
        <v>0.109831646856082</v>
      </c>
      <c r="D325" s="31" t="n">
        <f aca="false">IFERROR(D66/D92,"")</f>
        <v>0.0513207816034627</v>
      </c>
      <c r="E325" s="31" t="n">
        <f aca="false">IFERROR(E66/E92,"")</f>
        <v>0.0469845553333494</v>
      </c>
      <c r="F325" s="31" t="n">
        <f aca="false">IFERROR(F66/F92,"")</f>
        <v>0.0517409659097591</v>
      </c>
      <c r="G325" s="31" t="n">
        <f aca="false">IFERROR(G66/G92,"")</f>
        <v>0.049391532030111</v>
      </c>
      <c r="H325" s="31" t="n">
        <f aca="false">IFERROR(H66/H92,"")</f>
        <v>0.0500186115764005</v>
      </c>
      <c r="I325" s="31" t="n">
        <f aca="false">IFERROR(I66/I92,"")</f>
        <v>0.0471294855213836</v>
      </c>
      <c r="J325" s="31" t="n">
        <f aca="false">IFERROR(J66/J92,"")</f>
        <v>0.048949894424636</v>
      </c>
      <c r="K325" s="31" t="n">
        <f aca="false">IFERROR(K66/K92,"")</f>
        <v>0.0439455075706125</v>
      </c>
      <c r="L325" s="31" t="n">
        <f aca="false">IFERROR(L66/L92,"")</f>
        <v>0.0477857806893316</v>
      </c>
      <c r="M325" s="31" t="n">
        <f aca="false">IFERROR(M66/M92,"")</f>
        <v>0.0459992286998016</v>
      </c>
      <c r="N325" s="31" t="n">
        <f aca="false">IFERROR(N66/N92,"")</f>
        <v>0.0492663420562129</v>
      </c>
      <c r="O325" s="31" t="n">
        <f aca="false">IFERROR(O66/O92,"")</f>
        <v>0.0542783213871457</v>
      </c>
      <c r="P325" s="31" t="n">
        <f aca="false">IFERROR(P66/P92,"")</f>
        <v>0.0492046659597031</v>
      </c>
      <c r="Q325" s="31" t="n">
        <f aca="false">IFERROR(Q66/Q92,"")</f>
        <v>0.072085179551617</v>
      </c>
      <c r="R325" s="31" t="n">
        <f aca="false">IFERROR(R66/R92,"")</f>
        <v>0.0505319587175868</v>
      </c>
      <c r="S325" s="31" t="n">
        <f aca="false">IFERROR(S66/S92,"")</f>
        <v>0.0603109162758459</v>
      </c>
      <c r="T325" s="27" t="n">
        <f aca="false">IFERROR(T66/T92,"")</f>
        <v>0.0486785204361945</v>
      </c>
      <c r="U325" s="27" t="n">
        <f aca="false">IFERROR(U66/U92,"")</f>
        <v>0.0456314231789306</v>
      </c>
      <c r="V325" s="27" t="n">
        <f aca="false">IFERROR(V66/V92,"")</f>
        <v>0.0529519679786524</v>
      </c>
      <c r="W325" s="27" t="n">
        <f aca="false">IFERROR(W66/W92,"")</f>
        <v>0.042070506357748</v>
      </c>
      <c r="X325" s="27" t="n">
        <f aca="false">IFERROR(X66/X92,"")</f>
        <v>0.0347617291846293</v>
      </c>
      <c r="Y325" s="27" t="n">
        <f aca="false">IFERROR(Y66/Y92,"")</f>
        <v>0.0336071720470087</v>
      </c>
      <c r="Z325" s="27" t="n">
        <f aca="false">IFERROR(Z66/Z92,"")</f>
        <v>0.0337173029961924</v>
      </c>
      <c r="AA325" s="22"/>
      <c r="AB325" s="1"/>
      <c r="AC325" s="28" t="n">
        <f aca="false">IFERROR(AVERAGE(V325,W325,X325,Y325,Z325),"n/m")</f>
        <v>0.0394217357128461</v>
      </c>
      <c r="AD325" s="28" t="n">
        <f aca="false">IFERROR(AVERAGE(C325,D325,J325,P325),"n/m")</f>
        <v>0.064826747210971</v>
      </c>
    </row>
    <row r="326" customFormat="false" ht="15" hidden="false" customHeight="true" outlineLevel="0" collapsed="false">
      <c r="B326" s="25" t="s">
        <v>422</v>
      </c>
      <c r="C326" s="31"/>
      <c r="D326" s="31" t="n">
        <f aca="false">IFERROR(D98/AVERAGE(D308+D309+N(D266),C308+C309+N(C266)),"")</f>
        <v>0.119095988126976</v>
      </c>
      <c r="E326" s="31"/>
      <c r="F326" s="31"/>
      <c r="G326" s="31"/>
      <c r="H326" s="31"/>
      <c r="I326" s="31"/>
      <c r="J326" s="31" t="n">
        <f aca="false">IFERROR(J98/AVERAGE(J308+J309+N(J266),D308+D309+N(D266)),"")</f>
        <v>0.12033815084431</v>
      </c>
      <c r="K326" s="31"/>
      <c r="L326" s="31"/>
      <c r="M326" s="31"/>
      <c r="N326" s="31"/>
      <c r="O326" s="31"/>
      <c r="P326" s="31" t="n">
        <f aca="false">IFERROR(P98/AVERAGE(P308+P309+N(P266),J308+J309+N(J266)),"")</f>
        <v>0.0872544518526423</v>
      </c>
      <c r="Q326" s="31"/>
      <c r="R326" s="31"/>
      <c r="S326" s="31"/>
      <c r="T326" s="27"/>
      <c r="U326" s="27"/>
      <c r="V326" s="27" t="n">
        <f aca="false">IFERROR(V98/AVERAGE(V308+V309+N(V266),P308+P309+N(P266)),"")</f>
        <v>0.0758030699455746</v>
      </c>
      <c r="W326" s="27" t="n">
        <f aca="false">IFERROR(W98/AVERAGE(W308+W309+N(W266),V308+V309+N(V266)),"")</f>
        <v>0.0575601112813743</v>
      </c>
      <c r="X326" s="27" t="n">
        <f aca="false">IFERROR(X98/AVERAGE(X308+X309+N(X266),W308+W309+N(W266)),"")</f>
        <v>0.0582224386873959</v>
      </c>
      <c r="Y326" s="27" t="n">
        <f aca="false">IFERROR(Y98/AVERAGE(Y308+Y309+N(Y266),X308+X309+N(X266)),"")</f>
        <v>0.0588032665210086</v>
      </c>
      <c r="Z326" s="27" t="n">
        <f aca="false">IFERROR(Z98/AVERAGE(Z308+Z309+N(Z266),Y308+Y309+N(Y266)),"")</f>
        <v>0.0600099141634258</v>
      </c>
      <c r="AA326" s="22"/>
      <c r="AB326" s="1"/>
      <c r="AC326" s="47"/>
      <c r="AD326" s="47"/>
    </row>
    <row r="328" customFormat="false" ht="15" hidden="false" customHeight="true" outlineLevel="0" collapsed="false">
      <c r="B328" s="12" t="s">
        <v>423</v>
      </c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"/>
      <c r="AC328" s="1"/>
      <c r="AD328" s="1"/>
    </row>
    <row r="329" customFormat="false" ht="15" hidden="false" customHeight="true" outlineLevel="0" collapsed="false">
      <c r="B329" s="16" t="s">
        <v>424</v>
      </c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7"/>
      <c r="AB329" s="1"/>
      <c r="AC329" s="1"/>
      <c r="AD329" s="1"/>
    </row>
    <row r="330" customFormat="false" ht="15" hidden="false" customHeight="true" outlineLevel="0" collapsed="false">
      <c r="B330" s="29" t="s">
        <v>425</v>
      </c>
      <c r="C330" s="38" t="n">
        <f aca="false">C124</f>
        <v>50.371</v>
      </c>
      <c r="D330" s="38" t="n">
        <f aca="false">D124</f>
        <v>68.525</v>
      </c>
      <c r="E330" s="37"/>
      <c r="F330" s="37"/>
      <c r="G330" s="38"/>
      <c r="H330" s="37"/>
      <c r="I330" s="37"/>
      <c r="J330" s="38" t="n">
        <f aca="false">J124</f>
        <v>88.584</v>
      </c>
      <c r="K330" s="37"/>
      <c r="L330" s="37"/>
      <c r="M330" s="38"/>
      <c r="N330" s="37"/>
      <c r="O330" s="37"/>
      <c r="P330" s="38" t="n">
        <f aca="false">P124</f>
        <v>121.618</v>
      </c>
      <c r="Q330" s="37"/>
      <c r="R330" s="37"/>
      <c r="S330" s="38"/>
      <c r="T330" s="39"/>
      <c r="U330" s="39"/>
      <c r="V330" s="39" t="n">
        <f aca="false">V124</f>
        <v>198.2900608</v>
      </c>
      <c r="W330" s="39" t="n">
        <f aca="false">W124</f>
        <v>254.218077046078</v>
      </c>
      <c r="X330" s="39" t="n">
        <f aca="false">X124</f>
        <v>315.125582079779</v>
      </c>
      <c r="Y330" s="39" t="n">
        <f aca="false">Y124</f>
        <v>381.357815123764</v>
      </c>
      <c r="Z330" s="39" t="n">
        <f aca="false">Z124</f>
        <v>451.917098784607</v>
      </c>
      <c r="AA330" s="22"/>
      <c r="AB330" s="1"/>
      <c r="AC330" s="23"/>
      <c r="AD330" s="23"/>
    </row>
    <row r="331" customFormat="false" ht="15" hidden="false" customHeight="true" outlineLevel="0" collapsed="false">
      <c r="B331" s="25" t="s">
        <v>426</v>
      </c>
      <c r="C331" s="31" t="n">
        <f aca="false">C174</f>
        <v>0.25</v>
      </c>
      <c r="D331" s="31" t="n">
        <f aca="false">D174</f>
        <v>0.25</v>
      </c>
      <c r="E331" s="31"/>
      <c r="F331" s="31"/>
      <c r="G331" s="31"/>
      <c r="H331" s="31"/>
      <c r="I331" s="31"/>
      <c r="J331" s="31" t="n">
        <f aca="false">J174</f>
        <v>0.25</v>
      </c>
      <c r="K331" s="31"/>
      <c r="L331" s="31"/>
      <c r="M331" s="31"/>
      <c r="N331" s="31"/>
      <c r="O331" s="31"/>
      <c r="P331" s="31" t="n">
        <f aca="false">P174</f>
        <v>0.25</v>
      </c>
      <c r="Q331" s="31"/>
      <c r="R331" s="31"/>
      <c r="S331" s="31"/>
      <c r="T331" s="27"/>
      <c r="U331" s="27"/>
      <c r="V331" s="27" t="n">
        <f aca="false">V174</f>
        <v>0.24</v>
      </c>
      <c r="W331" s="27" t="n">
        <f aca="false">W174</f>
        <v>0.245</v>
      </c>
      <c r="X331" s="27" t="n">
        <f aca="false">X174</f>
        <v>0.245</v>
      </c>
      <c r="Y331" s="27" t="n">
        <f aca="false">Y174</f>
        <v>0.245</v>
      </c>
      <c r="Z331" s="27" t="n">
        <f aca="false">Z174</f>
        <v>0.245</v>
      </c>
      <c r="AA331" s="22"/>
      <c r="AB331" s="1"/>
      <c r="AC331" s="47"/>
      <c r="AD331" s="47"/>
    </row>
    <row r="332" customFormat="false" ht="15" hidden="false" customHeight="true" outlineLevel="0" collapsed="false">
      <c r="B332" s="29" t="s">
        <v>427</v>
      </c>
      <c r="C332" s="38" t="n">
        <f aca="false">IFERROR(C330*(1-C331),"n/a")</f>
        <v>37.77825</v>
      </c>
      <c r="D332" s="38" t="n">
        <f aca="false">IFERROR(D330*(1-D331),"n/a")</f>
        <v>51.39375</v>
      </c>
      <c r="E332" s="37"/>
      <c r="F332" s="37"/>
      <c r="G332" s="38"/>
      <c r="H332" s="37"/>
      <c r="I332" s="37"/>
      <c r="J332" s="38" t="n">
        <f aca="false">IFERROR(J330*(1-J331),"n/a")</f>
        <v>66.438</v>
      </c>
      <c r="K332" s="37"/>
      <c r="L332" s="37"/>
      <c r="M332" s="38"/>
      <c r="N332" s="37"/>
      <c r="O332" s="37"/>
      <c r="P332" s="38" t="n">
        <f aca="false">IFERROR(P330*(1-P331),"n/a")</f>
        <v>91.2135</v>
      </c>
      <c r="Q332" s="37"/>
      <c r="R332" s="37"/>
      <c r="S332" s="38"/>
      <c r="T332" s="39"/>
      <c r="U332" s="39"/>
      <c r="V332" s="39" t="n">
        <f aca="false">IFERROR(V330*(1-V331),"n/a")</f>
        <v>150.700446208</v>
      </c>
      <c r="W332" s="39" t="n">
        <f aca="false">IFERROR(W330*(1-W331),"n/a")</f>
        <v>191.934648169789</v>
      </c>
      <c r="X332" s="39" t="n">
        <f aca="false">IFERROR(X330*(1-X331),"n/a")</f>
        <v>237.919814470233</v>
      </c>
      <c r="Y332" s="39" t="n">
        <f aca="false">IFERROR(Y330*(1-Y331),"n/a")</f>
        <v>287.925150418442</v>
      </c>
      <c r="Z332" s="39" t="n">
        <f aca="false">IFERROR(Z330*(1-Z331),"n/a")</f>
        <v>341.197409582378</v>
      </c>
      <c r="AA332" s="22"/>
      <c r="AB332" s="1"/>
      <c r="AC332" s="23"/>
      <c r="AD332" s="23"/>
    </row>
    <row r="333" customFormat="false" ht="15" hidden="false" customHeight="true" outlineLevel="0" collapsed="false">
      <c r="B333" s="29" t="s">
        <v>428</v>
      </c>
      <c r="C333" s="38" t="n">
        <f aca="false">IFERROR(C334+C335,"n/a")</f>
        <v>572.633</v>
      </c>
      <c r="D333" s="38" t="n">
        <f aca="false">IFERROR(D334+D335,"n/a")</f>
        <v>579.181</v>
      </c>
      <c r="E333" s="37"/>
      <c r="F333" s="37"/>
      <c r="G333" s="38"/>
      <c r="H333" s="37"/>
      <c r="I333" s="37"/>
      <c r="J333" s="38" t="n">
        <f aca="false">IFERROR(J334+J335,"n/a")</f>
        <v>625.463</v>
      </c>
      <c r="K333" s="37"/>
      <c r="L333" s="37"/>
      <c r="M333" s="38"/>
      <c r="N333" s="37"/>
      <c r="O333" s="37"/>
      <c r="P333" s="38" t="n">
        <f aca="false">IFERROR(P334+P335,"n/a")</f>
        <v>929.276</v>
      </c>
      <c r="Q333" s="37"/>
      <c r="R333" s="37"/>
      <c r="S333" s="38"/>
      <c r="T333" s="39"/>
      <c r="U333" s="39"/>
      <c r="V333" s="39" t="n">
        <f aca="false">IFERROR(V334+V335,"n/a")</f>
        <v>1298.89325554022</v>
      </c>
      <c r="W333" s="39" t="n">
        <f aca="false">IFERROR(W334+W335,"n/a")</f>
        <v>1542.41161218152</v>
      </c>
      <c r="X333" s="39" t="n">
        <f aca="false">IFERROR(X334+X335,"n/a")</f>
        <v>1808.74494214961</v>
      </c>
      <c r="Y333" s="39" t="n">
        <f aca="false">IFERROR(Y334+Y335,"n/a")</f>
        <v>2096.59698339301</v>
      </c>
      <c r="Z333" s="39" t="n">
        <f aca="false">IFERROR(Z334+Z335,"n/a")</f>
        <v>2378.39797282116</v>
      </c>
      <c r="AA333" s="22"/>
      <c r="AB333" s="1"/>
      <c r="AC333" s="23"/>
      <c r="AD333" s="23"/>
    </row>
    <row r="334" customFormat="false" ht="15" hidden="false" customHeight="true" outlineLevel="0" collapsed="false">
      <c r="B334" s="29" t="s">
        <v>429</v>
      </c>
      <c r="C334" s="38" t="n">
        <f aca="false">C277</f>
        <v>177.597</v>
      </c>
      <c r="D334" s="38" t="n">
        <f aca="false">D277</f>
        <v>182.459</v>
      </c>
      <c r="E334" s="37"/>
      <c r="F334" s="37"/>
      <c r="G334" s="38"/>
      <c r="H334" s="37"/>
      <c r="I334" s="37"/>
      <c r="J334" s="38" t="n">
        <f aca="false">J277</f>
        <v>195.996</v>
      </c>
      <c r="K334" s="37"/>
      <c r="L334" s="37"/>
      <c r="M334" s="38"/>
      <c r="N334" s="37"/>
      <c r="O334" s="37"/>
      <c r="P334" s="38" t="n">
        <f aca="false">P277</f>
        <v>382.691</v>
      </c>
      <c r="Q334" s="37"/>
      <c r="R334" s="37"/>
      <c r="S334" s="38"/>
      <c r="T334" s="39"/>
      <c r="U334" s="39"/>
      <c r="V334" s="39" t="n">
        <f aca="false">V277</f>
        <v>445.814965820667</v>
      </c>
      <c r="W334" s="39" t="n">
        <f aca="false">W277</f>
        <v>559.999038463718</v>
      </c>
      <c r="X334" s="39" t="n">
        <f aca="false">X277</f>
        <v>714.635133379688</v>
      </c>
      <c r="Y334" s="39" t="n">
        <f aca="false">Y277</f>
        <v>908.945670321978</v>
      </c>
      <c r="Z334" s="39" t="n">
        <f aca="false">Z277</f>
        <v>1146.11961981242</v>
      </c>
      <c r="AA334" s="22"/>
      <c r="AB334" s="1"/>
      <c r="AC334" s="23"/>
      <c r="AD334" s="23"/>
    </row>
    <row r="335" customFormat="false" ht="15" hidden="false" customHeight="true" outlineLevel="0" collapsed="false">
      <c r="B335" s="29" t="s">
        <v>430</v>
      </c>
      <c r="C335" s="38" t="n">
        <f aca="false">C356</f>
        <v>395.036</v>
      </c>
      <c r="D335" s="38" t="n">
        <f aca="false">D356</f>
        <v>396.722</v>
      </c>
      <c r="E335" s="37"/>
      <c r="F335" s="37"/>
      <c r="G335" s="38"/>
      <c r="H335" s="37"/>
      <c r="I335" s="37"/>
      <c r="J335" s="38" t="n">
        <f aca="false">J356</f>
        <v>429.467</v>
      </c>
      <c r="K335" s="37"/>
      <c r="L335" s="37"/>
      <c r="M335" s="38"/>
      <c r="N335" s="37"/>
      <c r="O335" s="37"/>
      <c r="P335" s="38" t="n">
        <f aca="false">P356</f>
        <v>546.585</v>
      </c>
      <c r="Q335" s="37"/>
      <c r="R335" s="37"/>
      <c r="S335" s="38"/>
      <c r="T335" s="39"/>
      <c r="U335" s="39"/>
      <c r="V335" s="39" t="n">
        <f aca="false">V356</f>
        <v>853.078289719554</v>
      </c>
      <c r="W335" s="39" t="n">
        <f aca="false">W356</f>
        <v>982.412573717799</v>
      </c>
      <c r="X335" s="39" t="n">
        <f aca="false">X356</f>
        <v>1094.10980876992</v>
      </c>
      <c r="Y335" s="39" t="n">
        <f aca="false">Y356</f>
        <v>1187.65131307103</v>
      </c>
      <c r="Z335" s="39" t="n">
        <f aca="false">Z356</f>
        <v>1232.27835300873</v>
      </c>
      <c r="AA335" s="22"/>
      <c r="AB335" s="1"/>
      <c r="AC335" s="23"/>
      <c r="AD335" s="23"/>
    </row>
    <row r="336" customFormat="false" ht="15" hidden="false" customHeight="true" outlineLevel="0" collapsed="false">
      <c r="B336" s="51" t="s">
        <v>431</v>
      </c>
      <c r="C336" s="80" t="n">
        <f aca="false">IFERROR(C332/C333,"n/a")</f>
        <v>0.0659728831555289</v>
      </c>
      <c r="D336" s="80" t="n">
        <f aca="false">IFERROR(D332/D333,"n/a")</f>
        <v>0.0887352140349908</v>
      </c>
      <c r="E336" s="81"/>
      <c r="F336" s="81"/>
      <c r="G336" s="81"/>
      <c r="H336" s="81"/>
      <c r="I336" s="81"/>
      <c r="J336" s="80" t="n">
        <f aca="false">IFERROR(J332/J333,"n/a")</f>
        <v>0.106222110660423</v>
      </c>
      <c r="K336" s="81"/>
      <c r="L336" s="81"/>
      <c r="M336" s="81"/>
      <c r="N336" s="81"/>
      <c r="O336" s="81"/>
      <c r="P336" s="80" t="n">
        <f aca="false">IFERROR(P332/P333,"n/a")</f>
        <v>0.0981554457448594</v>
      </c>
      <c r="Q336" s="81"/>
      <c r="R336" s="81"/>
      <c r="S336" s="81"/>
      <c r="T336" s="80"/>
      <c r="U336" s="80"/>
      <c r="V336" s="80" t="n">
        <f aca="false">IFERROR(V332/V333,"n/a")</f>
        <v>0.116022194714778</v>
      </c>
      <c r="W336" s="80" t="n">
        <f aca="false">IFERROR(W332/W333,"n/a")</f>
        <v>0.124438020729321</v>
      </c>
      <c r="X336" s="80" t="n">
        <f aca="false">IFERROR(X332/X333,"n/a")</f>
        <v>0.131538620468775</v>
      </c>
      <c r="Y336" s="80" t="n">
        <f aca="false">IFERROR(Y332/Y333,"n/a")</f>
        <v>0.137329755169484</v>
      </c>
      <c r="Z336" s="80" t="n">
        <f aca="false">IFERROR(Z332/Z333,"n/a")</f>
        <v>0.143456819876811</v>
      </c>
      <c r="AA336" s="22"/>
      <c r="AB336" s="1"/>
      <c r="AC336" s="47"/>
      <c r="AD336" s="47"/>
    </row>
    <row r="337" customFormat="false" ht="15" hidden="false" customHeight="true" outlineLevel="0" collapsed="false">
      <c r="B337" s="25" t="s">
        <v>432</v>
      </c>
      <c r="C337" s="31" t="n">
        <f aca="false">IFERROR(C330/C92,"n/a")</f>
        <v>0.22257522866864</v>
      </c>
      <c r="D337" s="31" t="n">
        <f aca="false">IFERROR(D330/D92,"n/a")</f>
        <v>0.244117489891523</v>
      </c>
      <c r="E337" s="31"/>
      <c r="F337" s="31"/>
      <c r="G337" s="31"/>
      <c r="H337" s="31"/>
      <c r="I337" s="31"/>
      <c r="J337" s="31" t="n">
        <f aca="false">IFERROR(J330/J92,"n/a")</f>
        <v>0.256578547201891</v>
      </c>
      <c r="K337" s="31"/>
      <c r="L337" s="31"/>
      <c r="M337" s="31"/>
      <c r="N337" s="31"/>
      <c r="O337" s="31"/>
      <c r="P337" s="31" t="n">
        <f aca="false">IFERROR(P330/P92,"n/a")</f>
        <v>0.25793849416755</v>
      </c>
      <c r="Q337" s="31"/>
      <c r="R337" s="31"/>
      <c r="S337" s="31"/>
      <c r="T337" s="27"/>
      <c r="U337" s="27"/>
      <c r="V337" s="27" t="n">
        <f aca="false">IFERROR(V330/V92,"n/a")</f>
        <v>0.264563123148766</v>
      </c>
      <c r="W337" s="27" t="n">
        <f aca="false">IFERROR(W330/W92,"n/a")</f>
        <v>0.265304390117742</v>
      </c>
      <c r="X337" s="27" t="n">
        <f aca="false">IFERROR(X330/X92,"n/a")</f>
        <v>0.26535800498788</v>
      </c>
      <c r="Y337" s="27" t="n">
        <f aca="false">IFERROR(Y330/Y92,"n/a")</f>
        <v>0.265968512671038</v>
      </c>
      <c r="Z337" s="27" t="n">
        <f aca="false">IFERROR(Z330/Z92,"n/a")</f>
        <v>0.267030462192873</v>
      </c>
      <c r="AA337" s="22"/>
      <c r="AB337" s="1"/>
      <c r="AC337" s="47"/>
      <c r="AD337" s="47"/>
    </row>
    <row r="338" customFormat="false" ht="15" hidden="false" customHeight="true" outlineLevel="0" collapsed="false">
      <c r="B338" s="25" t="s">
        <v>433</v>
      </c>
      <c r="C338" s="57" t="n">
        <f aca="false">IFERROR(C92/C333,"n/a")</f>
        <v>0.395209497182314</v>
      </c>
      <c r="D338" s="57" t="n">
        <f aca="false">IFERROR(D92/D333,"n/a")</f>
        <v>0.484658509170708</v>
      </c>
      <c r="E338" s="57"/>
      <c r="F338" s="57"/>
      <c r="G338" s="57"/>
      <c r="H338" s="57"/>
      <c r="I338" s="57"/>
      <c r="J338" s="57" t="n">
        <f aca="false">IFERROR(J92/J333,"n/a")</f>
        <v>0.551992683819826</v>
      </c>
      <c r="K338" s="57"/>
      <c r="L338" s="57"/>
      <c r="M338" s="57"/>
      <c r="N338" s="57"/>
      <c r="O338" s="57"/>
      <c r="P338" s="57" t="n">
        <f aca="false">IFERROR(P92/P333,"n/a")</f>
        <v>0.5073842432173</v>
      </c>
      <c r="Q338" s="57"/>
      <c r="R338" s="57"/>
      <c r="S338" s="57"/>
      <c r="T338" s="58"/>
      <c r="U338" s="58"/>
      <c r="V338" s="58" t="n">
        <f aca="false">IFERROR(V92/V333,"n/a")</f>
        <v>0.577029711104533</v>
      </c>
      <c r="W338" s="58" t="n">
        <f aca="false">IFERROR(W92/W333,"n/a")</f>
        <v>0.621243283721257</v>
      </c>
      <c r="X338" s="58" t="n">
        <f aca="false">IFERROR(X92/X333,"n/a")</f>
        <v>0.656559572707051</v>
      </c>
      <c r="Y338" s="58" t="n">
        <f aca="false">IFERROR(Y92/Y333,"n/a")</f>
        <v>0.683891914984857</v>
      </c>
      <c r="Z338" s="58" t="n">
        <f aca="false">IFERROR(Z92/Z333,"n/a")</f>
        <v>0.71156313549043</v>
      </c>
      <c r="AA338" s="22"/>
      <c r="AB338" s="1"/>
      <c r="AC338" s="47"/>
      <c r="AD338" s="47"/>
    </row>
    <row r="339" customFormat="false" ht="15" hidden="false" customHeight="true" outlineLevel="0" collapsed="false">
      <c r="B339" s="25" t="s">
        <v>434</v>
      </c>
      <c r="C339" s="31" t="n">
        <f aca="false">IFERROR(1-C331,"n/a")</f>
        <v>0.75</v>
      </c>
      <c r="D339" s="31" t="n">
        <f aca="false">IFERROR(1-D331,"n/a")</f>
        <v>0.75</v>
      </c>
      <c r="E339" s="31"/>
      <c r="F339" s="31"/>
      <c r="G339" s="31"/>
      <c r="H339" s="31"/>
      <c r="I339" s="31"/>
      <c r="J339" s="31" t="n">
        <f aca="false">IFERROR(1-J331,"n/a")</f>
        <v>0.75</v>
      </c>
      <c r="K339" s="31"/>
      <c r="L339" s="31"/>
      <c r="M339" s="31"/>
      <c r="N339" s="31"/>
      <c r="O339" s="31"/>
      <c r="P339" s="31" t="n">
        <f aca="false">IFERROR(1-P331,"n/a")</f>
        <v>0.75</v>
      </c>
      <c r="Q339" s="31"/>
      <c r="R339" s="31"/>
      <c r="S339" s="31"/>
      <c r="T339" s="27"/>
      <c r="U339" s="27"/>
      <c r="V339" s="27" t="n">
        <f aca="false">IFERROR(1-V331,"n/a")</f>
        <v>0.76</v>
      </c>
      <c r="W339" s="27" t="n">
        <f aca="false">IFERROR(1-W331,"n/a")</f>
        <v>0.755</v>
      </c>
      <c r="X339" s="27" t="n">
        <f aca="false">IFERROR(1-X331,"n/a")</f>
        <v>0.755</v>
      </c>
      <c r="Y339" s="27" t="n">
        <f aca="false">IFERROR(1-Y331,"n/a")</f>
        <v>0.755</v>
      </c>
      <c r="Z339" s="27" t="n">
        <f aca="false">IFERROR(1-Z331,"n/a")</f>
        <v>0.755</v>
      </c>
      <c r="AA339" s="22"/>
      <c r="AB339" s="1"/>
      <c r="AC339" s="47"/>
      <c r="AD339" s="47"/>
    </row>
    <row r="340" customFormat="false" ht="15" hidden="false" customHeight="true" outlineLevel="0" collapsed="false">
      <c r="B340" s="25" t="s">
        <v>435</v>
      </c>
      <c r="C340" s="31" t="n">
        <f aca="false">IFERROR(C337*C338*C339,"n/a")</f>
        <v>0.0659728831555289</v>
      </c>
      <c r="D340" s="31" t="n">
        <f aca="false">IFERROR(D337*D338*D339,"n/a")</f>
        <v>0.0887352140349908</v>
      </c>
      <c r="E340" s="31"/>
      <c r="F340" s="31"/>
      <c r="G340" s="31"/>
      <c r="H340" s="31"/>
      <c r="I340" s="31"/>
      <c r="J340" s="31" t="n">
        <f aca="false">IFERROR(J337*J338*J339,"n/a")</f>
        <v>0.106222110660423</v>
      </c>
      <c r="K340" s="31"/>
      <c r="L340" s="31"/>
      <c r="M340" s="31"/>
      <c r="N340" s="31"/>
      <c r="O340" s="31"/>
      <c r="P340" s="31" t="n">
        <f aca="false">IFERROR(P337*P338*P339,"n/a")</f>
        <v>0.0981554457448595</v>
      </c>
      <c r="Q340" s="31"/>
      <c r="R340" s="31"/>
      <c r="S340" s="31"/>
      <c r="T340" s="27"/>
      <c r="U340" s="27"/>
      <c r="V340" s="27" t="n">
        <f aca="false">IFERROR(V337*V338*V339,"n/a")</f>
        <v>0.116022194714778</v>
      </c>
      <c r="W340" s="27" t="n">
        <f aca="false">IFERROR(W337*W338*W339,"n/a")</f>
        <v>0.124438020729321</v>
      </c>
      <c r="X340" s="27" t="n">
        <f aca="false">IFERROR(X337*X338*X339,"n/a")</f>
        <v>0.131538620468775</v>
      </c>
      <c r="Y340" s="27" t="n">
        <f aca="false">IFERROR(Y337*Y338*Y339,"n/a")</f>
        <v>0.137329755169484</v>
      </c>
      <c r="Z340" s="27" t="n">
        <f aca="false">IFERROR(Z337*Z338*Z339,"n/a")</f>
        <v>0.143456819876811</v>
      </c>
      <c r="AA340" s="22"/>
      <c r="AB340" s="1"/>
      <c r="AC340" s="47"/>
      <c r="AD340" s="47"/>
    </row>
    <row r="342" customFormat="false" ht="15" hidden="false" customHeight="true" outlineLevel="0" collapsed="false">
      <c r="B342" s="16" t="s">
        <v>436</v>
      </c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7"/>
      <c r="AB342" s="1"/>
      <c r="AC342" s="1"/>
      <c r="AD342" s="1"/>
    </row>
    <row r="343" customFormat="false" ht="15" hidden="false" customHeight="true" outlineLevel="0" collapsed="false">
      <c r="B343" s="29" t="s">
        <v>427</v>
      </c>
      <c r="C343" s="38" t="n">
        <f aca="false">C332</f>
        <v>37.77825</v>
      </c>
      <c r="D343" s="38" t="n">
        <f aca="false">D332</f>
        <v>51.39375</v>
      </c>
      <c r="E343" s="37"/>
      <c r="F343" s="37"/>
      <c r="G343" s="38"/>
      <c r="H343" s="37"/>
      <c r="I343" s="37"/>
      <c r="J343" s="38" t="n">
        <f aca="false">J332</f>
        <v>66.438</v>
      </c>
      <c r="K343" s="37"/>
      <c r="L343" s="37"/>
      <c r="M343" s="38"/>
      <c r="N343" s="37"/>
      <c r="O343" s="37"/>
      <c r="P343" s="38" t="n">
        <f aca="false">P332</f>
        <v>91.2135</v>
      </c>
      <c r="Q343" s="37"/>
      <c r="R343" s="37"/>
      <c r="S343" s="38"/>
      <c r="T343" s="39"/>
      <c r="U343" s="39"/>
      <c r="V343" s="39" t="n">
        <f aca="false">V332</f>
        <v>150.700446208</v>
      </c>
      <c r="W343" s="39" t="n">
        <f aca="false">W332</f>
        <v>191.934648169789</v>
      </c>
      <c r="X343" s="39" t="n">
        <f aca="false">X332</f>
        <v>237.919814470233</v>
      </c>
      <c r="Y343" s="39" t="n">
        <f aca="false">Y332</f>
        <v>287.925150418442</v>
      </c>
      <c r="Z343" s="39" t="n">
        <f aca="false">Z332</f>
        <v>341.197409582378</v>
      </c>
      <c r="AA343" s="22"/>
      <c r="AB343" s="1"/>
      <c r="AC343" s="23"/>
      <c r="AD343" s="23"/>
    </row>
    <row r="344" customFormat="false" ht="15" hidden="false" customHeight="true" outlineLevel="0" collapsed="false">
      <c r="B344" s="29" t="s">
        <v>437</v>
      </c>
      <c r="C344" s="38" t="n">
        <f aca="false">C254</f>
        <v>682.594</v>
      </c>
      <c r="D344" s="38" t="n">
        <f aca="false">D254</f>
        <v>710.832</v>
      </c>
      <c r="E344" s="37"/>
      <c r="F344" s="37"/>
      <c r="G344" s="38"/>
      <c r="H344" s="37"/>
      <c r="I344" s="37"/>
      <c r="J344" s="38" t="n">
        <f aca="false">J254</f>
        <v>773.96</v>
      </c>
      <c r="K344" s="37"/>
      <c r="L344" s="37"/>
      <c r="M344" s="38"/>
      <c r="N344" s="37"/>
      <c r="O344" s="37"/>
      <c r="P344" s="38" t="n">
        <f aca="false">P254</f>
        <v>1104.096</v>
      </c>
      <c r="Q344" s="37"/>
      <c r="R344" s="37"/>
      <c r="S344" s="38"/>
      <c r="T344" s="39"/>
      <c r="U344" s="39"/>
      <c r="V344" s="39" t="n">
        <f aca="false">V254</f>
        <v>1558.83536245549</v>
      </c>
      <c r="W344" s="39" t="n">
        <f aca="false">W254</f>
        <v>1771.00240596118</v>
      </c>
      <c r="X344" s="39" t="n">
        <f aca="false">X254</f>
        <v>2058.66700420393</v>
      </c>
      <c r="Y344" s="39" t="n">
        <f aca="false">Y254</f>
        <v>2368.84992472618</v>
      </c>
      <c r="Z344" s="39" t="n">
        <f aca="false">Z254</f>
        <v>2673.11923189136</v>
      </c>
      <c r="AA344" s="22"/>
      <c r="AB344" s="1"/>
      <c r="AC344" s="23"/>
      <c r="AD344" s="23"/>
    </row>
    <row r="345" customFormat="false" ht="15" hidden="false" customHeight="true" outlineLevel="0" collapsed="false">
      <c r="B345" s="29" t="s">
        <v>438</v>
      </c>
      <c r="C345" s="38" t="n">
        <f aca="false">-(C249+C250)</f>
        <v>-439.236</v>
      </c>
      <c r="D345" s="38" t="n">
        <f aca="false">-(D249+D250)</f>
        <v>-424.831</v>
      </c>
      <c r="E345" s="37"/>
      <c r="F345" s="37"/>
      <c r="G345" s="38"/>
      <c r="H345" s="37"/>
      <c r="I345" s="37"/>
      <c r="J345" s="38" t="n">
        <f aca="false">-(J249+J250)</f>
        <v>-434.098</v>
      </c>
      <c r="K345" s="37"/>
      <c r="L345" s="37"/>
      <c r="M345" s="38"/>
      <c r="N345" s="37"/>
      <c r="O345" s="37"/>
      <c r="P345" s="38" t="n">
        <f aca="false">-(P249+P250)</f>
        <v>-638.401</v>
      </c>
      <c r="Q345" s="37"/>
      <c r="R345" s="37"/>
      <c r="S345" s="38"/>
      <c r="T345" s="39"/>
      <c r="U345" s="39"/>
      <c r="V345" s="39" t="n">
        <f aca="false">-(V249+V250)</f>
        <v>-903.7135</v>
      </c>
      <c r="W345" s="39" t="n">
        <f aca="false">-(W249+W250)</f>
        <v>-1063.401</v>
      </c>
      <c r="X345" s="39" t="n">
        <f aca="false">-(X249+X250)</f>
        <v>-1247.11975</v>
      </c>
      <c r="Y345" s="39" t="n">
        <f aca="false">-(Y249+Y250)</f>
        <v>-1448.93225</v>
      </c>
      <c r="Z345" s="39" t="n">
        <f aca="false">-(Z249+Z250)</f>
        <v>-1641.86975</v>
      </c>
      <c r="AA345" s="22"/>
      <c r="AB345" s="1"/>
      <c r="AC345" s="23"/>
      <c r="AD345" s="23"/>
    </row>
    <row r="346" customFormat="false" ht="15" hidden="false" customHeight="true" outlineLevel="0" collapsed="false">
      <c r="B346" s="29" t="s">
        <v>439</v>
      </c>
      <c r="C346" s="38" t="n">
        <f aca="false">-(C265-N(C262)-N(C261)-N(C260))</f>
        <v>-46.048</v>
      </c>
      <c r="D346" s="38" t="n">
        <f aca="false">-(D265-N(D262)-N(D261)-N(D260))</f>
        <v>-77.162</v>
      </c>
      <c r="E346" s="37"/>
      <c r="F346" s="37"/>
      <c r="G346" s="38"/>
      <c r="H346" s="37"/>
      <c r="I346" s="37"/>
      <c r="J346" s="38" t="n">
        <f aca="false">-(J265-N(J262)-N(J261)-N(J260))</f>
        <v>-101.954</v>
      </c>
      <c r="K346" s="37"/>
      <c r="L346" s="37"/>
      <c r="M346" s="38"/>
      <c r="N346" s="37"/>
      <c r="O346" s="37"/>
      <c r="P346" s="38" t="n">
        <f aca="false">-(P265-N(P262)-N(P261)-N(P260))</f>
        <v>-78.615</v>
      </c>
      <c r="Q346" s="37"/>
      <c r="R346" s="37"/>
      <c r="S346" s="38"/>
      <c r="T346" s="39"/>
      <c r="U346" s="39"/>
      <c r="V346" s="39" t="n">
        <f aca="false">-(V265-N(V262)-N(V261)-N(V260))</f>
        <v>-100.230396634825</v>
      </c>
      <c r="W346" s="39" t="n">
        <f aca="false">-(W265-N(W262)-N(W261)-N(W260))</f>
        <v>-125.391668779664</v>
      </c>
      <c r="X346" s="39" t="n">
        <f aca="false">-(X265-N(X262)-N(X261)-N(X260))</f>
        <v>-152.915124554322</v>
      </c>
      <c r="Y346" s="39" t="n">
        <f aca="false">-(Y265-N(Y262)-N(Y261)-N(Y260))</f>
        <v>-182.474128833168</v>
      </c>
      <c r="Z346" s="39" t="n">
        <f aca="false">-(Z265-N(Z262)-N(Z261)-N(Z260))</f>
        <v>-213.501821570205</v>
      </c>
      <c r="AA346" s="22"/>
      <c r="AB346" s="1"/>
      <c r="AC346" s="23"/>
      <c r="AD346" s="23"/>
    </row>
    <row r="347" customFormat="false" ht="15" hidden="false" customHeight="true" outlineLevel="0" collapsed="false">
      <c r="B347" s="18" t="s">
        <v>440</v>
      </c>
      <c r="C347" s="20" t="n">
        <f aca="false">SUM(C344:C346)</f>
        <v>197.31</v>
      </c>
      <c r="D347" s="20" t="n">
        <f aca="false">SUM(D344:D346)</f>
        <v>208.839</v>
      </c>
      <c r="E347" s="20"/>
      <c r="F347" s="20"/>
      <c r="G347" s="20"/>
      <c r="H347" s="20"/>
      <c r="I347" s="20"/>
      <c r="J347" s="20" t="n">
        <f aca="false">SUM(J344:J346)</f>
        <v>237.908</v>
      </c>
      <c r="K347" s="20"/>
      <c r="L347" s="20"/>
      <c r="M347" s="20"/>
      <c r="N347" s="20"/>
      <c r="O347" s="20"/>
      <c r="P347" s="20" t="n">
        <f aca="false">SUM(P344:P346)</f>
        <v>387.08</v>
      </c>
      <c r="Q347" s="20"/>
      <c r="R347" s="20"/>
      <c r="S347" s="20"/>
      <c r="T347" s="21"/>
      <c r="U347" s="21"/>
      <c r="V347" s="21" t="n">
        <f aca="false">SUM(V344:V346)</f>
        <v>554.891465820667</v>
      </c>
      <c r="W347" s="21" t="n">
        <f aca="false">SUM(W344:W346)</f>
        <v>582.209737181517</v>
      </c>
      <c r="X347" s="21" t="n">
        <f aca="false">SUM(X344:X346)</f>
        <v>658.632129649605</v>
      </c>
      <c r="Y347" s="21" t="n">
        <f aca="false">SUM(Y344:Y346)</f>
        <v>737.443545893013</v>
      </c>
      <c r="Z347" s="21" t="n">
        <f aca="false">SUM(Z344:Z346)</f>
        <v>817.747660321156</v>
      </c>
      <c r="AA347" s="22"/>
      <c r="AB347" s="1"/>
      <c r="AC347" s="7"/>
      <c r="AD347" s="7"/>
    </row>
    <row r="348" customFormat="false" ht="15" hidden="false" customHeight="true" outlineLevel="0" collapsed="false">
      <c r="B348" s="51" t="s">
        <v>441</v>
      </c>
      <c r="C348" s="80" t="n">
        <f aca="false">IFERROR(C343/C347,"n/a")</f>
        <v>0.191466474076327</v>
      </c>
      <c r="D348" s="80" t="n">
        <f aca="false">IFERROR(D343/D347,"n/a")</f>
        <v>0.246092683837789</v>
      </c>
      <c r="E348" s="81"/>
      <c r="F348" s="81"/>
      <c r="G348" s="81"/>
      <c r="H348" s="81"/>
      <c r="I348" s="81"/>
      <c r="J348" s="80" t="n">
        <f aca="false">IFERROR(J343/J347,"n/a")</f>
        <v>0.279259209442305</v>
      </c>
      <c r="K348" s="81"/>
      <c r="L348" s="81"/>
      <c r="M348" s="81"/>
      <c r="N348" s="81"/>
      <c r="O348" s="81"/>
      <c r="P348" s="80" t="n">
        <f aca="false">IFERROR(P343/P347,"n/a")</f>
        <v>0.235645086287072</v>
      </c>
      <c r="Q348" s="81"/>
      <c r="R348" s="81"/>
      <c r="S348" s="81"/>
      <c r="T348" s="80"/>
      <c r="U348" s="80"/>
      <c r="V348" s="80" t="n">
        <f aca="false">IFERROR(V343/V347,"n/a")</f>
        <v>0.271585445966661</v>
      </c>
      <c r="W348" s="80" t="n">
        <f aca="false">IFERROR(W343/W347,"n/a")</f>
        <v>0.329665816135172</v>
      </c>
      <c r="X348" s="80" t="n">
        <f aca="false">IFERROR(X343/X347,"n/a")</f>
        <v>0.361233234395667</v>
      </c>
      <c r="Y348" s="80" t="n">
        <f aca="false">IFERROR(Y343/Y347,"n/a")</f>
        <v>0.390436870757038</v>
      </c>
      <c r="Z348" s="80" t="n">
        <f aca="false">IFERROR(Z343/Z347,"n/a")</f>
        <v>0.417240459542714</v>
      </c>
      <c r="AA348" s="22"/>
      <c r="AB348" s="1"/>
      <c r="AC348" s="47"/>
      <c r="AD348" s="47"/>
    </row>
    <row r="350" customFormat="false" ht="15" hidden="false" customHeight="true" outlineLevel="0" collapsed="false">
      <c r="B350" s="16" t="s">
        <v>442</v>
      </c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7"/>
      <c r="AB350" s="1"/>
      <c r="AC350" s="1"/>
      <c r="AD350" s="1"/>
    </row>
    <row r="351" customFormat="false" ht="15" hidden="false" customHeight="true" outlineLevel="0" collapsed="false">
      <c r="B351" s="29" t="s">
        <v>190</v>
      </c>
      <c r="C351" s="38" t="n">
        <f aca="false">C103</f>
        <v>-14.099</v>
      </c>
      <c r="D351" s="38" t="n">
        <f aca="false">D103</f>
        <v>4.35899999999999</v>
      </c>
      <c r="E351" s="37"/>
      <c r="F351" s="37"/>
      <c r="G351" s="38"/>
      <c r="H351" s="37"/>
      <c r="I351" s="37"/>
      <c r="J351" s="38" t="n">
        <f aca="false">J103</f>
        <v>12.701</v>
      </c>
      <c r="K351" s="37"/>
      <c r="L351" s="37"/>
      <c r="M351" s="38"/>
      <c r="N351" s="37"/>
      <c r="O351" s="37"/>
      <c r="P351" s="38" t="n">
        <f aca="false">P103</f>
        <v>17.366</v>
      </c>
      <c r="Q351" s="37"/>
      <c r="R351" s="37"/>
      <c r="S351" s="38"/>
      <c r="T351" s="39"/>
      <c r="U351" s="39"/>
      <c r="V351" s="39" t="n">
        <f aca="false">V103</f>
        <v>60.4919658206667</v>
      </c>
      <c r="W351" s="39" t="n">
        <f aca="false">W103</f>
        <v>106.51836980464</v>
      </c>
      <c r="X351" s="39" t="n">
        <f aca="false">X103</f>
        <v>145.13570446514</v>
      </c>
      <c r="Y351" s="39" t="n">
        <f aca="false">Y103</f>
        <v>182.839771134896</v>
      </c>
      <c r="Z351" s="39" t="n">
        <f aca="false">Z103</f>
        <v>223.634906938568</v>
      </c>
      <c r="AA351" s="22"/>
      <c r="AB351" s="1"/>
      <c r="AC351" s="23"/>
      <c r="AD351" s="23"/>
    </row>
    <row r="352" customFormat="false" ht="15" hidden="false" customHeight="true" outlineLevel="0" collapsed="false">
      <c r="B352" s="29" t="s">
        <v>443</v>
      </c>
      <c r="C352" s="38" t="n">
        <f aca="false">C277</f>
        <v>177.597</v>
      </c>
      <c r="D352" s="38" t="n">
        <f aca="false">D277</f>
        <v>182.459</v>
      </c>
      <c r="E352" s="37"/>
      <c r="F352" s="37"/>
      <c r="G352" s="38"/>
      <c r="H352" s="37"/>
      <c r="I352" s="37"/>
      <c r="J352" s="38" t="n">
        <f aca="false">J277</f>
        <v>195.996</v>
      </c>
      <c r="K352" s="37"/>
      <c r="L352" s="37"/>
      <c r="M352" s="38"/>
      <c r="N352" s="37"/>
      <c r="O352" s="37"/>
      <c r="P352" s="38" t="n">
        <f aca="false">P277</f>
        <v>382.691</v>
      </c>
      <c r="Q352" s="37"/>
      <c r="R352" s="37"/>
      <c r="S352" s="38"/>
      <c r="T352" s="39"/>
      <c r="U352" s="39"/>
      <c r="V352" s="39" t="n">
        <f aca="false">V277</f>
        <v>445.814965820667</v>
      </c>
      <c r="W352" s="39" t="n">
        <f aca="false">W277</f>
        <v>559.999038463718</v>
      </c>
      <c r="X352" s="39" t="n">
        <f aca="false">X277</f>
        <v>714.635133379688</v>
      </c>
      <c r="Y352" s="39" t="n">
        <f aca="false">Y277</f>
        <v>908.945670321978</v>
      </c>
      <c r="Z352" s="39" t="n">
        <f aca="false">Z277</f>
        <v>1146.11961981242</v>
      </c>
      <c r="AA352" s="22"/>
      <c r="AB352" s="1"/>
      <c r="AC352" s="23"/>
      <c r="AD352" s="23"/>
    </row>
    <row r="353" customFormat="false" ht="15" hidden="false" customHeight="true" outlineLevel="0" collapsed="false">
      <c r="B353" s="51" t="s">
        <v>444</v>
      </c>
      <c r="C353" s="80" t="n">
        <f aca="false">IFERROR(C351/C352,"n/a")</f>
        <v>-0.0793876022680563</v>
      </c>
      <c r="D353" s="80" t="n">
        <f aca="false">IFERROR(D351/D352,"n/a")</f>
        <v>0.0238902986424347</v>
      </c>
      <c r="E353" s="81"/>
      <c r="F353" s="81"/>
      <c r="G353" s="81"/>
      <c r="H353" s="81"/>
      <c r="I353" s="81"/>
      <c r="J353" s="80" t="n">
        <f aca="false">IFERROR(J351/J352,"n/a")</f>
        <v>0.0648023429049573</v>
      </c>
      <c r="K353" s="81"/>
      <c r="L353" s="81"/>
      <c r="M353" s="81"/>
      <c r="N353" s="81"/>
      <c r="O353" s="81"/>
      <c r="P353" s="80" t="n">
        <f aca="false">IFERROR(P351/P352,"n/a")</f>
        <v>0.0453786475250267</v>
      </c>
      <c r="Q353" s="81"/>
      <c r="R353" s="81"/>
      <c r="S353" s="81"/>
      <c r="T353" s="80"/>
      <c r="U353" s="80"/>
      <c r="V353" s="80" t="n">
        <f aca="false">IFERROR(V351/V352,"n/a")</f>
        <v>0.135688504106881</v>
      </c>
      <c r="W353" s="80" t="n">
        <f aca="false">IFERROR(W351/W352,"n/a")</f>
        <v>0.190211701250164</v>
      </c>
      <c r="X353" s="80" t="n">
        <f aca="false">IFERROR(X351/X352,"n/a")</f>
        <v>0.203090637006267</v>
      </c>
      <c r="Y353" s="80" t="n">
        <f aca="false">IFERROR(Y351/Y352,"n/a")</f>
        <v>0.201155885444868</v>
      </c>
      <c r="Z353" s="80" t="n">
        <f aca="false">IFERROR(Z351/Z352,"n/a")</f>
        <v>0.195123530801409</v>
      </c>
      <c r="AA353" s="22"/>
      <c r="AB353" s="1"/>
      <c r="AC353" s="47"/>
      <c r="AD353" s="47"/>
    </row>
    <row r="355" customFormat="false" ht="15" hidden="false" customHeight="true" outlineLevel="0" collapsed="false">
      <c r="B355" s="16" t="s">
        <v>445</v>
      </c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7"/>
      <c r="AB355" s="1"/>
      <c r="AC355" s="1"/>
      <c r="AD355" s="1"/>
    </row>
    <row r="356" customFormat="false" ht="15" hidden="false" customHeight="true" outlineLevel="0" collapsed="false">
      <c r="B356" s="29" t="s">
        <v>446</v>
      </c>
      <c r="C356" s="38" t="n">
        <f aca="false">IFERROR(C308+N(C266)+C309-C242,"")</f>
        <v>395.036</v>
      </c>
      <c r="D356" s="38" t="n">
        <f aca="false">IFERROR(D308+N(D266)+D309-D242,"")</f>
        <v>396.722</v>
      </c>
      <c r="E356" s="37"/>
      <c r="F356" s="37"/>
      <c r="G356" s="38"/>
      <c r="H356" s="38" t="n">
        <f aca="false">IFERROR(H308+N(H266)+H309-H242,"")</f>
        <v>428.261</v>
      </c>
      <c r="I356" s="37"/>
      <c r="J356" s="38" t="n">
        <f aca="false">IFERROR(J308+N(J266)+J309-J242,"")</f>
        <v>429.467</v>
      </c>
      <c r="K356" s="37"/>
      <c r="L356" s="38" t="n">
        <f aca="false">IFERROR(L308+N(L266)+L309-L242,"")</f>
        <v>450.867</v>
      </c>
      <c r="M356" s="38" t="n">
        <f aca="false">IFERROR(M308+N(M266)+M309-M242,"")</f>
        <v>450.867</v>
      </c>
      <c r="N356" s="38" t="n">
        <f aca="false">IFERROR(N308+N(N266)+N309-N242,"")</f>
        <v>457.943</v>
      </c>
      <c r="O356" s="38" t="n">
        <f aca="false">IFERROR(O308+N(O266)+O309-O242,"")</f>
        <v>546.585</v>
      </c>
      <c r="P356" s="38" t="n">
        <f aca="false">IFERROR(P308+N(P266)+P309-P242,"")</f>
        <v>546.585</v>
      </c>
      <c r="Q356" s="38" t="n">
        <f aca="false">IFERROR(Q308+N(Q266)+Q309-Q242,"")</f>
        <v>781.74</v>
      </c>
      <c r="R356" s="38" t="n">
        <f aca="false">IFERROR(R308+N(R266)+R309-R242,"")</f>
        <v>807.335</v>
      </c>
      <c r="S356" s="38" t="n">
        <f aca="false">IFERROR(S308+N(S266)+S309-S242,"")</f>
        <v>807.335</v>
      </c>
      <c r="T356" s="39"/>
      <c r="U356" s="39"/>
      <c r="V356" s="39" t="n">
        <f aca="false">IFERROR(V308+N(V266)+V309-V242,"")</f>
        <v>853.078289719554</v>
      </c>
      <c r="W356" s="39" t="n">
        <f aca="false">IFERROR(W308+N(W266)+W309-W242,"")</f>
        <v>982.412573717799</v>
      </c>
      <c r="X356" s="39" t="n">
        <f aca="false">IFERROR(X308+N(X266)+X309-X242,"")</f>
        <v>1094.10980876992</v>
      </c>
      <c r="Y356" s="39" t="n">
        <f aca="false">IFERROR(Y308+N(Y266)+Y309-Y242,"")</f>
        <v>1187.65131307103</v>
      </c>
      <c r="Z356" s="39" t="n">
        <f aca="false">IFERROR(Z308+N(Z266)+Z309-Z242,"")</f>
        <v>1232.27835300873</v>
      </c>
      <c r="AA356" s="22"/>
      <c r="AB356" s="1"/>
      <c r="AC356" s="23"/>
      <c r="AD356" s="23"/>
    </row>
    <row r="357" customFormat="false" ht="15" hidden="false" customHeight="true" outlineLevel="0" collapsed="false">
      <c r="B357" s="29" t="s">
        <v>447</v>
      </c>
      <c r="C357" s="38" t="n">
        <f aca="false">C146</f>
        <v>60.291</v>
      </c>
      <c r="D357" s="38" t="n">
        <f aca="false">D146</f>
        <v>81.861</v>
      </c>
      <c r="E357" s="37"/>
      <c r="F357" s="37"/>
      <c r="G357" s="38"/>
      <c r="H357" s="37"/>
      <c r="I357" s="37"/>
      <c r="J357" s="38" t="n">
        <f aca="false">J146</f>
        <v>106.145</v>
      </c>
      <c r="K357" s="37"/>
      <c r="L357" s="38" t="n">
        <f aca="false">SUM(I146,K146,L146)+H146</f>
        <v>120.024</v>
      </c>
      <c r="M357" s="38" t="n">
        <f aca="false">SUM(I146,K146,L146)+H146</f>
        <v>120.024</v>
      </c>
      <c r="N357" s="38" t="n">
        <f aca="false">SUM(I146,K146,L146,N146)</f>
        <v>129.684</v>
      </c>
      <c r="O357" s="38" t="n">
        <f aca="false">P146</f>
        <v>145.302</v>
      </c>
      <c r="P357" s="38" t="n">
        <f aca="false">P146</f>
        <v>145.302</v>
      </c>
      <c r="Q357" s="38" t="n">
        <f aca="false">SUM(L146,N146,O146,Q146)</f>
        <v>159.769</v>
      </c>
      <c r="R357" s="38" t="n">
        <f aca="false">SUM(N146,O146,Q146,R146)</f>
        <v>179.068</v>
      </c>
      <c r="S357" s="38" t="n">
        <f aca="false">SUM(N146,O146,Q146,R146)</f>
        <v>179.068</v>
      </c>
      <c r="T357" s="39"/>
      <c r="U357" s="39"/>
      <c r="V357" s="39" t="n">
        <f aca="false">V146</f>
        <v>221.99</v>
      </c>
      <c r="W357" s="39" t="n">
        <f aca="false">W146</f>
        <v>285.164735561312</v>
      </c>
      <c r="X357" s="39" t="n">
        <f aca="false">X146</f>
        <v>354.348878544977</v>
      </c>
      <c r="Y357" s="39" t="n">
        <f aca="false">Y146</f>
        <v>428.836028598715</v>
      </c>
      <c r="Z357" s="39" t="n">
        <f aca="false">Z146</f>
        <v>508.506345534929</v>
      </c>
      <c r="AA357" s="22"/>
      <c r="AB357" s="1"/>
      <c r="AC357" s="23"/>
      <c r="AD357" s="23"/>
    </row>
    <row r="358" customFormat="false" ht="15" hidden="false" customHeight="true" outlineLevel="0" collapsed="false">
      <c r="B358" s="51" t="s">
        <v>448</v>
      </c>
      <c r="C358" s="80" t="n">
        <f aca="false">IFERROR(C356/C357,"n/a")</f>
        <v>6.55215537974159</v>
      </c>
      <c r="D358" s="80" t="n">
        <f aca="false">IFERROR(D356/D357,"n/a")</f>
        <v>4.84628822027583</v>
      </c>
      <c r="E358" s="81"/>
      <c r="F358" s="81"/>
      <c r="G358" s="81"/>
      <c r="H358" s="81"/>
      <c r="I358" s="81"/>
      <c r="J358" s="80" t="n">
        <f aca="false">IFERROR(J356/J357,"n/a")</f>
        <v>4.04604079325451</v>
      </c>
      <c r="K358" s="81"/>
      <c r="L358" s="81" t="n">
        <f aca="false">IFERROR(L356/L357,"n/a")</f>
        <v>3.75647370525895</v>
      </c>
      <c r="M358" s="81" t="n">
        <f aca="false">IFERROR(M356/M357,"n/a")</f>
        <v>3.75647370525895</v>
      </c>
      <c r="N358" s="81" t="n">
        <f aca="false">IFERROR(N356/N357,"n/a")</f>
        <v>3.53122204743839</v>
      </c>
      <c r="O358" s="81" t="n">
        <f aca="false">IFERROR(O356/O357,"n/a")</f>
        <v>3.76171697567824</v>
      </c>
      <c r="P358" s="80" t="n">
        <f aca="false">IFERROR(P356/P357,"n/a")</f>
        <v>3.76171697567824</v>
      </c>
      <c r="Q358" s="81" t="n">
        <f aca="false">IFERROR(Q356/Q357,"n/a")</f>
        <v>4.89293918094249</v>
      </c>
      <c r="R358" s="81" t="n">
        <f aca="false">IFERROR(R356/R357,"n/a")</f>
        <v>4.50853865570621</v>
      </c>
      <c r="S358" s="81" t="n">
        <f aca="false">IFERROR(S356/S357,"n/a")</f>
        <v>4.50853865570621</v>
      </c>
      <c r="T358" s="80"/>
      <c r="U358" s="80"/>
      <c r="V358" s="80" t="n">
        <f aca="false">IFERROR(V356/V357,"n/a")</f>
        <v>3.84286810090344</v>
      </c>
      <c r="W358" s="80" t="n">
        <f aca="false">IFERROR(W356/W357,"n/a")</f>
        <v>3.44507034428376</v>
      </c>
      <c r="X358" s="80" t="n">
        <f aca="false">IFERROR(X356/X357,"n/a")</f>
        <v>3.08766268222024</v>
      </c>
      <c r="Y358" s="80" t="n">
        <f aca="false">IFERROR(Y356/Y357,"n/a")</f>
        <v>2.76947652218462</v>
      </c>
      <c r="Z358" s="80" t="n">
        <f aca="false">IFERROR(Z356/Z357,"n/a")</f>
        <v>2.42332935238483</v>
      </c>
      <c r="AA358" s="22"/>
      <c r="AB358" s="1"/>
      <c r="AC358" s="47"/>
      <c r="AD358" s="47"/>
    </row>
    <row r="359" customFormat="false" ht="15" hidden="false" customHeight="true" outlineLevel="0" collapsed="false">
      <c r="B359" s="36" t="s">
        <v>449</v>
      </c>
      <c r="C359" s="37"/>
      <c r="D359" s="37"/>
      <c r="E359" s="37"/>
      <c r="F359" s="37"/>
      <c r="G359" s="38"/>
      <c r="H359" s="37"/>
      <c r="I359" s="37"/>
      <c r="J359" s="37"/>
      <c r="K359" s="37"/>
      <c r="L359" s="37"/>
      <c r="M359" s="38"/>
      <c r="N359" s="37"/>
      <c r="O359" s="37"/>
      <c r="P359" s="37"/>
      <c r="Q359" s="37"/>
      <c r="R359" s="37"/>
      <c r="S359" s="38"/>
      <c r="T359" s="39"/>
      <c r="U359" s="39"/>
      <c r="V359" s="39"/>
      <c r="W359" s="39"/>
      <c r="X359" s="39"/>
      <c r="Y359" s="39"/>
      <c r="Z359" s="39"/>
      <c r="AA359" s="22"/>
      <c r="AB359" s="1"/>
      <c r="AC359" s="7"/>
      <c r="AD359" s="7"/>
    </row>
    <row r="361" customFormat="false" ht="15" hidden="false" customHeight="true" outlineLevel="0" collapsed="false">
      <c r="B361" s="12" t="s">
        <v>450</v>
      </c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 t="s">
        <v>451</v>
      </c>
      <c r="AB361" s="1"/>
      <c r="AC361" s="1"/>
      <c r="AD361" s="1"/>
    </row>
    <row r="362" customFormat="false" ht="15" hidden="false" customHeight="true" outlineLevel="0" collapsed="false">
      <c r="B362" s="42" t="s">
        <v>452</v>
      </c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5"/>
      <c r="U362" s="65"/>
      <c r="V362" s="82" t="n">
        <v>34.14</v>
      </c>
      <c r="W362" s="65" t="n">
        <f aca="false">V362</f>
        <v>34.14</v>
      </c>
      <c r="X362" s="65" t="n">
        <f aca="false">V362</f>
        <v>34.14</v>
      </c>
      <c r="Y362" s="65" t="n">
        <f aca="false">V362</f>
        <v>34.14</v>
      </c>
      <c r="Z362" s="65" t="n">
        <f aca="false">V362</f>
        <v>34.14</v>
      </c>
      <c r="AA362" s="22"/>
      <c r="AB362" s="1"/>
      <c r="AC362" s="7"/>
      <c r="AD362" s="7"/>
    </row>
    <row r="363" customFormat="false" ht="15" hidden="false" customHeight="true" outlineLevel="0" collapsed="false">
      <c r="B363" s="29" t="s">
        <v>453</v>
      </c>
      <c r="C363" s="37"/>
      <c r="D363" s="37"/>
      <c r="E363" s="37"/>
      <c r="F363" s="37"/>
      <c r="G363" s="38"/>
      <c r="H363" s="37"/>
      <c r="I363" s="38"/>
      <c r="J363" s="37"/>
      <c r="K363" s="37"/>
      <c r="L363" s="37"/>
      <c r="M363" s="38"/>
      <c r="N363" s="37"/>
      <c r="O363" s="38"/>
      <c r="P363" s="37"/>
      <c r="Q363" s="37"/>
      <c r="R363" s="37"/>
      <c r="S363" s="38"/>
      <c r="T363" s="39"/>
      <c r="U363" s="39"/>
      <c r="V363" s="39" t="n">
        <f aca="false">V110</f>
        <v>132.55225</v>
      </c>
      <c r="W363" s="39" t="n">
        <f aca="false">W110</f>
        <v>133.172435</v>
      </c>
      <c r="X363" s="39" t="n">
        <f aca="false">X110</f>
        <v>133.572435</v>
      </c>
      <c r="Y363" s="39" t="n">
        <f aca="false">Y110</f>
        <v>133.972435</v>
      </c>
      <c r="Z363" s="39" t="n">
        <f aca="false">Z110</f>
        <v>134.372435</v>
      </c>
      <c r="AA363" s="22"/>
      <c r="AB363" s="1"/>
      <c r="AC363" s="7"/>
      <c r="AD363" s="7"/>
    </row>
    <row r="364" customFormat="false" ht="15" hidden="false" customHeight="true" outlineLevel="0" collapsed="false">
      <c r="B364" s="29" t="s">
        <v>454</v>
      </c>
      <c r="C364" s="37"/>
      <c r="D364" s="37"/>
      <c r="E364" s="37"/>
      <c r="F364" s="37"/>
      <c r="G364" s="38"/>
      <c r="H364" s="37"/>
      <c r="I364" s="37"/>
      <c r="J364" s="37"/>
      <c r="K364" s="37"/>
      <c r="L364" s="37"/>
      <c r="M364" s="38"/>
      <c r="N364" s="37"/>
      <c r="O364" s="37"/>
      <c r="P364" s="37"/>
      <c r="Q364" s="37"/>
      <c r="R364" s="37"/>
      <c r="S364" s="38"/>
      <c r="T364" s="39"/>
      <c r="U364" s="39"/>
      <c r="V364" s="39" t="n">
        <f aca="false">IFERROR(V362*V363,"n/a")</f>
        <v>4525.333815</v>
      </c>
      <c r="W364" s="39" t="n">
        <f aca="false">IFERROR(W362*W363,"n/a")</f>
        <v>4546.5069309</v>
      </c>
      <c r="X364" s="39" t="n">
        <f aca="false">IFERROR(X362*X363,"n/a")</f>
        <v>4560.1629309</v>
      </c>
      <c r="Y364" s="39" t="n">
        <f aca="false">IFERROR(Y362*Y363,"n/a")</f>
        <v>4573.8189309</v>
      </c>
      <c r="Z364" s="39" t="n">
        <f aca="false">IFERROR(Z362*Z363,"n/a")</f>
        <v>4587.4749309</v>
      </c>
      <c r="AA364" s="22"/>
      <c r="AB364" s="1"/>
      <c r="AC364" s="23"/>
      <c r="AD364" s="23"/>
    </row>
    <row r="365" customFormat="false" ht="15" hidden="false" customHeight="true" outlineLevel="0" collapsed="false">
      <c r="B365" s="29" t="s">
        <v>455</v>
      </c>
      <c r="C365" s="37"/>
      <c r="D365" s="37"/>
      <c r="E365" s="37"/>
      <c r="F365" s="37"/>
      <c r="G365" s="38"/>
      <c r="H365" s="37"/>
      <c r="I365" s="37"/>
      <c r="J365" s="37"/>
      <c r="K365" s="37"/>
      <c r="L365" s="37"/>
      <c r="M365" s="38"/>
      <c r="N365" s="37"/>
      <c r="O365" s="37"/>
      <c r="P365" s="37"/>
      <c r="Q365" s="37"/>
      <c r="R365" s="37"/>
      <c r="S365" s="38"/>
      <c r="T365" s="39"/>
      <c r="U365" s="39"/>
      <c r="V365" s="39" t="n">
        <f aca="false">V356</f>
        <v>853.078289719554</v>
      </c>
      <c r="W365" s="39" t="n">
        <f aca="false">W356</f>
        <v>982.412573717799</v>
      </c>
      <c r="X365" s="39" t="n">
        <f aca="false">X356</f>
        <v>1094.10980876992</v>
      </c>
      <c r="Y365" s="39" t="n">
        <f aca="false">Y356</f>
        <v>1187.65131307103</v>
      </c>
      <c r="Z365" s="39" t="n">
        <f aca="false">Z356</f>
        <v>1232.27835300873</v>
      </c>
      <c r="AA365" s="22"/>
      <c r="AB365" s="1"/>
      <c r="AC365" s="23"/>
      <c r="AD365" s="23"/>
    </row>
    <row r="366" customFormat="false" ht="15" hidden="false" customHeight="true" outlineLevel="0" collapsed="false">
      <c r="B366" s="18" t="s">
        <v>456</v>
      </c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1"/>
      <c r="U366" s="21"/>
      <c r="V366" s="21" t="n">
        <f aca="false">IFERROR(V364+V365,"n/a")</f>
        <v>5378.41210471956</v>
      </c>
      <c r="W366" s="21" t="n">
        <f aca="false">IFERROR(W364+W365,"n/a")</f>
        <v>5528.9195046178</v>
      </c>
      <c r="X366" s="21" t="n">
        <f aca="false">IFERROR(X364+X365,"n/a")</f>
        <v>5654.27273966992</v>
      </c>
      <c r="Y366" s="21" t="n">
        <f aca="false">IFERROR(Y364+Y365,"n/a")</f>
        <v>5761.47024397104</v>
      </c>
      <c r="Z366" s="21" t="n">
        <f aca="false">IFERROR(Z364+Z365,"n/a")</f>
        <v>5819.75328390873</v>
      </c>
      <c r="AA366" s="22"/>
      <c r="AB366" s="1"/>
      <c r="AC366" s="7"/>
      <c r="AD366" s="7"/>
    </row>
    <row r="367" customFormat="false" ht="15" hidden="false" customHeight="true" outlineLevel="0" collapsed="false">
      <c r="B367" s="29" t="s">
        <v>457</v>
      </c>
      <c r="C367" s="37"/>
      <c r="D367" s="37"/>
      <c r="E367" s="37"/>
      <c r="F367" s="37"/>
      <c r="G367" s="38"/>
      <c r="H367" s="37"/>
      <c r="I367" s="37"/>
      <c r="J367" s="37"/>
      <c r="K367" s="37"/>
      <c r="L367" s="37"/>
      <c r="M367" s="38"/>
      <c r="N367" s="37"/>
      <c r="O367" s="37"/>
      <c r="P367" s="37"/>
      <c r="Q367" s="37"/>
      <c r="R367" s="37"/>
      <c r="S367" s="38"/>
      <c r="T367" s="39"/>
      <c r="U367" s="39"/>
      <c r="V367" s="39"/>
      <c r="W367" s="39"/>
      <c r="X367" s="39"/>
      <c r="Y367" s="39"/>
      <c r="Z367" s="39"/>
      <c r="AA367" s="22"/>
      <c r="AB367" s="1"/>
      <c r="AC367" s="23"/>
      <c r="AD367" s="23"/>
    </row>
    <row r="368" customFormat="false" ht="15" hidden="false" customHeight="true" outlineLevel="0" collapsed="false">
      <c r="B368" s="29" t="s">
        <v>458</v>
      </c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4"/>
      <c r="U368" s="44"/>
      <c r="V368" s="83" t="n">
        <f aca="false">IFERROR(V366/V92,"n/a")</f>
        <v>7.17600013971922</v>
      </c>
      <c r="W368" s="83" t="n">
        <f aca="false">IFERROR(W366/W92,"n/a")</f>
        <v>5.7700326988031</v>
      </c>
      <c r="X368" s="83" t="n">
        <f aca="false">IFERROR(X366/X92,"n/a")</f>
        <v>4.76129714367751</v>
      </c>
      <c r="Y368" s="83" t="n">
        <f aca="false">IFERROR(Y366/Y92,"n/a")</f>
        <v>4.01819396592178</v>
      </c>
      <c r="Z368" s="83" t="n">
        <f aca="false">IFERROR(Z366/Z92,"n/a")</f>
        <v>3.43879754368695</v>
      </c>
      <c r="AA368" s="22"/>
      <c r="AB368" s="1"/>
      <c r="AC368" s="7"/>
      <c r="AD368" s="7"/>
    </row>
    <row r="369" customFormat="false" ht="15" hidden="false" customHeight="true" outlineLevel="0" collapsed="false">
      <c r="B369" s="29" t="s">
        <v>459</v>
      </c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4"/>
      <c r="U369" s="44"/>
      <c r="V369" s="83" t="n">
        <f aca="false">IFERROR(V366/V146,"n/a")</f>
        <v>24.228172911931</v>
      </c>
      <c r="W369" s="83" t="n">
        <f aca="false">IFERROR(W366/W146,"n/a")</f>
        <v>19.3885106225873</v>
      </c>
      <c r="X369" s="83" t="n">
        <f aca="false">IFERROR(X366/X146,"n/a")</f>
        <v>15.9567959206966</v>
      </c>
      <c r="Y369" s="83" t="n">
        <f aca="false">IFERROR(Y366/Y146,"n/a")</f>
        <v>13.4351357156195</v>
      </c>
      <c r="Z369" s="83" t="n">
        <f aca="false">IFERROR(Z366/Z146,"n/a")</f>
        <v>11.4447997257273</v>
      </c>
      <c r="AA369" s="22"/>
      <c r="AB369" s="1"/>
      <c r="AC369" s="7"/>
      <c r="AD369" s="7"/>
    </row>
    <row r="370" customFormat="false" ht="15" hidden="false" customHeight="true" outlineLevel="0" collapsed="false">
      <c r="B370" s="29" t="s">
        <v>460</v>
      </c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4"/>
      <c r="U370" s="44"/>
      <c r="V370" s="83" t="n">
        <f aca="false">IFERROR(V366/V124,"n/a")</f>
        <v>27.1239621543328</v>
      </c>
      <c r="W370" s="83" t="n">
        <f aca="false">IFERROR(W366/W124,"n/a")</f>
        <v>21.7487267973303</v>
      </c>
      <c r="X370" s="83" t="n">
        <f aca="false">IFERROR(X366/X124,"n/a")</f>
        <v>17.9429188273215</v>
      </c>
      <c r="Y370" s="83" t="n">
        <f aca="false">IFERROR(Y366/Y124,"n/a")</f>
        <v>15.1077807127179</v>
      </c>
      <c r="Z370" s="83" t="n">
        <f aca="false">IFERROR(Z366/Z124,"n/a")</f>
        <v>12.8779222993785</v>
      </c>
      <c r="AA370" s="22"/>
      <c r="AB370" s="1"/>
      <c r="AC370" s="7"/>
      <c r="AD370" s="7"/>
    </row>
    <row r="371" customFormat="false" ht="15" hidden="false" customHeight="true" outlineLevel="0" collapsed="false">
      <c r="B371" s="29" t="s">
        <v>461</v>
      </c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4"/>
      <c r="U371" s="44"/>
      <c r="V371" s="83" t="n">
        <f aca="false">IFERROR(V366/V333,"n/a")</f>
        <v>4.14076528750827</v>
      </c>
      <c r="W371" s="83" t="n">
        <f aca="false">IFERROR(W366/W333,"n/a")</f>
        <v>3.58459406098347</v>
      </c>
      <c r="X371" s="83" t="n">
        <f aca="false">IFERROR(X366/X333,"n/a")</f>
        <v>3.12607521818421</v>
      </c>
      <c r="Y371" s="83" t="n">
        <f aca="false">IFERROR(Y366/Y333,"n/a")</f>
        <v>2.74801036613484</v>
      </c>
      <c r="Z371" s="83" t="n">
        <f aca="false">IFERROR(Z366/Z333,"n/a")</f>
        <v>2.44692156250267</v>
      </c>
      <c r="AA371" s="22"/>
      <c r="AB371" s="1"/>
      <c r="AC371" s="7"/>
      <c r="AD371" s="7"/>
    </row>
    <row r="372" customFormat="false" ht="15" hidden="false" customHeight="true" outlineLevel="0" collapsed="false">
      <c r="B372" s="29" t="s">
        <v>462</v>
      </c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4"/>
      <c r="U372" s="44"/>
      <c r="V372" s="83" t="n">
        <f aca="false">IFERROR(V362/V112,"n/a")</f>
        <v>74.8088403742031</v>
      </c>
      <c r="W372" s="83" t="n">
        <f aca="false">IFERROR(W362/W112,"n/a")</f>
        <v>42.6828437126715</v>
      </c>
      <c r="X372" s="83" t="n">
        <f aca="false">IFERROR(X362/X112,"n/a")</f>
        <v>31.4199937755172</v>
      </c>
      <c r="Y372" s="83" t="n">
        <f aca="false">IFERROR(Y362/Y112,"n/a")</f>
        <v>25.0154487861698</v>
      </c>
      <c r="Z372" s="83" t="n">
        <f aca="false">IFERROR(Z362/Z112,"n/a")</f>
        <v>20.5132329013384</v>
      </c>
      <c r="AA372" s="22"/>
      <c r="AB372" s="1"/>
      <c r="AC372" s="7"/>
      <c r="AD372" s="7"/>
    </row>
    <row r="373" customFormat="false" ht="15" hidden="false" customHeight="true" outlineLevel="0" collapsed="false">
      <c r="B373" s="29" t="s">
        <v>463</v>
      </c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4"/>
      <c r="U373" s="44"/>
      <c r="V373" s="83" t="n">
        <f aca="false">IFERROR(V362/V169,"n/a")</f>
        <v>55.6634183479896</v>
      </c>
      <c r="W373" s="83" t="n">
        <f aca="false">IFERROR(W362/W169,"n/a")</f>
        <v>37.2103076329937</v>
      </c>
      <c r="X373" s="83" t="n">
        <f aca="false">IFERROR(X362/X169,"n/a")</f>
        <v>27.9103490002947</v>
      </c>
      <c r="Y373" s="83" t="n">
        <f aca="false">IFERROR(Y362/Y169,"n/a")</f>
        <v>22.441523385001</v>
      </c>
      <c r="Z373" s="83" t="n">
        <f aca="false">IFERROR(Z362/Z169,"n/a")</f>
        <v>18.5973222562672</v>
      </c>
      <c r="AA373" s="22"/>
      <c r="AB373" s="1"/>
      <c r="AC373" s="7"/>
      <c r="AD373" s="7"/>
    </row>
    <row r="374" customFormat="false" ht="15" hidden="false" customHeight="true" outlineLevel="0" collapsed="false">
      <c r="B374" s="29" t="s">
        <v>464</v>
      </c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4"/>
      <c r="U374" s="44"/>
      <c r="V374" s="83" t="n">
        <f aca="false">IFERROR(V362/V176,"n/a")</f>
        <v>42.3759970111762</v>
      </c>
      <c r="W374" s="83" t="n">
        <f aca="false">IFERROR(W362/W176,"n/a")</f>
        <v>30.5581964959679</v>
      </c>
      <c r="X374" s="83" t="n">
        <f aca="false">IFERROR(X362/X176,"n/a")</f>
        <v>23.9904919963589</v>
      </c>
      <c r="Y374" s="83" t="n">
        <f aca="false">IFERROR(Y362/Y176,"n/a")</f>
        <v>19.45856627102</v>
      </c>
      <c r="Z374" s="83" t="n">
        <f aca="false">IFERROR(Z362/Z176,"n/a")</f>
        <v>16.1467373737245</v>
      </c>
      <c r="AA374" s="22"/>
      <c r="AB374" s="1"/>
      <c r="AC374" s="7"/>
      <c r="AD374" s="7"/>
    </row>
    <row r="375" customFormat="false" ht="15" hidden="false" customHeight="true" outlineLevel="0" collapsed="false">
      <c r="B375" s="25" t="s">
        <v>465</v>
      </c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27"/>
      <c r="U375" s="27"/>
      <c r="V375" s="27" t="n">
        <f aca="false">IFERROR(V222/V364,"n/a")</f>
        <v>0.00595132014154984</v>
      </c>
      <c r="W375" s="27" t="n">
        <f aca="false">IFERROR(W222/W364,"n/a")</f>
        <v>0.0177752431108154</v>
      </c>
      <c r="X375" s="27" t="n">
        <f aca="false">IFERROR(X222/X364,"n/a")</f>
        <v>0.0271590717973402</v>
      </c>
      <c r="Y375" s="27" t="n">
        <f aca="false">IFERROR(Y222/Y364,"n/a")</f>
        <v>0.0366046135851159</v>
      </c>
      <c r="Z375" s="27" t="n">
        <f aca="false">IFERROR(Z222/Z364,"n/a")</f>
        <v>0.0472537858290864</v>
      </c>
      <c r="AA375" s="22"/>
      <c r="AB375" s="1"/>
      <c r="AC375" s="47"/>
      <c r="AD375" s="47"/>
    </row>
  </sheetData>
  <dataValidations count="1">
    <dataValidation allowBlank="false" errorStyle="stop" operator="between" showDropDown="false" showErrorMessage="false" showInputMessage="false" sqref="AA2" type="list">
      <formula1>"Bull,Base,Bear"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J47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9" min="9" style="0" width="13.57"/>
    <col collapsed="false" customWidth="true" hidden="false" outlineLevel="0" max="10" min="10" style="0" width="12.57"/>
    <col collapsed="false" customWidth="true" hidden="false" outlineLevel="0" max="11" min="11" style="0" width="9.71"/>
    <col collapsed="false" customWidth="true" hidden="false" outlineLevel="0" max="14" min="14" style="0" width="41.43"/>
    <col collapsed="false" customWidth="true" hidden="false" outlineLevel="0" max="15" min="15" style="0" width="11.43"/>
    <col collapsed="false" customWidth="true" hidden="false" outlineLevel="0" max="26" min="26" style="0" width="41.43"/>
    <col collapsed="false" customWidth="true" hidden="false" outlineLevel="0" max="27" min="27" style="0" width="11.72"/>
  </cols>
  <sheetData>
    <row r="2" customFormat="false" ht="19.5" hidden="false" customHeight="true" outlineLevel="0" collapsed="false">
      <c r="B2" s="84" t="s">
        <v>466</v>
      </c>
      <c r="J2" s="12" t="s">
        <v>467</v>
      </c>
      <c r="K2" s="85" t="n">
        <f aca="false">Model!$V$362</f>
        <v>34.14</v>
      </c>
    </row>
    <row r="3" customFormat="false" ht="15" hidden="false" customHeight="true" outlineLevel="0" collapsed="false">
      <c r="B3" s="5" t="s">
        <v>468</v>
      </c>
      <c r="J3" s="12" t="s">
        <v>469</v>
      </c>
      <c r="K3" s="86" t="n">
        <f aca="true">TODAY()</f>
        <v>46299</v>
      </c>
    </row>
    <row r="5" customFormat="false" ht="15" hidden="false" customHeight="true" outlineLevel="0" collapsed="false">
      <c r="B5" s="12" t="s">
        <v>470</v>
      </c>
      <c r="C5" s="87" t="str">
        <f aca="false">Model!AA2</f>
        <v>Base</v>
      </c>
      <c r="N5" s="88" t="s">
        <v>470</v>
      </c>
      <c r="O5" s="89" t="s">
        <v>36</v>
      </c>
      <c r="P5" s="5" t="s">
        <v>471</v>
      </c>
      <c r="Z5" s="88" t="s">
        <v>470</v>
      </c>
      <c r="AA5" s="89" t="s">
        <v>37</v>
      </c>
      <c r="AB5" s="5" t="s">
        <v>472</v>
      </c>
    </row>
    <row r="7" customFormat="false" ht="15" hidden="false" customHeight="true" outlineLevel="0" collapsed="false">
      <c r="B7" s="90" t="s">
        <v>473</v>
      </c>
      <c r="C7" s="91" t="s">
        <v>474</v>
      </c>
      <c r="D7" s="91" t="s">
        <v>23</v>
      </c>
      <c r="E7" s="91" t="s">
        <v>24</v>
      </c>
      <c r="F7" s="91" t="s">
        <v>25</v>
      </c>
      <c r="G7" s="91" t="s">
        <v>26</v>
      </c>
      <c r="H7" s="91" t="s">
        <v>27</v>
      </c>
      <c r="I7" s="91" t="s">
        <v>475</v>
      </c>
      <c r="J7" s="92" t="s">
        <v>476</v>
      </c>
      <c r="K7" s="92" t="s">
        <v>477</v>
      </c>
      <c r="L7" s="92" t="s">
        <v>478</v>
      </c>
      <c r="N7" s="90" t="s">
        <v>473</v>
      </c>
      <c r="O7" s="91" t="s">
        <v>474</v>
      </c>
      <c r="P7" s="91" t="s">
        <v>23</v>
      </c>
      <c r="Q7" s="91" t="s">
        <v>24</v>
      </c>
      <c r="R7" s="91" t="s">
        <v>25</v>
      </c>
      <c r="S7" s="91" t="s">
        <v>26</v>
      </c>
      <c r="T7" s="91" t="s">
        <v>27</v>
      </c>
      <c r="U7" s="91" t="s">
        <v>475</v>
      </c>
      <c r="V7" s="92" t="s">
        <v>476</v>
      </c>
      <c r="W7" s="92" t="s">
        <v>477</v>
      </c>
      <c r="X7" s="92" t="s">
        <v>478</v>
      </c>
      <c r="Z7" s="90" t="s">
        <v>473</v>
      </c>
      <c r="AA7" s="91" t="s">
        <v>474</v>
      </c>
      <c r="AB7" s="91" t="s">
        <v>23</v>
      </c>
      <c r="AC7" s="91" t="s">
        <v>24</v>
      </c>
      <c r="AD7" s="91" t="s">
        <v>25</v>
      </c>
      <c r="AE7" s="91" t="s">
        <v>26</v>
      </c>
      <c r="AF7" s="91" t="s">
        <v>27</v>
      </c>
      <c r="AG7" s="91" t="s">
        <v>475</v>
      </c>
      <c r="AH7" s="92" t="s">
        <v>476</v>
      </c>
      <c r="AI7" s="92" t="s">
        <v>477</v>
      </c>
      <c r="AJ7" s="92" t="s">
        <v>478</v>
      </c>
    </row>
    <row r="9" customFormat="false" ht="15" hidden="false" customHeight="true" outlineLevel="0" collapsed="false">
      <c r="B9" s="93" t="s">
        <v>175</v>
      </c>
      <c r="C9" s="94" t="n">
        <f aca="false">Model!P92</f>
        <v>471.5</v>
      </c>
      <c r="D9" s="95" t="n">
        <f aca="false">Model!V92</f>
        <v>749.5</v>
      </c>
      <c r="E9" s="95" t="n">
        <f aca="false">Model!W92</f>
        <v>958.212854801444</v>
      </c>
      <c r="F9" s="95" t="n">
        <f aca="false">Model!X92</f>
        <v>1187.54880635379</v>
      </c>
      <c r="G9" s="95" t="n">
        <f aca="false">Model!Y92</f>
        <v>1433.84572592412</v>
      </c>
      <c r="H9" s="95" t="n">
        <f aca="false">Model!Z92</f>
        <v>1692.3803189847</v>
      </c>
      <c r="I9" s="96" t="n">
        <f aca="false">IFERROR(IF(AND(H9&gt;0,C9&gt;0),(H9/C9)^(1/5)-1,"n/m"),"n/m")</f>
        <v>0.291228947732253</v>
      </c>
      <c r="N9" s="93" t="s">
        <v>175</v>
      </c>
      <c r="O9" s="94" t="n">
        <v>471.5</v>
      </c>
      <c r="P9" s="95" t="n">
        <v>757</v>
      </c>
      <c r="Q9" s="95" t="n">
        <v>1031.21374358374</v>
      </c>
      <c r="R9" s="95" t="n">
        <v>1374.25508505066</v>
      </c>
      <c r="S9" s="95" t="n">
        <v>1757.16700330466</v>
      </c>
      <c r="T9" s="95" t="n">
        <v>2176.44596129912</v>
      </c>
      <c r="U9" s="96" t="n">
        <v>0.357854507511123</v>
      </c>
      <c r="Z9" s="93" t="s">
        <v>175</v>
      </c>
      <c r="AA9" s="94" t="n">
        <v>471.5</v>
      </c>
      <c r="AB9" s="95" t="n">
        <v>742</v>
      </c>
      <c r="AC9" s="95" t="n">
        <v>864.061966019146</v>
      </c>
      <c r="AD9" s="95" t="n">
        <v>957.599546641349</v>
      </c>
      <c r="AE9" s="95" t="n">
        <v>1047.30931928529</v>
      </c>
      <c r="AF9" s="95" t="n">
        <v>1130.28874795042</v>
      </c>
      <c r="AG9" s="96" t="n">
        <v>0.1910816706907</v>
      </c>
    </row>
    <row r="10" customFormat="false" ht="15" hidden="false" customHeight="true" outlineLevel="0" collapsed="false">
      <c r="B10" s="97" t="s">
        <v>479</v>
      </c>
      <c r="C10" s="98"/>
      <c r="D10" s="99" t="n">
        <f aca="false">IFERROR(D9/C9-1,"")</f>
        <v>0.589607635206787</v>
      </c>
      <c r="E10" s="99" t="n">
        <f aca="false">IFERROR(E9/D9-1,"")</f>
        <v>0.278469452703728</v>
      </c>
      <c r="F10" s="99" t="n">
        <f aca="false">IFERROR(F9/E9-1,"")</f>
        <v>0.239337168566647</v>
      </c>
      <c r="G10" s="99" t="n">
        <f aca="false">IFERROR(G9/F9-1,"")</f>
        <v>0.207399408135956</v>
      </c>
      <c r="H10" s="99" t="n">
        <f aca="false">IFERROR(H9/G9-1,"")</f>
        <v>0.180308514637414</v>
      </c>
      <c r="N10" s="97" t="s">
        <v>479</v>
      </c>
      <c r="O10" s="98"/>
      <c r="P10" s="99" t="n">
        <v>0.605514316012725</v>
      </c>
      <c r="Q10" s="99" t="n">
        <v>0.36223744198645</v>
      </c>
      <c r="R10" s="99" t="n">
        <v>0.332657844798262</v>
      </c>
      <c r="S10" s="99" t="n">
        <v>0.278632345930074</v>
      </c>
      <c r="T10" s="99" t="n">
        <v>0.238610762213229</v>
      </c>
      <c r="Z10" s="97" t="s">
        <v>479</v>
      </c>
      <c r="AA10" s="98"/>
      <c r="AB10" s="99" t="n">
        <v>0.573700954400849</v>
      </c>
      <c r="AC10" s="99" t="n">
        <v>0.164503997330386</v>
      </c>
      <c r="AD10" s="99" t="n">
        <v>0.108253324762277</v>
      </c>
      <c r="AE10" s="99" t="n">
        <v>0.0936819289008519</v>
      </c>
      <c r="AF10" s="99" t="n">
        <v>0.0792310610983167</v>
      </c>
    </row>
    <row r="11" customFormat="false" ht="15" hidden="false" customHeight="true" outlineLevel="0" collapsed="false">
      <c r="B11" s="93" t="s">
        <v>480</v>
      </c>
      <c r="C11" s="100" t="str">
        <f aca="false">Model!P180</f>
        <v/>
      </c>
      <c r="D11" s="101" t="n">
        <f aca="false">Model!V180</f>
        <v>0.362922587486745</v>
      </c>
      <c r="E11" s="101" t="n">
        <f aca="false">Model!W180</f>
        <v>0.206443413366148</v>
      </c>
      <c r="F11" s="101" t="n">
        <f aca="false">Model!X180</f>
        <v>0.160134664903112</v>
      </c>
      <c r="G11" s="101" t="n">
        <f aca="false">Model!Y180</f>
        <v>0.13597377230726</v>
      </c>
      <c r="H11" s="101" t="n">
        <f aca="false">Model!Z180</f>
        <v>0.118038416347607</v>
      </c>
      <c r="N11" s="93" t="s">
        <v>480</v>
      </c>
      <c r="O11" s="100"/>
      <c r="P11" s="101" t="n">
        <v>0.378829268292683</v>
      </c>
      <c r="Q11" s="101" t="n">
        <v>0.255540968050874</v>
      </c>
      <c r="R11" s="101" t="n">
        <v>0.207112305360083</v>
      </c>
      <c r="S11" s="101" t="n">
        <v>0.177928438301633</v>
      </c>
      <c r="T11" s="101" t="n">
        <v>0.1573110664026</v>
      </c>
      <c r="Z11" s="93" t="s">
        <v>480</v>
      </c>
      <c r="AA11" s="100"/>
      <c r="AB11" s="101" t="n">
        <v>0.347015906680806</v>
      </c>
      <c r="AC11" s="101" t="n">
        <v>0.127849277387256</v>
      </c>
      <c r="AD11" s="101" t="n">
        <v>0.0824201907403432</v>
      </c>
      <c r="AE11" s="101" t="n">
        <v>0.0610482459489279</v>
      </c>
      <c r="AF11" s="101" t="n">
        <v>0.0451300700571427</v>
      </c>
    </row>
    <row r="12" customFormat="false" ht="15" hidden="false" customHeight="true" outlineLevel="0" collapsed="false">
      <c r="B12" s="93" t="s">
        <v>481</v>
      </c>
      <c r="C12" s="94" t="n">
        <f aca="false">Model!P146</f>
        <v>145.302</v>
      </c>
      <c r="D12" s="95" t="n">
        <f aca="false">Model!V146</f>
        <v>221.99</v>
      </c>
      <c r="E12" s="95" t="n">
        <f aca="false">Model!W146</f>
        <v>285.164735561312</v>
      </c>
      <c r="F12" s="95" t="n">
        <f aca="false">Model!X146</f>
        <v>354.348878544977</v>
      </c>
      <c r="G12" s="95" t="n">
        <f aca="false">Model!Y146</f>
        <v>428.836028598715</v>
      </c>
      <c r="H12" s="95" t="n">
        <f aca="false">Model!Z146</f>
        <v>508.506345534929</v>
      </c>
      <c r="I12" s="96" t="n">
        <f aca="false">IFERROR(IF(AND(H12&gt;0,C12&gt;0),(H12/C12)^(1/5)-1,"n/m"),"n/m")</f>
        <v>0.284709563073962</v>
      </c>
      <c r="N12" s="93" t="s">
        <v>481</v>
      </c>
      <c r="O12" s="94" t="n">
        <v>145.302</v>
      </c>
      <c r="P12" s="95" t="n">
        <v>225.74</v>
      </c>
      <c r="Q12" s="95" t="n">
        <v>315.539337434037</v>
      </c>
      <c r="R12" s="95" t="n">
        <v>419.271521950526</v>
      </c>
      <c r="S12" s="95" t="n">
        <v>535.504899004711</v>
      </c>
      <c r="T12" s="95" t="n">
        <v>664.835780213519</v>
      </c>
      <c r="U12" s="96" t="n">
        <v>0.355465781708095</v>
      </c>
      <c r="Z12" s="93" t="s">
        <v>481</v>
      </c>
      <c r="AA12" s="94" t="n">
        <v>145.302</v>
      </c>
      <c r="AB12" s="95" t="n">
        <v>218.24</v>
      </c>
      <c r="AC12" s="95" t="n">
        <v>241.438834001845</v>
      </c>
      <c r="AD12" s="95" t="n">
        <v>269.970724556645</v>
      </c>
      <c r="AE12" s="95" t="n">
        <v>297.585008506802</v>
      </c>
      <c r="AF12" s="95" t="n">
        <v>324.302954516172</v>
      </c>
      <c r="AG12" s="96" t="n">
        <v>0.174183200926979</v>
      </c>
    </row>
    <row r="13" customFormat="false" ht="15" hidden="false" customHeight="true" outlineLevel="0" collapsed="false">
      <c r="B13" s="97" t="s">
        <v>482</v>
      </c>
      <c r="C13" s="102" t="n">
        <f aca="false">IFERROR(C12/C9,"")</f>
        <v>0.30816967126193</v>
      </c>
      <c r="D13" s="103" t="n">
        <f aca="false">IFERROR(D12/D9,"")</f>
        <v>0.296184122748499</v>
      </c>
      <c r="E13" s="103" t="n">
        <f aca="false">IFERROR(E12/E9,"")</f>
        <v>0.297600615700781</v>
      </c>
      <c r="F13" s="103" t="n">
        <f aca="false">IFERROR(F12/F9,"")</f>
        <v>0.298386791893598</v>
      </c>
      <c r="G13" s="103" t="n">
        <f aca="false">IFERROR(G12/G9,"")</f>
        <v>0.299081010491786</v>
      </c>
      <c r="H13" s="103" t="n">
        <f aca="false">IFERROR(H12/H9,"")</f>
        <v>0.300468127542391</v>
      </c>
      <c r="J13" s="104" t="n">
        <f aca="false">IFERROR(AVERAGE(Model!C188,Model!D188,Model!J188,Model!P188),"")</f>
        <v>0.293412002679432</v>
      </c>
      <c r="K13" s="104" t="n">
        <f aca="false">IFERROR(MIN(Model!C188,Model!D188,Model!J188,Model!P188),"")</f>
        <v>0.266408908134859</v>
      </c>
      <c r="L13" s="104" t="n">
        <f aca="false">IFERROR(MAX(Model!C188,Model!D188,Model!J188,Model!P188),"")</f>
        <v>0.30816967126193</v>
      </c>
      <c r="N13" s="97" t="s">
        <v>482</v>
      </c>
      <c r="O13" s="102" t="n">
        <v>0.30816967126193</v>
      </c>
      <c r="P13" s="103" t="n">
        <v>0.298203434610304</v>
      </c>
      <c r="Q13" s="103" t="n">
        <v>0.305988297186046</v>
      </c>
      <c r="R13" s="103" t="n">
        <v>0.305090027689489</v>
      </c>
      <c r="S13" s="103" t="n">
        <v>0.304754697759292</v>
      </c>
      <c r="T13" s="103" t="n">
        <v>0.30546854460686</v>
      </c>
      <c r="V13" s="104" t="n">
        <v>0.293412002679432</v>
      </c>
      <c r="W13" s="104" t="n">
        <v>0.266408908134859</v>
      </c>
      <c r="X13" s="104" t="n">
        <v>0.30816967126193</v>
      </c>
      <c r="Z13" s="97" t="s">
        <v>482</v>
      </c>
      <c r="AA13" s="102" t="n">
        <v>0.30816967126193</v>
      </c>
      <c r="AB13" s="103" t="n">
        <v>0.294123989218329</v>
      </c>
      <c r="AC13" s="103" t="n">
        <v>0.279423054707739</v>
      </c>
      <c r="AD13" s="103" t="n">
        <v>0.281924449007448</v>
      </c>
      <c r="AE13" s="103" t="n">
        <v>0.284142423854188</v>
      </c>
      <c r="AF13" s="103" t="n">
        <v>0.286920448517459</v>
      </c>
      <c r="AH13" s="104" t="n">
        <v>0.293412002679432</v>
      </c>
      <c r="AI13" s="104" t="n">
        <v>0.266408908134859</v>
      </c>
      <c r="AJ13" s="104" t="n">
        <v>0.30816967126193</v>
      </c>
    </row>
    <row r="15" customFormat="false" ht="15" hidden="false" customHeight="true" outlineLevel="0" collapsed="false">
      <c r="B15" s="93" t="s">
        <v>483</v>
      </c>
      <c r="C15" s="94" t="n">
        <f aca="false">Model!P97</f>
        <v>72.942</v>
      </c>
      <c r="D15" s="95" t="n">
        <f aca="false">Model!V97</f>
        <v>137.3715608</v>
      </c>
      <c r="E15" s="95" t="n">
        <f aca="false">Model!W97</f>
        <v>198.239874207666</v>
      </c>
      <c r="F15" s="95" t="n">
        <f aca="false">Model!X97</f>
        <v>255.593941628948</v>
      </c>
      <c r="G15" s="95" t="n">
        <f aca="false">Model!Y97</f>
        <v>312.199549316371</v>
      </c>
      <c r="H15" s="95" t="n">
        <f aca="false">Model!Z97</f>
        <v>371.815556232729</v>
      </c>
      <c r="I15" s="96" t="n">
        <f aca="false">IFERROR(IF(AND(H15&gt;0,C15&gt;0),(H15/C15)^(1/5)-1,"n/m"),"n/m")</f>
        <v>0.385064434950401</v>
      </c>
      <c r="N15" s="93" t="s">
        <v>483</v>
      </c>
      <c r="O15" s="94" t="n">
        <v>72.942</v>
      </c>
      <c r="P15" s="95" t="n">
        <v>141.1215608</v>
      </c>
      <c r="Q15" s="95" t="n">
        <v>218.965947639357</v>
      </c>
      <c r="R15" s="95" t="n">
        <v>301.231071558804</v>
      </c>
      <c r="S15" s="95" t="n">
        <v>388.989675014048</v>
      </c>
      <c r="T15" s="95" t="n">
        <v>486.531127788001</v>
      </c>
      <c r="U15" s="96" t="n">
        <v>0.461593465928726</v>
      </c>
      <c r="Z15" s="93" t="s">
        <v>483</v>
      </c>
      <c r="AA15" s="94" t="n">
        <v>72.942</v>
      </c>
      <c r="AB15" s="95" t="n">
        <v>133.6215608</v>
      </c>
      <c r="AC15" s="95" t="n">
        <v>164.839301089232</v>
      </c>
      <c r="AD15" s="95" t="n">
        <v>191.971562470839</v>
      </c>
      <c r="AE15" s="95" t="n">
        <v>213.039803456817</v>
      </c>
      <c r="AF15" s="95" t="n">
        <v>232.034961771206</v>
      </c>
      <c r="AG15" s="96" t="n">
        <v>0.260419611546947</v>
      </c>
    </row>
    <row r="16" customFormat="false" ht="15" hidden="false" customHeight="true" outlineLevel="0" collapsed="false">
      <c r="B16" s="97" t="s">
        <v>484</v>
      </c>
      <c r="C16" s="98"/>
      <c r="D16" s="99" t="n">
        <f aca="false">IFERROR(D15/C15-1,"")</f>
        <v>0.88329852211346</v>
      </c>
      <c r="E16" s="99" t="n">
        <f aca="false">IFERROR(E15/D15-1,"")</f>
        <v>0.443092537153921</v>
      </c>
      <c r="F16" s="99" t="n">
        <f aca="false">IFERROR(F15/E15-1,"")</f>
        <v>0.28931650431336</v>
      </c>
      <c r="G16" s="99" t="n">
        <f aca="false">IFERROR(G15/F15-1,"")</f>
        <v>0.221466938248475</v>
      </c>
      <c r="H16" s="99" t="n">
        <f aca="false">IFERROR(H15/G15-1,"")</f>
        <v>0.190954814146595</v>
      </c>
      <c r="N16" s="97" t="s">
        <v>484</v>
      </c>
      <c r="O16" s="98"/>
      <c r="P16" s="99" t="n">
        <v>0.934709231992542</v>
      </c>
      <c r="Q16" s="99" t="n">
        <v>0.551612286585179</v>
      </c>
      <c r="R16" s="99" t="n">
        <v>0.375698252656798</v>
      </c>
      <c r="S16" s="99" t="n">
        <v>0.291333171578592</v>
      </c>
      <c r="T16" s="99" t="n">
        <v>0.250755891581005</v>
      </c>
      <c r="Z16" s="97" t="s">
        <v>484</v>
      </c>
      <c r="AA16" s="98"/>
      <c r="AB16" s="99" t="n">
        <v>0.831887812234377</v>
      </c>
      <c r="AC16" s="99" t="n">
        <v>0.233628017082943</v>
      </c>
      <c r="AD16" s="99" t="n">
        <v>0.164598255405849</v>
      </c>
      <c r="AE16" s="99" t="n">
        <v>0.109746676616119</v>
      </c>
      <c r="AF16" s="99" t="n">
        <v>0.0891624851608521</v>
      </c>
    </row>
    <row r="17" customFormat="false" ht="15" hidden="false" customHeight="true" outlineLevel="0" collapsed="false">
      <c r="B17" s="97" t="s">
        <v>485</v>
      </c>
      <c r="C17" s="102" t="n">
        <f aca="false">IFERROR(C15/C9,"")</f>
        <v>0.154702014846235</v>
      </c>
      <c r="D17" s="103" t="n">
        <f aca="false">IFERROR(D15/D9,"")</f>
        <v>0.183284270580387</v>
      </c>
      <c r="E17" s="103" t="n">
        <f aca="false">IFERROR(E15/E9,"")</f>
        <v>0.206885008079697</v>
      </c>
      <c r="F17" s="103" t="n">
        <f aca="false">IFERROR(F15/F9,"")</f>
        <v>0.215228157580922</v>
      </c>
      <c r="G17" s="103" t="n">
        <f aca="false">IFERROR(G15/G9,"")</f>
        <v>0.217735802165994</v>
      </c>
      <c r="H17" s="103" t="n">
        <f aca="false">IFERROR(H15/H9,"")</f>
        <v>0.219699763736197</v>
      </c>
      <c r="J17" s="104" t="n">
        <f aca="false">IFERROR(AVERAGE(Model!C191,Model!D191,Model!J191,Model!P191),"")</f>
        <v>0.150463583605524</v>
      </c>
      <c r="K17" s="104" t="n">
        <f aca="false">IFERROR(MIN(Model!C191,Model!D191,Model!J191,Model!P191),"")</f>
        <v>0.0902964959568733</v>
      </c>
      <c r="L17" s="104" t="n">
        <f aca="false">IFERROR(MAX(Model!C191,Model!D191,Model!J191,Model!P191),"")</f>
        <v>0.184097946131945</v>
      </c>
      <c r="N17" s="97" t="s">
        <v>485</v>
      </c>
      <c r="O17" s="102" t="n">
        <v>0.154702014846235</v>
      </c>
      <c r="P17" s="103" t="n">
        <v>0.186422141083223</v>
      </c>
      <c r="Q17" s="103" t="n">
        <v>0.21233808121912</v>
      </c>
      <c r="R17" s="103" t="n">
        <v>0.219195893714084</v>
      </c>
      <c r="S17" s="103" t="n">
        <v>0.221373195764822</v>
      </c>
      <c r="T17" s="103" t="n">
        <v>0.223543858400046</v>
      </c>
      <c r="V17" s="104" t="n">
        <v>0.150463583605524</v>
      </c>
      <c r="W17" s="104" t="n">
        <v>0.0902964959568733</v>
      </c>
      <c r="X17" s="104" t="n">
        <v>0.184097946131945</v>
      </c>
      <c r="Z17" s="97" t="s">
        <v>485</v>
      </c>
      <c r="AA17" s="102" t="n">
        <v>0.154702014846235</v>
      </c>
      <c r="AB17" s="103" t="n">
        <v>0.180082966037736</v>
      </c>
      <c r="AC17" s="103" t="n">
        <v>0.19077254591898</v>
      </c>
      <c r="AD17" s="103" t="n">
        <v>0.200471651374683</v>
      </c>
      <c r="AE17" s="103" t="n">
        <v>0.203416316014643</v>
      </c>
      <c r="AF17" s="103" t="n">
        <v>0.20528821700823</v>
      </c>
      <c r="AH17" s="104" t="n">
        <v>0.150463583605524</v>
      </c>
      <c r="AI17" s="104" t="n">
        <v>0.0902964959568733</v>
      </c>
      <c r="AJ17" s="104" t="n">
        <v>0.184097946131945</v>
      </c>
    </row>
    <row r="19" customFormat="false" ht="15" hidden="false" customHeight="true" outlineLevel="0" collapsed="false">
      <c r="B19" s="93" t="s">
        <v>486</v>
      </c>
      <c r="C19" s="94" t="n">
        <f aca="false">Model!P167</f>
        <v>48.95914</v>
      </c>
      <c r="D19" s="95" t="n">
        <f aca="false">Model!V167</f>
        <v>81.2981658206667</v>
      </c>
      <c r="E19" s="95" t="n">
        <f aca="false">Model!W167</f>
        <v>122.184072643052</v>
      </c>
      <c r="F19" s="95" t="n">
        <f aca="false">Model!X167</f>
        <v>163.38609491597</v>
      </c>
      <c r="G19" s="95" t="n">
        <f aca="false">Model!Y167</f>
        <v>203.810536942289</v>
      </c>
      <c r="H19" s="95" t="n">
        <f aca="false">Model!Z167</f>
        <v>246.673949490446</v>
      </c>
      <c r="I19" s="96" t="n">
        <f aca="false">IFERROR(IF(AND(H19&gt;0,C19&gt;0),(H19/C19)^(1/5)-1,"n/m"),"n/m")</f>
        <v>0.381840449747743</v>
      </c>
      <c r="N19" s="93" t="s">
        <v>486</v>
      </c>
      <c r="O19" s="94" t="n">
        <v>48.95914</v>
      </c>
      <c r="P19" s="95" t="n">
        <v>84.1481658206667</v>
      </c>
      <c r="Q19" s="95" t="n">
        <v>142.926013527267</v>
      </c>
      <c r="R19" s="95" t="n">
        <v>196.911005948991</v>
      </c>
      <c r="S19" s="95" t="n">
        <v>255.150015233633</v>
      </c>
      <c r="T19" s="95" t="n">
        <v>321.8852632463</v>
      </c>
      <c r="U19" s="96" t="n">
        <v>0.457382206059946</v>
      </c>
      <c r="Z19" s="93" t="s">
        <v>486</v>
      </c>
      <c r="AA19" s="94" t="n">
        <v>48.95914</v>
      </c>
      <c r="AB19" s="95" t="n">
        <v>78.4481658206666</v>
      </c>
      <c r="AC19" s="95" t="n">
        <v>91.7036844953453</v>
      </c>
      <c r="AD19" s="95" t="n">
        <v>114.269328385077</v>
      </c>
      <c r="AE19" s="95" t="n">
        <v>132.411075123798</v>
      </c>
      <c r="AF19" s="95" t="n">
        <v>148.089136161863</v>
      </c>
      <c r="AG19" s="96" t="n">
        <v>0.247779608038147</v>
      </c>
    </row>
    <row r="21" customFormat="false" ht="15" hidden="false" customHeight="true" outlineLevel="0" collapsed="false">
      <c r="B21" s="93" t="s">
        <v>487</v>
      </c>
      <c r="C21" s="105" t="n">
        <f aca="false">Model!P110</f>
        <v>132.322</v>
      </c>
      <c r="D21" s="106" t="n">
        <f aca="false">Model!V110</f>
        <v>132.55225</v>
      </c>
      <c r="E21" s="106" t="n">
        <f aca="false">Model!W110</f>
        <v>133.172435</v>
      </c>
      <c r="F21" s="106" t="n">
        <f aca="false">Model!X110</f>
        <v>133.572435</v>
      </c>
      <c r="G21" s="106" t="n">
        <f aca="false">Model!Y110</f>
        <v>133.972435</v>
      </c>
      <c r="H21" s="106" t="n">
        <f aca="false">Model!Z110</f>
        <v>134.372435</v>
      </c>
      <c r="I21" s="96" t="n">
        <f aca="false">IFERROR(IF(AND(H21&gt;0,C21&gt;0),(H21/C21)^(1/5)-1,"n/m"),"n/m")</f>
        <v>0.00308012673090485</v>
      </c>
      <c r="N21" s="93" t="s">
        <v>487</v>
      </c>
      <c r="O21" s="105" t="n">
        <v>132.322</v>
      </c>
      <c r="P21" s="106" t="n">
        <v>132.55225</v>
      </c>
      <c r="Q21" s="106" t="n">
        <v>133.172435</v>
      </c>
      <c r="R21" s="106" t="n">
        <v>133.572435</v>
      </c>
      <c r="S21" s="106" t="n">
        <v>133.972435</v>
      </c>
      <c r="T21" s="106" t="n">
        <v>134.372435</v>
      </c>
      <c r="U21" s="96" t="n">
        <v>0.00308012673090485</v>
      </c>
      <c r="Z21" s="93" t="s">
        <v>487</v>
      </c>
      <c r="AA21" s="105" t="n">
        <v>132.322</v>
      </c>
      <c r="AB21" s="106" t="n">
        <v>132.55225</v>
      </c>
      <c r="AC21" s="106" t="n">
        <v>133.172435</v>
      </c>
      <c r="AD21" s="106" t="n">
        <v>133.572435</v>
      </c>
      <c r="AE21" s="106" t="n">
        <v>133.972435</v>
      </c>
      <c r="AF21" s="106" t="n">
        <v>134.372435</v>
      </c>
      <c r="AG21" s="96" t="n">
        <v>0.00308012673090485</v>
      </c>
    </row>
    <row r="23" customFormat="false" ht="15" hidden="false" customHeight="true" outlineLevel="0" collapsed="false">
      <c r="B23" s="93" t="s">
        <v>488</v>
      </c>
      <c r="C23" s="107" t="n">
        <f aca="false">Model!P169</f>
        <v>0.37</v>
      </c>
      <c r="D23" s="108" t="n">
        <f aca="false">Model!V169</f>
        <v>0.613329202791101</v>
      </c>
      <c r="E23" s="108" t="n">
        <f aca="false">Model!W169</f>
        <v>0.917487711650325</v>
      </c>
      <c r="F23" s="108" t="n">
        <f aca="false">Model!X169</f>
        <v>1.22320218925387</v>
      </c>
      <c r="G23" s="108" t="n">
        <f aca="false">Model!Y169</f>
        <v>1.5212870986654</v>
      </c>
      <c r="H23" s="108" t="n">
        <f aca="false">Model!Z169</f>
        <v>1.83574815393087</v>
      </c>
      <c r="I23" s="96" t="n">
        <f aca="false">IFERROR(IF(AND(H23&gt;0,C23&gt;0),(H23/C23)^(1/5)-1,"n/m"),"n/m")</f>
        <v>0.377597275554884</v>
      </c>
      <c r="N23" s="93" t="s">
        <v>488</v>
      </c>
      <c r="O23" s="107" t="n">
        <v>0.37</v>
      </c>
      <c r="P23" s="108" t="n">
        <v>0.634830158074772</v>
      </c>
      <c r="Q23" s="108" t="n">
        <v>1.0732402206753</v>
      </c>
      <c r="R23" s="108" t="n">
        <v>1.47418893687901</v>
      </c>
      <c r="S23" s="108" t="n">
        <v>1.90449636325288</v>
      </c>
      <c r="T23" s="108" t="n">
        <v>2.39547094049683</v>
      </c>
      <c r="U23" s="96" t="n">
        <v>0.45290706816178</v>
      </c>
      <c r="Z23" s="93" t="s">
        <v>488</v>
      </c>
      <c r="AA23" s="107" t="n">
        <v>0.37</v>
      </c>
      <c r="AB23" s="108" t="n">
        <v>0.591828247507429</v>
      </c>
      <c r="AC23" s="108" t="n">
        <v>0.688608603539804</v>
      </c>
      <c r="AD23" s="108" t="n">
        <v>0.855485852190067</v>
      </c>
      <c r="AE23" s="108" t="n">
        <v>0.988345663223917</v>
      </c>
      <c r="AF23" s="108" t="n">
        <v>1.10207972462405</v>
      </c>
      <c r="AG23" s="96" t="n">
        <v>0.243948090273437</v>
      </c>
    </row>
    <row r="24" customFormat="false" ht="15" hidden="false" customHeight="true" outlineLevel="0" collapsed="false">
      <c r="B24" s="97" t="s">
        <v>489</v>
      </c>
      <c r="C24" s="98"/>
      <c r="D24" s="99" t="n">
        <f aca="false">IFERROR(D23/C23-1,"")</f>
        <v>0.657646494030002</v>
      </c>
      <c r="E24" s="99" t="n">
        <f aca="false">IFERROR(E23/D23-1,"")</f>
        <v>0.495913952042522</v>
      </c>
      <c r="F24" s="99" t="n">
        <f aca="false">IFERROR(F23/E23-1,"")</f>
        <v>0.333208253060569</v>
      </c>
      <c r="G24" s="99" t="n">
        <f aca="false">IFERROR(G23/F23-1,"")</f>
        <v>0.243692262841159</v>
      </c>
      <c r="H24" s="99" t="n">
        <f aca="false">IFERROR(H23/G23-1,"")</f>
        <v>0.206707238588521</v>
      </c>
      <c r="N24" s="97" t="s">
        <v>489</v>
      </c>
      <c r="O24" s="98"/>
      <c r="P24" s="99" t="n">
        <v>0.71575718398587</v>
      </c>
      <c r="Q24" s="99" t="n">
        <v>0.690594258990591</v>
      </c>
      <c r="R24" s="99" t="n">
        <v>0.373587113564779</v>
      </c>
      <c r="S24" s="99" t="n">
        <v>0.291894353301057</v>
      </c>
      <c r="T24" s="99" t="n">
        <v>0.257797592432977</v>
      </c>
      <c r="Z24" s="97" t="s">
        <v>489</v>
      </c>
      <c r="AA24" s="98"/>
      <c r="AB24" s="99" t="n">
        <v>0.599535804074133</v>
      </c>
      <c r="AC24" s="99" t="n">
        <v>0.163527774214866</v>
      </c>
      <c r="AD24" s="99" t="n">
        <v>0.242339767165888</v>
      </c>
      <c r="AE24" s="99" t="n">
        <v>0.155303341012275</v>
      </c>
      <c r="AF24" s="99" t="n">
        <v>0.115075186376737</v>
      </c>
    </row>
    <row r="26" customFormat="false" ht="15" hidden="false" customHeight="true" outlineLevel="0" collapsed="false">
      <c r="B26" s="97" t="s">
        <v>490</v>
      </c>
      <c r="C26" s="109"/>
      <c r="D26" s="109"/>
      <c r="E26" s="109"/>
      <c r="F26" s="109"/>
      <c r="G26" s="109" t="n">
        <v>40</v>
      </c>
      <c r="H26" s="109" t="n">
        <v>40</v>
      </c>
      <c r="N26" s="97" t="s">
        <v>490</v>
      </c>
      <c r="O26" s="109"/>
      <c r="P26" s="109"/>
      <c r="Q26" s="109"/>
      <c r="R26" s="109"/>
      <c r="S26" s="109" t="n">
        <v>50</v>
      </c>
      <c r="T26" s="109" t="n">
        <v>50</v>
      </c>
      <c r="Z26" s="97" t="s">
        <v>490</v>
      </c>
      <c r="AA26" s="109"/>
      <c r="AB26" s="109"/>
      <c r="AC26" s="109"/>
      <c r="AD26" s="109"/>
      <c r="AE26" s="109" t="n">
        <v>28</v>
      </c>
      <c r="AF26" s="109" t="n">
        <v>28</v>
      </c>
    </row>
    <row r="27" customFormat="false" ht="15" hidden="false" customHeight="true" outlineLevel="0" collapsed="false">
      <c r="B27" s="12" t="s">
        <v>491</v>
      </c>
      <c r="C27" s="110"/>
      <c r="D27" s="110"/>
      <c r="E27" s="110"/>
      <c r="F27" s="110"/>
      <c r="G27" s="110" t="n">
        <f aca="false">G26*G23</f>
        <v>60.8514839466161</v>
      </c>
      <c r="H27" s="110" t="n">
        <f aca="false">H26*H23</f>
        <v>73.4299261572349</v>
      </c>
      <c r="N27" s="12" t="s">
        <v>491</v>
      </c>
      <c r="O27" s="110"/>
      <c r="P27" s="110"/>
      <c r="Q27" s="110"/>
      <c r="R27" s="110"/>
      <c r="S27" s="110" t="n">
        <f aca="false">S26*S23</f>
        <v>95.224818162644</v>
      </c>
      <c r="T27" s="110" t="n">
        <f aca="false">T26*T23</f>
        <v>119.773547024842</v>
      </c>
      <c r="Z27" s="12" t="s">
        <v>491</v>
      </c>
      <c r="AA27" s="110"/>
      <c r="AB27" s="110"/>
      <c r="AC27" s="110"/>
      <c r="AD27" s="110"/>
      <c r="AE27" s="110" t="n">
        <f aca="false">AE26*AE23</f>
        <v>27.6736785702697</v>
      </c>
      <c r="AF27" s="110" t="n">
        <f aca="false">AF26*AF23</f>
        <v>30.8582322894734</v>
      </c>
    </row>
    <row r="28" customFormat="false" ht="15" hidden="false" customHeight="true" outlineLevel="0" collapsed="false">
      <c r="B28" s="0" t="s">
        <v>492</v>
      </c>
      <c r="E28" s="111"/>
      <c r="F28" s="111"/>
      <c r="G28" s="111" t="n">
        <f aca="false">IFERROR(G27/$K$2-1,"")</f>
        <v>0.782410191757941</v>
      </c>
      <c r="H28" s="111" t="n">
        <f aca="false">IFERROR(H27/$K$2-1,"")</f>
        <v>1.15084728052826</v>
      </c>
      <c r="N28" s="1" t="s">
        <v>492</v>
      </c>
      <c r="O28" s="111"/>
      <c r="P28" s="111"/>
      <c r="Q28" s="111"/>
      <c r="R28" s="111"/>
      <c r="S28" s="111" t="n">
        <f aca="false">IFERROR(S27/$K$2-1,"")</f>
        <v>1.78924482022976</v>
      </c>
      <c r="T28" s="111" t="n">
        <f aca="false">IFERROR(T27/$K$2-1,"")</f>
        <v>2.50830541959114</v>
      </c>
      <c r="Z28" s="1" t="s">
        <v>492</v>
      </c>
      <c r="AA28" s="111"/>
      <c r="AB28" s="111"/>
      <c r="AC28" s="111"/>
      <c r="AD28" s="111"/>
      <c r="AE28" s="111" t="n">
        <f aca="false">IFERROR(AE27/$K$2-1,"")</f>
        <v>-0.189406017273882</v>
      </c>
      <c r="AF28" s="111" t="n">
        <f aca="false">IFERROR(AF27/$K$2-1,"")</f>
        <v>-0.0961267636358114</v>
      </c>
    </row>
    <row r="29" customFormat="false" ht="15" hidden="false" customHeight="true" outlineLevel="0" collapsed="false">
      <c r="B29" s="87" t="s">
        <v>493</v>
      </c>
      <c r="C29" s="112"/>
      <c r="D29" s="112"/>
      <c r="E29" s="112"/>
      <c r="F29" s="112"/>
      <c r="G29" s="112" t="n">
        <f aca="false">IFERROR((G27/$K$2)^(1/((DATE(2029-1,12,31)-$K$3)/365.25))-1,"")</f>
        <v>0.294023190174125</v>
      </c>
      <c r="H29" s="112" t="n">
        <f aca="false">IFERROR((H27/$K$2)^(1/((DATE(2030-1,12,31)-$K$3)/365.25))-1,"")</f>
        <v>0.266502702709095</v>
      </c>
      <c r="N29" s="87" t="s">
        <v>493</v>
      </c>
      <c r="O29" s="112"/>
      <c r="P29" s="112"/>
      <c r="Q29" s="112"/>
      <c r="R29" s="112"/>
      <c r="S29" s="112" t="n">
        <f aca="false">IFERROR((S27/$K$2)^(1/((DATE(2029-1,12,31)-$K$3)/365.25))-1,"")</f>
        <v>0.580061476859915</v>
      </c>
      <c r="T29" s="112" t="n">
        <f aca="false">IFERROR((T27/$K$2)^(1/((DATE(2030-1,12,31)-$K$3)/365.25))-1,"")</f>
        <v>0.472841798571973</v>
      </c>
      <c r="Z29" s="87" t="s">
        <v>493</v>
      </c>
      <c r="AA29" s="112"/>
      <c r="AB29" s="112"/>
      <c r="AC29" s="112"/>
      <c r="AD29" s="112"/>
      <c r="AE29" s="112" t="n">
        <f aca="false">IFERROR((AE27/$K$2)^(1/((DATE(2029-1,12,31)-$K$3)/365.25))-1,"")</f>
        <v>-0.0893972072717321</v>
      </c>
      <c r="AF29" s="112" t="n">
        <f aca="false">IFERROR((AF27/$K$2)^(1/((DATE(2030-1,12,31)-$K$3)/365.25))-1,"")</f>
        <v>-0.0306967003893418</v>
      </c>
    </row>
    <row r="31" customFormat="false" ht="15" hidden="false" customHeight="true" outlineLevel="0" collapsed="false">
      <c r="B31" s="93" t="s">
        <v>494</v>
      </c>
      <c r="C31" s="94" t="n">
        <f aca="false">Model!P222</f>
        <v>-42.455</v>
      </c>
      <c r="D31" s="95" t="n">
        <f aca="false">Model!V222</f>
        <v>26.9317102804461</v>
      </c>
      <c r="E31" s="95" t="n">
        <f aca="false">Model!W222</f>
        <v>80.8152660017549</v>
      </c>
      <c r="F31" s="95" t="n">
        <f aca="false">Model!X222</f>
        <v>123.849792447882</v>
      </c>
      <c r="G31" s="95" t="n">
        <f aca="false">Model!Y222</f>
        <v>167.422874573883</v>
      </c>
      <c r="H31" s="95" t="n">
        <f aca="false">Model!Z222</f>
        <v>216.775557881051</v>
      </c>
      <c r="I31" s="96" t="str">
        <f aca="false">IFERROR(IF(AND(H31&gt;0,C31&gt;0),(H31/C31)^(1/5)-1,"n/m"),"n/m")</f>
        <v>n/m</v>
      </c>
      <c r="N31" s="93" t="s">
        <v>494</v>
      </c>
      <c r="O31" s="94" t="n">
        <v>-42.455</v>
      </c>
      <c r="P31" s="95" t="n">
        <v>27.3621002596967</v>
      </c>
      <c r="Q31" s="95" t="n">
        <v>77.5201454795604</v>
      </c>
      <c r="R31" s="95" t="n">
        <v>123.764482605689</v>
      </c>
      <c r="S31" s="95" t="n">
        <v>183.91666977377</v>
      </c>
      <c r="T31" s="95" t="n">
        <v>255.428363818045</v>
      </c>
      <c r="U31" s="96"/>
      <c r="Z31" s="93" t="s">
        <v>494</v>
      </c>
      <c r="AA31" s="94" t="n">
        <v>-42.455</v>
      </c>
      <c r="AB31" s="95" t="n">
        <v>26.5013203011954</v>
      </c>
      <c r="AC31" s="95" t="n">
        <v>81.4258988494993</v>
      </c>
      <c r="AD31" s="95" t="n">
        <v>115.420729248992</v>
      </c>
      <c r="AE31" s="95" t="n">
        <v>137.100726464657</v>
      </c>
      <c r="AF31" s="95" t="n">
        <v>159.311821400083</v>
      </c>
      <c r="AG31" s="96"/>
    </row>
    <row r="32" customFormat="false" ht="15" hidden="false" customHeight="true" outlineLevel="0" collapsed="false">
      <c r="B32" s="97" t="s">
        <v>495</v>
      </c>
      <c r="C32" s="102" t="n">
        <f aca="false">IFERROR(C31/C9,"")</f>
        <v>-0.0900424178154825</v>
      </c>
      <c r="D32" s="103" t="n">
        <f aca="false">IFERROR(D31/D9,"")</f>
        <v>0.0359329023088006</v>
      </c>
      <c r="E32" s="103" t="n">
        <f aca="false">IFERROR(E31/E9,"")</f>
        <v>0.0843395761148508</v>
      </c>
      <c r="F32" s="103" t="n">
        <f aca="false">IFERROR(F31/F9,"")</f>
        <v>0.104290275721928</v>
      </c>
      <c r="G32" s="103" t="n">
        <f aca="false">IFERROR(G31/G9,"")</f>
        <v>0.11676491518359</v>
      </c>
      <c r="H32" s="103" t="n">
        <f aca="false">IFERROR(H31/H9,"")</f>
        <v>0.128089150795077</v>
      </c>
      <c r="J32" s="104" t="n">
        <f aca="false">IFERROR(AVERAGE(Model!C224,Model!D224,Model!J224,Model!P224),"")</f>
        <v>-0.0411026484160168</v>
      </c>
      <c r="K32" s="104" t="n">
        <f aca="false">IFERROR(MIN(Model!C224,Model!D224,Model!J224,Model!P224),"")</f>
        <v>-0.120021209844903</v>
      </c>
      <c r="L32" s="104" t="n">
        <f aca="false">IFERROR(MAX(Model!C224,Model!D224,Model!J224,Model!P224),"")</f>
        <v>0.0329991803065016</v>
      </c>
      <c r="N32" s="97" t="s">
        <v>495</v>
      </c>
      <c r="O32" s="102" t="n">
        <v>-0.0900424178154825</v>
      </c>
      <c r="P32" s="103" t="n">
        <v>0.036145442879388</v>
      </c>
      <c r="Q32" s="103" t="n">
        <v>0.0751736930989275</v>
      </c>
      <c r="R32" s="103" t="n">
        <v>0.0900593230121662</v>
      </c>
      <c r="S32" s="103" t="n">
        <v>0.10466658514978</v>
      </c>
      <c r="T32" s="103" t="n">
        <v>0.117360305911561</v>
      </c>
      <c r="V32" s="104" t="n">
        <v>-0.0411026484160168</v>
      </c>
      <c r="W32" s="104" t="n">
        <v>-0.120021209844903</v>
      </c>
      <c r="X32" s="104" t="n">
        <v>0.0329991803065016</v>
      </c>
      <c r="Z32" s="97" t="s">
        <v>495</v>
      </c>
      <c r="AA32" s="102" t="n">
        <v>-0.0900424178154825</v>
      </c>
      <c r="AB32" s="103" t="n">
        <v>0.0357160650959506</v>
      </c>
      <c r="AC32" s="103" t="n">
        <v>0.0942361798710337</v>
      </c>
      <c r="AD32" s="103" t="n">
        <v>0.120531311500527</v>
      </c>
      <c r="AE32" s="103" t="n">
        <v>0.130907578057472</v>
      </c>
      <c r="AF32" s="103" t="n">
        <v>0.140947896445901</v>
      </c>
      <c r="AH32" s="104" t="n">
        <v>-0.0411026484160168</v>
      </c>
      <c r="AI32" s="104" t="n">
        <v>-0.120021209844903</v>
      </c>
      <c r="AJ32" s="104" t="n">
        <v>0.0329991803065016</v>
      </c>
    </row>
    <row r="33" customFormat="false" ht="15" hidden="false" customHeight="true" outlineLevel="0" collapsed="false">
      <c r="B33" s="97" t="s">
        <v>496</v>
      </c>
      <c r="C33" s="113" t="n">
        <f aca="false">IFERROR(C31/C21,"")</f>
        <v>-0.32084611780354</v>
      </c>
      <c r="D33" s="114" t="n">
        <f aca="false">IFERROR(D31/D21,"")</f>
        <v>0.203178069632511</v>
      </c>
      <c r="E33" s="114" t="n">
        <f aca="false">IFERROR(E31/E21,"")</f>
        <v>0.606846799803239</v>
      </c>
      <c r="F33" s="114" t="n">
        <f aca="false">IFERROR(F31/F21,"")</f>
        <v>0.927210711161193</v>
      </c>
      <c r="G33" s="114" t="n">
        <f aca="false">IFERROR(G31/G21,"")</f>
        <v>1.24968150779586</v>
      </c>
      <c r="H33" s="114" t="n">
        <f aca="false">IFERROR(H31/H21,"")</f>
        <v>1.61324424820501</v>
      </c>
      <c r="N33" s="97" t="s">
        <v>496</v>
      </c>
      <c r="O33" s="113" t="n">
        <v>-0.32084611780354</v>
      </c>
      <c r="P33" s="114" t="n">
        <v>0.206425015491602</v>
      </c>
      <c r="Q33" s="114" t="n">
        <v>0.582103537264002</v>
      </c>
      <c r="R33" s="114" t="n">
        <v>0.926572032662945</v>
      </c>
      <c r="S33" s="114" t="n">
        <v>1.37279485719409</v>
      </c>
      <c r="T33" s="114" t="n">
        <v>1.90089852742525</v>
      </c>
      <c r="Z33" s="97" t="s">
        <v>496</v>
      </c>
      <c r="AA33" s="113" t="n">
        <v>-0.32084611780354</v>
      </c>
      <c r="AB33" s="114" t="n">
        <v>0.19993112377342</v>
      </c>
      <c r="AC33" s="114" t="n">
        <v>0.611432079390148</v>
      </c>
      <c r="AD33" s="114" t="n">
        <v>0.86410590065976</v>
      </c>
      <c r="AE33" s="114" t="n">
        <v>1.02335026204948</v>
      </c>
      <c r="AF33" s="114" t="n">
        <v>1.18559897645736</v>
      </c>
    </row>
    <row r="34" customFormat="false" ht="15" hidden="false" customHeight="true" outlineLevel="0" collapsed="false">
      <c r="B34" s="97" t="s">
        <v>497</v>
      </c>
      <c r="E34" s="115" t="str">
        <f aca="false">IFERROR(E33/E$27,"")</f>
        <v/>
      </c>
      <c r="F34" s="115" t="str">
        <f aca="false">IFERROR(F33/F$27,"")</f>
        <v/>
      </c>
      <c r="G34" s="115" t="n">
        <f aca="false">IFERROR(G33/G$27,"")</f>
        <v>0.0205365822942326</v>
      </c>
      <c r="H34" s="115" t="n">
        <f aca="false">IFERROR(H33/H$27,"")</f>
        <v>0.0219698470723038</v>
      </c>
      <c r="N34" s="97" t="s">
        <v>497</v>
      </c>
      <c r="Q34" s="115" t="str">
        <f aca="false">IFERROR(Q33/Q$27,"")</f>
        <v/>
      </c>
      <c r="R34" s="115" t="str">
        <f aca="false">IFERROR(R33/R$27,"")</f>
        <v/>
      </c>
      <c r="S34" s="115" t="n">
        <f aca="false">IFERROR(S33/S$27,"")</f>
        <v>0.0144163557744931</v>
      </c>
      <c r="T34" s="115" t="n">
        <f aca="false">IFERROR(T33/T$27,"")</f>
        <v>0.0158707709226562</v>
      </c>
      <c r="Z34" s="97" t="s">
        <v>497</v>
      </c>
      <c r="AC34" s="115" t="str">
        <f aca="false">IFERROR(AC33/AC$27,"")</f>
        <v/>
      </c>
      <c r="AD34" s="115" t="str">
        <f aca="false">IFERROR(AD33/AD$27,"")</f>
        <v/>
      </c>
      <c r="AE34" s="115" t="n">
        <f aca="false">IFERROR(AE33/AE$27,"")</f>
        <v>0.0369791915972054</v>
      </c>
      <c r="AF34" s="115" t="n">
        <f aca="false">IFERROR(AF33/AF$27,"")</f>
        <v>0.0384208325783393</v>
      </c>
    </row>
    <row r="35" customFormat="false" ht="15" hidden="false" customHeight="true" outlineLevel="0" collapsed="false">
      <c r="B35" s="93" t="s">
        <v>498</v>
      </c>
      <c r="C35" s="94" t="n">
        <f aca="false">Model!P124</f>
        <v>121.618</v>
      </c>
      <c r="D35" s="95" t="n">
        <f aca="false">Model!V124</f>
        <v>198.2900608</v>
      </c>
      <c r="E35" s="95" t="n">
        <f aca="false">Model!W124</f>
        <v>254.218077046078</v>
      </c>
      <c r="F35" s="95" t="n">
        <f aca="false">Model!X124</f>
        <v>315.125582079779</v>
      </c>
      <c r="G35" s="95" t="n">
        <f aca="false">Model!Y124</f>
        <v>381.357815123764</v>
      </c>
      <c r="H35" s="95" t="n">
        <f aca="false">Model!Z124</f>
        <v>451.917098784607</v>
      </c>
      <c r="I35" s="96" t="n">
        <f aca="false">IFERROR(IF(AND(H35&gt;0,C35&gt;0),(H35/C35)^(1/5)-1,"n/m"),"n/m")</f>
        <v>0.3002060522911</v>
      </c>
      <c r="N35" s="93" t="s">
        <v>498</v>
      </c>
      <c r="O35" s="94" t="n">
        <v>121.618</v>
      </c>
      <c r="P35" s="95" t="n">
        <v>202.0400608</v>
      </c>
      <c r="Q35" s="95" t="n">
        <v>282.840657588027</v>
      </c>
      <c r="R35" s="95" t="n">
        <v>375.193862239209</v>
      </c>
      <c r="S35" s="95" t="n">
        <v>479.297011040485</v>
      </c>
      <c r="T35" s="95" t="n">
        <v>594.692695478394</v>
      </c>
      <c r="U35" s="96" t="n">
        <v>0.373595784713384</v>
      </c>
      <c r="Z35" s="93" t="s">
        <v>498</v>
      </c>
      <c r="AA35" s="94" t="n">
        <v>121.618</v>
      </c>
      <c r="AB35" s="95" t="n">
        <v>194.5400608</v>
      </c>
      <c r="AC35" s="95" t="n">
        <v>212.751796817385</v>
      </c>
      <c r="AD35" s="95" t="n">
        <v>236.72610884397</v>
      </c>
      <c r="AE35" s="95" t="n">
        <v>260.543278011099</v>
      </c>
      <c r="AF35" s="95" t="n">
        <v>283.45227175481</v>
      </c>
      <c r="AG35" s="96" t="n">
        <v>0.184394595423785</v>
      </c>
    </row>
    <row r="36" customFormat="false" ht="15" hidden="false" customHeight="true" outlineLevel="0" collapsed="false">
      <c r="B36" s="97" t="s">
        <v>499</v>
      </c>
      <c r="C36" s="102" t="n">
        <f aca="false">IFERROR(C35/C9,"")</f>
        <v>0.25793849416755</v>
      </c>
      <c r="D36" s="103" t="n">
        <f aca="false">IFERROR(D35/D9,"")</f>
        <v>0.264563123148766</v>
      </c>
      <c r="E36" s="103" t="n">
        <f aca="false">IFERROR(E35/E9,"")</f>
        <v>0.265304390117742</v>
      </c>
      <c r="F36" s="103" t="n">
        <f aca="false">IFERROR(F35/F9,"")</f>
        <v>0.26535800498788</v>
      </c>
      <c r="G36" s="103" t="n">
        <f aca="false">IFERROR(G35/G9,"")</f>
        <v>0.265968512671038</v>
      </c>
      <c r="H36" s="103" t="n">
        <f aca="false">IFERROR(H35/H9,"")</f>
        <v>0.267030462192873</v>
      </c>
      <c r="J36" s="104" t="n">
        <f aca="false">IFERROR(AVERAGE(Model!C189,Model!D189,Model!J189,Model!P189),"")</f>
        <v>0.245302439982401</v>
      </c>
      <c r="K36" s="104" t="n">
        <f aca="false">IFERROR(MIN(Model!C189,Model!D189,Model!J189,Model!P189),"")</f>
        <v>0.22257522866864</v>
      </c>
      <c r="L36" s="104" t="n">
        <f aca="false">IFERROR(MAX(Model!C189,Model!D189,Model!J189,Model!P189),"")</f>
        <v>0.25793849416755</v>
      </c>
      <c r="N36" s="97" t="s">
        <v>499</v>
      </c>
      <c r="O36" s="102" t="n">
        <v>0.25793849416755</v>
      </c>
      <c r="P36" s="103" t="n">
        <v>0.266895721003963</v>
      </c>
      <c r="Q36" s="103" t="n">
        <v>0.274279371612214</v>
      </c>
      <c r="R36" s="103" t="n">
        <v>0.273016171685025</v>
      </c>
      <c r="S36" s="103" t="n">
        <v>0.272766908403746</v>
      </c>
      <c r="T36" s="103" t="n">
        <v>0.273240276144243</v>
      </c>
      <c r="V36" s="104" t="n">
        <v>0.245302439982401</v>
      </c>
      <c r="W36" s="104" t="n">
        <v>0.22257522866864</v>
      </c>
      <c r="X36" s="104" t="n">
        <v>0.25793849416755</v>
      </c>
      <c r="Z36" s="97" t="s">
        <v>499</v>
      </c>
      <c r="AA36" s="102" t="n">
        <v>0.25793849416755</v>
      </c>
      <c r="AB36" s="103" t="n">
        <v>0.262183370350404</v>
      </c>
      <c r="AC36" s="103" t="n">
        <v>0.246222846490469</v>
      </c>
      <c r="AD36" s="103" t="n">
        <v>0.247207833038617</v>
      </c>
      <c r="AE36" s="103" t="n">
        <v>0.248773951700249</v>
      </c>
      <c r="AF36" s="103" t="n">
        <v>0.250778637112685</v>
      </c>
      <c r="AH36" s="104" t="n">
        <v>0.245302439982401</v>
      </c>
      <c r="AI36" s="104" t="n">
        <v>0.22257522866864</v>
      </c>
      <c r="AJ36" s="104" t="n">
        <v>0.25793849416755</v>
      </c>
    </row>
    <row r="38" customFormat="false" ht="15" hidden="false" customHeight="true" outlineLevel="0" collapsed="false">
      <c r="B38" s="93" t="s">
        <v>500</v>
      </c>
      <c r="C38" s="94" t="n">
        <f aca="false">Model!P356</f>
        <v>546.585</v>
      </c>
      <c r="D38" s="95" t="n">
        <f aca="false">Model!V356</f>
        <v>853.078289719554</v>
      </c>
      <c r="E38" s="95" t="n">
        <f aca="false">Model!W356</f>
        <v>982.412573717799</v>
      </c>
      <c r="F38" s="95" t="n">
        <f aca="false">Model!X356</f>
        <v>1094.10980876992</v>
      </c>
      <c r="G38" s="95" t="n">
        <f aca="false">Model!Y356</f>
        <v>1187.65131307103</v>
      </c>
      <c r="H38" s="95" t="n">
        <f aca="false">Model!Z356</f>
        <v>1232.27835300873</v>
      </c>
      <c r="N38" s="93" t="s">
        <v>500</v>
      </c>
      <c r="O38" s="94" t="n">
        <v>546.585</v>
      </c>
      <c r="P38" s="95" t="n">
        <v>852.647899740303</v>
      </c>
      <c r="Q38" s="95" t="n">
        <v>1135.27730426074</v>
      </c>
      <c r="R38" s="95" t="n">
        <v>1397.05984915505</v>
      </c>
      <c r="S38" s="95" t="n">
        <v>1624.10755825628</v>
      </c>
      <c r="T38" s="95" t="n">
        <v>1780.08179225699</v>
      </c>
      <c r="Z38" s="93" t="s">
        <v>500</v>
      </c>
      <c r="AA38" s="94" t="n">
        <v>546.585</v>
      </c>
      <c r="AB38" s="95" t="n">
        <v>853.508679698805</v>
      </c>
      <c r="AC38" s="95" t="n">
        <v>832.232330849305</v>
      </c>
      <c r="AD38" s="95" t="n">
        <v>802.358629100313</v>
      </c>
      <c r="AE38" s="95" t="n">
        <v>776.222281510656</v>
      </c>
      <c r="AF38" s="95" t="n">
        <v>728.313057929324</v>
      </c>
    </row>
    <row r="39" customFormat="false" ht="15" hidden="false" customHeight="true" outlineLevel="0" collapsed="false">
      <c r="B39" s="97" t="s">
        <v>501</v>
      </c>
      <c r="C39" s="116" t="n">
        <f aca="false">IFERROR(C38/C12,"")</f>
        <v>3.76171697567824</v>
      </c>
      <c r="D39" s="117" t="n">
        <f aca="false">IFERROR(D38/D12,"")</f>
        <v>3.84286810090344</v>
      </c>
      <c r="E39" s="117" t="n">
        <f aca="false">IFERROR(E38/E12,"")</f>
        <v>3.44507034428376</v>
      </c>
      <c r="F39" s="117" t="n">
        <f aca="false">IFERROR(F38/F12,"")</f>
        <v>3.08766268222024</v>
      </c>
      <c r="G39" s="117" t="n">
        <f aca="false">IFERROR(G38/G12,"")</f>
        <v>2.76947652218462</v>
      </c>
      <c r="H39" s="117" t="n">
        <f aca="false">IFERROR(H38/H12,"")</f>
        <v>2.42332935238483</v>
      </c>
      <c r="N39" s="97" t="s">
        <v>501</v>
      </c>
      <c r="O39" s="116" t="n">
        <v>3.76171697567824</v>
      </c>
      <c r="P39" s="117" t="n">
        <v>3.77712368096174</v>
      </c>
      <c r="Q39" s="117" t="n">
        <v>3.59789468245959</v>
      </c>
      <c r="R39" s="117" t="n">
        <v>3.33211242837501</v>
      </c>
      <c r="S39" s="117" t="n">
        <v>3.03285284835834</v>
      </c>
      <c r="T39" s="117" t="n">
        <v>2.67747591997124</v>
      </c>
      <c r="Z39" s="97" t="s">
        <v>501</v>
      </c>
      <c r="AA39" s="116" t="n">
        <v>3.76171697567824</v>
      </c>
      <c r="AB39" s="117" t="n">
        <v>3.91087188278411</v>
      </c>
      <c r="AC39" s="117" t="n">
        <v>3.44696964052994</v>
      </c>
      <c r="AD39" s="117" t="n">
        <v>2.97202087529296</v>
      </c>
      <c r="AE39" s="117" t="n">
        <v>2.6084051928742</v>
      </c>
      <c r="AF39" s="117" t="n">
        <v>2.2457799035963</v>
      </c>
    </row>
    <row r="41" customFormat="false" ht="15" hidden="false" customHeight="true" outlineLevel="0" collapsed="false">
      <c r="B41" s="93" t="s">
        <v>502</v>
      </c>
      <c r="C41" s="100" t="n">
        <f aca="false">Model!P336</f>
        <v>0.0981554457448594</v>
      </c>
      <c r="D41" s="101" t="n">
        <f aca="false">Model!V336</f>
        <v>0.116022194714778</v>
      </c>
      <c r="E41" s="101" t="n">
        <f aca="false">Model!W336</f>
        <v>0.124438020729321</v>
      </c>
      <c r="F41" s="101" t="n">
        <f aca="false">Model!X336</f>
        <v>0.131538620468775</v>
      </c>
      <c r="G41" s="101" t="n">
        <f aca="false">Model!Y336</f>
        <v>0.137329755169484</v>
      </c>
      <c r="H41" s="101" t="n">
        <f aca="false">Model!Z336</f>
        <v>0.143456819876811</v>
      </c>
      <c r="J41" s="104" t="n">
        <f aca="false">IFERROR(AVERAGE(Model!C336,Model!D336,Model!J336,Model!P336),"")</f>
        <v>0.0897714133989505</v>
      </c>
      <c r="K41" s="104" t="n">
        <f aca="false">IFERROR(MIN(Model!C336,Model!D336,Model!J336,Model!P336),"")</f>
        <v>0.0659728831555289</v>
      </c>
      <c r="L41" s="104" t="n">
        <f aca="false">IFERROR(MAX(Model!C336,Model!D336,Model!J336,Model!P336),"")</f>
        <v>0.106222110660423</v>
      </c>
      <c r="N41" s="93" t="s">
        <v>502</v>
      </c>
      <c r="O41" s="100" t="n">
        <v>0.0981554457448594</v>
      </c>
      <c r="P41" s="101" t="n">
        <v>0.117996563525719</v>
      </c>
      <c r="Q41" s="101" t="n">
        <v>0.124561740041911</v>
      </c>
      <c r="R41" s="101" t="n">
        <v>0.131155576366438</v>
      </c>
      <c r="S41" s="101" t="n">
        <v>0.137697080334295</v>
      </c>
      <c r="T41" s="101" t="n">
        <v>0.145217335194053</v>
      </c>
      <c r="V41" s="104" t="n">
        <v>0.0897714133989505</v>
      </c>
      <c r="W41" s="104" t="n">
        <v>0.0659728831555289</v>
      </c>
      <c r="X41" s="104" t="n">
        <v>0.106222110660423</v>
      </c>
      <c r="Z41" s="93" t="s">
        <v>502</v>
      </c>
      <c r="AA41" s="100" t="n">
        <v>0.0981554457448594</v>
      </c>
      <c r="AB41" s="101" t="n">
        <v>0.114040456370989</v>
      </c>
      <c r="AC41" s="101" t="n">
        <v>0.117813914480122</v>
      </c>
      <c r="AD41" s="101" t="n">
        <v>0.123811875010679</v>
      </c>
      <c r="AE41" s="101" t="n">
        <v>0.127335226669208</v>
      </c>
      <c r="AF41" s="101" t="n">
        <v>0.130491647763571</v>
      </c>
      <c r="AH41" s="104" t="n">
        <v>0.0897714133989505</v>
      </c>
      <c r="AI41" s="104" t="n">
        <v>0.0659728831555289</v>
      </c>
      <c r="AJ41" s="104" t="n">
        <v>0.106222110660423</v>
      </c>
    </row>
    <row r="42" customFormat="false" ht="15" hidden="false" customHeight="true" outlineLevel="0" collapsed="false">
      <c r="B42" s="93" t="s">
        <v>503</v>
      </c>
      <c r="C42" s="100" t="n">
        <f aca="false">Model!P348</f>
        <v>0.235645086287072</v>
      </c>
      <c r="D42" s="101" t="n">
        <f aca="false">Model!V348</f>
        <v>0.271585445966661</v>
      </c>
      <c r="E42" s="101" t="n">
        <f aca="false">Model!W348</f>
        <v>0.329665816135172</v>
      </c>
      <c r="F42" s="101" t="n">
        <f aca="false">Model!X348</f>
        <v>0.361233234395667</v>
      </c>
      <c r="G42" s="101" t="n">
        <f aca="false">Model!Y348</f>
        <v>0.390436870757038</v>
      </c>
      <c r="H42" s="101" t="n">
        <f aca="false">Model!Z348</f>
        <v>0.417240459542714</v>
      </c>
      <c r="J42" s="104" t="n">
        <f aca="false">IFERROR(AVERAGE(Model!C348,Model!D348,Model!J348,Model!P348),"")</f>
        <v>0.238115863410873</v>
      </c>
      <c r="K42" s="104" t="n">
        <f aca="false">IFERROR(MIN(Model!C348,Model!D348,Model!J348,Model!P348),"")</f>
        <v>0.191466474076327</v>
      </c>
      <c r="L42" s="104" t="n">
        <f aca="false">IFERROR(MAX(Model!C348,Model!D348,Model!J348,Model!P348),"")</f>
        <v>0.279259209442305</v>
      </c>
      <c r="N42" s="93" t="s">
        <v>503</v>
      </c>
      <c r="O42" s="100" t="n">
        <v>0.235645086287072</v>
      </c>
      <c r="P42" s="101" t="n">
        <v>0.275307567426539</v>
      </c>
      <c r="Q42" s="101" t="n">
        <v>0.352060374617188</v>
      </c>
      <c r="R42" s="101" t="n">
        <v>0.393836396561077</v>
      </c>
      <c r="S42" s="101" t="n">
        <v>0.430606151306818</v>
      </c>
      <c r="T42" s="101" t="n">
        <v>0.463133018037845</v>
      </c>
      <c r="V42" s="104" t="n">
        <v>0.238115863410873</v>
      </c>
      <c r="W42" s="104" t="n">
        <v>0.191466474076327</v>
      </c>
      <c r="X42" s="104" t="n">
        <v>0.279259209442305</v>
      </c>
      <c r="Z42" s="93" t="s">
        <v>503</v>
      </c>
      <c r="AA42" s="100" t="n">
        <v>0.235645086287072</v>
      </c>
      <c r="AB42" s="101" t="n">
        <v>0.267824892443913</v>
      </c>
      <c r="AC42" s="101" t="n">
        <v>0.259478608252391</v>
      </c>
      <c r="AD42" s="101" t="n">
        <v>0.263167500668057</v>
      </c>
      <c r="AE42" s="101" t="n">
        <v>0.268370145390125</v>
      </c>
      <c r="AF42" s="101" t="n">
        <v>0.265673507317219</v>
      </c>
      <c r="AH42" s="104" t="n">
        <v>0.238115863410873</v>
      </c>
      <c r="AI42" s="104" t="n">
        <v>0.191466474076327</v>
      </c>
      <c r="AJ42" s="104" t="n">
        <v>0.279259209442305</v>
      </c>
    </row>
    <row r="44" customFormat="false" ht="15" hidden="false" customHeight="true" outlineLevel="0" collapsed="false">
      <c r="B44" s="97" t="s">
        <v>504</v>
      </c>
      <c r="E44" s="118"/>
      <c r="F44" s="118"/>
      <c r="G44" s="118" t="n">
        <f aca="false">IFERROR(G27*G21,"")</f>
        <v>8152.42147769157</v>
      </c>
      <c r="H44" s="118" t="n">
        <f aca="false">IFERROR(H27*H21,"")</f>
        <v>9866.95797961784</v>
      </c>
      <c r="N44" s="97" t="s">
        <v>504</v>
      </c>
      <c r="Q44" s="118"/>
      <c r="R44" s="118"/>
      <c r="S44" s="118" t="n">
        <f aca="false">IFERROR(S27*S21,"")</f>
        <v>12757.5007616816</v>
      </c>
      <c r="T44" s="118" t="n">
        <f aca="false">IFERROR(T27*T21,"")</f>
        <v>16094.263162315</v>
      </c>
      <c r="Z44" s="97" t="s">
        <v>504</v>
      </c>
      <c r="AC44" s="118"/>
      <c r="AD44" s="118"/>
      <c r="AE44" s="118" t="n">
        <f aca="false">IFERROR(AE27*AE21,"")</f>
        <v>3707.51010346635</v>
      </c>
      <c r="AF44" s="118" t="n">
        <f aca="false">IFERROR(AF27*AF21,"")</f>
        <v>4146.49581253217</v>
      </c>
    </row>
    <row r="45" customFormat="false" ht="15" hidden="false" customHeight="true" outlineLevel="0" collapsed="false">
      <c r="B45" s="97" t="s">
        <v>505</v>
      </c>
      <c r="E45" s="118"/>
      <c r="F45" s="118"/>
      <c r="G45" s="118" t="n">
        <f aca="false">G38</f>
        <v>1187.65131307103</v>
      </c>
      <c r="H45" s="118" t="n">
        <f aca="false">H38</f>
        <v>1232.27835300873</v>
      </c>
      <c r="N45" s="97" t="s">
        <v>505</v>
      </c>
      <c r="Q45" s="118"/>
      <c r="R45" s="118"/>
      <c r="S45" s="118" t="n">
        <f aca="false">S38</f>
        <v>1624.10755825628</v>
      </c>
      <c r="T45" s="118" t="n">
        <f aca="false">T38</f>
        <v>1780.08179225699</v>
      </c>
      <c r="Z45" s="97" t="s">
        <v>505</v>
      </c>
      <c r="AC45" s="118"/>
      <c r="AD45" s="118"/>
      <c r="AE45" s="118" t="n">
        <f aca="false">AE38</f>
        <v>776.222281510656</v>
      </c>
      <c r="AF45" s="118" t="n">
        <f aca="false">AF38</f>
        <v>728.313057929324</v>
      </c>
    </row>
    <row r="46" customFormat="false" ht="15" hidden="false" customHeight="true" outlineLevel="0" collapsed="false">
      <c r="B46" s="97" t="s">
        <v>506</v>
      </c>
      <c r="E46" s="118"/>
      <c r="F46" s="118"/>
      <c r="G46" s="118" t="n">
        <f aca="false">IFERROR(G44+G45,"")</f>
        <v>9340.07279076261</v>
      </c>
      <c r="H46" s="118" t="n">
        <f aca="false">IFERROR(H44+H45,"")</f>
        <v>11099.2363326266</v>
      </c>
      <c r="N46" s="97" t="s">
        <v>506</v>
      </c>
      <c r="Q46" s="118"/>
      <c r="R46" s="118"/>
      <c r="S46" s="118" t="n">
        <f aca="false">IFERROR(S44+S45,"")</f>
        <v>14381.6083199379</v>
      </c>
      <c r="T46" s="118" t="n">
        <f aca="false">IFERROR(T44+T45,"")</f>
        <v>17874.344954572</v>
      </c>
      <c r="Z46" s="97" t="s">
        <v>506</v>
      </c>
      <c r="AC46" s="118"/>
      <c r="AD46" s="118"/>
      <c r="AE46" s="118" t="n">
        <f aca="false">IFERROR(AE44+AE45,"")</f>
        <v>4483.732384977</v>
      </c>
      <c r="AF46" s="118" t="n">
        <f aca="false">IFERROR(AF44+AF45,"")</f>
        <v>4874.80887046149</v>
      </c>
    </row>
    <row r="47" customFormat="false" ht="15" hidden="false" customHeight="true" outlineLevel="0" collapsed="false">
      <c r="B47" s="97" t="s">
        <v>507</v>
      </c>
      <c r="E47" s="119"/>
      <c r="F47" s="119"/>
      <c r="G47" s="119" t="n">
        <f aca="false">IFERROR(G46/G12,"")</f>
        <v>21.7800561703798</v>
      </c>
      <c r="H47" s="119" t="n">
        <f aca="false">IFERROR(H46/H12,"")</f>
        <v>21.8271343712547</v>
      </c>
      <c r="N47" s="97" t="s">
        <v>507</v>
      </c>
      <c r="Q47" s="119"/>
      <c r="R47" s="119"/>
      <c r="S47" s="119" t="n">
        <f aca="false">IFERROR(S46/S12,"")</f>
        <v>26.8561657356778</v>
      </c>
      <c r="T47" s="119" t="n">
        <f aca="false">IFERROR(T46/T12,"")</f>
        <v>26.885353476059</v>
      </c>
      <c r="Z47" s="97" t="s">
        <v>507</v>
      </c>
      <c r="AC47" s="119"/>
      <c r="AD47" s="119"/>
      <c r="AE47" s="119" t="n">
        <f aca="false">IFERROR(AE46/AE12,"")</f>
        <v>15.0670640549909</v>
      </c>
      <c r="AF47" s="119" t="n">
        <f aca="false">IFERROR(AF46/AF12,"")</f>
        <v>15.0316511230501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116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50"/>
    <col collapsed="false" customWidth="true" hidden="false" outlineLevel="0" max="3" min="3" style="0" width="12.57"/>
    <col collapsed="false" customWidth="true" hidden="false" outlineLevel="0" max="16" min="16" style="0" width="13.29"/>
  </cols>
  <sheetData>
    <row r="2" customFormat="false" ht="17.25" hidden="false" customHeight="true" outlineLevel="0" collapsed="false">
      <c r="B2" s="120" t="s">
        <v>508</v>
      </c>
    </row>
    <row r="4" customFormat="false" ht="15" hidden="false" customHeight="true" outlineLevel="0" collapsed="false">
      <c r="B4" s="17" t="s">
        <v>509</v>
      </c>
    </row>
    <row r="5" customFormat="false" ht="15" hidden="false" customHeight="true" outlineLevel="0" collapsed="false">
      <c r="B5" s="29" t="s">
        <v>510</v>
      </c>
      <c r="C5" s="121" t="n">
        <v>0.045</v>
      </c>
      <c r="D5" s="5" t="s">
        <v>511</v>
      </c>
    </row>
    <row r="6" customFormat="false" ht="15" hidden="false" customHeight="true" outlineLevel="0" collapsed="false">
      <c r="B6" s="29" t="s">
        <v>512</v>
      </c>
      <c r="C6" s="121" t="n">
        <v>0.05</v>
      </c>
      <c r="D6" s="5" t="s">
        <v>513</v>
      </c>
    </row>
    <row r="7" customFormat="false" ht="15" hidden="false" customHeight="true" outlineLevel="0" collapsed="false">
      <c r="B7" s="29" t="s">
        <v>514</v>
      </c>
      <c r="C7" s="122" t="n">
        <v>1.3</v>
      </c>
      <c r="D7" s="5" t="s">
        <v>515</v>
      </c>
    </row>
    <row r="8" customFormat="false" ht="15" hidden="false" customHeight="true" outlineLevel="0" collapsed="false">
      <c r="B8" s="29" t="s">
        <v>516</v>
      </c>
      <c r="C8" s="123" t="n">
        <f aca="false">C5+C7*C6</f>
        <v>0.11</v>
      </c>
    </row>
    <row r="9" customFormat="false" ht="15" hidden="false" customHeight="true" outlineLevel="0" collapsed="false">
      <c r="B9" s="29" t="s">
        <v>517</v>
      </c>
      <c r="C9" s="121" t="n">
        <v>0.06</v>
      </c>
      <c r="D9" s="5" t="s">
        <v>518</v>
      </c>
    </row>
    <row r="10" customFormat="false" ht="15" hidden="false" customHeight="true" outlineLevel="0" collapsed="false">
      <c r="B10" s="29" t="s">
        <v>519</v>
      </c>
      <c r="C10" s="121" t="n">
        <v>0.245</v>
      </c>
      <c r="D10" s="5" t="s">
        <v>520</v>
      </c>
    </row>
    <row r="11" customFormat="false" ht="15" hidden="false" customHeight="true" outlineLevel="0" collapsed="false">
      <c r="B11" s="29" t="s">
        <v>521</v>
      </c>
      <c r="C11" s="123" t="n">
        <f aca="false">C9*(1-C10)</f>
        <v>0.0453</v>
      </c>
    </row>
    <row r="12" customFormat="false" ht="15" hidden="false" customHeight="true" outlineLevel="0" collapsed="false">
      <c r="B12" s="29" t="s">
        <v>522</v>
      </c>
      <c r="C12" s="121" t="n">
        <v>0.2</v>
      </c>
      <c r="D12" s="5" t="s">
        <v>523</v>
      </c>
    </row>
    <row r="13" customFormat="false" ht="15" hidden="false" customHeight="true" outlineLevel="0" collapsed="false">
      <c r="B13" s="88" t="s">
        <v>524</v>
      </c>
      <c r="C13" s="124" t="n">
        <f aca="false">C8*(1-C12)+C11*C12</f>
        <v>0.09706</v>
      </c>
    </row>
    <row r="15" customFormat="false" ht="15" hidden="false" customHeight="true" outlineLevel="0" collapsed="false">
      <c r="B15" s="0" t="s">
        <v>525</v>
      </c>
      <c r="C15" s="86" t="n">
        <f aca="true">TODAY()</f>
        <v>46299</v>
      </c>
      <c r="D15" s="5" t="s">
        <v>526</v>
      </c>
    </row>
    <row r="16" customFormat="false" ht="15" hidden="false" customHeight="true" outlineLevel="0" collapsed="false">
      <c r="B16" s="17" t="s">
        <v>527</v>
      </c>
    </row>
    <row r="17" customFormat="false" ht="15" hidden="false" customHeight="true" outlineLevel="0" collapsed="false">
      <c r="D17" s="12" t="s">
        <v>23</v>
      </c>
      <c r="E17" s="12" t="s">
        <v>24</v>
      </c>
      <c r="F17" s="12" t="s">
        <v>25</v>
      </c>
      <c r="G17" s="12" t="s">
        <v>26</v>
      </c>
      <c r="H17" s="12" t="s">
        <v>27</v>
      </c>
      <c r="I17" s="12" t="s">
        <v>528</v>
      </c>
      <c r="J17" s="12" t="s">
        <v>529</v>
      </c>
      <c r="K17" s="12" t="s">
        <v>530</v>
      </c>
      <c r="L17" s="12" t="s">
        <v>531</v>
      </c>
      <c r="M17" s="12" t="s">
        <v>532</v>
      </c>
      <c r="N17" s="12" t="s">
        <v>533</v>
      </c>
      <c r="P17" s="12" t="s">
        <v>534</v>
      </c>
      <c r="Q17" s="12" t="s">
        <v>535</v>
      </c>
    </row>
    <row r="18" customFormat="false" ht="15" hidden="false" customHeight="true" outlineLevel="0" collapsed="false">
      <c r="B18" s="0" t="s">
        <v>536</v>
      </c>
      <c r="D18" s="125" t="n">
        <f aca="false">Model!V124</f>
        <v>198.2900608</v>
      </c>
      <c r="E18" s="125" t="n">
        <f aca="false">Model!W124</f>
        <v>254.218077046078</v>
      </c>
      <c r="F18" s="125" t="n">
        <f aca="false">Model!X124</f>
        <v>315.125582079779</v>
      </c>
      <c r="G18" s="125" t="n">
        <f aca="false">Model!Y124</f>
        <v>381.357815123764</v>
      </c>
      <c r="H18" s="125" t="n">
        <f aca="false">Model!Z124</f>
        <v>451.917098784607</v>
      </c>
      <c r="I18" s="126" t="n">
        <f aca="false">H18*(1+I$31)</f>
        <v>519.704663602298</v>
      </c>
      <c r="J18" s="126" t="n">
        <f aca="false">I18*(1+J$31)</f>
        <v>585.967008211591</v>
      </c>
      <c r="K18" s="126" t="n">
        <f aca="false">J18*(1+K$31)</f>
        <v>647.493544073808</v>
      </c>
      <c r="L18" s="126" t="n">
        <f aca="false">K18*(1+L$31)</f>
        <v>700.911761459897</v>
      </c>
      <c r="M18" s="126" t="n">
        <f aca="false">L18*(1+M$31)</f>
        <v>742.966467147491</v>
      </c>
      <c r="P18" s="127" t="n">
        <f aca="false">IFERROR(IF(AND($H18&gt;0,$D18&gt;0),($H18/$D18)^(1/(VALUE(LEFT($H$17,4))-VALUE(LEFT($D$17,4))))-1,"n/m"),"n/m")</f>
        <v>0.228681889539093</v>
      </c>
      <c r="Q18" s="127" t="n">
        <f aca="false">IFERROR(IF(AND($M18&gt;0,$D18&gt;0),($M18/$D18)^(1/(VALUE(LEFT($M$17,4))-VALUE(LEFT($D$17,4))))-1,"n/m"),"n/m")</f>
        <v>0.15808628546134</v>
      </c>
    </row>
    <row r="19" customFormat="false" ht="15" hidden="false" customHeight="true" outlineLevel="0" collapsed="false">
      <c r="B19" s="128" t="s">
        <v>537</v>
      </c>
      <c r="C19" s="128"/>
      <c r="D19" s="129"/>
      <c r="E19" s="129" t="n">
        <f aca="false">IFERROR(E18/D18-1,"")</f>
        <v>0.282051536120552</v>
      </c>
      <c r="F19" s="129" t="n">
        <f aca="false">IFERROR(F18/E18-1,"")</f>
        <v>0.239587623907097</v>
      </c>
      <c r="G19" s="129" t="n">
        <f aca="false">IFERROR(G18/F18-1,"")</f>
        <v>0.210177265225067</v>
      </c>
      <c r="H19" s="129" t="n">
        <f aca="false">IFERROR(H18/G18-1,"")</f>
        <v>0.185021208069235</v>
      </c>
      <c r="I19" s="130" t="n">
        <f aca="false">IFERROR(I18/H18-1,"")</f>
        <v>0.15</v>
      </c>
      <c r="J19" s="130" t="n">
        <f aca="false">IFERROR(J18/I18-1,"")</f>
        <v>0.1275</v>
      </c>
      <c r="K19" s="130" t="n">
        <f aca="false">IFERROR(K18/J18-1,"")</f>
        <v>0.105</v>
      </c>
      <c r="L19" s="130" t="n">
        <f aca="false">IFERROR(L18/K18-1,"")</f>
        <v>0.0825</v>
      </c>
      <c r="M19" s="130" t="n">
        <f aca="false">IFERROR(M18/L18-1,"")</f>
        <v>0.0600000000000001</v>
      </c>
      <c r="N19" s="130"/>
    </row>
    <row r="20" customFormat="false" ht="15" hidden="false" customHeight="true" outlineLevel="0" collapsed="false">
      <c r="B20" s="0" t="s">
        <v>538</v>
      </c>
      <c r="D20" s="125" t="n">
        <f aca="false">-(Model!V123-Model!V117)</f>
        <v>-21.231</v>
      </c>
      <c r="E20" s="125" t="n">
        <f aca="false">-(Model!W123-Model!W117)</f>
        <v>-15.6657028384116</v>
      </c>
      <c r="F20" s="125" t="n">
        <f aca="false">-(Model!X123-Model!X117)</f>
        <v>-18.2503904508303</v>
      </c>
      <c r="G20" s="125" t="n">
        <f aca="false">-(Model!Y123-Model!Y117)</f>
        <v>-20.970765807393</v>
      </c>
      <c r="H20" s="125" t="n">
        <f aca="false">-(Model!Z123-Model!Z117)</f>
        <v>-23.0390425518776</v>
      </c>
      <c r="I20" s="126" t="n">
        <f aca="false">H20*(1+I$31)</f>
        <v>-26.4948989346593</v>
      </c>
      <c r="J20" s="126" t="n">
        <f aca="false">I20*(1+J$31)</f>
        <v>-29.8729985488283</v>
      </c>
      <c r="K20" s="126" t="n">
        <f aca="false">J20*(1+K$31)</f>
        <v>-33.0096633964553</v>
      </c>
      <c r="L20" s="126" t="n">
        <f aca="false">K20*(1+L$31)</f>
        <v>-35.7329606266629</v>
      </c>
      <c r="M20" s="126" t="n">
        <f aca="false">L20*(1+M$31)</f>
        <v>-37.8769382642626</v>
      </c>
    </row>
    <row r="21" customFormat="false" ht="15" hidden="false" customHeight="true" outlineLevel="0" collapsed="false">
      <c r="B21" s="0" t="s">
        <v>539</v>
      </c>
      <c r="D21" s="131" t="n">
        <f aca="false">1-$C$10</f>
        <v>0.755</v>
      </c>
      <c r="E21" s="131" t="n">
        <f aca="false">1-$C$10</f>
        <v>0.755</v>
      </c>
      <c r="F21" s="131" t="n">
        <f aca="false">1-$C$10</f>
        <v>0.755</v>
      </c>
      <c r="G21" s="131" t="n">
        <f aca="false">1-$C$10</f>
        <v>0.755</v>
      </c>
      <c r="H21" s="131" t="n">
        <f aca="false">1-$C$10</f>
        <v>0.755</v>
      </c>
      <c r="I21" s="131" t="n">
        <f aca="false">1-$C$10</f>
        <v>0.755</v>
      </c>
      <c r="J21" s="131" t="n">
        <f aca="false">1-$C$10</f>
        <v>0.755</v>
      </c>
      <c r="K21" s="131" t="n">
        <f aca="false">1-$C$10</f>
        <v>0.755</v>
      </c>
      <c r="L21" s="131" t="n">
        <f aca="false">1-$C$10</f>
        <v>0.755</v>
      </c>
      <c r="M21" s="131" t="n">
        <f aca="false">1-$C$10</f>
        <v>0.755</v>
      </c>
    </row>
    <row r="22" customFormat="false" ht="15" hidden="false" customHeight="true" outlineLevel="0" collapsed="false">
      <c r="B22" s="0" t="s">
        <v>540</v>
      </c>
      <c r="D22" s="126" t="n">
        <f aca="false">(D18+D20)*D21</f>
        <v>133.679590904</v>
      </c>
      <c r="E22" s="126" t="n">
        <f aca="false">(E18+E20)*E21</f>
        <v>180.107042526788</v>
      </c>
      <c r="F22" s="126" t="n">
        <f aca="false">(F18+F20)*F21</f>
        <v>224.140769679856</v>
      </c>
      <c r="G22" s="126" t="n">
        <f aca="false">(G18+G20)*G21</f>
        <v>272.09222223386</v>
      </c>
      <c r="H22" s="126" t="n">
        <f aca="false">(H18+H20)*H21</f>
        <v>323.802932455711</v>
      </c>
      <c r="I22" s="126" t="n">
        <f aca="false">(I18+I20)*I21</f>
        <v>372.373372324067</v>
      </c>
      <c r="J22" s="126" t="n">
        <f aca="false">(J18+J20)*J21</f>
        <v>419.850977295386</v>
      </c>
      <c r="K22" s="126" t="n">
        <f aca="false">(K18+K20)*K21</f>
        <v>463.935329911401</v>
      </c>
      <c r="L22" s="126" t="n">
        <f aca="false">(L18+L20)*L21</f>
        <v>502.209994629092</v>
      </c>
      <c r="M22" s="126" t="n">
        <f aca="false">(M18+M20)*M21</f>
        <v>532.342594306837</v>
      </c>
    </row>
    <row r="23" customFormat="false" ht="15" hidden="false" customHeight="true" outlineLevel="0" collapsed="false">
      <c r="B23" s="0" t="s">
        <v>541</v>
      </c>
      <c r="D23" s="125" t="n">
        <f aca="false">Model!V64+Model!V65</f>
        <v>24.1539392</v>
      </c>
      <c r="E23" s="125" t="n">
        <f aca="false">Model!W64+Model!W65</f>
        <v>30.9466585152347</v>
      </c>
      <c r="F23" s="125" t="n">
        <f aca="false">Model!X64+Model!X65</f>
        <v>39.2232964651984</v>
      </c>
      <c r="G23" s="125" t="n">
        <f aca="false">Model!Y64+Model!Y65</f>
        <v>47.4782134749513</v>
      </c>
      <c r="H23" s="125" t="n">
        <f aca="false">Model!Z64+Model!Z65</f>
        <v>56.5892467503217</v>
      </c>
      <c r="I23" s="126" t="n">
        <f aca="false">H23*(1+I$31)</f>
        <v>65.07763376287</v>
      </c>
      <c r="J23" s="126" t="n">
        <f aca="false">I23*(1+J$31)</f>
        <v>73.3750320676359</v>
      </c>
      <c r="K23" s="126" t="n">
        <f aca="false">J23*(1+K$31)</f>
        <v>81.0794104347377</v>
      </c>
      <c r="L23" s="126" t="n">
        <f aca="false">K23*(1+L$31)</f>
        <v>87.7684617956035</v>
      </c>
      <c r="M23" s="126" t="n">
        <f aca="false">L23*(1+M$31)</f>
        <v>93.0345695033397</v>
      </c>
    </row>
    <row r="24" customFormat="false" ht="15" hidden="false" customHeight="true" outlineLevel="0" collapsed="false">
      <c r="B24" s="0" t="s">
        <v>542</v>
      </c>
      <c r="D24" s="125" t="n">
        <f aca="false">D29</f>
        <v>-36.5</v>
      </c>
      <c r="E24" s="125" t="n">
        <f aca="false">E29+Model!W205</f>
        <v>-243.119578466065</v>
      </c>
      <c r="F24" s="125" t="n">
        <f aca="false">F29+Model!X205</f>
        <v>-272.501952254151</v>
      </c>
      <c r="G24" s="125" t="n">
        <f aca="false">G29+Model!Y205</f>
        <v>-300.184600407344</v>
      </c>
      <c r="H24" s="125" t="n">
        <f aca="false">H29+Model!Z205</f>
        <v>-309.233311164465</v>
      </c>
      <c r="I24" s="126" t="n">
        <f aca="false">I29</f>
        <v>-68.1183078391344</v>
      </c>
      <c r="J24" s="126" t="n">
        <f aca="false">J29</f>
        <v>-76.803392088624</v>
      </c>
      <c r="K24" s="126" t="n">
        <f aca="false">K29</f>
        <v>-84.8677482579295</v>
      </c>
      <c r="L24" s="126" t="n">
        <f aca="false">L29</f>
        <v>-91.8693374892087</v>
      </c>
      <c r="M24" s="126" t="n">
        <f aca="false">M29</f>
        <v>-97.3814977385612</v>
      </c>
    </row>
    <row r="25" customFormat="false" ht="15" hidden="false" customHeight="true" outlineLevel="0" collapsed="false">
      <c r="B25" s="0" t="s">
        <v>543</v>
      </c>
      <c r="D25" s="125" t="n">
        <f aca="false">Model!V202</f>
        <v>-64.3456947402206</v>
      </c>
      <c r="E25" s="125" t="n">
        <f aca="false">Model!W202</f>
        <v>-57.6615116904664</v>
      </c>
      <c r="F25" s="125" t="n">
        <f aca="false">Model!X202</f>
        <v>-59.7967091791348</v>
      </c>
      <c r="G25" s="125" t="n">
        <f aca="false">Model!Y202</f>
        <v>-67.3406504360139</v>
      </c>
      <c r="H25" s="125" t="n">
        <f aca="false">Model!Z202</f>
        <v>-68.4574521952517</v>
      </c>
      <c r="I25" s="126" t="n">
        <f aca="false">H25*(1+I$31)</f>
        <v>-78.7260700245394</v>
      </c>
      <c r="J25" s="126" t="n">
        <f aca="false">I25*(1+J$31)</f>
        <v>-88.7636439526682</v>
      </c>
      <c r="K25" s="126" t="n">
        <f aca="false">J25*(1+K$31)</f>
        <v>-98.0838265676984</v>
      </c>
      <c r="L25" s="126" t="n">
        <f aca="false">K25*(1+L$31)</f>
        <v>-106.175742259533</v>
      </c>
      <c r="M25" s="126" t="n">
        <f aca="false">L25*(1+M$31)</f>
        <v>-112.546286795105</v>
      </c>
    </row>
    <row r="26" customFormat="false" ht="15" hidden="false" customHeight="true" outlineLevel="0" collapsed="false">
      <c r="B26" s="132" t="s">
        <v>544</v>
      </c>
      <c r="D26" s="133" t="n">
        <f aca="false">D22+D23+D24+D25</f>
        <v>56.9878353637794</v>
      </c>
      <c r="E26" s="133" t="n">
        <f aca="false">E22+E23+E24+E25</f>
        <v>-89.7273891145088</v>
      </c>
      <c r="F26" s="133" t="n">
        <f aca="false">F22+F23+F24+F25</f>
        <v>-68.9345952882318</v>
      </c>
      <c r="G26" s="133" t="n">
        <f aca="false">G22+G23+G24+G25</f>
        <v>-47.9548151345467</v>
      </c>
      <c r="H26" s="133" t="n">
        <f aca="false">H22+H23+H24+H25</f>
        <v>2.70141584631591</v>
      </c>
      <c r="I26" s="133" t="n">
        <f aca="false">I22+I23+I24+I25</f>
        <v>290.606628223263</v>
      </c>
      <c r="J26" s="133" t="n">
        <f aca="false">J22+J23+J24+J25</f>
        <v>327.658973321729</v>
      </c>
      <c r="K26" s="133" t="n">
        <f aca="false">K22+K23+K24+K25</f>
        <v>362.063165520511</v>
      </c>
      <c r="L26" s="133" t="n">
        <f aca="false">L22+L23+L24+L25</f>
        <v>391.933376675953</v>
      </c>
      <c r="M26" s="133" t="n">
        <f aca="false">M22+M23+M24+M25</f>
        <v>415.44937927651</v>
      </c>
      <c r="N26" s="133" t="n">
        <f aca="false">M26*(1+$C$32)</f>
        <v>432.067354447571</v>
      </c>
      <c r="P26" s="127" t="n">
        <f aca="false">IFERROR(IF(AND($H26&gt;0,$D26&gt;0),($H26/$D26)^(1/(VALUE(LEFT($H$17,4))-VALUE(LEFT($D$17,4))))-1,"n/m"),"n/m")</f>
        <v>-0.533391849560307</v>
      </c>
      <c r="Q26" s="127" t="n">
        <f aca="false">IFERROR(IF(AND($M26&gt;0,$D26&gt;0),($M26/$D26)^(1/(VALUE(LEFT($M$17,4))-VALUE(LEFT($D$17,4))))-1,"n/m"),"n/m")</f>
        <v>0.246980179139881</v>
      </c>
    </row>
    <row r="27" customFormat="false" ht="15" hidden="false" customHeight="true" outlineLevel="0" collapsed="false">
      <c r="B27" s="128" t="s">
        <v>537</v>
      </c>
      <c r="C27" s="128"/>
      <c r="D27" s="129"/>
      <c r="E27" s="129" t="n">
        <f aca="false">IFERROR(E26/D26-1,"")</f>
        <v>-2.57450074286447</v>
      </c>
      <c r="F27" s="129" t="n">
        <f aca="false">IFERROR(F26/E26-1,"")</f>
        <v>-0.231732963941942</v>
      </c>
      <c r="G27" s="129" t="n">
        <f aca="false">IFERROR(G26/F26-1,"")</f>
        <v>-0.304343270109351</v>
      </c>
      <c r="H27" s="129" t="n">
        <f aca="false">IFERROR(H26/G26-1,"")</f>
        <v>-1.05633252549794</v>
      </c>
      <c r="I27" s="130" t="n">
        <f aca="false">IFERROR(I26/H26-1,"")</f>
        <v>106.575673186186</v>
      </c>
      <c r="J27" s="130" t="n">
        <f aca="false">IFERROR(J26/I26-1,"")</f>
        <v>0.1275</v>
      </c>
      <c r="K27" s="130" t="n">
        <f aca="false">IFERROR(K26/J26-1,"")</f>
        <v>0.105</v>
      </c>
      <c r="L27" s="130" t="n">
        <f aca="false">IFERROR(L26/K26-1,"")</f>
        <v>0.0825</v>
      </c>
      <c r="M27" s="130" t="n">
        <f aca="false">IFERROR(M26/L26-1,"")</f>
        <v>0.0599999999999998</v>
      </c>
      <c r="N27" s="130"/>
    </row>
    <row r="28" customFormat="false" ht="15" hidden="false" customHeight="true" outlineLevel="0" collapsed="false">
      <c r="B28" s="0" t="s">
        <v>545</v>
      </c>
      <c r="N28" s="133" t="n">
        <f aca="false">N26/($C$13-$C$32)</f>
        <v>7572.15833241449</v>
      </c>
    </row>
    <row r="29" customFormat="false" ht="15" hidden="false" customHeight="true" outlineLevel="0" collapsed="false">
      <c r="B29" s="5" t="s">
        <v>546</v>
      </c>
      <c r="D29" s="125" t="n">
        <f aca="false">Model!V204</f>
        <v>-36.5</v>
      </c>
      <c r="E29" s="125" t="n">
        <f aca="false">Model!W204</f>
        <v>-43.119578466065</v>
      </c>
      <c r="F29" s="125" t="n">
        <f aca="false">Model!X204</f>
        <v>-47.5019522541514</v>
      </c>
      <c r="G29" s="125" t="n">
        <f aca="false">Model!Y204</f>
        <v>-50.1846004073443</v>
      </c>
      <c r="H29" s="125" t="n">
        <f aca="false">Model!Z204</f>
        <v>-59.2333111644647</v>
      </c>
      <c r="I29" s="126" t="n">
        <f aca="false">H29*(1+I$31)</f>
        <v>-68.1183078391344</v>
      </c>
      <c r="J29" s="126" t="n">
        <f aca="false">I29*(1+J$31)</f>
        <v>-76.803392088624</v>
      </c>
      <c r="K29" s="126" t="n">
        <f aca="false">J29*(1+K$31)</f>
        <v>-84.8677482579295</v>
      </c>
      <c r="L29" s="126" t="n">
        <f aca="false">K29*(1+L$31)</f>
        <v>-91.8693374892087</v>
      </c>
      <c r="M29" s="126" t="n">
        <f aca="false">L29*(1+M$31)</f>
        <v>-97.3814977385612</v>
      </c>
    </row>
    <row r="31" customFormat="false" ht="15" hidden="false" customHeight="true" outlineLevel="0" collapsed="false">
      <c r="B31" s="0" t="s">
        <v>547</v>
      </c>
      <c r="I31" s="134" t="n">
        <v>0.15</v>
      </c>
      <c r="J31" s="135" t="n">
        <f aca="false">I31+($M$31-$I$31)/(COLUMNS($I$31:$M$31)-1)</f>
        <v>0.1275</v>
      </c>
      <c r="K31" s="135" t="n">
        <f aca="false">J31+($M$31-$I$31)/(COLUMNS($I$31:$M$31)-1)</f>
        <v>0.105</v>
      </c>
      <c r="L31" s="135" t="n">
        <f aca="false">K31+($M$31-$I$31)/(COLUMNS($I$31:$M$31)-1)</f>
        <v>0.0825</v>
      </c>
      <c r="M31" s="134" t="n">
        <v>0.06</v>
      </c>
    </row>
    <row r="32" customFormat="false" ht="15" hidden="false" customHeight="true" outlineLevel="0" collapsed="false">
      <c r="B32" s="0" t="s">
        <v>548</v>
      </c>
      <c r="C32" s="136" t="n">
        <v>0.04</v>
      </c>
    </row>
    <row r="34" customFormat="false" ht="15" hidden="false" customHeight="true" outlineLevel="0" collapsed="false">
      <c r="B34" s="0" t="s">
        <v>549</v>
      </c>
      <c r="D34" s="137" t="n">
        <f aca="false">(DATE(2026,12,31)-$C$15)/365.25</f>
        <v>0.240930869267625</v>
      </c>
      <c r="E34" s="137" t="n">
        <f aca="false">(DATE(2027,12,31)-$C$15)/365.25</f>
        <v>1.24024640657084</v>
      </c>
      <c r="F34" s="137" t="n">
        <f aca="false">(DATE(2028,12,31)-$C$15)/365.25</f>
        <v>2.24229979466119</v>
      </c>
      <c r="G34" s="137" t="n">
        <f aca="false">(DATE(2029,12,31)-$C$15)/365.25</f>
        <v>3.24161533196441</v>
      </c>
      <c r="H34" s="137" t="n">
        <f aca="false">(DATE(2030,12,31)-$C$15)/365.25</f>
        <v>4.24093086926763</v>
      </c>
      <c r="I34" s="137" t="n">
        <f aca="false">(DATE(2031,12,31)-$C$15)/365.25</f>
        <v>5.24024640657084</v>
      </c>
      <c r="J34" s="137" t="n">
        <f aca="false">(DATE(2032,12,31)-$C$15)/365.25</f>
        <v>6.24229979466119</v>
      </c>
      <c r="K34" s="137" t="n">
        <f aca="false">(DATE(2033,12,31)-$C$15)/365.25</f>
        <v>7.24161533196441</v>
      </c>
      <c r="L34" s="137" t="n">
        <f aca="false">(DATE(2034,12,31)-$C$15)/365.25</f>
        <v>8.24093086926763</v>
      </c>
      <c r="M34" s="137" t="n">
        <f aca="false">(DATE(2035,12,31)-$C$15)/365.25</f>
        <v>9.24024640657084</v>
      </c>
      <c r="N34" s="137" t="n">
        <f aca="false">M34</f>
        <v>9.24024640657084</v>
      </c>
    </row>
    <row r="35" customFormat="false" ht="15" hidden="false" customHeight="true" outlineLevel="0" collapsed="false">
      <c r="B35" s="0" t="s">
        <v>550</v>
      </c>
      <c r="D35" s="138" t="n">
        <f aca="false">1/(1+$C$13)^D34</f>
        <v>0.977928852168649</v>
      </c>
      <c r="E35" s="138" t="n">
        <f aca="false">1/(1+$C$13)^E34</f>
        <v>0.891465242700768</v>
      </c>
      <c r="F35" s="138" t="n">
        <f aca="false">1/(1+$C$13)^F34</f>
        <v>0.81244024053935</v>
      </c>
      <c r="G35" s="138" t="n">
        <f aca="false">1/(1+$C$13)^G34</f>
        <v>0.740608311745955</v>
      </c>
      <c r="H35" s="138" t="n">
        <f aca="false">1/(1+$C$13)^H34</f>
        <v>0.67512740514067</v>
      </c>
      <c r="I35" s="138" t="n">
        <f aca="false">1/(1+$C$13)^I34</f>
        <v>0.615435994901881</v>
      </c>
      <c r="J35" s="138" t="n">
        <f aca="false">1/(1+$C$13)^J34</f>
        <v>0.560879935396978</v>
      </c>
      <c r="K35" s="138" t="n">
        <f aca="false">1/(1+$C$13)^K34</f>
        <v>0.511289718700753</v>
      </c>
      <c r="L35" s="138" t="n">
        <f aca="false">1/(1+$C$13)^L34</f>
        <v>0.466084022535179</v>
      </c>
      <c r="M35" s="138" t="n">
        <f aca="false">1/(1+$C$13)^M34</f>
        <v>0.424875189383019</v>
      </c>
      <c r="N35" s="138" t="n">
        <f aca="false">1/(1+$C$13)^N34</f>
        <v>0.424875189383019</v>
      </c>
    </row>
    <row r="36" customFormat="false" ht="15" hidden="false" customHeight="true" outlineLevel="0" collapsed="false">
      <c r="B36" s="0" t="s">
        <v>551</v>
      </c>
      <c r="D36" s="126" t="n">
        <f aca="false">D26*D35</f>
        <v>55.7300484248767</v>
      </c>
      <c r="E36" s="126" t="n">
        <f aca="false">E26*E35</f>
        <v>-79.9888487138719</v>
      </c>
      <c r="F36" s="126" t="n">
        <f aca="false">F26*F35</f>
        <v>-56.0052391774538</v>
      </c>
      <c r="G36" s="126" t="n">
        <f aca="false">G26*G35</f>
        <v>-35.515734676886</v>
      </c>
      <c r="H36" s="126" t="n">
        <f aca="false">H26*H35</f>
        <v>1.82379987052915</v>
      </c>
      <c r="I36" s="126" t="n">
        <f aca="false">I26*I35</f>
        <v>178.849779365665</v>
      </c>
      <c r="J36" s="126" t="n">
        <f aca="false">J26*J35</f>
        <v>183.777343788932</v>
      </c>
      <c r="K36" s="126" t="n">
        <f aca="false">K26*K35</f>
        <v>185.119174050886</v>
      </c>
      <c r="L36" s="126" t="n">
        <f aca="false">L26*L35</f>
        <v>182.673884766924</v>
      </c>
      <c r="M36" s="126" t="n">
        <f aca="false">M26*M35</f>
        <v>176.514133699165</v>
      </c>
      <c r="N36" s="126" t="n">
        <f aca="false">N28*N35</f>
        <v>3217.22220552281</v>
      </c>
    </row>
    <row r="37" customFormat="false" ht="15" hidden="false" customHeight="true" outlineLevel="0" collapsed="false">
      <c r="D37" s="5" t="s">
        <v>552</v>
      </c>
    </row>
    <row r="39" customFormat="false" ht="15.75" hidden="false" customHeight="true" outlineLevel="0" collapsed="false">
      <c r="B39" s="0" t="s">
        <v>553</v>
      </c>
      <c r="D39" s="139" t="str">
        <f aca="false">D17</f>
        <v>2026E</v>
      </c>
      <c r="E39" s="139" t="str">
        <f aca="false">E17</f>
        <v>2027E</v>
      </c>
      <c r="F39" s="139" t="str">
        <f aca="false">F17</f>
        <v>2028E</v>
      </c>
      <c r="G39" s="139" t="str">
        <f aca="false">G17</f>
        <v>2029E</v>
      </c>
      <c r="H39" s="139" t="str">
        <f aca="false">H17</f>
        <v>2030E</v>
      </c>
      <c r="I39" s="139" t="str">
        <f aca="false">I17</f>
        <v>2031E</v>
      </c>
      <c r="J39" s="139" t="str">
        <f aca="false">J17</f>
        <v>2032E</v>
      </c>
      <c r="K39" s="139" t="str">
        <f aca="false">K17</f>
        <v>2033E</v>
      </c>
      <c r="L39" s="139" t="str">
        <f aca="false">L17</f>
        <v>2034E</v>
      </c>
      <c r="M39" s="139" t="str">
        <f aca="false">M17</f>
        <v>2035E</v>
      </c>
      <c r="N39" s="139" t="s">
        <v>533</v>
      </c>
    </row>
    <row r="40" customFormat="false" ht="15.75" hidden="false" customHeight="true" outlineLevel="0" collapsed="false">
      <c r="B40" s="0" t="s">
        <v>554</v>
      </c>
      <c r="D40" s="54" t="n">
        <f aca="false">D22</f>
        <v>133.679590904</v>
      </c>
      <c r="E40" s="54" t="n">
        <f aca="false">E22</f>
        <v>180.107042526788</v>
      </c>
      <c r="F40" s="54" t="n">
        <f aca="false">F22</f>
        <v>224.140769679856</v>
      </c>
      <c r="G40" s="54" t="n">
        <f aca="false">G22</f>
        <v>272.09222223386</v>
      </c>
      <c r="H40" s="54" t="n">
        <f aca="false">H22</f>
        <v>323.802932455711</v>
      </c>
      <c r="I40" s="140" t="n">
        <f aca="false">I22</f>
        <v>372.373372324067</v>
      </c>
      <c r="J40" s="140" t="n">
        <f aca="false">J22</f>
        <v>419.850977295386</v>
      </c>
      <c r="K40" s="140" t="n">
        <f aca="false">K22</f>
        <v>463.935329911401</v>
      </c>
      <c r="L40" s="140" t="n">
        <f aca="false">L22</f>
        <v>502.209994629092</v>
      </c>
      <c r="M40" s="140" t="n">
        <f aca="false">M22</f>
        <v>532.342594306837</v>
      </c>
      <c r="N40" s="140" t="n">
        <f aca="false">M40*(1+$C$32)</f>
        <v>553.636298079111</v>
      </c>
    </row>
    <row r="41" customFormat="false" ht="15.75" hidden="false" customHeight="true" outlineLevel="0" collapsed="false">
      <c r="B41" s="0" t="s">
        <v>555</v>
      </c>
      <c r="D41" s="54" t="n">
        <f aca="false">D40-D26</f>
        <v>76.6917555402206</v>
      </c>
      <c r="E41" s="54" t="n">
        <f aca="false">E40-E26</f>
        <v>269.834431641297</v>
      </c>
      <c r="F41" s="54" t="n">
        <f aca="false">F40-F26</f>
        <v>293.075364968088</v>
      </c>
      <c r="G41" s="54" t="n">
        <f aca="false">G40-G26</f>
        <v>320.047037368407</v>
      </c>
      <c r="H41" s="54" t="n">
        <f aca="false">H40-H26</f>
        <v>321.101516609395</v>
      </c>
      <c r="I41" s="140" t="n">
        <f aca="false">I40-I26</f>
        <v>81.7667441008038</v>
      </c>
      <c r="J41" s="140" t="n">
        <f aca="false">J40-J26</f>
        <v>92.1920039736563</v>
      </c>
      <c r="K41" s="140" t="n">
        <f aca="false">K40-K26</f>
        <v>101.87216439089</v>
      </c>
      <c r="L41" s="140" t="n">
        <f aca="false">L40-L26</f>
        <v>110.276617953139</v>
      </c>
      <c r="M41" s="140" t="n">
        <f aca="false">M40-M26</f>
        <v>116.893215030327</v>
      </c>
      <c r="N41" s="140" t="n">
        <f aca="false">N40-N26</f>
        <v>121.56894363154</v>
      </c>
    </row>
    <row r="42" customFormat="false" ht="15.75" hidden="false" customHeight="true" outlineLevel="0" collapsed="false">
      <c r="B42" s="0" t="s">
        <v>556</v>
      </c>
      <c r="D42" s="125" t="n">
        <f aca="false">Model!P333</f>
        <v>929.276</v>
      </c>
      <c r="E42" s="54" t="n">
        <f aca="false">D43</f>
        <v>1005.96775554022</v>
      </c>
      <c r="F42" s="54" t="n">
        <f aca="false">E43</f>
        <v>1275.80218718152</v>
      </c>
      <c r="G42" s="54" t="n">
        <f aca="false">F43</f>
        <v>1568.87755214961</v>
      </c>
      <c r="H42" s="54" t="n">
        <f aca="false">G43</f>
        <v>1888.92458951801</v>
      </c>
      <c r="I42" s="140" t="n">
        <f aca="false">H43</f>
        <v>2210.02610612741</v>
      </c>
      <c r="J42" s="140" t="n">
        <f aca="false">I43</f>
        <v>2291.79285022821</v>
      </c>
      <c r="K42" s="140" t="n">
        <f aca="false">J43</f>
        <v>2383.98485420187</v>
      </c>
      <c r="L42" s="140" t="n">
        <f aca="false">K43</f>
        <v>2485.85701859276</v>
      </c>
      <c r="M42" s="140" t="n">
        <f aca="false">L43</f>
        <v>2596.1336365459</v>
      </c>
      <c r="N42" s="140" t="n">
        <f aca="false">M43</f>
        <v>2713.02685157622</v>
      </c>
    </row>
    <row r="43" customFormat="false" ht="15.75" hidden="false" customHeight="true" outlineLevel="0" collapsed="false">
      <c r="B43" s="0" t="s">
        <v>557</v>
      </c>
      <c r="D43" s="54" t="n">
        <f aca="false">D42+D41</f>
        <v>1005.96775554022</v>
      </c>
      <c r="E43" s="54" t="n">
        <f aca="false">E42+E41</f>
        <v>1275.80218718152</v>
      </c>
      <c r="F43" s="54" t="n">
        <f aca="false">F42+F41</f>
        <v>1568.87755214961</v>
      </c>
      <c r="G43" s="54" t="n">
        <f aca="false">G42+G41</f>
        <v>1888.92458951801</v>
      </c>
      <c r="H43" s="54" t="n">
        <f aca="false">H42+H41</f>
        <v>2210.02610612741</v>
      </c>
      <c r="I43" s="140" t="n">
        <f aca="false">I42+I41</f>
        <v>2291.79285022821</v>
      </c>
      <c r="J43" s="140" t="n">
        <f aca="false">J42+J41</f>
        <v>2383.98485420187</v>
      </c>
      <c r="K43" s="140" t="n">
        <f aca="false">K42+K41</f>
        <v>2485.85701859276</v>
      </c>
      <c r="L43" s="140" t="n">
        <f aca="false">L42+L41</f>
        <v>2596.1336365459</v>
      </c>
      <c r="M43" s="140" t="n">
        <f aca="false">M42+M41</f>
        <v>2713.02685157622</v>
      </c>
      <c r="N43" s="140"/>
    </row>
    <row r="44" customFormat="false" ht="15.75" hidden="false" customHeight="true" outlineLevel="0" collapsed="false">
      <c r="B44" s="141" t="s">
        <v>558</v>
      </c>
      <c r="C44" s="142"/>
      <c r="D44" s="143" t="n">
        <f aca="false">IFERROR(D40/D42,"")</f>
        <v>0.143853484760179</v>
      </c>
      <c r="E44" s="143" t="n">
        <f aca="false">IFERROR(E40/E42,"")</f>
        <v>0.179038584025059</v>
      </c>
      <c r="F44" s="143" t="n">
        <f aca="false">IFERROR(F40/F42,"")</f>
        <v>0.175686146278699</v>
      </c>
      <c r="G44" s="143" t="n">
        <f aca="false">IFERROR(G40/G42,"")</f>
        <v>0.173431139900658</v>
      </c>
      <c r="H44" s="143" t="n">
        <f aca="false">IFERROR(H40/H42,"")</f>
        <v>0.17142184195841</v>
      </c>
      <c r="I44" s="144" t="n">
        <f aca="false">IFERROR(I40/I42,"")</f>
        <v>0.168492748249282</v>
      </c>
      <c r="J44" s="144" t="n">
        <f aca="false">IFERROR(J40/J42,"")</f>
        <v>0.183197611971596</v>
      </c>
      <c r="K44" s="144" t="n">
        <f aca="false">IFERROR(K40/K42,"")</f>
        <v>0.194604982113748</v>
      </c>
      <c r="L44" s="144" t="n">
        <f aca="false">IFERROR(L40/L42,"")</f>
        <v>0.202026902944479</v>
      </c>
      <c r="M44" s="144" t="n">
        <f aca="false">IFERROR(M40/M42,"")</f>
        <v>0.205052076985955</v>
      </c>
      <c r="N44" s="143" t="n">
        <f aca="false">IFERROR(N40/N42,"")</f>
        <v>0.204065911753677</v>
      </c>
    </row>
    <row r="45" customFormat="false" ht="15.75" hidden="false" customHeight="true" outlineLevel="0" collapsed="false">
      <c r="B45" s="0" t="s">
        <v>559</v>
      </c>
      <c r="C45" s="145"/>
      <c r="D45" s="127" t="n">
        <f aca="false">IFERROR(D41/D40,"")</f>
        <v>0.573698311175231</v>
      </c>
      <c r="E45" s="127" t="n">
        <f aca="false">IFERROR(E41/E40,"")</f>
        <v>1.49818923155747</v>
      </c>
      <c r="F45" s="127" t="n">
        <f aca="false">IFERROR(F41/F40,"")</f>
        <v>1.30755045316696</v>
      </c>
      <c r="G45" s="127" t="n">
        <f aca="false">IFERROR(G41/G40,"")</f>
        <v>1.17624471122637</v>
      </c>
      <c r="H45" s="127" t="n">
        <f aca="false">IFERROR(H41/H40,"")</f>
        <v>0.991657222416646</v>
      </c>
      <c r="I45" s="35" t="n">
        <f aca="false">IFERROR(I41/I40,"")</f>
        <v>0.219582682806987</v>
      </c>
      <c r="J45" s="35" t="n">
        <f aca="false">IFERROR(J41/J40,"")</f>
        <v>0.219582682806987</v>
      </c>
      <c r="K45" s="35" t="n">
        <f aca="false">IFERROR(K41/K40,"")</f>
        <v>0.219582682806987</v>
      </c>
      <c r="L45" s="35" t="n">
        <f aca="false">IFERROR(L41/L40,"")</f>
        <v>0.219582682806987</v>
      </c>
      <c r="M45" s="35" t="n">
        <f aca="false">IFERROR(M41/M40,"")</f>
        <v>0.219582682806987</v>
      </c>
      <c r="N45" s="127" t="n">
        <f aca="false">IFERROR(N41/N40,"")</f>
        <v>0.219582682806987</v>
      </c>
    </row>
    <row r="46" customFormat="false" ht="15.75" hidden="false" customHeight="true" outlineLevel="0" collapsed="false">
      <c r="B46" s="141" t="s">
        <v>560</v>
      </c>
      <c r="C46" s="142"/>
      <c r="D46" s="143"/>
      <c r="E46" s="143" t="n">
        <f aca="false">IFERROR((E40-D40)/D41,"")</f>
        <v>0.605377348526587</v>
      </c>
      <c r="F46" s="143" t="n">
        <f aca="false">IFERROR((F40-E40)/E41,"")</f>
        <v>0.163187947828705</v>
      </c>
      <c r="G46" s="143" t="n">
        <f aca="false">IFERROR((G40-F40)/F41,"")</f>
        <v>0.163614749944013</v>
      </c>
      <c r="H46" s="143" t="n">
        <f aca="false">IFERROR((H40-G40)/G41,"")</f>
        <v>0.161572219655719</v>
      </c>
      <c r="I46" s="144" t="n">
        <f aca="false">IFERROR((I40-H40)/H41,"")</f>
        <v>0.151261944761975</v>
      </c>
      <c r="J46" s="144" t="n">
        <f aca="false">IFERROR((J40-I40)/I41,"")</f>
        <v>0.580646881485059</v>
      </c>
      <c r="K46" s="144" t="n">
        <f aca="false">IFERROR((K40-J40)/J41,"")</f>
        <v>0.478179784752402</v>
      </c>
      <c r="L46" s="144" t="n">
        <f aca="false">IFERROR((L40-K40)/K41,"")</f>
        <v>0.375712688019744</v>
      </c>
      <c r="M46" s="144" t="n">
        <f aca="false">IFERROR((M40-L40)/L41,"")</f>
        <v>0.273245591287086</v>
      </c>
      <c r="N46" s="143" t="n">
        <f aca="false">IFERROR($C$32/N45,"")</f>
        <v>0.182163727524724</v>
      </c>
    </row>
    <row r="47" customFormat="false" ht="15.75" hidden="false" customHeight="true" outlineLevel="0" collapsed="false">
      <c r="B47" s="0" t="s">
        <v>561</v>
      </c>
      <c r="C47" s="127" t="n">
        <f aca="false">IFERROR((M40-D40)/SUM(D41:L41),"")</f>
        <v>0.239170397436554</v>
      </c>
      <c r="D47" s="127"/>
      <c r="E47" s="127"/>
      <c r="F47" s="127"/>
      <c r="G47" s="127"/>
      <c r="H47" s="127"/>
      <c r="I47" s="35"/>
      <c r="J47" s="35"/>
      <c r="K47" s="35"/>
      <c r="L47" s="35"/>
      <c r="M47" s="35"/>
      <c r="N47" s="127"/>
    </row>
    <row r="48" customFormat="false" ht="15" hidden="false" customHeight="false" outlineLevel="0" collapsed="false">
      <c r="D48" s="5" t="s">
        <v>562</v>
      </c>
    </row>
    <row r="49" customFormat="false" ht="15" hidden="false" customHeight="true" outlineLevel="0" collapsed="false">
      <c r="B49" s="17" t="s">
        <v>563</v>
      </c>
    </row>
    <row r="50" customFormat="false" ht="15" hidden="false" customHeight="true" outlineLevel="0" collapsed="false">
      <c r="B50" s="29" t="s">
        <v>564</v>
      </c>
      <c r="C50" s="126" t="n">
        <f aca="false">SUM(D36:M36)</f>
        <v>792.978341398766</v>
      </c>
    </row>
    <row r="51" customFormat="false" ht="15" hidden="false" customHeight="true" outlineLevel="0" collapsed="false">
      <c r="B51" s="29" t="s">
        <v>565</v>
      </c>
      <c r="C51" s="126" t="n">
        <f aca="false">N36</f>
        <v>3217.22220552281</v>
      </c>
    </row>
    <row r="52" customFormat="false" ht="15" hidden="false" customHeight="true" outlineLevel="0" collapsed="false">
      <c r="B52" s="88" t="s">
        <v>566</v>
      </c>
      <c r="C52" s="133" t="n">
        <f aca="false">C50+C51</f>
        <v>4010.20054692158</v>
      </c>
    </row>
    <row r="53" customFormat="false" ht="15" hidden="false" customHeight="true" outlineLevel="0" collapsed="false">
      <c r="B53" s="29" t="s">
        <v>567</v>
      </c>
      <c r="C53" s="146" t="n">
        <f aca="false">Model!V356</f>
        <v>853.078289719554</v>
      </c>
    </row>
    <row r="54" customFormat="false" ht="15" hidden="false" customHeight="true" outlineLevel="0" collapsed="false">
      <c r="B54" s="29" t="s">
        <v>568</v>
      </c>
      <c r="C54" s="147" t="n">
        <v>0</v>
      </c>
    </row>
    <row r="55" customFormat="false" ht="15" hidden="false" customHeight="true" outlineLevel="0" collapsed="false">
      <c r="B55" s="88" t="s">
        <v>569</v>
      </c>
      <c r="C55" s="133" t="n">
        <f aca="false">C52-C53-C54</f>
        <v>3157.12225720202</v>
      </c>
    </row>
    <row r="56" customFormat="false" ht="15" hidden="false" customHeight="true" outlineLevel="0" collapsed="false">
      <c r="B56" s="29" t="s">
        <v>570</v>
      </c>
      <c r="C56" s="148" t="n">
        <f aca="false">Model!V110</f>
        <v>132.55225</v>
      </c>
    </row>
    <row r="57" customFormat="false" ht="15" hidden="false" customHeight="true" outlineLevel="0" collapsed="false">
      <c r="B57" s="88" t="s">
        <v>571</v>
      </c>
      <c r="C57" s="149" t="n">
        <f aca="false">C55/C56</f>
        <v>23.8179454305908</v>
      </c>
    </row>
    <row r="58" customFormat="false" ht="15" hidden="false" customHeight="true" outlineLevel="0" collapsed="false">
      <c r="B58" s="29" t="s">
        <v>572</v>
      </c>
      <c r="C58" s="150" t="n">
        <f aca="false">Model!V362</f>
        <v>34.14</v>
      </c>
    </row>
    <row r="59" customFormat="false" ht="15" hidden="false" customHeight="true" outlineLevel="0" collapsed="false">
      <c r="B59" s="29" t="s">
        <v>573</v>
      </c>
      <c r="C59" s="145" t="n">
        <f aca="false">C57/C58-1</f>
        <v>-0.302344890726691</v>
      </c>
    </row>
    <row r="62" customFormat="false" ht="15" hidden="false" customHeight="true" outlineLevel="0" collapsed="false">
      <c r="B62" s="17" t="s">
        <v>574</v>
      </c>
    </row>
    <row r="63" customFormat="false" ht="15" hidden="false" customHeight="false" outlineLevel="0" collapsed="false">
      <c r="B63" s="0" t="s">
        <v>575</v>
      </c>
      <c r="C63" s="151" t="n">
        <v>0.005</v>
      </c>
    </row>
    <row r="64" customFormat="false" ht="15" hidden="false" customHeight="true" outlineLevel="0" collapsed="false">
      <c r="B64" s="0" t="s">
        <v>576</v>
      </c>
      <c r="C64" s="151" t="n">
        <v>0.005</v>
      </c>
    </row>
    <row r="65" customFormat="false" ht="15" hidden="false" customHeight="true" outlineLevel="0" collapsed="false">
      <c r="B65" s="0" t="s">
        <v>577</v>
      </c>
      <c r="D65" s="152" t="n">
        <f aca="false">E65-$C$63</f>
        <v>0.08706</v>
      </c>
      <c r="E65" s="152" t="n">
        <f aca="false">F65-$C$63</f>
        <v>0.09206</v>
      </c>
      <c r="F65" s="152" t="n">
        <f aca="false">$C$13</f>
        <v>0.09706</v>
      </c>
      <c r="G65" s="152" t="n">
        <f aca="false">F65+$C$63</f>
        <v>0.10206</v>
      </c>
      <c r="H65" s="152" t="n">
        <f aca="false">G65+$C$63</f>
        <v>0.10706</v>
      </c>
    </row>
    <row r="66" customFormat="false" ht="15" hidden="false" customHeight="true" outlineLevel="0" collapsed="false">
      <c r="B66" s="152" t="n">
        <f aca="false">B67-$C$64</f>
        <v>0.03</v>
      </c>
      <c r="D66" s="153" t="n">
        <f aca="false">IFERROR((SUMPRODUCT($D$26:$M$26/(1+D$65)^$D$34:$M$34)+($M$26*(1+$B66)/(D$65-$B66))/(1+D$65)^$M$34-$C$53-$C$54)/$C$56,"")</f>
        <v>26.1540137691215</v>
      </c>
      <c r="E66" s="153" t="n">
        <f aca="false">IFERROR((SUMPRODUCT($D$26:$M$26/(1+E$65)^$D$34:$M$34)+($M$26*(1+$B66)/(E$65-$B66))/(1+E$65)^$M$34-$C$53-$C$54)/$C$56,"")</f>
        <v>22.8197593243289</v>
      </c>
      <c r="F66" s="153" t="n">
        <f aca="false">IFERROR((SUMPRODUCT($D$26:$M$26/(1+F$65)^$D$34:$M$34)+($M$26*(1+$B66)/(F$65-$B66))/(1+F$65)^$M$34-$C$53-$C$54)/$C$56,"")</f>
        <v>20.0000199658757</v>
      </c>
      <c r="G66" s="153" t="n">
        <f aca="false">IFERROR((SUMPRODUCT($D$26:$M$26/(1+G$65)^$D$34:$M$34)+($M$26*(1+$B66)/(G$65-$B66))/(1+G$65)^$M$34-$C$53-$C$54)/$C$56,"")</f>
        <v>17.5871968748645</v>
      </c>
      <c r="H66" s="153" t="n">
        <f aca="false">IFERROR((SUMPRODUCT($D$26:$M$26/(1+H$65)^$D$34:$M$34)+($M$26*(1+$B66)/(H$65-$B66))/(1+H$65)^$M$34-$C$53-$C$54)/$C$56,"")</f>
        <v>15.5016341154494</v>
      </c>
    </row>
    <row r="67" customFormat="false" ht="15" hidden="false" customHeight="true" outlineLevel="0" collapsed="false">
      <c r="B67" s="152" t="n">
        <f aca="false">B68-$C$64</f>
        <v>0.035</v>
      </c>
      <c r="D67" s="153" t="n">
        <f aca="false">IFERROR((SUMPRODUCT($D$26:$M$26/(1+D$65)^$D$34:$M$34)+($M$26*(1+$B67)/(D$65-$B67))/(1+D$65)^$M$34-$C$53-$C$54)/$C$56,"")</f>
        <v>28.8057308287592</v>
      </c>
      <c r="E67" s="153" t="n">
        <f aca="false">IFERROR((SUMPRODUCT($D$26:$M$26/(1+E$65)^$D$34:$M$34)+($M$26*(1+$B67)/(E$65-$B67))/(1+E$65)^$M$34-$C$53-$C$54)/$C$56,"")</f>
        <v>24.9616479846215</v>
      </c>
      <c r="F67" s="153" t="n">
        <f aca="false">IFERROR((SUMPRODUCT($D$26:$M$26/(1+F$65)^$D$34:$M$34)+($M$26*(1+$B67)/(F$65-$B67))/(1+F$65)^$M$34-$C$53-$C$54)/$C$56,"")</f>
        <v>21.7551829292711</v>
      </c>
      <c r="G67" s="153" t="n">
        <f aca="false">IFERROR((SUMPRODUCT($D$26:$M$26/(1+G$65)^$D$34:$M$34)+($M$26*(1+$B67)/(G$65-$B67))/(1+G$65)^$M$34-$C$53-$C$54)/$C$56,"")</f>
        <v>19.0431977409736</v>
      </c>
      <c r="H67" s="153" t="n">
        <f aca="false">IFERROR((SUMPRODUCT($D$26:$M$26/(1+H$65)^$D$34:$M$34)+($M$26*(1+$B67)/(H$65-$B67))/(1+H$65)^$M$34-$C$53-$C$54)/$C$56,"")</f>
        <v>16.7222991823778</v>
      </c>
    </row>
    <row r="68" customFormat="false" ht="15" hidden="false" customHeight="true" outlineLevel="0" collapsed="false">
      <c r="B68" s="152" t="n">
        <f aca="false">$C$32</f>
        <v>0.04</v>
      </c>
      <c r="D68" s="153" t="n">
        <f aca="false">IFERROR((SUMPRODUCT($D$26:$M$26/(1+D$65)^$D$34:$M$34)+($M$26*(1+$B68)/(D$65-$B68))/(1+D$65)^$M$34-$C$53-$C$54)/$C$56,"")</f>
        <v>32.0209236766751</v>
      </c>
      <c r="E68" s="153" t="n">
        <f aca="false">IFERROR((SUMPRODUCT($D$26:$M$26/(1+E$65)^$D$34:$M$34)+($M$26*(1+$B68)/(E$65-$B68))/(1+E$65)^$M$34-$C$53-$C$54)/$C$56,"")</f>
        <v>27.5149635869602</v>
      </c>
      <c r="F68" s="154" t="n">
        <f aca="false">IFERROR((SUMPRODUCT($D$26:$M$26/(1+F$65)^$D$34:$M$34)+($M$26*(1+$B68)/(F$65-$B68))/(1+F$65)^$M$34-$C$53-$C$54)/$C$56,"")</f>
        <v>23.8179454305908</v>
      </c>
      <c r="G68" s="153" t="n">
        <f aca="false">IFERROR((SUMPRODUCT($D$26:$M$26/(1+G$65)^$D$34:$M$34)+($M$26*(1+$B68)/(G$65-$B68))/(1+G$65)^$M$34-$C$53-$C$54)/$C$56,"")</f>
        <v>20.7338104127722</v>
      </c>
      <c r="H68" s="153" t="n">
        <f aca="false">IFERROR((SUMPRODUCT($D$26:$M$26/(1+H$65)^$D$34:$M$34)+($M$26*(1+$B68)/(H$65-$B68))/(1+H$65)^$M$34-$C$53-$C$54)/$C$56,"")</f>
        <v>18.1249900570797</v>
      </c>
    </row>
    <row r="69" customFormat="false" ht="15" hidden="false" customHeight="true" outlineLevel="0" collapsed="false">
      <c r="B69" s="152" t="n">
        <f aca="false">B68+$C$64</f>
        <v>0.045</v>
      </c>
      <c r="D69" s="153" t="n">
        <f aca="false">IFERROR((SUMPRODUCT($D$26:$M$26/(1+D$65)^$D$34:$M$34)+($M$26*(1+$B69)/(D$65-$B69))/(1+D$65)^$M$34-$C$53-$C$54)/$C$56,"")</f>
        <v>36.0005465882896</v>
      </c>
      <c r="E69" s="153" t="n">
        <f aca="false">IFERROR((SUMPRODUCT($D$26:$M$26/(1+E$65)^$D$34:$M$34)+($M$26*(1+$B69)/(E$65-$B69))/(1+E$65)^$M$34-$C$53-$C$54)/$C$56,"")</f>
        <v>30.610845190646</v>
      </c>
      <c r="F69" s="153" t="n">
        <f aca="false">IFERROR((SUMPRODUCT($D$26:$M$26/(1+F$65)^$D$34:$M$34)+($M$26*(1+$B69)/(F$65-$B69))/(1+F$65)^$M$34-$C$53-$C$54)/$C$56,"")</f>
        <v>26.2769358422676</v>
      </c>
      <c r="G69" s="153" t="n">
        <f aca="false">IFERROR((SUMPRODUCT($D$26:$M$26/(1+G$65)^$D$34:$M$34)+($M$26*(1+$B69)/(G$65-$B69))/(1+G$65)^$M$34-$C$53-$C$54)/$C$56,"")</f>
        <v>22.720709918044</v>
      </c>
      <c r="H69" s="153" t="n">
        <f aca="false">IFERROR((SUMPRODUCT($D$26:$M$26/(1+H$65)^$D$34:$M$34)+($M$26*(1+$B69)/(H$65-$B69))/(1+H$65)^$M$34-$C$53-$C$54)/$C$56,"")</f>
        <v>19.7537026647339</v>
      </c>
    </row>
    <row r="70" customFormat="false" ht="15" hidden="false" customHeight="true" outlineLevel="0" collapsed="false">
      <c r="B70" s="152" t="n">
        <f aca="false">B69+$C$64</f>
        <v>0.05</v>
      </c>
      <c r="D70" s="153" t="n">
        <f aca="false">IFERROR((SUMPRODUCT($D$26:$M$26/(1+D$65)^$D$34:$M$34)+($M$26*(1+$B70)/(D$65-$B70))/(1+D$65)^$M$34-$C$53-$C$54)/$C$56,"")</f>
        <v>41.0540019099458</v>
      </c>
      <c r="E70" s="153" t="n">
        <f aca="false">IFERROR((SUMPRODUCT($D$26:$M$26/(1+E$65)^$D$34:$M$34)+($M$26*(1+$B70)/(E$65-$B70))/(1+E$65)^$M$34-$C$53-$C$54)/$C$56,"")</f>
        <v>34.4427899430919</v>
      </c>
      <c r="F70" s="153" t="n">
        <f aca="false">IFERROR((SUMPRODUCT($D$26:$M$26/(1+F$65)^$D$34:$M$34)+($M$26*(1+$B70)/(F$65-$B70))/(1+F$65)^$M$34-$C$53-$C$54)/$C$56,"")</f>
        <v>29.2584486533658</v>
      </c>
      <c r="G70" s="153" t="n">
        <f aca="false">IFERROR((SUMPRODUCT($D$26:$M$26/(1+G$65)^$D$34:$M$34)+($M$26*(1+$B70)/(G$65-$B70))/(1+G$65)^$M$34-$C$53-$C$54)/$C$56,"")</f>
        <v>25.0892651100758</v>
      </c>
      <c r="H70" s="153" t="n">
        <f aca="false">IFERROR((SUMPRODUCT($D$26:$M$26/(1+H$65)^$D$34:$M$34)+($M$26*(1+$B70)/(H$65-$B70))/(1+H$65)^$M$34-$C$53-$C$54)/$C$56,"")</f>
        <v>21.6678538646864</v>
      </c>
    </row>
    <row r="73" customFormat="false" ht="15" hidden="false" customHeight="true" outlineLevel="0" collapsed="false">
      <c r="B73" s="17" t="s">
        <v>578</v>
      </c>
    </row>
    <row r="74" customFormat="false" ht="15" hidden="false" customHeight="true" outlineLevel="0" collapsed="false">
      <c r="B74" s="5" t="s">
        <v>579</v>
      </c>
    </row>
    <row r="76" customFormat="false" ht="15" hidden="false" customHeight="true" outlineLevel="0" collapsed="false">
      <c r="B76" s="17" t="s">
        <v>580</v>
      </c>
    </row>
    <row r="77" customFormat="false" ht="15" hidden="false" customHeight="true" outlineLevel="0" collapsed="false">
      <c r="B77" s="5" t="s">
        <v>581</v>
      </c>
    </row>
    <row r="78" customFormat="false" ht="15" hidden="false" customHeight="true" outlineLevel="0" collapsed="false">
      <c r="B78" s="5" t="s">
        <v>582</v>
      </c>
    </row>
    <row r="80" customFormat="false" ht="15" hidden="false" customHeight="true" outlineLevel="0" collapsed="false">
      <c r="B80" s="17" t="s">
        <v>583</v>
      </c>
      <c r="C80" s="17" t="s">
        <v>584</v>
      </c>
      <c r="D80" s="17" t="s">
        <v>585</v>
      </c>
    </row>
    <row r="81" customFormat="false" ht="15" hidden="false" customHeight="true" outlineLevel="0" collapsed="false">
      <c r="B81" s="0" t="s">
        <v>586</v>
      </c>
      <c r="C81" s="155" t="n">
        <f aca="false">$C$13</f>
        <v>0.09706</v>
      </c>
      <c r="D81" s="5" t="s">
        <v>587</v>
      </c>
    </row>
    <row r="82" customFormat="false" ht="15" hidden="false" customHeight="true" outlineLevel="0" collapsed="false">
      <c r="B82" s="0" t="s">
        <v>588</v>
      </c>
      <c r="C82" s="121" t="n">
        <v>0.12</v>
      </c>
      <c r="D82" s="5" t="s">
        <v>589</v>
      </c>
    </row>
    <row r="83" customFormat="false" ht="15" hidden="false" customHeight="true" outlineLevel="0" collapsed="false">
      <c r="B83" s="0" t="s">
        <v>590</v>
      </c>
      <c r="C83" s="121" t="n">
        <v>0.25</v>
      </c>
      <c r="D83" s="5" t="s">
        <v>591</v>
      </c>
    </row>
    <row r="84" customFormat="false" ht="15" hidden="false" customHeight="true" outlineLevel="0" collapsed="false">
      <c r="B84" s="0" t="s">
        <v>592</v>
      </c>
      <c r="C84" s="156" t="n">
        <v>12</v>
      </c>
      <c r="D84" s="5" t="s">
        <v>593</v>
      </c>
    </row>
    <row r="86" customFormat="false" ht="15" hidden="false" customHeight="true" outlineLevel="0" collapsed="false">
      <c r="B86" s="17" t="s">
        <v>594</v>
      </c>
      <c r="C86" s="17" t="s">
        <v>584</v>
      </c>
    </row>
    <row r="87" customFormat="false" ht="15" hidden="false" customHeight="true" outlineLevel="0" collapsed="false">
      <c r="B87" s="0" t="s">
        <v>595</v>
      </c>
      <c r="C87" s="137" t="n">
        <f aca="false">1/C81</f>
        <v>10.3029054193283</v>
      </c>
    </row>
    <row r="88" customFormat="false" ht="15" hidden="false" customHeight="true" outlineLevel="0" collapsed="false">
      <c r="B88" s="0" t="s">
        <v>596</v>
      </c>
      <c r="C88" s="137" t="n">
        <f aca="false">1-C81/C83</f>
        <v>0.61176</v>
      </c>
    </row>
    <row r="89" customFormat="false" ht="15" hidden="false" customHeight="true" outlineLevel="0" collapsed="false">
      <c r="B89" s="0" t="s">
        <v>597</v>
      </c>
      <c r="C89" s="137" t="n">
        <f aca="false">C82*C88/(C81*(C81-C82))</f>
        <v>-32.9707345387703</v>
      </c>
    </row>
    <row r="90" customFormat="false" ht="15" hidden="false" customHeight="true" outlineLevel="0" collapsed="false">
      <c r="B90" s="0" t="s">
        <v>598</v>
      </c>
      <c r="C90" s="137" t="n">
        <f aca="false">1-((1+C82)/(1+C81))^C84</f>
        <v>-0.281892793587356</v>
      </c>
    </row>
    <row r="91" customFormat="false" ht="15" hidden="false" customHeight="true" outlineLevel="0" collapsed="false">
      <c r="B91" s="0" t="s">
        <v>599</v>
      </c>
      <c r="C91" s="137" t="n">
        <f aca="false">C89*C90</f>
        <v>9.29421246576107</v>
      </c>
    </row>
    <row r="92" customFormat="false" ht="15" hidden="false" customHeight="true" outlineLevel="0" collapsed="false">
      <c r="B92" s="12" t="s">
        <v>600</v>
      </c>
      <c r="C92" s="157" t="n">
        <f aca="false">C87+C91</f>
        <v>19.5971178850893</v>
      </c>
    </row>
    <row r="94" customFormat="false" ht="15" hidden="false" customHeight="true" outlineLevel="0" collapsed="false">
      <c r="B94" s="17" t="s">
        <v>601</v>
      </c>
      <c r="C94" s="17" t="s">
        <v>602</v>
      </c>
    </row>
    <row r="95" customFormat="false" ht="15" hidden="false" customHeight="true" outlineLevel="0" collapsed="false">
      <c r="B95" s="0" t="s">
        <v>603</v>
      </c>
      <c r="C95" s="146" t="n">
        <f aca="false">Model!X124</f>
        <v>315.125582079779</v>
      </c>
    </row>
    <row r="96" customFormat="false" ht="15" hidden="false" customHeight="true" outlineLevel="0" collapsed="false">
      <c r="B96" s="0" t="s">
        <v>604</v>
      </c>
      <c r="C96" s="146" t="n">
        <f aca="false">-(Model!X123-Model!X117)</f>
        <v>-18.2503904508303</v>
      </c>
    </row>
    <row r="97" customFormat="false" ht="15" hidden="false" customHeight="true" outlineLevel="0" collapsed="false">
      <c r="B97" s="0" t="s">
        <v>605</v>
      </c>
      <c r="C97" s="145" t="n">
        <f aca="false">$C$10</f>
        <v>0.245</v>
      </c>
    </row>
    <row r="98" customFormat="false" ht="15" hidden="false" customHeight="true" outlineLevel="0" collapsed="false">
      <c r="B98" s="0" t="s">
        <v>606</v>
      </c>
      <c r="C98" s="126" t="n">
        <f aca="false">(C95+C96)*(1-C97)</f>
        <v>224.140769679856</v>
      </c>
    </row>
    <row r="99" customFormat="false" ht="15" hidden="false" customHeight="true" outlineLevel="0" collapsed="false">
      <c r="B99" s="0" t="s">
        <v>607</v>
      </c>
      <c r="C99" s="158" t="n">
        <f aca="false">C92</f>
        <v>19.5971178850893</v>
      </c>
    </row>
    <row r="100" customFormat="false" ht="15" hidden="false" customHeight="true" outlineLevel="0" collapsed="false">
      <c r="B100" s="0" t="s">
        <v>608</v>
      </c>
      <c r="C100" s="126" t="n">
        <f aca="false">C98*C99</f>
        <v>4392.51308627079</v>
      </c>
    </row>
    <row r="101" customFormat="false" ht="15" hidden="false" customHeight="true" outlineLevel="0" collapsed="false">
      <c r="B101" s="0" t="s">
        <v>609</v>
      </c>
      <c r="C101" s="146" t="n">
        <f aca="false">Model!W356</f>
        <v>982.412573717799</v>
      </c>
    </row>
    <row r="102" customFormat="false" ht="15" hidden="false" customHeight="true" outlineLevel="0" collapsed="false">
      <c r="B102" s="0" t="s">
        <v>610</v>
      </c>
      <c r="C102" s="126" t="n">
        <f aca="false">C100-C101</f>
        <v>3410.10051255299</v>
      </c>
    </row>
    <row r="103" customFormat="false" ht="15" hidden="false" customHeight="true" outlineLevel="0" collapsed="false">
      <c r="B103" s="0" t="s">
        <v>611</v>
      </c>
      <c r="C103" s="146" t="n">
        <f aca="false">Model!X110</f>
        <v>133.572435</v>
      </c>
    </row>
    <row r="104" customFormat="false" ht="15" hidden="false" customHeight="true" outlineLevel="0" collapsed="false">
      <c r="B104" s="0" t="s">
        <v>612</v>
      </c>
      <c r="C104" s="159" t="n">
        <f aca="false">C102/C103</f>
        <v>25.5299719029079</v>
      </c>
    </row>
    <row r="106" customFormat="false" ht="15" hidden="false" customHeight="true" outlineLevel="0" collapsed="false">
      <c r="B106" s="0" t="s">
        <v>572</v>
      </c>
      <c r="C106" s="159" t="n">
        <f aca="false">C58</f>
        <v>34.14</v>
      </c>
    </row>
    <row r="107" customFormat="false" ht="15" hidden="false" customHeight="true" outlineLevel="0" collapsed="false">
      <c r="B107" s="0" t="s">
        <v>573</v>
      </c>
      <c r="C107" s="145" t="n">
        <f aca="false">C104/C106-1</f>
        <v>-0.252197659551614</v>
      </c>
    </row>
    <row r="109" customFormat="false" ht="15" hidden="false" customHeight="true" outlineLevel="0" collapsed="false">
      <c r="B109" s="17" t="s">
        <v>613</v>
      </c>
      <c r="C109" s="17" t="s">
        <v>602</v>
      </c>
    </row>
    <row r="110" customFormat="false" ht="15" hidden="false" customHeight="true" outlineLevel="0" collapsed="false">
      <c r="B110" s="0" t="s">
        <v>614</v>
      </c>
      <c r="C110" s="126" t="n">
        <f aca="false">C58*C56</f>
        <v>4525.333815</v>
      </c>
    </row>
    <row r="111" customFormat="false" ht="15" hidden="false" customHeight="true" outlineLevel="0" collapsed="false">
      <c r="B111" s="0" t="s">
        <v>615</v>
      </c>
      <c r="C111" s="126" t="n">
        <f aca="false">C53+C54</f>
        <v>853.078289719554</v>
      </c>
    </row>
    <row r="112" customFormat="false" ht="15" hidden="false" customHeight="true" outlineLevel="0" collapsed="false">
      <c r="B112" s="0" t="s">
        <v>616</v>
      </c>
      <c r="C112" s="126" t="n">
        <f aca="false">C110+C111</f>
        <v>5378.41210471956</v>
      </c>
    </row>
    <row r="113" customFormat="false" ht="15" hidden="false" customHeight="true" outlineLevel="0" collapsed="false">
      <c r="B113" s="0" t="s">
        <v>617</v>
      </c>
      <c r="C113" s="158" t="n">
        <f aca="false">C112/C98</f>
        <v>23.9956885684011</v>
      </c>
    </row>
    <row r="115" customFormat="false" ht="15" hidden="false" customHeight="true" outlineLevel="0" collapsed="false">
      <c r="B115" s="0" t="s">
        <v>618</v>
      </c>
      <c r="C115" s="158" t="n">
        <f aca="false">C92-C113</f>
        <v>-4.39857068331182</v>
      </c>
    </row>
    <row r="116" customFormat="false" ht="15" hidden="false" customHeight="true" outlineLevel="0" collapsed="false">
      <c r="B116" s="0" t="s">
        <v>619</v>
      </c>
      <c r="C116" s="145" t="n">
        <f aca="false">C92/C113-1</f>
        <v>-0.18330670823525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2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30"/>
  </cols>
  <sheetData>
    <row r="2" customFormat="false" ht="17.25" hidden="false" customHeight="true" outlineLevel="0" collapsed="false">
      <c r="B2" s="160" t="s">
        <v>620</v>
      </c>
    </row>
    <row r="3" customFormat="false" ht="15" hidden="false" customHeight="true" outlineLevel="0" collapsed="false">
      <c r="B3" s="5" t="s">
        <v>621</v>
      </c>
    </row>
    <row r="7" customFormat="false" ht="15" hidden="false" customHeight="true" outlineLevel="0" collapsed="false">
      <c r="C7" s="12" t="s">
        <v>622</v>
      </c>
      <c r="D7" s="12" t="s">
        <v>623</v>
      </c>
      <c r="E7" s="12" t="s">
        <v>624</v>
      </c>
      <c r="F7" s="12" t="s">
        <v>625</v>
      </c>
      <c r="G7" s="12" t="s">
        <v>23</v>
      </c>
      <c r="H7" s="12" t="s">
        <v>24</v>
      </c>
      <c r="I7" s="12" t="s">
        <v>25</v>
      </c>
      <c r="J7" s="12" t="s">
        <v>26</v>
      </c>
      <c r="K7" s="12" t="s">
        <v>27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customFormat="false" ht="15" hidden="false" customHeight="true" outlineLevel="0" collapsed="false">
      <c r="B8" s="0" t="s">
        <v>626</v>
      </c>
      <c r="C8" s="161" t="n">
        <f aca="false">IFERROR(Model!C180+0,0)</f>
        <v>0</v>
      </c>
      <c r="D8" s="161" t="n">
        <f aca="false">IFERROR(Model!D180+0,0)</f>
        <v>0</v>
      </c>
      <c r="E8" s="161" t="n">
        <f aca="false">IFERROR(Model!J180+0,0)</f>
        <v>0.188290197894587</v>
      </c>
      <c r="F8" s="161" t="n">
        <f aca="false">IFERROR(Model!P180+0,0)</f>
        <v>0</v>
      </c>
      <c r="G8" s="161" t="n">
        <f aca="false">IFERROR(Model!V180+0,0)</f>
        <v>0.362922587486745</v>
      </c>
      <c r="H8" s="161" t="n">
        <f aca="false">IFERROR(Model!W180+0,0)</f>
        <v>0.206443413366148</v>
      </c>
      <c r="I8" s="161" t="n">
        <f aca="false">IFERROR(Model!X180+0,0)</f>
        <v>0.160134664903112</v>
      </c>
      <c r="J8" s="161" t="n">
        <f aca="false">IFERROR(Model!Y180+0,0)</f>
        <v>0.13597377230726</v>
      </c>
      <c r="K8" s="161" t="n">
        <f aca="false">IFERROR(Model!Z180+0,0)</f>
        <v>0.118038416347607</v>
      </c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</row>
    <row r="9" customFormat="false" ht="15" hidden="false" customHeight="true" outlineLevel="0" collapsed="false">
      <c r="B9" s="0" t="s">
        <v>627</v>
      </c>
      <c r="C9" s="161" t="n">
        <f aca="false">IFERROR(Model!C181+0,0)</f>
        <v>0</v>
      </c>
      <c r="D9" s="161" t="n">
        <f aca="false">IFERROR(Model!D181+0,0)</f>
        <v>0</v>
      </c>
      <c r="E9" s="161" t="n">
        <f aca="false">IFERROR(Model!J181+0,0)</f>
        <v>0.0416522683956467</v>
      </c>
      <c r="F9" s="161" t="n">
        <f aca="false">IFERROR(Model!P181+0,0)</f>
        <v>0</v>
      </c>
      <c r="G9" s="161" t="n">
        <f aca="false">IFERROR(Model!V181+0,0)</f>
        <v>0.226685047720042</v>
      </c>
      <c r="H9" s="161" t="n">
        <f aca="false">IFERROR(Model!W181+0,0)</f>
        <v>0.0720260393375804</v>
      </c>
      <c r="I9" s="161" t="n">
        <f aca="false">IFERROR(Model!X181+0,0)</f>
        <v>0.0792025036635344</v>
      </c>
      <c r="J9" s="161" t="n">
        <f aca="false">IFERROR(Model!Y181+0,0)</f>
        <v>0.0714256358286964</v>
      </c>
      <c r="K9" s="161" t="n">
        <f aca="false">IFERROR(Model!Z181+0,0)</f>
        <v>0.0622700982898067</v>
      </c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61"/>
    </row>
    <row r="11" customFormat="false" ht="15" hidden="false" customHeight="true" outlineLevel="0" collapsed="false">
      <c r="C11" s="162" t="s">
        <v>622</v>
      </c>
      <c r="D11" s="162" t="s">
        <v>623</v>
      </c>
      <c r="E11" s="162" t="s">
        <v>624</v>
      </c>
      <c r="F11" s="162" t="s">
        <v>625</v>
      </c>
      <c r="G11" s="162" t="s">
        <v>23</v>
      </c>
      <c r="H11" s="162" t="s">
        <v>24</v>
      </c>
      <c r="I11" s="162" t="s">
        <v>25</v>
      </c>
      <c r="J11" s="162" t="s">
        <v>26</v>
      </c>
      <c r="K11" s="162" t="s">
        <v>27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customFormat="false" ht="15" hidden="false" customHeight="true" outlineLevel="0" collapsed="false">
      <c r="B12" s="0" t="s">
        <v>628</v>
      </c>
      <c r="C12" s="125" t="n">
        <f aca="false">Model!C146</f>
        <v>60.291</v>
      </c>
      <c r="D12" s="125" t="n">
        <f aca="false">Model!D146</f>
        <v>81.861</v>
      </c>
      <c r="E12" s="125" t="n">
        <f aca="false">Model!J146</f>
        <v>106.145</v>
      </c>
      <c r="F12" s="125" t="n">
        <f aca="false">Model!P146</f>
        <v>145.302</v>
      </c>
      <c r="G12" s="125" t="n">
        <f aca="false">Model!V146</f>
        <v>221.99</v>
      </c>
      <c r="H12" s="125" t="n">
        <f aca="false">Model!W146</f>
        <v>285.164735561312</v>
      </c>
      <c r="I12" s="125" t="n">
        <f aca="false">Model!X146</f>
        <v>354.348878544977</v>
      </c>
      <c r="J12" s="125" t="n">
        <f aca="false">Model!Y146</f>
        <v>428.836028598715</v>
      </c>
      <c r="K12" s="125" t="n">
        <f aca="false">Model!Z146</f>
        <v>508.506345534929</v>
      </c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</row>
    <row r="13" customFormat="false" ht="15" hidden="false" customHeight="true" outlineLevel="0" collapsed="false">
      <c r="B13" s="0" t="s">
        <v>483</v>
      </c>
      <c r="C13" s="125" t="n">
        <f aca="false">Model!C97</f>
        <v>20.435</v>
      </c>
      <c r="D13" s="125" t="n">
        <f aca="false">Model!D97</f>
        <v>48.494</v>
      </c>
      <c r="E13" s="125" t="n">
        <f aca="false">Model!J97</f>
        <v>63.56</v>
      </c>
      <c r="F13" s="125" t="n">
        <f aca="false">Model!P97</f>
        <v>72.942</v>
      </c>
      <c r="G13" s="125" t="n">
        <f aca="false">Model!V97</f>
        <v>137.3715608</v>
      </c>
      <c r="H13" s="125" t="n">
        <f aca="false">Model!W97</f>
        <v>198.239874207666</v>
      </c>
      <c r="I13" s="125" t="n">
        <f aca="false">Model!X97</f>
        <v>255.593941628948</v>
      </c>
      <c r="J13" s="125" t="n">
        <f aca="false">Model!Y97</f>
        <v>312.199549316371</v>
      </c>
      <c r="K13" s="125" t="n">
        <f aca="false">Model!Z97</f>
        <v>371.815556232729</v>
      </c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</row>
    <row r="14" customFormat="false" ht="15" hidden="false" customHeight="true" outlineLevel="0" collapsed="false">
      <c r="B14" s="0" t="s">
        <v>629</v>
      </c>
      <c r="C14" s="161" t="n">
        <f aca="false">Model!C188</f>
        <v>0.266408908134859</v>
      </c>
      <c r="D14" s="161" t="n">
        <f aca="false">Model!D188</f>
        <v>0.291626440569281</v>
      </c>
      <c r="E14" s="161" t="n">
        <f aca="false">Model!J188</f>
        <v>0.307442990751656</v>
      </c>
      <c r="F14" s="161" t="n">
        <f aca="false">Model!P188</f>
        <v>0.30816967126193</v>
      </c>
      <c r="G14" s="161" t="n">
        <f aca="false">Model!V188</f>
        <v>0.296184122748499</v>
      </c>
      <c r="H14" s="161" t="n">
        <f aca="false">Model!W188</f>
        <v>0.297600615700781</v>
      </c>
      <c r="I14" s="161" t="n">
        <f aca="false">Model!X188</f>
        <v>0.298386791893598</v>
      </c>
      <c r="J14" s="161" t="n">
        <f aca="false">Model!Y188</f>
        <v>0.299081010491786</v>
      </c>
      <c r="K14" s="161" t="n">
        <f aca="false">Model!Z188</f>
        <v>0.300468127542391</v>
      </c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</row>
    <row r="15" customFormat="false" ht="15" hidden="false" customHeight="true" outlineLevel="0" collapsed="false">
      <c r="B15" s="0" t="s">
        <v>630</v>
      </c>
      <c r="C15" s="161" t="n">
        <f aca="false">Model!C191</f>
        <v>0.0902964959568733</v>
      </c>
      <c r="D15" s="161" t="n">
        <f aca="false">Model!D191</f>
        <v>0.172757877487042</v>
      </c>
      <c r="E15" s="161" t="n">
        <f aca="false">Model!J191</f>
        <v>0.184097946131945</v>
      </c>
      <c r="F15" s="161" t="n">
        <f aca="false">Model!P191</f>
        <v>0.154702014846235</v>
      </c>
      <c r="G15" s="161" t="n">
        <f aca="false">Model!V191</f>
        <v>0.183284270580387</v>
      </c>
      <c r="H15" s="161" t="n">
        <f aca="false">Model!W191</f>
        <v>0.206885008079697</v>
      </c>
      <c r="I15" s="161" t="n">
        <f aca="false">Model!X191</f>
        <v>0.215228157580922</v>
      </c>
      <c r="J15" s="161" t="n">
        <f aca="false">Model!Y191</f>
        <v>0.217735802165994</v>
      </c>
      <c r="K15" s="161" t="n">
        <f aca="false">Model!Z191</f>
        <v>0.219699763736197</v>
      </c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</row>
    <row r="17" customFormat="false" ht="15" hidden="false" customHeight="true" outlineLevel="0" collapsed="false">
      <c r="C17" s="162" t="s">
        <v>622</v>
      </c>
      <c r="D17" s="162" t="s">
        <v>623</v>
      </c>
      <c r="E17" s="162" t="s">
        <v>624</v>
      </c>
      <c r="F17" s="162" t="s">
        <v>625</v>
      </c>
      <c r="G17" s="162" t="s">
        <v>23</v>
      </c>
      <c r="H17" s="162" t="s">
        <v>24</v>
      </c>
      <c r="I17" s="162" t="s">
        <v>25</v>
      </c>
      <c r="J17" s="162" t="s">
        <v>26</v>
      </c>
      <c r="K17" s="162" t="s">
        <v>27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customFormat="false" ht="15" hidden="false" customHeight="true" outlineLevel="0" collapsed="false">
      <c r="B18" s="0" t="s">
        <v>631</v>
      </c>
      <c r="C18" s="161" t="n">
        <f aca="false">IFERROR(Model!C336+0,NA())</f>
        <v>0.0659728831555289</v>
      </c>
      <c r="D18" s="161" t="n">
        <f aca="false">IFERROR(Model!D336+0,NA())</f>
        <v>0.0887352140349908</v>
      </c>
      <c r="E18" s="161" t="n">
        <f aca="false">IFERROR(Model!J336+0,NA())</f>
        <v>0.106222110660423</v>
      </c>
      <c r="F18" s="161" t="n">
        <f aca="false">IFERROR(Model!P336+0,NA())</f>
        <v>0.0981554457448594</v>
      </c>
      <c r="G18" s="161" t="n">
        <f aca="false">IFERROR(Model!V336+0,NA())</f>
        <v>0.116022194714778</v>
      </c>
      <c r="H18" s="161" t="n">
        <f aca="false">IFERROR(Model!W336+0,NA())</f>
        <v>0.124438020729321</v>
      </c>
      <c r="I18" s="161" t="n">
        <f aca="false">IFERROR(Model!X336+0,NA())</f>
        <v>0.131538620468775</v>
      </c>
      <c r="J18" s="161" t="n">
        <f aca="false">IFERROR(Model!Y336+0,NA())</f>
        <v>0.137329755169484</v>
      </c>
      <c r="K18" s="161" t="n">
        <f aca="false">IFERROR(Model!Z336+0,NA())</f>
        <v>0.143456819876811</v>
      </c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</row>
    <row r="19" customFormat="false" ht="15" hidden="false" customHeight="true" outlineLevel="0" collapsed="false">
      <c r="B19" s="0" t="s">
        <v>503</v>
      </c>
      <c r="C19" s="161" t="n">
        <f aca="false">IFERROR(Model!C348+0,NA())</f>
        <v>0.191466474076327</v>
      </c>
      <c r="D19" s="161" t="n">
        <f aca="false">IFERROR(Model!D348+0,NA())</f>
        <v>0.246092683837789</v>
      </c>
      <c r="E19" s="161" t="n">
        <f aca="false">IFERROR(Model!J348+0,NA())</f>
        <v>0.279259209442305</v>
      </c>
      <c r="F19" s="161" t="n">
        <f aca="false">IFERROR(Model!P348+0,NA())</f>
        <v>0.235645086287072</v>
      </c>
      <c r="G19" s="161" t="n">
        <f aca="false">IFERROR(Model!V348+0,NA())</f>
        <v>0.271585445966661</v>
      </c>
      <c r="H19" s="161" t="n">
        <f aca="false">IFERROR(Model!W348+0,NA())</f>
        <v>0.329665816135172</v>
      </c>
      <c r="I19" s="161" t="n">
        <f aca="false">IFERROR(Model!X348+0,NA())</f>
        <v>0.361233234395667</v>
      </c>
      <c r="J19" s="161" t="n">
        <f aca="false">IFERROR(Model!Y348+0,NA())</f>
        <v>0.390436870757038</v>
      </c>
      <c r="K19" s="161" t="n">
        <f aca="false">IFERROR(Model!Z348+0,NA())</f>
        <v>0.417240459542714</v>
      </c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</row>
    <row r="20" customFormat="false" ht="15" hidden="false" customHeight="true" outlineLevel="0" collapsed="false">
      <c r="B20" s="0" t="s">
        <v>632</v>
      </c>
      <c r="C20" s="161" t="n">
        <f aca="false">IFERROR(Model!C188+0,NA())</f>
        <v>0.266408908134859</v>
      </c>
      <c r="D20" s="161" t="n">
        <f aca="false">IFERROR(Model!D188+0,NA())</f>
        <v>0.291626440569281</v>
      </c>
      <c r="E20" s="161" t="n">
        <f aca="false">IFERROR(Model!J188+0,NA())</f>
        <v>0.307442990751656</v>
      </c>
      <c r="F20" s="161" t="n">
        <f aca="false">IFERROR(Model!P188+0,NA())</f>
        <v>0.30816967126193</v>
      </c>
      <c r="G20" s="161" t="n">
        <f aca="false">IFERROR(Model!V188+0,NA())</f>
        <v>0.296184122748499</v>
      </c>
      <c r="H20" s="161" t="n">
        <f aca="false">IFERROR(Model!W188+0,NA())</f>
        <v>0.297600615700781</v>
      </c>
      <c r="I20" s="161" t="n">
        <f aca="false">IFERROR(Model!X188+0,NA())</f>
        <v>0.298386791893598</v>
      </c>
      <c r="J20" s="161" t="n">
        <f aca="false">IFERROR(Model!Y188+0,NA())</f>
        <v>0.299081010491786</v>
      </c>
      <c r="K20" s="161" t="n">
        <f aca="false">IFERROR(Model!Z188+0,NA())</f>
        <v>0.300468127542391</v>
      </c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</row>
    <row r="21" customFormat="false" ht="15" hidden="false" customHeight="true" outlineLevel="0" collapsed="false">
      <c r="B21" s="0" t="s">
        <v>633</v>
      </c>
      <c r="C21" s="161" t="n">
        <f aca="false">IFERROR(Model!C224+0,NA())</f>
        <v>-0.120021209844903</v>
      </c>
      <c r="D21" s="161" t="n">
        <f aca="false">IFERROR(Model!D224+0,NA())</f>
        <v>0.0126538536898167</v>
      </c>
      <c r="E21" s="161" t="n">
        <f aca="false">IFERROR(Model!J224+0,NA())</f>
        <v>0.0329991803065016</v>
      </c>
      <c r="F21" s="161" t="n">
        <f aca="false">IFERROR(Model!P224+0,NA())</f>
        <v>-0.0900424178154825</v>
      </c>
      <c r="G21" s="161" t="n">
        <f aca="false">IFERROR(Model!V224+0,NA())</f>
        <v>0.0359329023088006</v>
      </c>
      <c r="H21" s="161" t="n">
        <f aca="false">IFERROR(Model!W224+0,NA())</f>
        <v>0.0843395761148508</v>
      </c>
      <c r="I21" s="161" t="n">
        <f aca="false">IFERROR(Model!X224+0,NA())</f>
        <v>0.104290275721928</v>
      </c>
      <c r="J21" s="161" t="n">
        <f aca="false">IFERROR(Model!Y224+0,NA())</f>
        <v>0.11676491518359</v>
      </c>
      <c r="K21" s="161" t="n">
        <f aca="false">IFERROR(Model!Z224+0,NA())</f>
        <v>0.128089150795077</v>
      </c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2026-10-04T13:51:48Z</dcterms:created>
  <dc:creator>openpyxl</dc:creator>
  <dc:description/>
  <dc:language>en-US</dc:language>
  <cp:lastModifiedBy/>
  <dcterms:modified xsi:type="dcterms:W3CDTF">2026-10-04T13:51:55Z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