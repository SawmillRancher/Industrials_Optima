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earnings releases (Form 8-K Ex. 99.1) — total aggregates shipments incl. internal tons ("Aggregates Product Line"/"Total aggregates tons"). Thousands of tons converted to millions. 2025 quarters on the continuing-operations basis recast in the 2026 releases.</t>
        </r>
      </text>
    </comment>
    <comment ref="B13" authorId="0">
      <text>
        <r>
          <rPr>
            <sz val="10"/>
            <rFont val="Arial"/>
            <family val="2"/>
          </rPr>
          <t xml:space="preserve">Source: earnings releases — reported aggregates ASP (average unit sales price incl. internal sales; from 2023 "average selling price per ton"). Not published 2006–2012 and 2014Q3–2015 (TXI heritage/acquired split only).</t>
        </r>
      </text>
    </comment>
    <comment ref="B16" authorId="0">
      <text>
        <r>
          <rPr>
            <sz val="10"/>
            <rFont val="Arial"/>
            <family val="2"/>
          </rPr>
          <t xml:space="preserve">Source: earnings-release product-line tables. Basis: net sales (ex freight) to 2017; products &amp; services revenues (ex freight) 2018–2022; total revenues incl. freight from 2023. 2014Q3–2015: heritage + acquired (TXI) operations summed. 2025 quarters: continuing-operations recast (2026 releases).</t>
        </r>
      </text>
    </comment>
    <comment ref="B22" authorId="0">
      <text>
        <r>
          <rPr>
            <sz val="10"/>
            <rFont val="Arial"/>
            <family val="2"/>
          </rPr>
          <t xml:space="preserve">Source: 2026 earnings releases (product-line DD&amp;A table; Q1–Q2/25 recast comparatives).</t>
        </r>
      </text>
    </comment>
    <comment ref="B24" authorId="0">
      <text>
        <r>
          <rPr>
            <sz val="10"/>
            <rFont val="Arial"/>
            <family val="2"/>
          </rPr>
          <t xml:space="preserve">Source: earnings releases (volume/pricing variance tables or narrative; total aggregates product line).</t>
        </r>
      </text>
    </comment>
    <comment ref="B33" authorId="0">
      <text>
        <r>
          <rPr>
            <sz val="10"/>
            <rFont val="Arial"/>
            <family val="2"/>
          </rPr>
          <t xml:space="preserve">Cement product line: TXI (acquired Jul-2014). California cement sold 2015 and Tehachapi 2022; South Texas cement (Hunter) sold Feb-2024; Midlothian cement = discontinued operations from Q3/25 (QUIKRETE asset exchange, closed Feb-2026). Q1/24–Q2/25 reported combined with ready mixed concrete (see combined row).</t>
        </r>
      </text>
    </comment>
    <comment ref="B49" authorId="0">
      <text>
        <r>
          <rPr>
            <sz val="10"/>
            <rFont val="Arial"/>
            <family val="2"/>
          </rPr>
          <t xml:space="preserve">Interproduct sales (aggregates sold to the downstream product lines) eliminated from 2016; 2016Q4/FY2016 also include intersegment sales.</t>
        </r>
      </text>
    </comment>
    <comment ref="B53" authorId="0">
      <text>
        <r>
          <rPr>
            <sz val="10"/>
            <rFont val="Arial"/>
            <family val="2"/>
          </rPr>
          <t xml:space="preserve">Specialty Products (to 2013) / Magnesia Specialties (2014–2025) / Specialties (2025Q3+). Net sales basis to 2017; products &amp; services 2018–22; total revenues from 2023.</t>
        </r>
      </text>
    </comment>
    <comment ref="B61" authorId="0">
      <text>
        <r>
          <rPr>
            <sz val="10"/>
            <rFont val="Arial"/>
            <family val="2"/>
          </rPr>
          <t xml:space="preserve">Source: LNA audited consolidated financial statements FY2025/FY2024 (MLM Form 8-K dated 10-Aug-2026, Ex. 99.1), USD thousands converted to millions.</t>
        </r>
      </text>
    </comment>
    <comment ref="B63" authorId="0">
      <text>
        <r>
          <rPr>
            <sz val="10"/>
            <rFont val="Arial"/>
            <family val="2"/>
          </rPr>
          <t xml:space="preserve">Source: LNA unaudited condensed consolidated financial statements, six months ended 30-Jun-2026 and 2025 (Form 8-K 10-Aug-2026, Ex. 99.2).</t>
        </r>
      </text>
    </comment>
    <comment ref="B85" authorId="0">
      <text>
        <r>
          <rPr>
            <sz val="10"/>
            <rFont val="Arial"/>
            <family val="2"/>
          </rPr>
          <t xml:space="preserve">Consolidated freight &amp; delivery revenues when the product-line tables excluded freight (derived as consolidated revenues − Σ product lines; equals reported freight revenues). Zero from 2023 (product lines on total-revenue basis).</t>
        </r>
      </text>
    </comment>
    <comment ref="B86" authorId="0">
      <text>
        <r>
          <rPr>
            <sz val="10"/>
            <rFont val="Arial"/>
            <family val="2"/>
          </rPr>
          <t xml:space="preserve">Freight gross profit printed separately (Building Materials and Magnesia Specialties freight lines) 2018–2022; derived as consolidated GP − Σ product-line GP.</t>
        </r>
      </text>
    </comment>
    <comment ref="B87" authorId="0">
      <text>
        <r>
          <rPr>
            <sz val="10"/>
            <rFont val="Arial"/>
            <family val="2"/>
          </rPr>
          <t xml:space="preserve">2006–Q2/11 releases show only the Aggregates business total (segment table); product-line revenue split begins Q3/11.</t>
        </r>
      </text>
    </comment>
    <comment ref="B88" authorId="0">
      <text>
        <r>
          <rPr>
            <sz val="10"/>
            <rFont val="Arial"/>
            <family val="2"/>
          </rPr>
          <t xml:space="preserve">Product-line gross profit first published in the Q4/12 release; earlier periods = Aggregates business (segment) gross profit.</t>
        </r>
      </text>
    </comment>
    <comment ref="B127" authorId="0">
      <text>
        <r>
          <rPr>
            <sz val="10"/>
            <rFont val="Arial"/>
            <family val="2"/>
          </rPr>
          <t xml:space="preserve">Source: earnings-release segment tables (Unaudited Operating Segment Financial Highlights).</t>
        </r>
      </text>
    </comment>
    <comment ref="B152" authorId="0">
      <text>
        <r>
          <rPr>
            <sz val="10"/>
            <rFont val="Arial"/>
            <family val="2"/>
          </rPr>
          <t xml:space="preserve">Source: earnings releases (Statements of Earnings). Total revenues incl. freight &amp; delivery revenues. 2025 quarters restated for discontinued operations (Midlothian cement &amp; Texas ready mix; 2026 releases). 2024 and earlier as originally reported.</t>
        </r>
      </text>
    </comment>
    <comment ref="B176" authorId="0">
      <text>
        <r>
          <rPr>
            <sz val="10"/>
            <rFont val="Arial"/>
            <family val="2"/>
          </rPr>
          <t xml:space="preserve">Source: statements of cash flows (10-Q/10-K); quarterly = year-to-date differences. Includes discontinued operations where not separately presented.</t>
        </r>
      </text>
    </comment>
    <comment ref="B186" authorId="0">
      <text>
        <r>
          <rPr>
            <sz val="10"/>
            <rFont val="Arial"/>
            <family val="2"/>
          </rPr>
          <t xml:space="preserve">Source: earnings releases / XBRL (CommonStockDividendsPerShareDeclared).</t>
        </r>
      </text>
    </comment>
    <comment ref="B192" authorId="0">
      <text>
        <r>
          <rPr>
            <sz val="10"/>
            <rFont val="Arial"/>
            <family val="2"/>
          </rPr>
          <t xml:space="preserve">Company bridge start: net earnings attributable to MLM (incl. discontinued ops) to 2021Q3; net earnings from continuing operations attributable to MLM from 2021Q4. 2006–Q3/09 EBITDA was reconciled from operating cash flow — model rebuilds it from net earnings (start = net earnings attributable).</t>
        </r>
      </text>
    </comment>
    <comment ref="B202" authorId="0">
      <text>
        <r>
          <rPr>
            <sz val="10"/>
            <rFont val="Arial"/>
            <family val="2"/>
          </rPr>
          <t xml:space="preserve">Other reconciling items as published (e.g. 2015 loss on California cement sale; NCI in 2009–10 bridges). 2006–Q3/09: residual vs the company's operating-cash-flow-based EBITDA reconciliation (taxes on discontinued operations, rounding).</t>
        </r>
      </text>
    </comment>
    <comment ref="B206" authorId="0">
      <text>
        <r>
          <rPr>
            <sz val="10"/>
            <rFont val="Arial"/>
            <family val="2"/>
          </rPr>
          <t xml:space="preserve">Source: earnings-release non-GAAP reconciliations. 2006–2017: "EBITDA"; 2018+: "Adjusted EBITDA" (2019 redefinition adds equity-affiliate results; 2018 shown as originally published); 2021Q4+: from continuing operations. Q2–Q3/15 releases did not publish a quarterly EBITDA.</t>
        </r>
      </text>
    </comment>
    <comment ref="B221" authorId="0">
      <text>
        <r>
          <rPr>
            <sz val="10"/>
            <rFont val="Arial"/>
            <family val="2"/>
          </rPr>
          <t xml:space="preserve">Plug in periods where MLM published an adjusted EPS: = published adjusted EPS × diluted shares − (GAAP continuing earnings + adjusting items after tax). Captures items the company excluded that are not in the EBITDA bridge (e.g. 2017 Tax Act benefit, 2011–14 business development costs, 2011 early-retirement charge, 2015 cement sale loss/tax) and rounding.</t>
        </r>
      </text>
    </comment>
    <comment ref="B225" authorId="0">
      <text>
        <r>
          <rPr>
            <sz val="10"/>
            <rFont val="Arial"/>
            <family val="2"/>
          </rPr>
          <t xml:space="preserve">Source: earnings releases (adjusted EPS tables / narrative where published).</t>
        </r>
      </text>
    </comment>
    <comment ref="B246" authorId="0">
      <text>
        <r>
          <rPr>
            <sz val="10"/>
            <rFont val="Arial"/>
            <family val="2"/>
          </rPr>
          <t xml:space="preserve">Source: statements of cash flows (Form 10-Q / 10-K). Quarterly columns = discrete quarter (year-to-date less prior year-to-date). Pre-2018 cash = cash &amp; equivalents; from 2018 incl. restricted cash (ASU 2016-18).</t>
        </r>
      </text>
    </comment>
    <comment ref="B252" authorId="0">
      <text>
        <r>
          <rPr>
            <sz val="10"/>
            <rFont val="Arial"/>
            <family val="2"/>
          </rPr>
          <t xml:space="preserve">Derived: net cash from operating activities less the itemised lines (asset rationalization charges, pension, excess tax benefits, other).</t>
        </r>
      </text>
    </comment>
    <comment ref="B265" authorId="0">
      <text>
        <r>
          <rPr>
            <sz val="10"/>
            <rFont val="Arial"/>
            <family val="2"/>
          </rPr>
          <t xml:space="preserve">Derived: finance-lease payments, debt issuance costs, bank overdraft, excess tax benefits, NCI distributions, other.</t>
        </r>
      </text>
    </comment>
    <comment ref="B294" authorId="0">
      <text>
        <r>
          <rPr>
            <sz val="10"/>
            <rFont val="Arial"/>
            <family val="2"/>
          </rPr>
          <t xml:space="preserve">Source: balance sheets (Form 10-Q / 10-K; pre-2019 annual from the 10-K Exhibit 13 annual report). FY2008 from the FY2009 annual report comparative column (recast for SFAS 160).</t>
        </r>
      </text>
    </comment>
    <comment ref="B298" authorId="0">
      <text>
        <r>
          <rPr>
            <sz val="10"/>
            <rFont val="Arial"/>
            <family val="2"/>
          </rPr>
          <t xml:space="preserve">Derived: total current assets less the itemised lines.</t>
        </r>
      </text>
    </comment>
    <comment ref="B304" authorId="0">
      <text>
        <r>
          <rPr>
            <sz val="10"/>
            <rFont val="Arial"/>
            <family val="2"/>
          </rPr>
          <t xml:space="preserve">Derived: total assets less the itemised lines.</t>
        </r>
      </text>
    </comment>
    <comment ref="B311" authorId="0">
      <text>
        <r>
          <rPr>
            <sz val="10"/>
            <rFont val="Arial"/>
            <family val="2"/>
          </rPr>
          <t xml:space="preserve">Derived: total current liabilities less the itemised lines.</t>
        </r>
      </text>
    </comment>
    <comment ref="B317" authorId="0">
      <text>
        <r>
          <rPr>
            <sz val="10"/>
            <rFont val="Arial"/>
            <family val="2"/>
          </rPr>
          <t xml:space="preserve">Derived: total liabilities less the itemised lines.</t>
        </r>
      </text>
    </comment>
    <comment ref="B331" authorId="0">
      <text>
        <r>
          <rPr>
            <sz val="10"/>
            <rFont val="Arial"/>
            <family val="2"/>
          </rPr>
          <t xml:space="preserve">Source: XBRL dei/us-gaap CommonStockSharesOutstanding (balance-sheet parenthetical / 10-Q cover), 2009+.</t>
        </r>
      </text>
    </comment>
    <comment ref="B346" authorId="0">
      <text>
        <r>
          <rPr>
            <sz val="10"/>
            <rFont val="Arial"/>
            <family val="2"/>
          </rPr>
          <t xml:space="preserve">Source: MLM Form 8-K dated 10-Aug-2026, Ex. 99.3 (unaudited pro forma condensed combined financial statements), note 2; closing terms per Form 8-K filed 24-Aug-2026.</t>
        </r>
      </text>
    </comment>
    <comment ref="B375" authorId="0">
      <text>
        <r>
          <rPr>
            <sz val="10"/>
            <rFont val="Arial"/>
            <family val="2"/>
          </rPr>
          <t xml:space="preserve">Q2/26: senior notes face value per 10-Q debt note (30-Jun-2026).</t>
        </r>
      </text>
    </comment>
    <comment ref="B426" authorId="0">
      <text>
        <r>
          <rPr>
            <sz val="10"/>
            <rFont val="Arial"/>
            <family val="2"/>
          </rPr>
          <t xml:space="preserve">Input: $518.70 = price on MLM Form 4 filings dated 31-Aug-2026 (restricted-stock grants). EDGAR is the only market-data source reachable from the build environment — update to the current market price.</t>
        </r>
      </text>
    </comment>
    <comment ref="CF2" authorId="0">
      <text>
        <r>
          <rPr>
            <sz val="10"/>
            <rFont val="Arial"/>
            <family val="2"/>
          </rPr>
          <t xml:space="preserve">Scenario toggle. Choose Bull / Base / Bear. Drives: FY26 guidance end-points (revenue, Adjusted EBITDA calibration, capex), 2027E–30E aggregates volume / ASP / gross margin, Other Building Materials, Specialties and LNA growth &amp; margins, LNA synergy realisation, M&amp;A spend, 2H/26 buybacks and the leverage floor for buybacks.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P/E on adjusted EPS (continuing operations). MLM has traded at ~25–35x NTM EPS over 2019–26 (≈28x 2027E adjusted EPS at $518.70). Base 26x, Bull 30x, Bear 21x applied to 2028E–2030E.</t>
        </r>
      </text>
    </comment>
  </commentList>
</comments>
</file>

<file path=xl/sharedStrings.xml><?xml version="1.0" encoding="utf-8"?>
<sst xmlns="http://schemas.openxmlformats.org/spreadsheetml/2006/main" count="997" uniqueCount="812">
  <si>
    <t xml:space="preserve">SCENARIO SWITCH ▼ (Bull / Base / Bear) — drives all scenario-linked forecast drivers</t>
  </si>
  <si>
    <t xml:space="preserve">Martin Marietta Materials, Inc. (NYSE: MLM) — 3-Statement Financial Model</t>
  </si>
  <si>
    <t xml:space="preserve">Base</t>
  </si>
  <si>
    <t xml:space="preserve">US GAAP as reported · USD millions (per-share data in USD; shipments in millions of tons) · Source: Martin Marietta Forms 10-K (incl. Exhibit 13 annual reports to 2018) / 10-Q and Form 8-K earnings releases (Ex. 99.1), deal 8-Ks (LNA, Aug-2026), SEC EDGAR CIK 0000916076 (investor-relations releases are the same documents as filed on EDGAR)</t>
  </si>
  <si>
    <t xml:space="preserve">Basis notes: calendar fiscal year. Revenues incl. freight (net sales + freight &amp; delivery revenues to 2017; ASC 606 from 2018). Product-line revenues: net sales basis to 2017, products &amp; services (ex freight) 2018–22, total revenues from 2023. TXI from 1-Jul-2014 (cement); Bluegrass Apr-2018; Lehigh West Oct-2021; Blue Water Apr-2024; South Texas cement sold Feb-2024; Midlothian cement &amp; Texas ready mix = discontinued operations from Q3/25 (2025 quarters shown on the recast continuing-ops basis; 2024 and earlier as originally reported); QUIKRETE asset exchange closed Feb-2026; NFM May-2026; LNA (Lhoist North America) closed 21-Aug-2026 — excluded from company FY26 guidance, modelled separately from Q3/26E.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</si>
  <si>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</si>
  <si>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</si>
  <si>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</si>
  <si>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</si>
  <si>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</si>
  <si>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Q3/13</t>
  </si>
  <si>
    <t xml:space="preserve">Q4/13</t>
  </si>
  <si>
    <t xml:space="preserve">Q1/14</t>
  </si>
  <si>
    <t xml:space="preserve">Q2/14</t>
  </si>
  <si>
    <t xml:space="preserve">Q3/14</t>
  </si>
  <si>
    <t xml:space="preserve">Q4/14</t>
  </si>
  <si>
    <t xml:space="preserve">Q1/15</t>
  </si>
  <si>
    <t xml:space="preserve">Q2/15</t>
  </si>
  <si>
    <t xml:space="preserve">Q3/15</t>
  </si>
  <si>
    <t xml:space="preserve">Q4/15</t>
  </si>
  <si>
    <t xml:space="preserve">Q1/16</t>
  </si>
  <si>
    <t xml:space="preserve">Q2/16</t>
  </si>
  <si>
    <t xml:space="preserve">Q3/16</t>
  </si>
  <si>
    <t xml:space="preserve">Q4/16</t>
  </si>
  <si>
    <t xml:space="preserve">Q1/17</t>
  </si>
  <si>
    <t xml:space="preserve">Q2/17</t>
  </si>
  <si>
    <t xml:space="preserve">Q3/17</t>
  </si>
  <si>
    <t xml:space="preserve">Q4/17</t>
  </si>
  <si>
    <t xml:space="preserve">Q1/18</t>
  </si>
  <si>
    <t xml:space="preserve">Q2/18</t>
  </si>
  <si>
    <t xml:space="preserve">Q3/18</t>
  </si>
  <si>
    <t xml:space="preserve">Q4/18</t>
  </si>
  <si>
    <t xml:space="preserve">Q1/19</t>
  </si>
  <si>
    <t xml:space="preserve">Q2/19</t>
  </si>
  <si>
    <t xml:space="preserve">Q3/19</t>
  </si>
  <si>
    <t xml:space="preserve">Q4/19</t>
  </si>
  <si>
    <t xml:space="preserve">Q1/20</t>
  </si>
  <si>
    <t xml:space="preserve">Q2/20</t>
  </si>
  <si>
    <t xml:space="preserve">Q3/20</t>
  </si>
  <si>
    <t xml:space="preserve">Q4/20</t>
  </si>
  <si>
    <t xml:space="preserve">Q1/21</t>
  </si>
  <si>
    <t xml:space="preserve">Q2/21</t>
  </si>
  <si>
    <t xml:space="preserve">Q3/21</t>
  </si>
  <si>
    <t xml:space="preserve">Q4/21</t>
  </si>
  <si>
    <t xml:space="preserve">Q1/22</t>
  </si>
  <si>
    <t xml:space="preserve">Q2/22</t>
  </si>
  <si>
    <t xml:space="preserve">Q3/22</t>
  </si>
  <si>
    <t xml:space="preserve">Q4/22</t>
  </si>
  <si>
    <t xml:space="preserve">Q1/23</t>
  </si>
  <si>
    <t xml:space="preserve">Q2/23</t>
  </si>
  <si>
    <t xml:space="preserve">Q3/23</t>
  </si>
  <si>
    <t xml:space="preserve">Q4/23</t>
  </si>
  <si>
    <t xml:space="preserve">Q1/24</t>
  </si>
  <si>
    <t xml:space="preserve">Q2/24</t>
  </si>
  <si>
    <t xml:space="preserve">Q3/24</t>
  </si>
  <si>
    <t xml:space="preserve">Q4/24</t>
  </si>
  <si>
    <t xml:space="preserve">Q1/25</t>
  </si>
  <si>
    <t xml:space="preserve">Q2/25</t>
  </si>
  <si>
    <t xml:space="preserve">Q3/25</t>
  </si>
  <si>
    <t xml:space="preserve">Q4/25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</si>
  <si>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</si>
  <si>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</si>
  <si>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</si>
  <si>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</si>
  <si>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</si>
  <si>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</si>
  <si>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</si>
  <si>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</si>
  <si>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</si>
  <si>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</si>
  <si>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</si>
  <si>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</si>
  <si>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</si>
  <si>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</si>
  <si>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</si>
  <si>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</si>
  <si>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</si>
  <si>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PRODUCT-LINE P&amp;L — AGGREGATES · OTHER BUILDING MATERIALS · SPECIALTIES · LNA (volume × price build)</t>
  </si>
  <si>
    <t xml:space="preserve">PRODUCT-LINE BUILD — modelling logic (shipments × ASP → revenues → gross profit → Adjusted EBITDA)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</si>
  <si>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</si>
  <si>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</si>
  <si>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</si>
  <si>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FY26 ranges.</t>
  </si>
  <si>
    <t xml:space="preserve">Aggregates (crushed stone, sand &amp; gravel; shipments incl. internal tons) — Building Materials business</t>
  </si>
  <si>
    <t xml:space="preserve">AGGREGATES — modelling logic</t>
  </si>
  <si>
    <t xml:space="preserve">  Shipments (million tons)</t>
  </si>
  <si>
    <t xml:space="preserve">Q3/26E–Q4/26E: prior-year quarter × (1 + Q2/26 y/y shipment growth, which includes the Feb-26 QUIKRETE aggregates sites and May-26 NFM). 2027E+: prior year × (1 + scenario volume lever AGG_vol).</t>
  </si>
  <si>
    <t xml:space="preserve">FY26 outlook — Q2-26 release (30-Jul-26); legacy MLM, excludes LNA</t>
  </si>
  <si>
    <t xml:space="preserve">High</t>
  </si>
  <si>
    <t xml:space="preserve">Mid</t>
  </si>
  <si>
    <t xml:space="preserve">Low</t>
  </si>
  <si>
    <t xml:space="preserve">Company guidance excludes the LNA acquisition (closed 21-Aug-26) — the model adds LNA separately.</t>
  </si>
  <si>
    <t xml:space="preserve">  Shipments y/y %</t>
  </si>
  <si>
    <t xml:space="preserve">Q3/Q4-26E: Q2/26 y/y + revenue-outlook calibration Δ (Group block). 2027E–2030E: scenario lever AGG_vol (Bull/Base/Bear table →).</t>
  </si>
  <si>
    <t xml:space="preserve">  FY26 revenues ($m)</t>
  </si>
  <si>
    <t xml:space="preserve">Raised to $7.2–7.4bn in the Q2-26 release (from $7.00–7.32bn).</t>
  </si>
  <si>
    <t xml:space="preserve">  Average selling price — ASP ($ / ton, as reported)</t>
  </si>
  <si>
    <t xml:space="preserve">Q3/26E–Q4/26E: prior-year quarter × (1 + Q2/26 y/y ASP change, which reflects acquisition mix). FY = shipment-weighted. 2027E+: scenario lever AGG_ASP.</t>
  </si>
  <si>
    <t xml:space="preserve">  FY26 Adjusted EBITDA from continuing operations ($m)</t>
  </si>
  <si>
    <t xml:space="preserve">Reaffirmed $2.36–2.50bn. Drives the Q3/Q4-26E margin calibration.</t>
  </si>
  <si>
    <t xml:space="preserve">  ASP y/y %</t>
  </si>
  <si>
    <t xml:space="preserve">  FY26 net earnings from continuing ops attributable ($m, mid-point reconciliation)</t>
  </si>
  <si>
    <t xml:space="preserve">Q2-26 release mid-point reconciliation (memo only).</t>
  </si>
  <si>
    <t xml:space="preserve">  Revenue ÷ (shipments × ASP) — freight, internal &amp; other (x)</t>
  </si>
  <si>
    <t xml:space="preserve">Bridges shipments × ASP to product-line revenues (freight revenues included from 2018/2023 basis; internal sales). Forecast: prior-year quarter (Q3/Q4-26E) / prior year (2027E+).</t>
  </si>
  <si>
    <t xml:space="preserve">FY26 point estimates (all cases)</t>
  </si>
  <si>
    <t xml:space="preserve">  Revenues</t>
  </si>
  <si>
    <t xml:space="preserve">  Interest expense, net of interest income ($m)</t>
  </si>
  <si>
    <t xml:space="preserve">Q2-26 mid-point reconciliation (legacy; LNA financing added separately).</t>
  </si>
  <si>
    <t xml:space="preserve">  Revenues y/y %</t>
  </si>
  <si>
    <t xml:space="preserve">  Tax rate (GAAP)</t>
  </si>
  <si>
    <t xml:space="preserve">Implied by the Q2-26 mid-point reconciliation: tax $279m / pre-tax $1,322m.</t>
  </si>
  <si>
    <t xml:space="preserve">  Gross profit (GAAP)</t>
  </si>
  <si>
    <t xml:space="preserve">Forecast gross profit = revenues × gross margin.</t>
  </si>
  <si>
    <t xml:space="preserve">  DD&amp;A incl. equity-affiliate results ($m)</t>
  </si>
  <si>
    <t xml:space="preserve">Q2-26 mid-point reconciliation.</t>
  </si>
  <si>
    <t xml:space="preserve">  Gross margin before outlook calibration % (Q3/Q4-26E helper)</t>
  </si>
  <si>
    <t xml:space="preserve">Q3/Q4-26E: prior-year quarter margin + (1H/26 − 1H/25 margin drift).</t>
  </si>
  <si>
    <t xml:space="preserve">  Capital expenditures ($m)</t>
  </si>
  <si>
    <t xml:space="preserve">Latest published range $550–600m (Q1-26 release guidance table); Q2 release cites capex reductions without a new range.</t>
  </si>
  <si>
    <t xml:space="preserve">  Gross margin %</t>
  </si>
  <si>
    <t xml:space="preserve">Q3/Q4-26E: margin before calibration + outlook calibration Δ (row "Outlook calibration"). 2027E+: scenario lever AGG_GM.</t>
  </si>
  <si>
    <t xml:space="preserve">  LNA run-rate cost synergies ($m)</t>
  </si>
  <si>
    <t xml:space="preserve">Deal release (29-Jun-2026): ~$85m annual run-rate cost synergies.</t>
  </si>
  <si>
    <t xml:space="preserve">  Gross profit per ton ($)</t>
  </si>
  <si>
    <t xml:space="preserve">  2H/26 share repurchases ($m)</t>
  </si>
  <si>
    <t xml:space="preserve">Post-LNA deleveraging: Base assumes no 2H buybacks (1H/26: $200m).</t>
  </si>
  <si>
    <t xml:space="preserve">  DD&amp;A in cost of revenues (where disclosed)</t>
  </si>
  <si>
    <t xml:space="preserve">  Minimum net debt / Adjusted EBITDA (x) — buyback floor 2027E+</t>
  </si>
  <si>
    <t xml:space="preserve">MLM target: &lt; 2.5x within 24 months of closing.</t>
  </si>
  <si>
    <t xml:space="preserve">  Cash gross profit per ton ($) (where DD&amp;A disclosed)</t>
  </si>
  <si>
    <t xml:space="preserve">  Memo: reported aggregates volume change % (company)</t>
  </si>
  <si>
    <t xml:space="preserve">AGG_vol (aggregates shipments y/y)</t>
  </si>
  <si>
    <t xml:space="preserve">Δ →</t>
  </si>
  <si>
    <t xml:space="preserve">Infrastructure (IIJA tail), data centers / heavy nonresidential vs. soft housing; 2026 organic guide +1–3%.</t>
  </si>
  <si>
    <t xml:space="preserve">  Memo: reported aggregates ASP change % (company)</t>
  </si>
  <si>
    <t xml:space="preserve">  2027E</t>
  </si>
  <si>
    <t xml:space="preserve">  2028E</t>
  </si>
  <si>
    <t xml:space="preserve">Other Building Materials (ready mixed concrete · asphalt &amp; paving; cement Jul-2014 → divested / discontinued 2024–26)</t>
  </si>
  <si>
    <t xml:space="preserve">OTHER BUILDING MATERIALS — modelling logic</t>
  </si>
  <si>
    <t xml:space="preserve">  2029E</t>
  </si>
  <si>
    <t xml:space="preserve">Historical = sum of the product lines reported in each period (memo rows below). Q3/Q4-26E: prior-year quarter × (1 + Q2/26 y/y). 2027E+: scenario lever OBM_growth.</t>
  </si>
  <si>
    <t xml:space="preserve">  2030E</t>
  </si>
  <si>
    <t xml:space="preserve">Note: 2025 y/y compares the continuing-operations recast with 2024 as reported (2024 still includes Texas/California cement &amp; ready mix).</t>
  </si>
  <si>
    <t xml:space="preserve">AGG_ASP (aggregates ASP y/y)</t>
  </si>
  <si>
    <t xml:space="preserve">Organic ASP guide +4–6% for 2026; mid-single-digit pricing through the cycle.</t>
  </si>
  <si>
    <t xml:space="preserve">  Memo: Cement revenues (TXI from Jul-2014)</t>
  </si>
  <si>
    <t xml:space="preserve">  Memo: Cement gross profit</t>
  </si>
  <si>
    <t xml:space="preserve">AGG_GM (aggregates gross margin)</t>
  </si>
  <si>
    <t xml:space="preserve">FY25 33.5%; 1H/26 26.4% (inventory markup, acquired-site mix). Unit-margin expansion as pricing &gt; cost.</t>
  </si>
  <si>
    <t xml:space="preserve">  Memo: Cement shipments (million tons)</t>
  </si>
  <si>
    <t xml:space="preserve">  Memo: Ready mixed concrete revenues</t>
  </si>
  <si>
    <t xml:space="preserve">  Memo: Ready mixed concrete gross profit</t>
  </si>
  <si>
    <t xml:space="preserve">  Memo: Ready mixed concrete shipments (million cubic yards)</t>
  </si>
  <si>
    <t xml:space="preserve">  Memo: Asphalt &amp; paving revenues (asphalt + road paving before 2016)</t>
  </si>
  <si>
    <t xml:space="preserve">OBM_growth (Other Building Materials revenues y/y)</t>
  </si>
  <si>
    <t xml:space="preserve">Ready mixed concrete &amp; asphalt/paving (Texas ready mix divested).</t>
  </si>
  <si>
    <t xml:space="preserve">  Memo: Asphalt &amp; paving gross profit</t>
  </si>
  <si>
    <t xml:space="preserve">  Memo: Asphalt shipments (million tons)</t>
  </si>
  <si>
    <t xml:space="preserve">  Memo: Cement &amp; ready mixed concrete (reported combined, Q1/24–Q2/25)</t>
  </si>
  <si>
    <t xml:space="preserve">  Memo: Cement &amp; ready mixed concrete gross profit (combined)</t>
  </si>
  <si>
    <t xml:space="preserve">  Memo: Ready mixed concrete and asphalt &amp; paving (reported combined)</t>
  </si>
  <si>
    <t xml:space="preserve">OBM_GM (Other Building Materials gross margin)</t>
  </si>
  <si>
    <t xml:space="preserve">FY25 9.9%.</t>
  </si>
  <si>
    <t xml:space="preserve">  Memo: Ready mixed concrete and asphalt &amp; paving gross profit (combined)</t>
  </si>
  <si>
    <t xml:space="preserve">  Memo: Other Building Materials as reported (continuing ops, Q3/25+ &amp; recast Q1–Q2/25; "other" line 2011–12)</t>
  </si>
  <si>
    <t xml:space="preserve">  Memo: Other Building Materials gross profit as reported</t>
  </si>
  <si>
    <t xml:space="preserve">  Less: interproduct / intersegment sales</t>
  </si>
  <si>
    <t xml:space="preserve">SPEC_growth (legacy Specialties revenues y/y)</t>
  </si>
  <si>
    <t xml:space="preserve">Magnesia chemicals &amp; dolomitic lime (steel, environmental).</t>
  </si>
  <si>
    <t xml:space="preserve">  Interproduct sales % of Other Building Materials revenues</t>
  </si>
  <si>
    <t xml:space="preserve">Forecast: prior-year quarter (Q3/Q4-26E); 2026E level held flat 2027E+.</t>
  </si>
  <si>
    <t xml:space="preserve">Specialties (Magnesia Specialties: magnesia-based chemicals &amp; dolomitic lime; Premier Magnesia from 25-Jul-2025)</t>
  </si>
  <si>
    <t xml:space="preserve">SPECIALTIES (legacy Magnesia Specialties) — modelling logic</t>
  </si>
  <si>
    <t xml:space="preserve">Q3/Q4-26E: organic growth input (row below) + revenue-outlook calibration Δ. 2027E+: scenario lever SPEC_growth.</t>
  </si>
  <si>
    <t xml:space="preserve">SPEC_GM (legacy Specialties gross margin)</t>
  </si>
  <si>
    <t xml:space="preserve">FY25 31.1% (Premier Magnesia from Jul-25).</t>
  </si>
  <si>
    <t xml:space="preserve">  Q3/Q4-26E organic growth input (before revenue calibration)</t>
  </si>
  <si>
    <t xml:space="preserve">+5% input: Q2/26 +69% y/y is inflated by Premier Magnesia (acquired 25-Jul-2025), which anniversaries in Q3.</t>
  </si>
  <si>
    <t xml:space="preserve">Prior-year quarter margin (already includes Premier Magnesia); no 1H drift applied.</t>
  </si>
  <si>
    <t xml:space="preserve">LNA_growth (LNA sales y/y)</t>
  </si>
  <si>
    <t xml:space="preserve">LNA sales +5.0% (2025) and +4.8% (1H/26).</t>
  </si>
  <si>
    <t xml:space="preserve">LNA — Lhoist North America (high-calcium &amp; dolomitic lime, industrial minerals; acquired 21-Aug-2026, Specialties)</t>
  </si>
  <si>
    <t xml:space="preserve">LNA — modelling logic (closed 21-Aug-2026; NOT in company FY26 guidance)</t>
  </si>
  <si>
    <t xml:space="preserve">  Memo: LNA standalone sales (pre-acquisition; not consolidated)</t>
  </si>
  <si>
    <t xml:space="preserve">  Memo: LNA standalone gross profit (pre-acquisition)</t>
  </si>
  <si>
    <t xml:space="preserve">  Memo: LNA standalone sales — six months (1H/25 in Q2/25 column; 1H/26 in Q2/26 column)</t>
  </si>
  <si>
    <t xml:space="preserve">  Memo: LNA standalone gross profit — six months</t>
  </si>
  <si>
    <t xml:space="preserve">LNA_GM (LNA standalone gross margin, pre-PPA)</t>
  </si>
  <si>
    <t xml:space="preserve">LNA 46.8% (FY25), 46.3% (1H/26).</t>
  </si>
  <si>
    <t xml:space="preserve">  Days consolidated in period (closing 21-Aug-2026)</t>
  </si>
  <si>
    <t xml:space="preserve">Closing 21-Aug-2026 (Form 8-K Item 2.01, filed 24-Aug-2026): 41 days in Q3/26, full Q4/26.</t>
  </si>
  <si>
    <t xml:space="preserve">  Annual sales run-rate (standalone basis)</t>
  </si>
  <si>
    <t xml:space="preserve">2026E = FY2025 standalone sales × (1 + 1H/26 y/y growth). 2027E+: × (1 + scenario lever LNA_growth).</t>
  </si>
  <si>
    <t xml:space="preserve">  Sales growth y/y %</t>
  </si>
  <si>
    <t xml:space="preserve">  Revenues (consolidated from closing)</t>
  </si>
  <si>
    <t xml:space="preserve">  Standalone gross margin % (before purchase accounting)</t>
  </si>
  <si>
    <t xml:space="preserve">2026E = 1H/26 standalone gross margin (46.3%). 2027E+: scenario lever LNA_GM.</t>
  </si>
  <si>
    <t xml:space="preserve">LNA_syn (synergy realisation % of $85m)</t>
  </si>
  <si>
    <t xml:space="preserve">Company: run-rate synergies within ~2 years.</t>
  </si>
  <si>
    <t xml:space="preserve">  (+) Cost synergies realised ($85m run-rate target)</t>
  </si>
  <si>
    <t xml:space="preserve">Company target: ~$85m annual run-rate cost synergies (deal release, 29-Jun-2026). Realisation % per scenario lever LNA_syn; booked in gross profit.</t>
  </si>
  <si>
    <t xml:space="preserve">  (−) Purchase-accounting D&amp;A (PP&amp;E step-up + acquired intangibles)</t>
  </si>
  <si>
    <t xml:space="preserve">$380m p.a. per pro forma note (q) (Form 8-K 10-Aug-2026 Ex. 99.3): PP&amp;E write-up (20-yr life) + $5.9bn intangibles (customer relationships $4.0bn/16y, permits $1.5bn/20y, technology $0.4bn/10y). Non-cash; added back in Adjusted EBITDA.</t>
  </si>
  <si>
    <t xml:space="preserve">  of which: amortization of acquired intangibles</t>
  </si>
  <si>
    <t xml:space="preserve">Straight-line: $4,000m/16y + $1,500m/20y + $400m/10y = $365m p.a. (pro forma note (f)). Drives the intangibles roll-forward.</t>
  </si>
  <si>
    <t xml:space="preserve">  (−) Inventory fair-value markup expensed</t>
  </si>
  <si>
    <t xml:space="preserve">$59m step-up of acquired inventory ($152m fair value vs $93m book; pro forma note) expensed as the inventory turns (assumed Q3/Q4-26). Added back in Adjusted EBITDA (Specialties deal &gt; $200m threshold).</t>
  </si>
  <si>
    <t xml:space="preserve">M&amp;A_spend (bolt-on acquisitions, $m)</t>
  </si>
  <si>
    <t xml:space="preserve">Base: deleveraging pause in 2027E, bolt-ons resume 2028E.</t>
  </si>
  <si>
    <t xml:space="preserve">  Gross margin % (GAAP)</t>
  </si>
  <si>
    <t xml:space="preserve">  Standalone DD&amp;A % of sales (in cost of sales)</t>
  </si>
  <si>
    <t xml:space="preserve">1H/26 standalone DD&amp;A $38.7m on sales $904.6m = 4.3% (Ex. 99.2 cash-flow statement).</t>
  </si>
  <si>
    <t xml:space="preserve">  Standalone DD&amp;A (USDm)</t>
  </si>
  <si>
    <t xml:space="preserve">  Standalone SG&amp;A % of sales</t>
  </si>
  <si>
    <t xml:space="preserve">1H/26 standalone SG&amp;A $79.6m / sales $904.6m = 8.8%.</t>
  </si>
  <si>
    <t xml:space="preserve">  SG&amp;A (USDm; consolidated in the SG&amp;A line)</t>
  </si>
  <si>
    <t xml:space="preserve">  Memo: LNA Adjusted EBITDA contribution (GP + PA D&amp;A + markup + standalone D&amp;A − SG&amp;A)</t>
  </si>
  <si>
    <t xml:space="preserve">Deal release: LNA FY2025 Adjusted EBITDA $786m (44.8% margin) on $1.75bn gross sales; ~15x incl. run-rate synergies.</t>
  </si>
  <si>
    <t xml:space="preserve">  Memo: LNA Adjusted EBITDA margin %</t>
  </si>
  <si>
    <t xml:space="preserve">Corporate gross profit, freight outside product lines &amp; unallocated Building Materials</t>
  </si>
  <si>
    <t xml:space="preserve">CORPORATE &amp; RECONCILING ITEMS</t>
  </si>
  <si>
    <t xml:space="preserve">  Corporate gross profit (loss)</t>
  </si>
  <si>
    <t xml:space="preserve">Q3/Q4-26E: 1H/26 run-rate; 2027E+: −$30m p.a. input.</t>
  </si>
  <si>
    <t xml:space="preserve">  Freight revenues outside product-line tables (net-sales basis to 2017; ex-freight basis 2018–22)</t>
  </si>
  <si>
    <t xml:space="preserve">  Freight gross profit outside product-line tables (2018–22)</t>
  </si>
  <si>
    <t xml:space="preserve">  Building Materials revenues not split by product line (to Q2/11; segment total)</t>
  </si>
  <si>
    <t xml:space="preserve">  Building Materials gross profit not split by product line (to Q3/12)</t>
  </si>
  <si>
    <t xml:space="preserve">Future acquisitions (M&amp;A lever — bolt-ons, unallocated; deals closed from 2027E)</t>
  </si>
  <si>
    <t xml:space="preserve">M&amp;A LEVER — acquired sales = spend ÷ EV/sales; mid-year convention</t>
  </si>
  <si>
    <t xml:space="preserve">  Acquisition spend (USDm, scenario)</t>
  </si>
  <si>
    <t xml:space="preserve">Scenario lever M&amp;A_spend. MLM deployed ~$0.5–3.6bn p.a. on acquisitions in 2018–25 (Bluegrass, Lehigh West, Blue Water, Albert Frei, Premier Magnesia, NFM) plus LNA ($13.5bn) in 2026; Base assumes a deleveraging pause in 2027.</t>
  </si>
  <si>
    <t xml:space="preserve">  Purchase multiple — EV / sales (x)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</si>
  <si>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</si>
  <si>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</si>
  <si>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</si>
  <si>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Revenues from future acquisitions</t>
  </si>
  <si>
    <t xml:space="preserve">Mid-year convention: deals close evenly through the year (half a year of sales in year 1).</t>
  </si>
  <si>
    <t xml:space="preserve">  Gross margin of acquired businesses % (after D&amp;A)</t>
  </si>
  <si>
    <t xml:space="preserve">  Gross profit from future acquisitions</t>
  </si>
  <si>
    <t xml:space="preserve">  D&amp;A of acquired businesses % of sales (incl. step-ups)</t>
  </si>
  <si>
    <t xml:space="preserve">  D&amp;A from future acquisitions (in cost of revenues)</t>
  </si>
  <si>
    <t xml:space="preserve">  PP&amp;E &amp; mineral reserves % of spend</t>
  </si>
  <si>
    <t xml:space="preserve">Aggregates bolt-ons: consideration mostly allocated to PP&amp;E / mineral reserves; balance to intangibles and goodwill.</t>
  </si>
  <si>
    <t xml:space="preserve">  Acquired intangibles % of spend</t>
  </si>
  <si>
    <t xml:space="preserve">  Intangible amortization life (years)</t>
  </si>
  <si>
    <t xml:space="preserve">  Cumulative acquired intangibles (gross)</t>
  </si>
  <si>
    <t xml:space="preserve">  Amortization of future-acquisition intangibles (within D&amp;A)</t>
  </si>
  <si>
    <t xml:space="preserve">Group Total — revenues &amp; gross profit (product-line build) → Adjusted EBITDA (MLM's primary profit KPI)</t>
  </si>
  <si>
    <t xml:space="preserve">GROUP TOTAL (CONSOLIDATED) — modelling logic</t>
  </si>
  <si>
    <t xml:space="preserve">Revenues (product-line build)</t>
  </si>
  <si>
    <t xml:space="preserve">Σ aggregates + other building materials − interproduct sales + Specialties + LNA + future M&amp;A (+ freight / unallocated lines in historical periods).</t>
  </si>
  <si>
    <t xml:space="preserve">Gross profit (product-line build)</t>
  </si>
  <si>
    <t xml:space="preserve">  Check: product-line build vs consolidated revenues (should be 0)</t>
  </si>
  <si>
    <t xml:space="preserve">  Check: product-line build vs consolidated gross profit (should be 0)</t>
  </si>
  <si>
    <t xml:space="preserve">  Memo: revenues — legacy MLM ex-LNA &amp; future M&amp;A</t>
  </si>
  <si>
    <t xml:space="preserve">  Memo: FY26 revenue guidance — legacy ex-LNA (scenario end-point)</t>
  </si>
  <si>
    <t xml:space="preserve">Company FY26 revenue guidance $7.2–7.4bn (raised in the Q2-26 release, 30-Jul-2026; excludes LNA). Drives the revenue-outlook calibration below.</t>
  </si>
  <si>
    <t xml:space="preserve">  Legacy revenues before revenue calibration (Q3/Q4-26E helper)</t>
  </si>
  <si>
    <t xml:space="preserve">Aggregates (prior-year tons × (1 + Q2/26 growth) × ASP × uplift) + Other Building Materials net of interproduct sales + Specialties, at Q2/26 trend growth.</t>
  </si>
  <si>
    <t xml:space="preserve">  Revenue sensitivity to +1.00 of growth (Q3/Q4-26E helper)</t>
  </si>
  <si>
    <t xml:space="preserve">  Outlook calibration: Δ y/y growth applied to legacy product lines (Q3/Q4-26E)</t>
  </si>
  <si>
    <t xml:space="preserve">Solves the uniform growth shift (vs Q2/26 y/y trend) so that legacy FY26 revenues = the FY26 revenue guidance end-point for the active scenario ($7.2bn / $7.3bn / $7.4bn).</t>
  </si>
  <si>
    <t xml:space="preserve">  Check: legacy FY26 revenues vs guidance end-point (should be 0)</t>
  </si>
  <si>
    <t xml:space="preserve">  Legacy Adjusted EBITDA before margin calibration (Q3/Q4-26E helper)</t>
  </si>
  <si>
    <t xml:space="preserve">Legacy (ex-LNA) Adj. EBITDA = Σ product-line revenue × pre-calibration margin + corporate GP − legacy SG&amp;A − other operating items − other non-operating items (ex interest income) + legacy DD&amp;A. Acquisition costs and inventory markup net to zero (added back).</t>
  </si>
  <si>
    <t xml:space="preserve">  Outlook calibration: Δ gross margin applied to legacy product lines (Q3/Q4-26E)</t>
  </si>
  <si>
    <t xml:space="preserve">Solves the uniform margin shift (vs prior-year quarter + 1H drift) so that legacy MLM FY26 Adjusted EBITDA = FY26 guidance end-point for the active scenario (High / Mid / Low). LNA is added on top (not in guidance).</t>
  </si>
  <si>
    <t xml:space="preserve">  Memo: FY26 Adjusted EBITDA guidance — legacy MLM ex-LNA (scenario end-point)</t>
  </si>
  <si>
    <t xml:space="preserve">Q2-26 release: Adjusted EBITDA from continuing operations $2,360–2,500m (mid $2,430m), reaffirmed; excludes LNA.</t>
  </si>
  <si>
    <t xml:space="preserve">  Memo: model legacy Adjusted EBITDA (ex-LNA &amp; future M&amp;A)</t>
  </si>
  <si>
    <t xml:space="preserve">  Check: legacy FY26 Adjusted EBITDA vs guidance end-point (should be 0)</t>
  </si>
  <si>
    <t xml:space="preserve">Reportable segments (memo; segment profit = earnings from operations, as reported)</t>
  </si>
  <si>
    <t xml:space="preserve">SEGMENTS — historical disclosure only (not forecast). Current: East / West Group (recast Q1-26: East = East + Southwest divisions; West = Central + West divisions) + Specialties.</t>
  </si>
  <si>
    <t xml:space="preserve">  East Group — revenues (from Q3/20; Q1/26 recast basis from 2026)</t>
  </si>
  <si>
    <t xml:space="preserve">  West Group — revenues (from Q3/20)</t>
  </si>
  <si>
    <t xml:space="preserve">  East Group — earnings from operations</t>
  </si>
  <si>
    <t xml:space="preserve">  West Group — earnings from operations</t>
  </si>
  <si>
    <t xml:space="preserve">  Specialties / Magnesia Specialties / Specialty Products — revenues</t>
  </si>
  <si>
    <t xml:space="preserve">  Specialties — earnings from operations</t>
  </si>
  <si>
    <t xml:space="preserve">  Corporate — earnings (loss) from operations</t>
  </si>
  <si>
    <t xml:space="preserve">  Legacy segments (as originally reported: Mideast / Mid-America, Southeast and West Groups to Q2/20; Cement segment 2014–16)</t>
  </si>
  <si>
    <t xml:space="preserve">  Mideast Group (to 2012) / Mid-America Group (2013–Q2/20) — revenues</t>
  </si>
  <si>
    <t xml:space="preserve">  Southeast Group — revenues</t>
  </si>
  <si>
    <t xml:space="preserve">  West Group (legacy basis; incl. cement 2017–Q2/20) — revenues</t>
  </si>
  <si>
    <t xml:space="preserve">  Cement segment (2014–2016) — revenues</t>
  </si>
  <si>
    <t xml:space="preserve">  Mideast / Mid-America Group — earnings from operations</t>
  </si>
  <si>
    <t xml:space="preserve">  Southeast Group — earnings from operations</t>
  </si>
  <si>
    <t xml:space="preserve">  West Group (legacy) — earnings from operations</t>
  </si>
  <si>
    <t xml:space="preserve">  Cement segment (2014–2016) — earnings from operations</t>
  </si>
  <si>
    <t xml:space="preserve">  Check: Σ segment earnings from operations vs consolidated (should be 0)</t>
  </si>
  <si>
    <t xml:space="preserve">Cost drivers &amp; D&amp;A</t>
  </si>
  <si>
    <t xml:space="preserve">COST DRIVERS — inputs that drive forecast cost lines</t>
  </si>
  <si>
    <t xml:space="preserve">  DD&amp;A — legacy MLM (ex-LNA purchase accounting &amp; future M&amp;A)</t>
  </si>
  <si>
    <t xml:space="preserve">Q3/Q4-26E = (FY26 guidance DD&amp;A incl. equity affiliates $800m − 1H/26 actual) ÷ 2. 2027E+: legacy revenues × DD&amp;A %. Historical = total DD&amp;A (cash-flow statement).</t>
  </si>
  <si>
    <t xml:space="preserve">  DD&amp;A (legacy) % of revenues</t>
  </si>
  <si>
    <t xml:space="preserve">2027E+: 11.0% input (FY26 guidance-implied ~11%; FY25 10.4%).</t>
  </si>
  <si>
    <t xml:space="preserve">  SG&amp;A (legacy) % of revenues</t>
  </si>
  <si>
    <t xml:space="preserve">2027E+: 7.0% input (FY25 7.2%; 1H/26 7.5%); LNA SG&amp;A modelled separately.</t>
  </si>
  <si>
    <t xml:space="preserve">  Stock-based compensation % of revenues</t>
  </si>
  <si>
    <t xml:space="preserve">CONSOLIDATED STATEMENT OF EARNINGS (US GAAP; continuing operations as reported)</t>
  </si>
  <si>
    <t xml:space="preserve">CONSOLIDATED IS — forecast logic</t>
  </si>
  <si>
    <t xml:space="preserve">Total revenues</t>
  </si>
  <si>
    <t xml:space="preserve">Forecast linked to the product-line build.</t>
  </si>
  <si>
    <t xml:space="preserve">  of which: net sales / products &amp; services revenues (ex freight)</t>
  </si>
  <si>
    <t xml:space="preserve">  of which: freight &amp; delivery revenues</t>
  </si>
  <si>
    <t xml:space="preserve">Cost of revenues (incl. freight costs)</t>
  </si>
  <si>
    <t xml:space="preserve">Forecast = revenues − product-line gross profit.</t>
  </si>
  <si>
    <t xml:space="preserve">Gross profit</t>
  </si>
  <si>
    <t xml:space="preserve">Selling, general &amp; administrative expenses (incl. R&amp;D to 2009)</t>
  </si>
  <si>
    <t xml:space="preserve">Q3/Q4-26E: prior-year quarter × 1H/26 y/y growth + LNA SG&amp;A. 2027E+: legacy revenues × SG&amp;A % + LNA SG&amp;A.</t>
  </si>
  <si>
    <t xml:space="preserve">Acquisition, divestiture &amp; integration expenses (business development costs 2011–14)</t>
  </si>
  <si>
    <t xml:space="preserve">Q3/Q4-26E: $83m of LNA transaction expenses expected after 30-Jun-2026 (pro forma note (r)); integration costs 2027E $25m, then $10m p.a. Added back in Adjusted EBITDA.</t>
  </si>
  <si>
    <t xml:space="preserve">Other operating (income) expense, net (expense = +)</t>
  </si>
  <si>
    <t xml:space="preserve">Gains on asset sales, land, royalties. Q3/Q4-26E: 1H/26 run-rate; 2027E+: −$20m p.a. (income).</t>
  </si>
  <si>
    <t xml:space="preserve">Earnings from operations</t>
  </si>
  <si>
    <t xml:space="preserve">Interest expense</t>
  </si>
  <si>
    <t xml:space="preserve">Q3/Q4-26E: Q2/26 run-rate + LNA financing ($5.5bn notes at 5.52% blended coupon issued 14-Aug-26; $1.5bn term loan) for the days after closing. 2027E+: rate × opening balance (no circularity).</t>
  </si>
  <si>
    <t xml:space="preserve">  Memo: interest income (within other nonoperating; = interest expense − net interest in the EBITDA bridge)</t>
  </si>
  <si>
    <t xml:space="preserve">  Memo: other nonoperating (income) expense excluding interest income (expense = +)</t>
  </si>
  <si>
    <t xml:space="preserve">Pension (non-service), equity affiliates, FX, other. 2027E+: −$15m p.a. input.</t>
  </si>
  <si>
    <t xml:space="preserve">Other nonoperating (income) expense, net (expense = +)</t>
  </si>
  <si>
    <t xml:space="preserve">Earnings from continuing operations before income tax expense</t>
  </si>
  <si>
    <t xml:space="preserve">Income tax expense</t>
  </si>
  <si>
    <t xml:space="preserve">Q3/Q4-26E at the FY26 guidance-implied rate; 2027E+ input ETR.</t>
  </si>
  <si>
    <t xml:space="preserve">  Effective tax rate</t>
  </si>
  <si>
    <t xml:space="preserve">FY26 guidance mid-point: tax $279m on pre-tax $1,322m = 21.1%. 2027E+: 22.0% input (higher state mix; LNA).</t>
  </si>
  <si>
    <t xml:space="preserve">Earnings from continuing operations</t>
  </si>
  <si>
    <t xml:space="preserve">Earnings (loss) from discontinued operations, net of tax</t>
  </si>
  <si>
    <t xml:space="preserve">1H/26 includes the $1.43bn after-tax gain on the Midlothian cement / Texas ready-mix divestiture (QUIKRETE asset exchange, Feb-2026). None forecast.</t>
  </si>
  <si>
    <t xml:space="preserve">Consolidated net earnings</t>
  </si>
  <si>
    <t xml:space="preserve">  Less: net earnings attributable to noncontrolling interests</t>
  </si>
  <si>
    <t xml:space="preserve">Net earnings attributable to Martin Marietta</t>
  </si>
  <si>
    <t xml:space="preserve">  Check: net earnings attributable vs reported (should be 0; ±0.1 rounding in published subtotals tolerated)</t>
  </si>
  <si>
    <t xml:space="preserve">  Memo: net earnings attributable to Martin Marietta as reported</t>
  </si>
  <si>
    <t xml:space="preserve">  Memo: net earnings from continuing operations attributable to Martin Marietta</t>
  </si>
  <si>
    <t xml:space="preserve">  Memo: depreciation, depletion &amp; amortization (total; cash-flow statement)</t>
  </si>
  <si>
    <t xml:space="preserve">Forecast = legacy DD&amp;A + LNA standalone D&amp;A + LNA purchase-accounting D&amp;A + future-M&amp;A D&amp;A.</t>
  </si>
  <si>
    <t xml:space="preserve">  Memo: stock-based compensation</t>
  </si>
  <si>
    <t xml:space="preserve">(Earnings per share)</t>
  </si>
  <si>
    <t xml:space="preserve">  Weighted-average basic shares (m)</t>
  </si>
  <si>
    <t xml:space="preserve">Q3/Q4-26E: Q2/26 + 10.95m LNA consideration shares (issued 21-Aug-26, time-weighted) − 2H buybacks. 2027E+: average of beginning and ending shares.</t>
  </si>
  <si>
    <t xml:space="preserve">  Weighted-average diluted shares (m)</t>
  </si>
  <si>
    <t xml:space="preserve">EPS – basic, attributable to Martin Marietta ($)</t>
  </si>
  <si>
    <t xml:space="preserve">EPS – diluted, attributable to Martin Marietta ($)</t>
  </si>
  <si>
    <t xml:space="preserve">EPS computed as net earnings / weighted diluted shares (may differ by ±$0.01–0.02 vs reported; two-class method).</t>
  </si>
  <si>
    <t xml:space="preserve">EPS – diluted, continuing operations ($)</t>
  </si>
  <si>
    <t xml:space="preserve">  Memo: EPS – diluted as reported ($)</t>
  </si>
  <si>
    <t xml:space="preserve">  Memo: EPS – diluted, continuing operations as reported ($)</t>
  </si>
  <si>
    <t xml:space="preserve">  Dividends declared per share ($)</t>
  </si>
  <si>
    <t xml:space="preserve">Q3/Q4-26E: Q2/26 quarterly dividend +5% (MLM typically raises in August). 2027E+: +6% p.a.</t>
  </si>
  <si>
    <t xml:space="preserve">  Dividend per share growth %</t>
  </si>
  <si>
    <t xml:space="preserve">  Memo: FY26 net earnings from continuing ops attributable — guidance mid-point (legacy ex-LNA)</t>
  </si>
  <si>
    <t xml:space="preserve">Q2-26 release mid-point reconciliation: $1,043m (excludes LNA). Compare with model legacy earnings; LNA adds purchase-accounting D&amp;A and interest.</t>
  </si>
  <si>
    <t xml:space="preserve">RECONCILIATION: NET EARNINGS → EBITDA → ADJUSTED EBITDA (company definition; continuing operations)</t>
  </si>
  <si>
    <t xml:space="preserve">ADJUSTED EBITDA — per MLM earnings-release reconciliations; company definition in force in each period (see definition row &amp; comments)</t>
  </si>
  <si>
    <t xml:space="preserve">Net earnings from continuing operations attributable to Martin Marietta (GAAP)</t>
  </si>
  <si>
    <t xml:space="preserve">  Memo: starting point of the company reconciliation (as published)</t>
  </si>
  <si>
    <t xml:space="preserve">  (+) Basis difference: discontinued operations / NCI (company start vs. model continuing-ops earnings)</t>
  </si>
  <si>
    <t xml:space="preserve">  (+) Interest expense (net of interest income from 2020)</t>
  </si>
  <si>
    <t xml:space="preserve">  (+) Income tax expense (for controlling interests)</t>
  </si>
  <si>
    <t xml:space="preserve">  (+) DD&amp;A (and earnings/loss of nonconsolidated equity affiliates from 2019)</t>
  </si>
  <si>
    <t xml:space="preserve">  = EBITDA</t>
  </si>
  <si>
    <t xml:space="preserve">  (+) Acquisition, divestiture &amp; integration expenses (qualifying transactions)</t>
  </si>
  <si>
    <t xml:space="preserve">From 2024 only transactions ≥ $2.0bn (Building Materials) or ≥ $200m (Specialties) are added back; LNA qualifies. Forecast: all acquisition costs added back.</t>
  </si>
  <si>
    <t xml:space="preserve">  (+) Impact of selling acquired inventory after markup to fair value</t>
  </si>
  <si>
    <t xml:space="preserve">  (−) Nonrecurring gains on divestitures</t>
  </si>
  <si>
    <t xml:space="preserve">  (+) Asset &amp; portfolio rationalization / restructuring charges</t>
  </si>
  <si>
    <t xml:space="preserve">  (+/−) Other company items / definitional differences</t>
  </si>
  <si>
    <t xml:space="preserve">  Total adjusting items</t>
  </si>
  <si>
    <t xml:space="preserve">  = Adjusted EBITDA (model bridge)</t>
  </si>
  <si>
    <t xml:space="preserve">Historical bridge rebuilt from the company reconciliation in each period; forecast = net earnings + interest (net) + tax + total DD&amp;A + acquisition costs + inventory markup.</t>
  </si>
  <si>
    <t xml:space="preserve">  Adjusted EBITDA margin %</t>
  </si>
  <si>
    <t xml:space="preserve">  Company-published Adjusted EBITDA (EBITDA before 2018; continuing operations from Q4/21)</t>
  </si>
  <si>
    <t xml:space="preserve">  Check: model bridge vs company-published (should be 0)</t>
  </si>
  <si>
    <t xml:space="preserve">  Definition basis (company Adjusted EBITDA definition in force)</t>
  </si>
  <si>
    <t xml:space="preserve">EBITDA (CFO recon)</t>
  </si>
  <si>
    <t xml:space="preserve">EBITDA</t>
  </si>
  <si>
    <t xml:space="preserve">Adj. EBITDA</t>
  </si>
  <si>
    <t xml:space="preserve">Adj. EBITDA (incl. eq. affil.)</t>
  </si>
  <si>
    <t xml:space="preserve">Adj. EBITDA (cont. ops)</t>
  </si>
  <si>
    <t xml:space="preserve">Adj. EBITDA ($2bn/$200m threshold)</t>
  </si>
  <si>
    <t xml:space="preserve">Adj. EBITDA (cont. ops; ex Midlothian)</t>
  </si>
  <si>
    <t xml:space="preserve">Definition changes are flagged in the column where they take effect.</t>
  </si>
  <si>
    <t xml:space="preserve">  Memo: Consolidated Adjusted EBITDA incl. discontinued operations (as published)</t>
  </si>
  <si>
    <t xml:space="preserve">To adjusted EBIT:</t>
  </si>
  <si>
    <t xml:space="preserve">  (−) DD&amp;A</t>
  </si>
  <si>
    <t xml:space="preserve">  = Adjusted EBIT (model)</t>
  </si>
  <si>
    <t xml:space="preserve">  Adjusted EBIT margin %</t>
  </si>
  <si>
    <t xml:space="preserve">  Memo: Adjusted EBITDA pro forma — LNA full year (2026E), for leverage &amp; valuation</t>
  </si>
  <si>
    <t xml:space="preserve">2026E adds LNA pre-closing days at the Q4/26E LNA EBITDA margin (company pro forma basis).</t>
  </si>
  <si>
    <t xml:space="preserve">RECONCILIATION: GAAP NET EARNINGS / DILUTED EPS (CONTINUING OPS) → ADJUSTED EPS</t>
  </si>
  <si>
    <t xml:space="preserve">ADJUSTED EPS — company publishes adjusted EPS only sporadically (2011–16, 2017–18 tax reform, 2021–22, 2026+); model applies one definition to all periods</t>
  </si>
  <si>
    <t xml:space="preserve">  (+) Adjusting items, pre-tax (as in the Adjusted EBITDA bridge)</t>
  </si>
  <si>
    <t xml:space="preserve">  Tax rate applied to adjustments</t>
  </si>
  <si>
    <t xml:space="preserve">Historical: period ETR bounded 15–40%. Forecast: 23% input (blended federal + state on transaction costs).</t>
  </si>
  <si>
    <t xml:space="preserve">  (−) Income tax effect of adjusting items</t>
  </si>
  <si>
    <t xml:space="preserve">  (+/−) Other company-defined items &amp; per-share rounding (periods with published adjusted EPS)</t>
  </si>
  <si>
    <t xml:space="preserve">  = Adjusted net earnings from continuing operations (model)</t>
  </si>
  <si>
    <t xml:space="preserve">Adjusted EPS – diluted, continuing operations ($) (model)</t>
  </si>
  <si>
    <t xml:space="preserve">  Company-published adjusted EPS – diluted ($)</t>
  </si>
  <si>
    <t xml:space="preserve">  Check: model vs company-published adjusted EPS (should be 0.00)</t>
  </si>
  <si>
    <t xml:space="preserve">  Definition basis (company adjusted EPS, where published)</t>
  </si>
  <si>
    <t xml:space="preserve">ex TXI costs</t>
  </si>
  <si>
    <t xml:space="preserve">ex TXI costs &amp; markup</t>
  </si>
  <si>
    <t xml:space="preserve">ex cement sale</t>
  </si>
  <si>
    <t xml:space="preserve">ex Tax Act</t>
  </si>
  <si>
    <t xml:space="preserve">ex Bluegrass costs</t>
  </si>
  <si>
    <t xml:space="preserve">ex acquisition items</t>
  </si>
  <si>
    <t xml:space="preserve">Adj. EPS cont. ops (current)</t>
  </si>
  <si>
    <t xml:space="preserve">GROWTH &amp; MARGINS</t>
  </si>
  <si>
    <t xml:space="preserve">GROWTH &amp; MARGINS (consolidated) — forecast outputs</t>
  </si>
  <si>
    <t xml:space="preserve">  Aggregates shipments y/y % (volume)</t>
  </si>
  <si>
    <t xml:space="preserve">  Aggregates ASP y/y % (price)</t>
  </si>
  <si>
    <t xml:space="preserve">  Adjusted EBITDA y/y %</t>
  </si>
  <si>
    <t xml:space="preserve">  Earnings from operations y/y %</t>
  </si>
  <si>
    <t xml:space="preserve">  Net earnings attributable y/y %</t>
  </si>
  <si>
    <t xml:space="preserve">  Adjusted EPS y/y %</t>
  </si>
  <si>
    <t xml:space="preserve">  Incremental Adjusted EBITDA margin (ΔEBITDA / ΔRevenues)</t>
  </si>
  <si>
    <t xml:space="preserve">  Operating margin (earnings from operations) %</t>
  </si>
  <si>
    <t xml:space="preserve">  Net margin %</t>
  </si>
  <si>
    <t xml:space="preserve">  SG&amp;A % of revenues</t>
  </si>
  <si>
    <t xml:space="preserve">  Aggregates gross profit per ton y/y %</t>
  </si>
  <si>
    <t xml:space="preserve">CONSOLIDATED STATEMENT OF CASH FLOWS</t>
  </si>
  <si>
    <t xml:space="preserve">CASH FLOW — forecast logic (annual; 2026E = 1H/26 actual + 2H estimate; quarters = discrete, derived from year-to-date statements)</t>
  </si>
  <si>
    <t xml:space="preserve">Adjustments:</t>
  </si>
  <si>
    <t xml:space="preserve">  Depreciation, depletion &amp; amortization</t>
  </si>
  <si>
    <t xml:space="preserve">  Stock-based compensation</t>
  </si>
  <si>
    <t xml:space="preserve">  (Gains) losses on divestitures &amp; sales of assets</t>
  </si>
  <si>
    <t xml:space="preserve">2026E = 1H/26 actual (incl. the $1.98bn pre-tax gain on the QUIKRETE asset exchange); none forecast.</t>
  </si>
  <si>
    <t xml:space="preserve">  Deferred income taxes</t>
  </si>
  <si>
    <t xml:space="preserve">Forecast: unwind of the deferred tax liability on LNA intangible amortization (book &gt; tax) at 24.6%.</t>
  </si>
  <si>
    <t xml:space="preserve">  Other non-cash items, net (derived)</t>
  </si>
  <si>
    <t xml:space="preserve">  Changes in operating assets &amp; liabilities, net</t>
  </si>
  <si>
    <t xml:space="preserve">Linked to the balance sheet: −Δ(receivables, inventories) + Δ(payables, accrued salaries); 2026E excludes balances acquired with LNA.</t>
  </si>
  <si>
    <t xml:space="preserve">Net cash provided by operating activities</t>
  </si>
  <si>
    <t xml:space="preserve">Additions to property, plant &amp; equipment</t>
  </si>
  <si>
    <t xml:space="preserve">2026E: FY26 capex guidance (scenario end-point; Q1-26 range $550–600m, legacy) + LNA 2H capex at 9% of sales. 2027E+: revenues × capex %.</t>
  </si>
  <si>
    <t xml:space="preserve">Acquisitions, net of cash acquired</t>
  </si>
  <si>
    <t xml:space="preserve">2026E: 1H/26 (QUIKRETE cash true-up, NFM) + LNA cash consideration $7.0bn + $0.22bn other, net of $26m cash acquired. 2027E+: M&amp;A lever.</t>
  </si>
  <si>
    <t xml:space="preserve">Proceeds from divestitures &amp; sales of assets</t>
  </si>
  <si>
    <t xml:space="preserve">Other investing activities, net (derived)</t>
  </si>
  <si>
    <t xml:space="preserve">Net cash used for investing activities</t>
  </si>
  <si>
    <t xml:space="preserve">Proceeds from borrowings (incl. commercial paper / facilities, net)</t>
  </si>
  <si>
    <t xml:space="preserve">Repayments of debt</t>
  </si>
  <si>
    <t xml:space="preserve">Net issuance / (repayment) = change in total debt per the debt schedule (scheduled note maturities, refinancing, prepayable facilities).</t>
  </si>
  <si>
    <t xml:space="preserve">Dividends paid</t>
  </si>
  <si>
    <t xml:space="preserve">2027E+: dividends per share × beginning shares outstanding (avoids circularity with buybacks).</t>
  </si>
  <si>
    <t xml:space="preserve">Repurchases of common stock</t>
  </si>
  <si>
    <t xml:space="preserve">2026E = 1H/26 actual + 2H scenario amount; 2027E+ = leverage plug (surplus cash returned via buybacks once net debt / Adj. EBITDA reaches the scenario minimum).</t>
  </si>
  <si>
    <t xml:space="preserve">Issuances of common stock / shares withheld for employee taxes, net</t>
  </si>
  <si>
    <t xml:space="preserve">Other financing activities, net (derived)</t>
  </si>
  <si>
    <t xml:space="preserve">Net cash provided by (used for) financing activities</t>
  </si>
  <si>
    <t xml:space="preserve">Net increase (decrease) in cash</t>
  </si>
  <si>
    <t xml:space="preserve">Cash — beginning of period</t>
  </si>
  <si>
    <t xml:space="preserve">Cash — end of period</t>
  </si>
  <si>
    <t xml:space="preserve">  Check: CFO + CFI + CFF = change in cash (should be 0)</t>
  </si>
  <si>
    <t xml:space="preserve">  Check: beginning cash + change = ending cash (should be 0)</t>
  </si>
  <si>
    <t xml:space="preserve">(Memo)</t>
  </si>
  <si>
    <t xml:space="preserve">Free cash flow (operating cash flow − capital expenditures)</t>
  </si>
  <si>
    <t xml:space="preserve">MLM does not publish a free-cash-flow measure in its releases; model definition = CFO − additions to PP&amp;E.</t>
  </si>
  <si>
    <t xml:space="preserve">  FCF y/y %</t>
  </si>
  <si>
    <t xml:space="preserve">  FCF % of revenues</t>
  </si>
  <si>
    <t xml:space="preserve">  FCF / adjusted net earnings conversion %</t>
  </si>
  <si>
    <t xml:space="preserve">  FCF per diluted share ($)</t>
  </si>
  <si>
    <t xml:space="preserve">Capex ratios</t>
  </si>
  <si>
    <t xml:space="preserve">  Capex % of revenues</t>
  </si>
  <si>
    <t xml:space="preserve">2027E+: 8.5% input (FY26 guidance ~7.9% legacy; LNA ~9%; FY25 13.1% incl. growth projects).</t>
  </si>
  <si>
    <t xml:space="preserve">  Capex / DD&amp;A (x)</t>
  </si>
  <si>
    <t xml:space="preserve">SHARE BUYBACK SCHEDULE</t>
  </si>
  <si>
    <t xml:space="preserve">SHARES — 2026E includes the 10.95m LNA consideration shares (21-Aug-2026)</t>
  </si>
  <si>
    <t xml:space="preserve">  Avg buyback price ($)</t>
  </si>
  <si>
    <t xml:space="preserve">2026E = current share price (valuation input); appreciates with the share-price input.</t>
  </si>
  <si>
    <t xml:space="preserve">  Buyback cash deployed (USDm)</t>
  </si>
  <si>
    <t xml:space="preserve">2026E row = 2H/26 buyback only (1H/26 repurchases already in Q1/Q2 share counts).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</si>
  <si>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</si>
  <si>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</si>
  <si>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</si>
  <si>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2026E begins from shares outstanding at 30-Jun-2026 (10-Q cover).</t>
  </si>
  <si>
    <t xml:space="preserve">  Ending shares outstanding (m)</t>
  </si>
  <si>
    <t xml:space="preserve">  % of shares repurchased</t>
  </si>
  <si>
    <t xml:space="preserve">  Memo: cumulative shares repurchased since 2H/26 (m)</t>
  </si>
  <si>
    <t xml:space="preserve">CONSOLIDATED BALANCE SHEET</t>
  </si>
  <si>
    <t xml:space="preserve">BS FORECAST — 2026E rolled forward from the 30-Jun-2026 balance sheet (Q2/26) + LNA purchase-price allocation + 2H flows; 2027E+ from prior year end</t>
  </si>
  <si>
    <t xml:space="preserve">ASSETS</t>
  </si>
  <si>
    <t xml:space="preserve">  Cash and cash equivalents</t>
  </si>
  <si>
    <t xml:space="preserve">  Restricted cash</t>
  </si>
  <si>
    <t xml:space="preserve">  Accounts receivable, net</t>
  </si>
  <si>
    <t xml:space="preserve">Receivables = revenues (2026E: pro forma full-year incl. LNA) × DSO / 365.</t>
  </si>
  <si>
    <t xml:space="preserve">  Inventories, net</t>
  </si>
  <si>
    <t xml:space="preserve">  Other current assets (incl. held for sale, deferred taxes to 2015)</t>
  </si>
  <si>
    <t xml:space="preserve">Total current assets</t>
  </si>
  <si>
    <t xml:space="preserve">  Property, plant &amp; equipment, net (incl. mineral reserves)</t>
  </si>
  <si>
    <t xml:space="preserve">PP&amp;E roll-forward: prior + capex − depreciation &amp; depletion (total D&amp;A less intangible amortization) + acquired PP&amp;E (LNA $3,247m fair value; M&amp;A lever).</t>
  </si>
  <si>
    <t xml:space="preserve">  Goodwill</t>
  </si>
  <si>
    <t xml:space="preserve">2026E: + LNA preliminary goodwill $6,000m (Ex. 99.3 note 2).</t>
  </si>
  <si>
    <t xml:space="preserve">  Other intangibles, net</t>
  </si>
  <si>
    <t xml:space="preserve">Intangibles roll-forward: prior + acquired (LNA $5,900m) − amortization (LNA $365m p.a.; legacy ~$25m p.a. per FY2025 10-K schedule).</t>
  </si>
  <si>
    <t xml:space="preserve">  Operating lease right-of-use assets (2019+)</t>
  </si>
  <si>
    <t xml:space="preserve">  Other noncurrent assets (incl. noncurrent held for sale)</t>
  </si>
  <si>
    <t xml:space="preserve">TOTAL ASSETS</t>
  </si>
  <si>
    <t xml:space="preserve">LIABILITIES AND EQUITY</t>
  </si>
  <si>
    <t xml:space="preserve">  Accounts payable</t>
  </si>
  <si>
    <t xml:space="preserve">  Accrued salaries, benefits &amp; payroll taxes</t>
  </si>
  <si>
    <t xml:space="preserve">  Current maturities of long-term debt &amp; short-term facilities</t>
  </si>
  <si>
    <t xml:space="preserve">Forecast: next year's scheduled note maturities.</t>
  </si>
  <si>
    <t xml:space="preserve">  Current operating lease liabilities</t>
  </si>
  <si>
    <t xml:space="preserve">  Other current liabilities (derived; incl. accrued taxes, interest, held for sale)</t>
  </si>
  <si>
    <t xml:space="preserve">Total current liabilities</t>
  </si>
  <si>
    <t xml:space="preserve">  Long-term debt (excluding current maturities)</t>
  </si>
  <si>
    <t xml:space="preserve">  Noncurrent operating lease liabilities</t>
  </si>
  <si>
    <t xml:space="preserve">  Pension, postretirement &amp; postemployment benefits (where separate)</t>
  </si>
  <si>
    <t xml:space="preserve">  Deferred income taxes, net</t>
  </si>
  <si>
    <t xml:space="preserve">2026E: + LNA deferred tax liability $2,039m (PPA) + 2H deferred tax expense.</t>
  </si>
  <si>
    <t xml:space="preserve">  Other noncurrent liabilities (derived; incl. ARO, uncertain tax positions)</t>
  </si>
  <si>
    <t xml:space="preserve">Total liabilities</t>
  </si>
  <si>
    <t xml:space="preserve">Shareholders' equity:</t>
  </si>
  <si>
    <t xml:space="preserve">  Common stock &amp; additional paid-in capital</t>
  </si>
  <si>
    <t xml:space="preserve">+ stock-based compensation + net issuances; 2026E + LNA share consideration ($6,317m at the 30-Jun-26 price per pro forma; final value set at closing).</t>
  </si>
  <si>
    <t xml:space="preserve">  Retained earnings</t>
  </si>
  <si>
    <t xml:space="preserve">+ net earnings − dividends − share repurchases (MLM retires repurchased shares; cost charged to equity).</t>
  </si>
  <si>
    <t xml:space="preserve">  Accumulated other comprehensive income (loss)</t>
  </si>
  <si>
    <t xml:space="preserve">Total shareholders' equity</t>
  </si>
  <si>
    <t xml:space="preserve">  Noncontrolling interests</t>
  </si>
  <si>
    <t xml:space="preserve">Total equity</t>
  </si>
  <si>
    <t xml:space="preserve">TOTAL LIABILITIES AND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</si>
  <si>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</si>
  <si>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</si>
  <si>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</si>
  <si>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(+ restricted cash from 2018) vs cash-flow ending cash (should be 0)</t>
  </si>
  <si>
    <t xml:space="preserve">  Memo: common shares outstanding at period end (m)</t>
  </si>
  <si>
    <t xml:space="preserve">WORKING CAPITAL &amp; CASH CONVERSION</t>
  </si>
  <si>
    <t xml:space="preserve">WORKING CAPITAL — forecast drivers (blue = input)</t>
  </si>
  <si>
    <t xml:space="preserve">  Revenues — pro forma full-year basis (2026E incl. LNA pre-closing)</t>
  </si>
  <si>
    <t xml:space="preserve">2026E adds LNA sales for the pre-closing days so year-end working capital is sized on a full-year run-rate.</t>
  </si>
  <si>
    <t xml:space="preserve">  Cost of revenues — pro forma basis</t>
  </si>
  <si>
    <t xml:space="preserve">  DSO — receivables / revenues × 365</t>
  </si>
  <si>
    <t xml:space="preserve">  Inventory days — inventories / cost of revenues × 365</t>
  </si>
  <si>
    <t xml:space="preserve">  Payable days — payables / cost of revenues × 365</t>
  </si>
  <si>
    <t xml:space="preserve">  Accrued salaries &amp; benefits % of revenues</t>
  </si>
  <si>
    <t xml:space="preserve">Forecast inputs set at FY2025 levels (DSO 43d, inventory 92d, payables 33d, accrued 1.6%).</t>
  </si>
  <si>
    <t xml:space="preserve">  Operating NWC (receivables + inventories − payables − accrued salaries)</t>
  </si>
  <si>
    <t xml:space="preserve">  NWC % of revenues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</si>
  <si>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</si>
  <si>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</si>
  <si>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</si>
  <si>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LNA acquisition — consideration &amp; preliminary purchase-price allocation (closed 21-Aug-2026; Form 8-K 10-Aug-26 Ex. 99.3 note 2)</t>
  </si>
  <si>
    <t xml:space="preserve">  Cash consideration incl. other transaction cash consideration ($7,000m + $222m)</t>
  </si>
  <si>
    <t xml:space="preserve">  Cash acquired</t>
  </si>
  <si>
    <t xml:space="preserve">  Share consideration (10,953,543 shares × $576.70 at 30-Jun-26, pro forma basis)</t>
  </si>
  <si>
    <t xml:space="preserve">  Consideration shares issued (m)</t>
  </si>
  <si>
    <t xml:space="preserve">  Accounts receivable acquired</t>
  </si>
  <si>
    <t xml:space="preserve">  Inventories acquired (at fair value)</t>
  </si>
  <si>
    <t xml:space="preserve">  Other current assets acquired (incl. $279m advances to Lhoist affiliates)</t>
  </si>
  <si>
    <t xml:space="preserve">  Property, plant &amp; equipment (fair value)</t>
  </si>
  <si>
    <t xml:space="preserve">  Other intangible assets (customer relationships, permits, technology)</t>
  </si>
  <si>
    <t xml:space="preserve">  Other noncurrent assets (incl. ROU)</t>
  </si>
  <si>
    <t xml:space="preserve">  Accounts payable assumed</t>
  </si>
  <si>
    <t xml:space="preserve">  Accrued expenses assumed</t>
  </si>
  <si>
    <t xml:space="preserve">  Other noncurrent liabilities</t>
  </si>
  <si>
    <t xml:space="preserve">  Check: assets acquired − liabilities assumed − consideration (should be 0)</t>
  </si>
  <si>
    <t xml:space="preserve">Asset roll-forwards &amp; non-cash items</t>
  </si>
  <si>
    <t xml:space="preserve">  Amortization of legacy acquired intangibles (USDm)</t>
  </si>
  <si>
    <t xml:space="preserve">FY2025 10-K: expected amortization ~$25m p.a. for 2026–2028.</t>
  </si>
  <si>
    <t xml:space="preserve">  Deferred tax rate on LNA book-tax basis differences</t>
  </si>
  <si>
    <t xml:space="preserve">Estimated statutory rate used in the pro forma PPA (24.6%).</t>
  </si>
  <si>
    <t xml:space="preserve">  LNA capex % of sales (2026E 2H)</t>
  </si>
  <si>
    <t xml:space="preserve">LNA standalone capex: FY2025 $151m (8.6% of sales); 1H/26 $113m.</t>
  </si>
  <si>
    <t xml:space="preserve">  Dilutive securities (m shares)</t>
  </si>
  <si>
    <t xml:space="preserve">  Share-price appreciation % (buyback pricing)</t>
  </si>
  <si>
    <t xml:space="preserve">Debt schedule (scheduled note maturities + prepayable facilities to a minimum cash balance)</t>
  </si>
  <si>
    <t xml:space="preserve">  Total debt (current + long-term)</t>
  </si>
  <si>
    <t xml:space="preserve">Debt at 30-Jun-26 $5,951m: senior notes $5,296m face (3.45%/3.50% 2027, 2.50% 2030, 2.40% 2031, 5.15% 2034, 6.25% 2037, 4.25% 2047, 3.20% 2051, 5.50% 2054) + revolver $95m + trade receivable facility $560m. Aug-26: + $5.5bn notes (4.85% 2029, 5.20% 2032, 5.40% 2034, 5.625% 2036, 6.375% 2056) + $1.5bn 3-yr term loan.</t>
  </si>
  <si>
    <t xml:space="preserve">  Scheduled note maturities (input, negative)</t>
  </si>
  <si>
    <t xml:space="preserve">2027: 3.45% &amp; 3.50% notes ($794m); 2029: 4.85% notes ($750m); 2030: 2.50% notes ($474m).</t>
  </si>
  <si>
    <t xml:space="preserve">  % of scheduled maturities refinanced (input)</t>
  </si>
  <si>
    <t xml:space="preserve">100% = each maturity refinanced with new notes at the refinancing rate.</t>
  </si>
  <si>
    <t xml:space="preserve">  Refinancing issuance</t>
  </si>
  <si>
    <t xml:space="preserve">  Senior notes outstanding (face, year end)</t>
  </si>
  <si>
    <t xml:space="preserve">  New senior notes issued Aug-2026 (LNA financing)</t>
  </si>
  <si>
    <t xml:space="preserve">Form 8-K 14-Aug-2026: $750m 4.850% 2029, $1,250m 5.200% 2032, $1,000m 5.400% 2034, $1,500m 5.625% 2036, $1,000m 6.375% 2056.</t>
  </si>
  <si>
    <t xml:space="preserve">  Blended coupon on Aug-2026 notes %</t>
  </si>
  <si>
    <t xml:space="preserve">  Term loan drawn at closing (3-year, prepayable)</t>
  </si>
  <si>
    <t xml:space="preserve">Term Credit Agreement (8-K 15-Jul-2026); SOFR + ratings-based margin.</t>
  </si>
  <si>
    <t xml:space="preserve">  Term loan / facilities interest rate %</t>
  </si>
  <si>
    <t xml:space="preserve">Assumption: Term SOFR ~3.9% + ~1.1% margin.</t>
  </si>
  <si>
    <t xml:space="preserve">  Cash before prepayable facilities (opening cash + CFO + CFI + non-facility financing)</t>
  </si>
  <si>
    <t xml:space="preserve">  Minimum cash balance (incl. restricted)</t>
  </si>
  <si>
    <t xml:space="preserve">  Prepayable facilities outstanding: term loan, revolver, receivables facility (year end)</t>
  </si>
  <si>
    <t xml:space="preserve">Drawn/repaid so that cash = minimum balance; surplus cash first repays the term loan &amp; facilities (deleveraging), then accumulates.</t>
  </si>
  <si>
    <t xml:space="preserve">  Net issuance / (repayment)</t>
  </si>
  <si>
    <t xml:space="preserve">  Interest rate on senior notes (opening balance) % (historical = interest / opening total debt)</t>
  </si>
  <si>
    <t xml:space="preserve">2027E: 2026 year-end mix ≈ $5.3bn legacy notes at ~3.9% + $5.5bn new notes at 5.52% → ~4.7% incl. fees; drifts up as 2027/2030 maturities refinance at ~5.5%.</t>
  </si>
  <si>
    <t xml:space="preserve">  Interest rate on prepayable facilities %</t>
  </si>
  <si>
    <t xml:space="preserve">  Interest income yield on opening cash %</t>
  </si>
  <si>
    <t xml:space="preserve">Leverage-targeted buybacks (repurchases plug to a minimum net debt / Adjusted EBITDA)</t>
  </si>
  <si>
    <t xml:space="preserve">  Minimum net debt / Adjusted EBITDA (x) (scenario)</t>
  </si>
  <si>
    <t xml:space="preserve">MLM targets &lt; 2.5x within 24 months of the LNA closing (3.7x at closing). Buybacks resume only once leverage falls to the scenario floor.</t>
  </si>
  <si>
    <t xml:space="preserve">  Net debt before buybacks (year end)</t>
  </si>
  <si>
    <t xml:space="preserve">  Target minimum net debt = min. leverage × Adjusted EBITDA</t>
  </si>
  <si>
    <t xml:space="preserve">  Share repurchases: plug to minimum leverage</t>
  </si>
  <si>
    <t xml:space="preserve">Zero while leverage is above the floor (deleveraging after LNA); feeds the cash-flow repurchase line.</t>
  </si>
  <si>
    <t xml:space="preserve">Historical reference (driver context)</t>
  </si>
  <si>
    <t xml:space="preserve">  Total DD&amp;A % of revenues</t>
  </si>
  <si>
    <t xml:space="preserve">RATIO ANALYSIS</t>
  </si>
  <si>
    <t xml:space="preserve">RETURNS — annual columns (NOPAT on Adjusted EBIT)</t>
  </si>
  <si>
    <t xml:space="preserve">DuPont decomposition of ROIC</t>
  </si>
  <si>
    <t xml:space="preserve">Adjusted EBIT (Adjusted EBITDA − DD&amp;A)</t>
  </si>
  <si>
    <t xml:space="preserve">Effective tax rate (actual)</t>
  </si>
  <si>
    <t xml:space="preserve">NOPAT = Adjusted EBIT × (1 − tax rate)</t>
  </si>
  <si>
    <t xml:space="preserve">Invested capital (IC) = Equity + Net debt</t>
  </si>
  <si>
    <t xml:space="preserve">  Total equity incl. NCI</t>
  </si>
  <si>
    <t xml:space="preserve">  Net debt = Total debt − Cash</t>
  </si>
  <si>
    <t xml:space="preserve">ROIC = NOPAT / IC</t>
  </si>
  <si>
    <t xml:space="preserve">  Margin = Adjusted EBIT / Revenues</t>
  </si>
  <si>
    <t xml:space="preserve">  Capital turnover = Revenues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</si>
  <si>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</si>
  <si>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</si>
  <si>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</si>
  <si>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</si>
  <si>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</si>
  <si>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</si>
  <si>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</si>
  <si>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</si>
  <si>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</si>
  <si>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Martin Marietta shareholders' equity</t>
  </si>
  <si>
    <t xml:space="preserve">ROE = Net earnings / Equity</t>
  </si>
  <si>
    <t xml:space="preserve">Leverage</t>
  </si>
  <si>
    <t xml:space="preserve">Net debt = Total debt − cash</t>
  </si>
  <si>
    <t xml:space="preserve">Adjusted EBITDA (2026E pro forma for LNA full year)</t>
  </si>
  <si>
    <t xml:space="preserve">Net debt / Adjusted EBITDA (x)</t>
  </si>
  <si>
    <t xml:space="preserve">VALUATION</t>
  </si>
  <si>
    <t xml:space="preserve">VALUATION — share price input $518.70 (latest observable on EDGAR: Form 4 grant price 31-Aug-2026; update to market)</t>
  </si>
  <si>
    <t xml:space="preserve">Share price ($) — current</t>
  </si>
  <si>
    <t xml:space="preserve">Diluted shares at period end (m)</t>
  </si>
  <si>
    <t xml:space="preserve">Market capitalisation (USDm)</t>
  </si>
  <si>
    <t xml:space="preserve">Net debt (USDm)</t>
  </si>
  <si>
    <t xml:space="preserve">Noncontrolling interests (USDm)</t>
  </si>
  <si>
    <t xml:space="preserve">Enterprise value (USDm)</t>
  </si>
  <si>
    <t xml:space="preserve">Multiples</t>
  </si>
  <si>
    <t xml:space="preserve">  EV / Revenues (2026E pro forma)</t>
  </si>
  <si>
    <t xml:space="preserve">  EV / Adjusted EBITDA (2026E pro forma)</t>
  </si>
  <si>
    <t xml:space="preserve">  EV / Adjusted EBIT</t>
  </si>
  <si>
    <t xml:space="preserve">  EV / IC</t>
  </si>
  <si>
    <t xml:space="preserve">  P / E (GAAP diluted, continuing ops)</t>
  </si>
  <si>
    <t xml:space="preserve">  P / E (adjusted EPS)</t>
  </si>
  <si>
    <t xml:space="preserve">  FCF yield</t>
  </si>
  <si>
    <t xml:space="preserve">  Dividend yield</t>
  </si>
  <si>
    <t xml:space="preserve">Martin Marietta Materials (MLM) — Bull / Base / Bear Case P&amp;L Summary</t>
  </si>
  <si>
    <t xml:space="preserve">Share price ($):</t>
  </si>
  <si>
    <t xml:space="preserve">Adjusted figures (company current definition: Adjusted EBITDA / adjusted EPS from continuing operations) · USD millions · Live panel linked to Model — toggle scenario via Model!CF2. Bull and Bear panels are value snapshots generated from the Model with the switch set to each case. 2026E includes LNA from 21-Aug-2026.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</si>
  <si>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</si>
  <si>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</si>
  <si>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</si>
  <si>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</si>
  <si>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</si>
  <si>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</si>
  <si>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</si>
  <si>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</si>
  <si>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</si>
  <si>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</si>
  <si>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Revenues</t>
  </si>
  <si>
    <t xml:space="preserve">   Revenues y/y %</t>
  </si>
  <si>
    <t xml:space="preserve">   Aggregates shipments y/y %</t>
  </si>
  <si>
    <t xml:space="preserve">Adjusted EBITDA (continuing operations)</t>
  </si>
  <si>
    <t xml:space="preserve">   Adjusted EBITDA margin %</t>
  </si>
  <si>
    <t xml:space="preserve">Earnings from Operations (GAAP)</t>
  </si>
  <si>
    <t xml:space="preserve">   Earnings from operations y/y %</t>
  </si>
  <si>
    <t xml:space="preserve">   Operating margin (GAAP) %</t>
  </si>
  <si>
    <t xml:space="preserve">Adjusted Net Earnings (continuing ops, attributable to MLM)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</si>
  <si>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</si>
  <si>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</si>
  <si>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</si>
  <si>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</si>
  <si>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</si>
  <si>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</si>
  <si>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</si>
  <si>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</t>
  </si>
  <si>
    <t xml:space="preserve">   FCF %</t>
  </si>
  <si>
    <t xml:space="preserve">   FCF / share ($)</t>
  </si>
  <si>
    <t xml:space="preserve">   FCF Yield (on PT)</t>
  </si>
  <si>
    <t xml:space="preserve">Adjusted EBITDA — pro forma (2026E incl. LNA full year)</t>
  </si>
  <si>
    <t xml:space="preserve">   Adjusted EBITDA (pro forma) % of revenues</t>
  </si>
  <si>
    <t xml:space="preserve">Net Debt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</si>
  <si>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</si>
  <si>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</si>
  <si>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</si>
  <si>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</si>
  <si>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 &amp; NCI</t>
  </si>
  <si>
    <t xml:space="preserve">Implied Enterprise Value (USDm)</t>
  </si>
  <si>
    <t xml:space="preserve">Implied EV / Adjusted EBITDA (x)</t>
  </si>
  <si>
    <t xml:space="preserve">DCF VALUATION — MARTIN MARIETTA MATERIALS (MLM)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</si>
  <si>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</si>
  <si>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</si>
  <si>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</si>
  <si>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</si>
  <si>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</si>
  <si>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</si>
  <si>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Construction-materials peers (VMC, CRH, EXP, Knife River) ~0.9–1.1; infrastructure-weighted demand and aggregates pricing power dampen cyclicality</t>
  </si>
  <si>
    <t xml:space="preserve">Cost of equity</t>
  </si>
  <si>
    <t xml:space="preserve">Pre-tax cost of debt</t>
  </si>
  <si>
    <t xml:space="preserve">Investment grade (BBB+/Baa2); Aug-2026 LNA notes priced at 4.85%–6.375% (5.52% blended); marginal cost ~5.5%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</si>
  <si>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</si>
  <si>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</si>
  <si>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</si>
  <si>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</si>
  <si>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~$12.2bn at YE2026E (post-LNA) vs ~$37bn market cap ($518.70 × ~71m shares); 3.8x pro forma leverage, targeted &lt; 2.5x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</si>
  <si>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</si>
  <si>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</si>
  <si>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</si>
  <si>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</si>
  <si>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</si>
  <si>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</si>
  <si>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</si>
  <si>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</si>
  <si>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</si>
  <si>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</si>
  <si>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26–30E</t>
  </si>
  <si>
    <t xml:space="preserve">CAGR 26–35E</t>
  </si>
  <si>
    <t xml:space="preserve">Adjusted EBIT (Model; Adjusted EBITDA − DD&amp;A)</t>
  </si>
  <si>
    <t xml:space="preserve">   y/y %</t>
  </si>
  <si>
    <t xml:space="preserve">(−) Acquisition, divestiture &amp; integration costs (cash; added back in Adjusted EBITDA)</t>
  </si>
  <si>
    <t xml:space="preserve">× (1 − tax rate)</t>
  </si>
  <si>
    <t xml:space="preserve">NOPAT  =  (Adjusted EBIT − acquisition costs) × (1 − t)</t>
  </si>
  <si>
    <t xml:space="preserve">plus depreciation, depletion &amp; amortization (total, incl. LNA purchase accounting)</t>
  </si>
  <si>
    <t xml:space="preserve">− Capex (PP&amp;E) and acquisitions (M&amp;A lever, 2027E+)</t>
  </si>
  <si>
    <t xml:space="preserve">− Δ Working capital (CF statement)</t>
  </si>
  <si>
    <t xml:space="preserve">Unlevered FCF</t>
  </si>
  <si>
    <t xml:space="preserve">Terminal Value (Gordon Growth)</t>
  </si>
  <si>
    <t xml:space="preserve">   memo: PP&amp;E capex only (fade years carry no new acquisitions)</t>
  </si>
  <si>
    <t xml:space="preserve">Fade-period growth (2031E–35E)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</si>
  <si>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</si>
  <si>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</si>
  <si>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</si>
  <si>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</si>
  <si>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MLM's Adjusted EBITDA expenses stock-based compensation; Adjusted EBIT deducts all DD&amp;A incl. ~$380m p.a. of LNA purchase-accounting D&amp;A (non-cash, added back in row 23). The LNA cash consideration (closed 21-Aug-2026) sits in YE2026E net debt, not in UFCF. Acquisition spend from the M&amp;A lever is deducted in 2027E–30E; the fade period and terminal value assume no new acquisitions. LNA intangible amortization is largely non-deductible (a deferred tax liability was recorded), so NOPAT slightly overstates the tax shield. Operating-lease costs sit inside earnings from operations.</t>
  </si>
  <si>
    <t xml:space="preserve">Implied ROIC &amp; incremental ROIC (USDm)</t>
  </si>
  <si>
    <t xml:space="preserve">NOPAT (row 22)</t>
  </si>
  <si>
    <t xml:space="preserve">Net investment  =  NOPAT − UFCF</t>
  </si>
  <si>
    <t xml:space="preserve">Opening invested capital</t>
  </si>
  <si>
    <t xml:space="preserve">Closing invested capital</t>
  </si>
  <si>
    <t xml:space="preserve">Implied ROIC  =  NOPAT / opening IC</t>
  </si>
  <si>
    <t xml:space="preserve">Reinvestment rate  =  net inv. / NOPAT</t>
  </si>
  <si>
    <t xml:space="preserve">Incremental ROIC  =  Δ NOPAT / prior-yr net inv.</t>
  </si>
  <si>
    <t xml:space="preserve">Cumulative incremental ROIC 2026E–35E</t>
  </si>
  <si>
    <t xml:space="preserve">Opening IC = Model 2025A book IC (equity + net debt) + LNA total consideration ($13.5bn cash &amp; shares), rolled forward with DCF net investment (capex + M&amp;A − D&amp;A + ΔWC). Terminal incremental ROIC = g ÷ reinvestment rate. Cumulative = (NOPAT 2035E − 2026E) / Σ net investment 2026E–34E.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</si>
  <si>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</si>
  <si>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</si>
  <si>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</si>
  <si>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</si>
  <si>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(Model 2026E YE, post-LNA)</t>
  </si>
  <si>
    <t xml:space="preserve">Less: non-controlling interests (Model 2026E)</t>
  </si>
  <si>
    <t xml:space="preserve">Equity Value</t>
  </si>
  <si>
    <t xml:space="preserve">Diluted shares (m, Model 2026E period end incl. 10.95m LNA shares)</t>
  </si>
  <si>
    <t xml:space="preserve">Implied share price ($)</t>
  </si>
  <si>
    <t xml:space="preserve">Current share price ($)</t>
  </si>
  <si>
    <t xml:space="preserve">Implied upside / (downside)</t>
  </si>
  <si>
    <t xml:space="preserve">4. SENSITIVITY: IMPLIED PRICE ($) — WACC × Terminal Growth</t>
  </si>
  <si>
    <t xml:space="preserve">WACC step (across)</t>
  </si>
  <si>
    <t xml:space="preserve">Terminal growth step (down)</t>
  </si>
  <si>
    <t xml:space="preserve">g (down) / WACC</t>
  </si>
  <si>
    <t xml:space="preserve">5. REVERSE DCF</t>
  </si>
  <si>
    <t xml:space="preserve">To solve for the market-implied path: Data ▸ What-If Analysis ▸ Goal Seek — set C57 (implied price) to the current price (C58) by changing C32 (terminal growth) or the Model scenario levers (aggregates volume / ASP / margins, LNA growth &amp; synergies, M&amp;A spend).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</si>
  <si>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</si>
  <si>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</si>
  <si>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</si>
  <si>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</si>
  <si>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</si>
  <si>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(Martin Marietta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</si>
  <si>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</si>
  <si>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</si>
  <si>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</si>
  <si>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2026–30E: mid-single-digit aggregates pricing + low-single-digit volume, LNA synergies and deleveraging → ~9% NOPAT growth</t>
  </si>
  <si>
    <t xml:space="preserve">ROIIC  (Return on incremental invested capital)</t>
  </si>
  <si>
    <t xml:space="preserve">Aggregates pricing power on a fixed, permitted reserve base earns high returns on organic investment (capex ~8% of sales); acquired growth earns ~6–8% after tax on purchase price (LNA ~15x EBITDA incl. synergies)</t>
  </si>
  <si>
    <t xml:space="preserve">N  (Years of value creation / CAP)</t>
  </si>
  <si>
    <t xml:space="preserve">Irreplaceable permitted reserves (~70–100 years) in Sun Belt growth markets; local scale plus rail/water logistics; #1 U.S. lime producer post-LNA; disciplined SOAR 2030 capital allocation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</si>
  <si>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</si>
  <si>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</si>
  <si>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</si>
  <si>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</si>
  <si>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</si>
  <si>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</si>
  <si>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</si>
  <si>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</si>
  <si>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</si>
  <si>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Adjusted EBIT (Model)</t>
  </si>
  <si>
    <t xml:space="preserve">(−) 2028E acquisition &amp; integration costs</t>
  </si>
  <si>
    <t xml:space="preserve">Tax rate (from WACC build)</t>
  </si>
  <si>
    <t xml:space="preserve">2028E NOPAT  =  (Adj. EBIT − acquisition costs) × (1 − t)</t>
  </si>
  <si>
    <t xml:space="preserve">× Mauboussin EV/NOPAT multiple</t>
  </si>
  <si>
    <t xml:space="preserve">Implied Enterprise Value (2028E basis)</t>
  </si>
  <si>
    <t xml:space="preserve">Less: YE2027 net debt +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</si>
  <si>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</si>
  <si>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</si>
  <si>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</si>
  <si>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</si>
  <si>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</si>
  <si>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 &amp; NCI</t>
  </si>
  <si>
    <t xml:space="preserve">Implied Enterprise Value (today)</t>
  </si>
  <si>
    <t xml:space="preserve">MLM's market-implied EV/NOPAT (on 2028E NOPAT)</t>
  </si>
  <si>
    <t xml:space="preserve">Multiple gap (Mauboussin − Market)</t>
  </si>
  <si>
    <t xml:space="preserve">Implied re-rating headroom</t>
  </si>
  <si>
    <t xml:space="preserve">Martin Marietta Materials — Historical Operating Performance (2006–2025)</t>
  </si>
  <si>
    <t xml:space="preserve">All historicals · USDm · Linked to Model. Volume / price = aggregates shipments and ASP y/y (company-reported price change where the $ ASP was not disclosed: 2007–12, 2014–15). Adjusted EBITDA as reconciled by MLM in each period (EBITDA before 2018); 2025 on the continuing-operations basis.</t>
  </si>
  <si>
    <t xml:space="preserve">Aggregates volume %</t>
  </si>
  <si>
    <t xml:space="preserve">Aggregates price (ASP) %</t>
  </si>
  <si>
    <t xml:space="preserve">Adjusted EBITDA</t>
  </si>
  <si>
    <t xml:space="preserve">Adj. EBITDA Margin %</t>
  </si>
  <si>
    <t xml:space="preserve">GAAP Op. Margin %</t>
  </si>
  <si>
    <t xml:space="preserve">Adj. EBITDA margin %</t>
  </si>
  <si>
    <t xml:space="preserve">FCF margin %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</si>
</sst>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.0;\(#,##0.0\);\-"/>
    <numFmt numFmtId="166" formatCode="0%;\(0%\);&quot;n/m&quot;"/>
    <numFmt numFmtId="167" formatCode="0.0%;\(0.0%\);\-"/>
    <numFmt numFmtId="168" formatCode="#,##0;\(#,##0\);\-"/>
    <numFmt numFmtId="169" formatCode="0.00;\(0.00\);\-"/>
    <numFmt numFmtId="170" formatCode="0.000\x;\(0.000&quot;x)&quot;;\-"/>
    <numFmt numFmtId="171" formatCode="0.0\x;\(0.0&quot;x)&quot;;\-"/>
    <numFmt numFmtId="172" formatCode="\+0.0%;\-0.0%"/>
    <numFmt numFmtId="173" formatCode="0"/>
    <numFmt numFmtId="174" formatCode="\+#,##0;\-#,##0"/>
    <numFmt numFmtId="175" formatCode="0.00\x;\(0.00&quot;x)&quot;;\-"/>
    <numFmt numFmtId="176" formatCode="0\d;\(0&quot;)d&quot;;\-"/>
    <numFmt numFmtId="177" formatCode="#,##0.00"/>
    <numFmt numFmtId="178" formatCode="dd\-mmm\-yy"/>
    <numFmt numFmtId="179" formatCode="0%;\(0%\);\-"/>
    <numFmt numFmtId="180" formatCode="0.0\x"/>
    <numFmt numFmtId="181" formatCode="0.00%"/>
    <numFmt numFmtId="182" formatCode="0.00"/>
    <numFmt numFmtId="183" formatCode="0.0%"/>
    <numFmt numFmtId="184" formatCode="0.000"/>
    <numFmt numFmtId="185" formatCode="#,##0"/>
    <numFmt numFmtId="186" formatCode="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i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i val="true"/>
      <sz val="11"/>
      <color rgb="FFC00000"/>
      <name val="Calibri"/>
      <family val="0"/>
      <charset val="1"/>
    </font>
    <font>
      <b val="true"/>
      <i val="true"/>
      <sz val="10"/>
      <color rgb="FFC00000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0"/>
      <charset val="1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2"/>
      <color rgb="FF008000"/>
      <name val="Calibri"/>
      <family val="0"/>
      <charset val="1"/>
    </font>
    <font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2"/>
      <color rgb="FF000000"/>
      <name val="Calibri"/>
      <family val="0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sz val="1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Aggregates Revenue Drivers: Shipment Volume vs. Price (ASP),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Aggregates volume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-0.0814348329890675</c:v>
                </c:pt>
                <c:pt idx="2">
                  <c:v>-0.125988613801652</c:v>
                </c:pt>
                <c:pt idx="3">
                  <c:v>-0.22562203884409</c:v>
                </c:pt>
                <c:pt idx="4">
                  <c:v>0.0535327914684647</c:v>
                </c:pt>
                <c:pt idx="5">
                  <c:v>-0.0379441107017315</c:v>
                </c:pt>
                <c:pt idx="6">
                  <c:v>0.0260405839742872</c:v>
                </c:pt>
                <c:pt idx="7">
                  <c:v>0.000794819646071421</c:v>
                </c:pt>
                <c:pt idx="8">
                  <c:v>0.137168796181667</c:v>
                </c:pt>
                <c:pt idx="9">
                  <c:v>0.0710167750770283</c:v>
                </c:pt>
                <c:pt idx="10">
                  <c:v>0.0140900896293361</c:v>
                </c:pt>
                <c:pt idx="11">
                  <c:v>-0.00585023892678371</c:v>
                </c:pt>
                <c:pt idx="12">
                  <c:v>0.083311139012543</c:v>
                </c:pt>
                <c:pt idx="13">
                  <c:v>0.118768877754103</c:v>
                </c:pt>
                <c:pt idx="14">
                  <c:v>-0.0242039282986093</c:v>
                </c:pt>
                <c:pt idx="15">
                  <c:v>0.0788203753351207</c:v>
                </c:pt>
                <c:pt idx="16">
                  <c:v>0.0323061630218688</c:v>
                </c:pt>
                <c:pt idx="17">
                  <c:v>-0.0428502648050071</c:v>
                </c:pt>
                <c:pt idx="18">
                  <c:v>-0.0387323943661972</c:v>
                </c:pt>
                <c:pt idx="19">
                  <c:v>0.0387231815803244</c:v>
                </c:pt>
              </c:numCache>
            </c:numRef>
          </c:val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Aggregates price (ASP)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0.104</c:v>
                </c:pt>
                <c:pt idx="2">
                  <c:v>0.069</c:v>
                </c:pt>
                <c:pt idx="3">
                  <c:v>0.021</c:v>
                </c:pt>
                <c:pt idx="4">
                  <c:v>-0.034</c:v>
                </c:pt>
                <c:pt idx="5">
                  <c:v>0.027</c:v>
                </c:pt>
                <c:pt idx="6">
                  <c:v>0.008</c:v>
                </c:pt>
                <c:pt idx="7">
                  <c:v>0.0290416263310747</c:v>
                </c:pt>
                <c:pt idx="8">
                  <c:v>0.045</c:v>
                </c:pt>
                <c:pt idx="9">
                  <c:v>0.08</c:v>
                </c:pt>
                <c:pt idx="10">
                  <c:v>0.073</c:v>
                </c:pt>
                <c:pt idx="11">
                  <c:v>0.0450310559006211</c:v>
                </c:pt>
                <c:pt idx="12">
                  <c:v>0.0185735512630014</c:v>
                </c:pt>
                <c:pt idx="13">
                  <c:v>0.0452224653537563</c:v>
                </c:pt>
                <c:pt idx="14">
                  <c:v>0.0307048150732727</c:v>
                </c:pt>
                <c:pt idx="15">
                  <c:v>0.020988490182803</c:v>
                </c:pt>
                <c:pt idx="16">
                  <c:v>0.106100795755968</c:v>
                </c:pt>
                <c:pt idx="17">
                  <c:v>0.189448441247002</c:v>
                </c:pt>
                <c:pt idx="18">
                  <c:v>0.0987903225806452</c:v>
                </c:pt>
                <c:pt idx="19">
                  <c:v>0.0688073394495412</c:v>
                </c:pt>
              </c:numCache>
            </c:numRef>
          </c:val>
        </c:ser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EBITDA &amp; Earnings from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535</c:v>
                </c:pt>
                <c:pt idx="1">
                  <c:v>590.6</c:v>
                </c:pt>
                <c:pt idx="2">
                  <c:v>497.7</c:v>
                </c:pt>
                <c:pt idx="3">
                  <c:v>364.1</c:v>
                </c:pt>
                <c:pt idx="4">
                  <c:v>374.7</c:v>
                </c:pt>
                <c:pt idx="5">
                  <c:v>335.9</c:v>
                </c:pt>
                <c:pt idx="6">
                  <c:v>329.9</c:v>
                </c:pt>
                <c:pt idx="7">
                  <c:v>390.2</c:v>
                </c:pt>
                <c:pt idx="8">
                  <c:v>537</c:v>
                </c:pt>
                <c:pt idx="9">
                  <c:v>766.7</c:v>
                </c:pt>
                <c:pt idx="10">
                  <c:v>971.6</c:v>
                </c:pt>
                <c:pt idx="11">
                  <c:v>1004.4</c:v>
                </c:pt>
                <c:pt idx="12">
                  <c:v>1103.765</c:v>
                </c:pt>
                <c:pt idx="13">
                  <c:v>1254.549</c:v>
                </c:pt>
                <c:pt idx="14">
                  <c:v>1392.8</c:v>
                </c:pt>
                <c:pt idx="15">
                  <c:v>1528.5</c:v>
                </c:pt>
                <c:pt idx="16">
                  <c:v>1600.3</c:v>
                </c:pt>
                <c:pt idx="17">
                  <c:v>2127.7</c:v>
                </c:pt>
                <c:pt idx="18">
                  <c:v>2066</c:v>
                </c:pt>
                <c:pt idx="19">
                  <c:v>2065</c:v>
                </c:pt>
              </c:numCache>
            </c:numRef>
          </c:val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Earnings from Operations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388</c:v>
                </c:pt>
                <c:pt idx="1">
                  <c:v>433</c:v>
                </c:pt>
                <c:pt idx="2">
                  <c:v>323.3</c:v>
                </c:pt>
                <c:pt idx="3">
                  <c:v>187.6</c:v>
                </c:pt>
                <c:pt idx="4">
                  <c:v>196.4</c:v>
                </c:pt>
                <c:pt idx="5">
                  <c:v>161</c:v>
                </c:pt>
                <c:pt idx="6">
                  <c:v>155</c:v>
                </c:pt>
                <c:pt idx="7">
                  <c:v>218</c:v>
                </c:pt>
                <c:pt idx="8">
                  <c:v>314.9</c:v>
                </c:pt>
                <c:pt idx="9">
                  <c:v>479.4</c:v>
                </c:pt>
                <c:pt idx="10">
                  <c:v>667.3</c:v>
                </c:pt>
                <c:pt idx="11">
                  <c:v>700.4</c:v>
                </c:pt>
                <c:pt idx="12">
                  <c:v>690.737</c:v>
                </c:pt>
                <c:pt idx="13">
                  <c:v>884.934</c:v>
                </c:pt>
                <c:pt idx="14">
                  <c:v>1005.4</c:v>
                </c:pt>
                <c:pt idx="15">
                  <c:v>973.8</c:v>
                </c:pt>
                <c:pt idx="16">
                  <c:v>1206.7</c:v>
                </c:pt>
                <c:pt idx="17">
                  <c:v>1596</c:v>
                </c:pt>
                <c:pt idx="18">
                  <c:v>2707</c:v>
                </c:pt>
                <c:pt idx="19">
                  <c:v>1437</c:v>
                </c:pt>
              </c:numCache>
            </c:numRef>
          </c:val>
        </c:ser>
        <c:gapWidth val="150"/>
        <c:overlap val="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0.242476432197244</c:v>
                </c:pt>
                <c:pt idx="1">
                  <c:v>0.267590956458701</c:v>
                </c:pt>
                <c:pt idx="2">
                  <c:v>0.234753077685015</c:v>
                </c:pt>
                <c:pt idx="3">
                  <c:v>0.213849406789616</c:v>
                </c:pt>
                <c:pt idx="4">
                  <c:v>0.210163217230355</c:v>
                </c:pt>
                <c:pt idx="5">
                  <c:v>0.195985763463446</c:v>
                </c:pt>
                <c:pt idx="6">
                  <c:v>0.161906164114645</c:v>
                </c:pt>
                <c:pt idx="7">
                  <c:v>0.181025284156808</c:v>
                </c:pt>
                <c:pt idx="8">
                  <c:v>0.181541582150102</c:v>
                </c:pt>
                <c:pt idx="9">
                  <c:v>0.216606396202961</c:v>
                </c:pt>
                <c:pt idx="10">
                  <c:v>0.254425473970881</c:v>
                </c:pt>
                <c:pt idx="11">
                  <c:v>0.253278192455114</c:v>
                </c:pt>
                <c:pt idx="12">
                  <c:v>0.260060340247369</c:v>
                </c:pt>
                <c:pt idx="13">
                  <c:v>0.264723160398878</c:v>
                </c:pt>
                <c:pt idx="14">
                  <c:v>0.294467113469629</c:v>
                </c:pt>
                <c:pt idx="15">
                  <c:v>0.282323605467307</c:v>
                </c:pt>
                <c:pt idx="16">
                  <c:v>0.259759442920447</c:v>
                </c:pt>
                <c:pt idx="17">
                  <c:v>0.31394971374609</c:v>
                </c:pt>
                <c:pt idx="18">
                  <c:v>0.31609547123623</c:v>
                </c:pt>
                <c:pt idx="19">
                  <c:v>0.335772357723577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0.175852066715011</c:v>
                </c:pt>
                <c:pt idx="1">
                  <c:v>0.1961850391917</c:v>
                </c:pt>
                <c:pt idx="2">
                  <c:v>0.152492806943069</c:v>
                </c:pt>
                <c:pt idx="3">
                  <c:v>0.110184423822389</c:v>
                </c:pt>
                <c:pt idx="4">
                  <c:v>0.110157608390824</c:v>
                </c:pt>
                <c:pt idx="5">
                  <c:v>0.0939378026722679</c:v>
                </c:pt>
                <c:pt idx="6">
                  <c:v>0.0760698861405575</c:v>
                </c:pt>
                <c:pt idx="7">
                  <c:v>0.101136627232661</c:v>
                </c:pt>
                <c:pt idx="8">
                  <c:v>0.106457065584855</c:v>
                </c:pt>
                <c:pt idx="9">
                  <c:v>0.135439032659057</c:v>
                </c:pt>
                <c:pt idx="10">
                  <c:v>0.174740756258511</c:v>
                </c:pt>
                <c:pt idx="11">
                  <c:v>0.176618922735526</c:v>
                </c:pt>
                <c:pt idx="12">
                  <c:v>0.162745964260007</c:v>
                </c:pt>
                <c:pt idx="13">
                  <c:v>0.186730470650744</c:v>
                </c:pt>
                <c:pt idx="14">
                  <c:v>0.212562633459481</c:v>
                </c:pt>
                <c:pt idx="15">
                  <c:v>0.179867011451792</c:v>
                </c:pt>
                <c:pt idx="16">
                  <c:v>0.19587059912023</c:v>
                </c:pt>
                <c:pt idx="17">
                  <c:v>0.235495484861005</c:v>
                </c:pt>
                <c:pt idx="18">
                  <c:v>0.414167686658507</c:v>
                </c:pt>
                <c:pt idx="19">
                  <c:v>0.233658536585366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0.142108922545717</c:v>
                </c:pt>
                <c:pt idx="1">
                  <c:v>0.148883916291157</c:v>
                </c:pt>
                <c:pt idx="2">
                  <c:v>0.0965425347165347</c:v>
                </c:pt>
                <c:pt idx="3">
                  <c:v>0.0593972112054898</c:v>
                </c:pt>
                <c:pt idx="4">
                  <c:v>0.0618673205144605</c:v>
                </c:pt>
                <c:pt idx="5">
                  <c:v>0.0522949668267121</c:v>
                </c:pt>
                <c:pt idx="6">
                  <c:v>0.0521852421597164</c:v>
                </c:pt>
                <c:pt idx="7">
                  <c:v>0.0623401958517609</c:v>
                </c:pt>
                <c:pt idx="8">
                  <c:v>0.0336171499852966</c:v>
                </c:pt>
                <c:pt idx="9">
                  <c:v>0.0646463765753955</c:v>
                </c:pt>
                <c:pt idx="10">
                  <c:v>0.0835229158371709</c:v>
                </c:pt>
                <c:pt idx="11">
                  <c:v>0.130740834169476</c:v>
                </c:pt>
                <c:pt idx="12">
                  <c:v>0.0777092734611203</c:v>
                </c:pt>
                <c:pt idx="13">
                  <c:v>0.0884938792533236</c:v>
                </c:pt>
                <c:pt idx="14">
                  <c:v>0.0982189587023646</c:v>
                </c:pt>
                <c:pt idx="15">
                  <c:v>0.0783411996602158</c:v>
                </c:pt>
                <c:pt idx="16">
                  <c:v>0.0776453772068504</c:v>
                </c:pt>
                <c:pt idx="17">
                  <c:v>0.117464050685707</c:v>
                </c:pt>
                <c:pt idx="18">
                  <c:v>0.081333230459273</c:v>
                </c:pt>
                <c:pt idx="19">
                  <c:v>0.0783738425246752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0.157756861017859</c:v>
                </c:pt>
                <c:pt idx="1">
                  <c:v>0.163303951287936</c:v>
                </c:pt>
                <c:pt idx="2">
                  <c:v>0.102300405031118</c:v>
                </c:pt>
                <c:pt idx="3">
                  <c:v>0.0578797149352469</c:v>
                </c:pt>
                <c:pt idx="4">
                  <c:v>0.0655031049875856</c:v>
                </c:pt>
                <c:pt idx="5">
                  <c:v>0.0561978823535032</c:v>
                </c:pt>
                <c:pt idx="6">
                  <c:v>0.0554629606528881</c:v>
                </c:pt>
                <c:pt idx="7">
                  <c:v>0.0666827368723436</c:v>
                </c:pt>
                <c:pt idx="8">
                  <c:v>0.0398512244585554</c:v>
                </c:pt>
                <c:pt idx="9">
                  <c:v>0.0788598992473044</c:v>
                </c:pt>
                <c:pt idx="10">
                  <c:v>0.102564160480003</c:v>
                </c:pt>
                <c:pt idx="11">
                  <c:v>0.12853746067446</c:v>
                </c:pt>
                <c:pt idx="12">
                  <c:v>0.0997099436268462</c:v>
                </c:pt>
                <c:pt idx="13">
                  <c:v>0.106277877744946</c:v>
                </c:pt>
                <c:pt idx="14">
                  <c:v>0.114027004810715</c:v>
                </c:pt>
                <c:pt idx="15">
                  <c:v>0.0981745239657808</c:v>
                </c:pt>
                <c:pt idx="16">
                  <c:v>0.0957040377546998</c:v>
                </c:pt>
                <c:pt idx="17">
                  <c:v>0.12709607767213</c:v>
                </c:pt>
                <c:pt idx="18">
                  <c:v>0.0903497527218915</c:v>
                </c:pt>
                <c:pt idx="19">
                  <c:v>0.0870061752851437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0.242476432197244</c:v>
                </c:pt>
                <c:pt idx="1">
                  <c:v>0.267590956458701</c:v>
                </c:pt>
                <c:pt idx="2">
                  <c:v>0.234753077685015</c:v>
                </c:pt>
                <c:pt idx="3">
                  <c:v>0.213849406789616</c:v>
                </c:pt>
                <c:pt idx="4">
                  <c:v>0.210163217230355</c:v>
                </c:pt>
                <c:pt idx="5">
                  <c:v>0.195985763463446</c:v>
                </c:pt>
                <c:pt idx="6">
                  <c:v>0.161906164114645</c:v>
                </c:pt>
                <c:pt idx="7">
                  <c:v>0.181025284156808</c:v>
                </c:pt>
                <c:pt idx="8">
                  <c:v>0.181541582150102</c:v>
                </c:pt>
                <c:pt idx="9">
                  <c:v>0.216606396202961</c:v>
                </c:pt>
                <c:pt idx="10">
                  <c:v>0.254425473970881</c:v>
                </c:pt>
                <c:pt idx="11">
                  <c:v>0.253278192455114</c:v>
                </c:pt>
                <c:pt idx="12">
                  <c:v>0.260060340247369</c:v>
                </c:pt>
                <c:pt idx="13">
                  <c:v>0.264723160398878</c:v>
                </c:pt>
                <c:pt idx="14">
                  <c:v>0.294467113469629</c:v>
                </c:pt>
                <c:pt idx="15">
                  <c:v>0.282323605467307</c:v>
                </c:pt>
                <c:pt idx="16">
                  <c:v>0.259759442920447</c:v>
                </c:pt>
                <c:pt idx="17">
                  <c:v>0.31394971374609</c:v>
                </c:pt>
                <c:pt idx="18">
                  <c:v>0.31609547123623</c:v>
                </c:pt>
                <c:pt idx="19">
                  <c:v>0.335772357723577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0.0327302393038434</c:v>
                </c:pt>
                <c:pt idx="1">
                  <c:v>0.0591930587648951</c:v>
                </c:pt>
                <c:pt idx="2">
                  <c:v>0.0412188104334701</c:v>
                </c:pt>
                <c:pt idx="3">
                  <c:v>0.105214378010102</c:v>
                </c:pt>
                <c:pt idx="4">
                  <c:v>0.0750978742498177</c:v>
                </c:pt>
                <c:pt idx="5">
                  <c:v>0.0605233677577455</c:v>
                </c:pt>
                <c:pt idx="6">
                  <c:v>0.03517177071064</c:v>
                </c:pt>
                <c:pt idx="7">
                  <c:v>0.0713143122245419</c:v>
                </c:pt>
                <c:pt idx="8">
                  <c:v>0.0505324543610548</c:v>
                </c:pt>
                <c:pt idx="9">
                  <c:v>0.0720191547067465</c:v>
                </c:pt>
                <c:pt idx="10">
                  <c:v>0.0763032889913062</c:v>
                </c:pt>
                <c:pt idx="11">
                  <c:v>0.0624251059108332</c:v>
                </c:pt>
                <c:pt idx="12">
                  <c:v>0.0775620749411264</c:v>
                </c:pt>
                <c:pt idx="13">
                  <c:v>0.120824680139554</c:v>
                </c:pt>
                <c:pt idx="14">
                  <c:v>0.145965030973171</c:v>
                </c:pt>
                <c:pt idx="15">
                  <c:v>0.131991134096786</c:v>
                </c:pt>
                <c:pt idx="16">
                  <c:v>0.0826854091255864</c:v>
                </c:pt>
                <c:pt idx="17">
                  <c:v>0.129566782742135</c:v>
                </c:pt>
                <c:pt idx="18">
                  <c:v>0.0924112607099143</c:v>
                </c:pt>
                <c:pt idx="19">
                  <c:v>0.159024390243902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160560</xdr:rowOff>
    </xdr:from>
    <xdr:to>
      <xdr:col>12</xdr:col>
      <xdr:colOff>543600</xdr:colOff>
      <xdr:row>37</xdr:row>
      <xdr:rowOff>2160</xdr:rowOff>
    </xdr:to>
    <xdr:graphicFrame>
      <xdr:nvGraphicFramePr>
        <xdr:cNvPr id="0" name="Chart 1"/>
        <xdr:cNvGraphicFramePr/>
      </xdr:nvGraphicFramePr>
      <xdr:xfrm>
        <a:off x="762120" y="4380120"/>
        <a:ext cx="1083060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543600</xdr:colOff>
      <xdr:row>58</xdr:row>
      <xdr:rowOff>1800</xdr:rowOff>
    </xdr:to>
    <xdr:graphicFrame>
      <xdr:nvGraphicFramePr>
        <xdr:cNvPr id="1" name="Chart 2"/>
        <xdr:cNvGraphicFramePr/>
      </xdr:nvGraphicFramePr>
      <xdr:xfrm>
        <a:off x="762120" y="8380800"/>
        <a:ext cx="1083060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543600</xdr:colOff>
      <xdr:row>79</xdr:row>
      <xdr:rowOff>2160</xdr:rowOff>
    </xdr:to>
    <xdr:graphicFrame>
      <xdr:nvGraphicFramePr>
        <xdr:cNvPr id="2" name="Chart 3"/>
        <xdr:cNvGraphicFramePr/>
      </xdr:nvGraphicFramePr>
      <xdr:xfrm>
        <a:off x="762120" y="12381120"/>
        <a:ext cx="1083060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R440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1" outlineLevelCol="1"/>
  <cols>
    <col collapsed="false" customWidth="true" hidden="false" outlineLevel="0" max="1" min="1" style="0" width="2.43"/>
    <col collapsed="false" customWidth="true" hidden="false" outlineLevel="0" max="2" min="2" style="0" width="62"/>
    <col collapsed="false" customWidth="true" hidden="false" outlineLevel="0" max="9" min="3" style="0" width="14.14"/>
    <col collapsed="false" customWidth="true" hidden="true" outlineLevel="1" max="13" min="10" style="0" width="9.57"/>
    <col collapsed="false" customWidth="true" hidden="false" outlineLevel="0" max="14" min="14" style="0" width="14.14"/>
    <col collapsed="false" customWidth="true" hidden="true" outlineLevel="1" max="18" min="15" style="0" width="9.57"/>
    <col collapsed="false" customWidth="true" hidden="false" outlineLevel="0" max="19" min="19" style="0" width="14.14"/>
    <col collapsed="false" customWidth="true" hidden="true" outlineLevel="1" max="23" min="20" style="0" width="9.57"/>
    <col collapsed="false" customWidth="true" hidden="false" outlineLevel="0" max="24" min="24" style="0" width="14.14"/>
    <col collapsed="false" customWidth="true" hidden="true" outlineLevel="1" max="28" min="25" style="0" width="9.57"/>
    <col collapsed="false" customWidth="true" hidden="false" outlineLevel="0" max="29" min="29" style="0" width="14.14"/>
    <col collapsed="false" customWidth="true" hidden="true" outlineLevel="1" max="33" min="30" style="0" width="9.57"/>
    <col collapsed="false" customWidth="true" hidden="false" outlineLevel="0" max="34" min="34" style="0" width="14.14"/>
    <col collapsed="false" customWidth="true" hidden="true" outlineLevel="1" max="38" min="35" style="0" width="9.57"/>
    <col collapsed="false" customWidth="true" hidden="false" outlineLevel="0" max="39" min="39" style="0" width="14.14"/>
    <col collapsed="false" customWidth="true" hidden="true" outlineLevel="1" max="43" min="40" style="0" width="9.57"/>
    <col collapsed="false" customWidth="true" hidden="false" outlineLevel="0" max="44" min="44" style="0" width="14.14"/>
    <col collapsed="false" customWidth="true" hidden="true" outlineLevel="1" max="48" min="45" style="0" width="9.57"/>
    <col collapsed="false" customWidth="true" hidden="false" outlineLevel="0" max="49" min="49" style="0" width="14.14"/>
    <col collapsed="false" customWidth="true" hidden="true" outlineLevel="1" max="53" min="50" style="0" width="9.57"/>
    <col collapsed="false" customWidth="true" hidden="false" outlineLevel="0" max="54" min="54" style="0" width="14.14"/>
    <col collapsed="false" customWidth="true" hidden="true" outlineLevel="1" max="58" min="55" style="0" width="9.57"/>
    <col collapsed="false" customWidth="true" hidden="false" outlineLevel="0" max="59" min="59" style="0" width="14.14"/>
    <col collapsed="false" customWidth="true" hidden="true" outlineLevel="1" max="63" min="60" style="0" width="9.57"/>
    <col collapsed="false" customWidth="true" hidden="false" outlineLevel="0" max="64" min="64" style="0" width="14.14"/>
    <col collapsed="false" customWidth="true" hidden="true" outlineLevel="1" max="68" min="65" style="0" width="9.57"/>
    <col collapsed="false" customWidth="true" hidden="false" outlineLevel="0" max="69" min="69" style="0" width="14.14"/>
    <col collapsed="false" customWidth="true" hidden="true" outlineLevel="1" max="73" min="70" style="0" width="9.57"/>
    <col collapsed="false" customWidth="true" hidden="false" outlineLevel="0" max="74" min="74" style="0" width="14.14"/>
    <col collapsed="false" customWidth="true" hidden="true" outlineLevel="1" max="76" min="75" style="0" width="9.57"/>
    <col collapsed="false" customWidth="true" hidden="true" outlineLevel="1" max="78" min="77" style="0" width="11.43"/>
    <col collapsed="false" customWidth="true" hidden="false" outlineLevel="0" max="83" min="79" style="0" width="14.14"/>
    <col collapsed="false" customWidth="true" hidden="false" outlineLevel="0" max="84" min="84" style="0" width="86.86"/>
    <col collapsed="false" customWidth="true" hidden="false" outlineLevel="0" max="85" min="85" style="0" width="2"/>
    <col collapsed="false" customWidth="true" hidden="false" outlineLevel="0" max="86" min="86" style="0" width="14.14"/>
    <col collapsed="false" customWidth="true" hidden="false" outlineLevel="0" max="87" min="87" style="0" width="12.43"/>
    <col collapsed="false" customWidth="true" hidden="false" outlineLevel="0" max="89" min="88" style="0" width="13.43"/>
    <col collapsed="false" customWidth="true" hidden="false" outlineLevel="0" max="90" min="90" style="0" width="2"/>
    <col collapsed="false" customWidth="true" hidden="false" outlineLevel="0" max="91" min="91" style="0" width="6"/>
    <col collapsed="false" customWidth="true" hidden="false" outlineLevel="0" max="92" min="92" style="0" width="46"/>
    <col collapsed="false" customWidth="true" hidden="false" outlineLevel="0" max="95" min="93" style="0" width="11.57"/>
    <col collapsed="false" customWidth="true" hidden="false" outlineLevel="0" max="96" min="96" style="0" width="60"/>
  </cols>
  <sheetData>
    <row r="1" customFormat="false" ht="15" hidden="false" customHeight="true" outlineLevel="0" collapsed="false">
      <c r="CF1" s="1" t="s">
        <v>0</v>
      </c>
    </row>
    <row r="2" customFormat="false" ht="21" hidden="false" customHeight="true" outlineLevel="0" collapsed="false">
      <c r="B2" s="2" t="s">
        <v>1</v>
      </c>
      <c r="CF2" s="3" t="s">
        <v>2</v>
      </c>
    </row>
    <row r="3" customFormat="false" ht="15" hidden="false" customHeight="true" outlineLevel="0" collapsed="false">
      <c r="B3" s="4" t="s">
        <v>3</v>
      </c>
    </row>
    <row r="4" customFormat="false" ht="15" hidden="false" customHeight="true" outlineLevel="0" collapsed="false">
      <c r="B4" s="5" t="s">
        <v>4</v>
      </c>
    </row>
    <row r="5" customFormat="false" ht="15" hidden="false" customHeight="true" outlineLevel="0" collapsed="false">
      <c r="BY5" s="6"/>
      <c r="BZ5" s="6"/>
      <c r="CA5" s="6"/>
      <c r="CB5" s="6"/>
      <c r="CC5" s="6"/>
      <c r="CD5" s="6"/>
      <c r="CE5" s="6"/>
      <c r="CH5" s="7" t="s">
        <v>5</v>
      </c>
      <c r="CI5" s="7" t="s">
        <v>6</v>
      </c>
      <c r="CJ5" s="7" t="s">
        <v>6</v>
      </c>
      <c r="CK5" s="7" t="s">
        <v>6</v>
      </c>
    </row>
    <row r="6" customFormat="false" ht="15" hidden="false" customHeight="true" outlineLevel="0" collapsed="false">
      <c r="B6" s="8" t="s">
        <v>7</v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s">
        <v>8</v>
      </c>
      <c r="K6" s="9" t="s">
        <v>9</v>
      </c>
      <c r="L6" s="9" t="s">
        <v>10</v>
      </c>
      <c r="M6" s="9" t="s">
        <v>11</v>
      </c>
      <c r="N6" s="9" t="n">
        <v>2013</v>
      </c>
      <c r="O6" s="9" t="s">
        <v>12</v>
      </c>
      <c r="P6" s="9" t="s">
        <v>13</v>
      </c>
      <c r="Q6" s="9" t="s">
        <v>14</v>
      </c>
      <c r="R6" s="9" t="s">
        <v>15</v>
      </c>
      <c r="S6" s="9" t="n">
        <v>2014</v>
      </c>
      <c r="T6" s="9" t="s">
        <v>16</v>
      </c>
      <c r="U6" s="9" t="s">
        <v>17</v>
      </c>
      <c r="V6" s="9" t="s">
        <v>18</v>
      </c>
      <c r="W6" s="9" t="s">
        <v>19</v>
      </c>
      <c r="X6" s="9" t="n">
        <v>2015</v>
      </c>
      <c r="Y6" s="9" t="s">
        <v>20</v>
      </c>
      <c r="Z6" s="9" t="s">
        <v>21</v>
      </c>
      <c r="AA6" s="9" t="s">
        <v>22</v>
      </c>
      <c r="AB6" s="9" t="s">
        <v>23</v>
      </c>
      <c r="AC6" s="9" t="n">
        <v>2016</v>
      </c>
      <c r="AD6" s="9" t="s">
        <v>24</v>
      </c>
      <c r="AE6" s="9" t="s">
        <v>25</v>
      </c>
      <c r="AF6" s="9" t="s">
        <v>26</v>
      </c>
      <c r="AG6" s="9" t="s">
        <v>27</v>
      </c>
      <c r="AH6" s="9" t="n">
        <v>2017</v>
      </c>
      <c r="AI6" s="9" t="s">
        <v>28</v>
      </c>
      <c r="AJ6" s="9" t="s">
        <v>29</v>
      </c>
      <c r="AK6" s="9" t="s">
        <v>30</v>
      </c>
      <c r="AL6" s="9" t="s">
        <v>31</v>
      </c>
      <c r="AM6" s="9" t="n">
        <v>2018</v>
      </c>
      <c r="AN6" s="9" t="s">
        <v>32</v>
      </c>
      <c r="AO6" s="9" t="s">
        <v>33</v>
      </c>
      <c r="AP6" s="9" t="s">
        <v>34</v>
      </c>
      <c r="AQ6" s="9" t="s">
        <v>35</v>
      </c>
      <c r="AR6" s="9" t="n">
        <v>2019</v>
      </c>
      <c r="AS6" s="9" t="s">
        <v>36</v>
      </c>
      <c r="AT6" s="9" t="s">
        <v>37</v>
      </c>
      <c r="AU6" s="9" t="s">
        <v>38</v>
      </c>
      <c r="AV6" s="9" t="s">
        <v>39</v>
      </c>
      <c r="AW6" s="9" t="n">
        <v>2020</v>
      </c>
      <c r="AX6" s="9" t="s">
        <v>40</v>
      </c>
      <c r="AY6" s="9" t="s">
        <v>41</v>
      </c>
      <c r="AZ6" s="9" t="s">
        <v>42</v>
      </c>
      <c r="BA6" s="9" t="s">
        <v>43</v>
      </c>
      <c r="BB6" s="9" t="n">
        <v>2021</v>
      </c>
      <c r="BC6" s="9" t="s">
        <v>44</v>
      </c>
      <c r="BD6" s="9" t="s">
        <v>45</v>
      </c>
      <c r="BE6" s="9" t="s">
        <v>46</v>
      </c>
      <c r="BF6" s="9" t="s">
        <v>47</v>
      </c>
      <c r="BG6" s="9" t="n">
        <v>2022</v>
      </c>
      <c r="BH6" s="9" t="s">
        <v>48</v>
      </c>
      <c r="BI6" s="9" t="s">
        <v>49</v>
      </c>
      <c r="BJ6" s="9" t="s">
        <v>50</v>
      </c>
      <c r="BK6" s="9" t="s">
        <v>51</v>
      </c>
      <c r="BL6" s="9" t="n">
        <v>2023</v>
      </c>
      <c r="BM6" s="9" t="s">
        <v>52</v>
      </c>
      <c r="BN6" s="9" t="s">
        <v>53</v>
      </c>
      <c r="BO6" s="9" t="s">
        <v>54</v>
      </c>
      <c r="BP6" s="9" t="s">
        <v>55</v>
      </c>
      <c r="BQ6" s="9" t="n">
        <v>2024</v>
      </c>
      <c r="BR6" s="9" t="s">
        <v>56</v>
      </c>
      <c r="BS6" s="9" t="s">
        <v>57</v>
      </c>
      <c r="BT6" s="9" t="s">
        <v>58</v>
      </c>
      <c r="BU6" s="9" t="s">
        <v>59</v>
      </c>
      <c r="BV6" s="9" t="n">
        <v>2025</v>
      </c>
      <c r="BW6" s="9" t="s">
        <v>60</v>
      </c>
      <c r="BX6" s="9" t="s">
        <v>61</v>
      </c>
      <c r="BY6" s="9" t="s">
        <v>62</v>
      </c>
      <c r="BZ6" s="9" t="s">
        <v>63</v>
      </c>
      <c r="CA6" s="9" t="s">
        <v>64</v>
      </c>
      <c r="CB6" s="9" t="s">
        <v>65</v>
      </c>
      <c r="CC6" s="9" t="s">
        <v>66</v>
      </c>
      <c r="CD6" s="9" t="s">
        <v>67</v>
      </c>
      <c r="CE6" s="9" t="s">
        <v>68</v>
      </c>
      <c r="CF6" s="9" t="s">
        <v>69</v>
      </c>
      <c r="CH6" s="7" t="s">
        <v>70</v>
      </c>
      <c r="CI6" s="7" t="s">
        <v>70</v>
      </c>
      <c r="CJ6" s="7" t="s">
        <v>71</v>
      </c>
      <c r="CK6" s="7" t="s">
        <v>72</v>
      </c>
    </row>
    <row r="7" customFormat="false" ht="15" hidden="false" customHeight="true" outlineLevel="0" collapsed="false">
      <c r="CH7" s="10" t="s">
        <v>73</v>
      </c>
      <c r="CI7" s="10" t="s">
        <v>74</v>
      </c>
      <c r="CJ7" s="10" t="s">
        <v>75</v>
      </c>
      <c r="CK7" s="10" t="s">
        <v>76</v>
      </c>
    </row>
    <row r="8" customFormat="false" ht="15" hidden="false" customHeight="true" outlineLevel="0" collapsed="false">
      <c r="B8" s="11" t="s">
        <v>77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 t="s">
        <v>78</v>
      </c>
    </row>
    <row r="9" customFormat="false" ht="15" hidden="false" customHeight="true" outlineLevel="0" collapsed="false">
      <c r="CN9" s="12" t="s">
        <v>79</v>
      </c>
      <c r="CO9" s="13" t="s">
        <v>80</v>
      </c>
      <c r="CP9" s="13" t="s">
        <v>2</v>
      </c>
      <c r="CQ9" s="13" t="s">
        <v>81</v>
      </c>
      <c r="CR9" s="14" t="s">
        <v>82</v>
      </c>
    </row>
    <row r="10" customFormat="false" ht="15" hidden="false" customHeight="true" outlineLevel="0" collapsed="false">
      <c r="B10" s="15" t="s">
        <v>83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6" t="s">
        <v>84</v>
      </c>
    </row>
    <row r="11" customFormat="false" ht="15" hidden="false" customHeight="true" outlineLevel="0" collapsed="false">
      <c r="B11" s="17" t="s">
        <v>85</v>
      </c>
      <c r="C11" s="18" t="n">
        <v>198.49</v>
      </c>
      <c r="D11" s="18" t="n">
        <v>182.326</v>
      </c>
      <c r="E11" s="18" t="n">
        <v>159.355</v>
      </c>
      <c r="F11" s="18" t="n">
        <v>123.401</v>
      </c>
      <c r="G11" s="18" t="n">
        <v>130.007</v>
      </c>
      <c r="H11" s="18" t="n">
        <v>125.074</v>
      </c>
      <c r="I11" s="18" t="n">
        <v>128.331</v>
      </c>
      <c r="J11" s="18" t="n">
        <v>22.779</v>
      </c>
      <c r="K11" s="18" t="n">
        <v>34.574</v>
      </c>
      <c r="L11" s="18" t="n">
        <v>39.631</v>
      </c>
      <c r="M11" s="18" t="n">
        <v>31.448</v>
      </c>
      <c r="N11" s="18" t="n">
        <v>128.433</v>
      </c>
      <c r="O11" s="18" t="n">
        <v>24.619</v>
      </c>
      <c r="P11" s="18" t="n">
        <v>38.974</v>
      </c>
      <c r="Q11" s="18" t="n">
        <v>45.107</v>
      </c>
      <c r="R11" s="18" t="n">
        <v>37.35</v>
      </c>
      <c r="S11" s="18" t="n">
        <v>146.05</v>
      </c>
      <c r="T11" s="18" t="n">
        <v>28.836</v>
      </c>
      <c r="U11" s="18" t="n">
        <v>42.003</v>
      </c>
      <c r="V11" s="18" t="n">
        <v>47.521</v>
      </c>
      <c r="W11" s="18" t="n">
        <v>38.001</v>
      </c>
      <c r="X11" s="18" t="n">
        <v>156.422</v>
      </c>
      <c r="Y11" s="18" t="n">
        <v>32.665</v>
      </c>
      <c r="Z11" s="18" t="n">
        <v>42.554</v>
      </c>
      <c r="AA11" s="18" t="n">
        <v>45.239</v>
      </c>
      <c r="AB11" s="18" t="n">
        <v>38.168</v>
      </c>
      <c r="AC11" s="18" t="n">
        <v>158.626</v>
      </c>
      <c r="AD11" s="18" t="n">
        <v>32.611</v>
      </c>
      <c r="AE11" s="18" t="n">
        <v>43.423</v>
      </c>
      <c r="AF11" s="18" t="n">
        <v>43.805</v>
      </c>
      <c r="AG11" s="18" t="n">
        <v>37.858</v>
      </c>
      <c r="AH11" s="18" t="n">
        <v>157.698</v>
      </c>
      <c r="AI11" s="18" t="n">
        <v>30.02</v>
      </c>
      <c r="AJ11" s="18" t="n">
        <v>48.319</v>
      </c>
      <c r="AK11" s="18" t="n">
        <v>50.324</v>
      </c>
      <c r="AL11" s="18" t="n">
        <v>42.173</v>
      </c>
      <c r="AM11" s="18" t="n">
        <v>170.836</v>
      </c>
      <c r="AN11" s="18" t="n">
        <v>37.286</v>
      </c>
      <c r="AO11" s="18" t="n">
        <v>53.153</v>
      </c>
      <c r="AP11" s="18" t="n">
        <v>56.669</v>
      </c>
      <c r="AQ11" s="18" t="n">
        <v>43.923</v>
      </c>
      <c r="AR11" s="18" t="n">
        <v>191.126</v>
      </c>
      <c r="AS11" s="18" t="n">
        <v>38.3</v>
      </c>
      <c r="AT11" s="18" t="n">
        <v>51.2</v>
      </c>
      <c r="AU11" s="18" t="n">
        <v>51.8</v>
      </c>
      <c r="AV11" s="18" t="n">
        <v>45.2</v>
      </c>
      <c r="AW11" s="18" t="n">
        <v>186.5</v>
      </c>
      <c r="AX11" s="18" t="n">
        <v>37.1</v>
      </c>
      <c r="AY11" s="18" t="n">
        <v>52.9</v>
      </c>
      <c r="AZ11" s="18" t="n">
        <v>57</v>
      </c>
      <c r="BA11" s="18" t="n">
        <v>54.2</v>
      </c>
      <c r="BB11" s="18" t="n">
        <v>201.2</v>
      </c>
      <c r="BC11" s="18" t="n">
        <v>42.1</v>
      </c>
      <c r="BD11" s="18" t="n">
        <v>57.8</v>
      </c>
      <c r="BE11" s="18" t="n">
        <v>60.2</v>
      </c>
      <c r="BF11" s="18" t="n">
        <v>47.7</v>
      </c>
      <c r="BG11" s="18" t="n">
        <v>207.7</v>
      </c>
      <c r="BH11" s="18" t="n">
        <v>41.7</v>
      </c>
      <c r="BI11" s="18" t="n">
        <v>54.5</v>
      </c>
      <c r="BJ11" s="18" t="n">
        <v>55.9</v>
      </c>
      <c r="BK11" s="18" t="n">
        <v>46.6</v>
      </c>
      <c r="BL11" s="18" t="n">
        <v>198.8</v>
      </c>
      <c r="BM11" s="18" t="n">
        <v>36.6</v>
      </c>
      <c r="BN11" s="18" t="n">
        <v>53</v>
      </c>
      <c r="BO11" s="18" t="n">
        <v>53.7</v>
      </c>
      <c r="BP11" s="18" t="n">
        <v>47.9</v>
      </c>
      <c r="BQ11" s="18" t="n">
        <v>191.1</v>
      </c>
      <c r="BR11" s="18" t="n">
        <v>39</v>
      </c>
      <c r="BS11" s="18" t="n">
        <v>52.7</v>
      </c>
      <c r="BT11" s="18" t="n">
        <v>57.9</v>
      </c>
      <c r="BU11" s="18" t="n">
        <v>48.9</v>
      </c>
      <c r="BV11" s="18" t="n">
        <v>198.5</v>
      </c>
      <c r="BW11" s="18" t="n">
        <v>43.9</v>
      </c>
      <c r="BX11" s="18" t="n">
        <v>61.6</v>
      </c>
      <c r="BY11" s="19" t="n">
        <f aca="false">BT11*(1+BY12)</f>
        <v>70.4127784547683</v>
      </c>
      <c r="BZ11" s="19" t="n">
        <f aca="false">BU11*(1+BZ12)</f>
        <v>59.4677869851152</v>
      </c>
      <c r="CA11" s="19" t="n">
        <f aca="false">SUM(BW11,BX11,BY11,BZ11)</f>
        <v>235.380565439884</v>
      </c>
      <c r="CB11" s="19" t="n">
        <f aca="false">CA11*(1+CB12)</f>
        <v>242.44198240308</v>
      </c>
      <c r="CC11" s="19" t="n">
        <f aca="false">CB11*(1+CC12)</f>
        <v>249.715241875172</v>
      </c>
      <c r="CD11" s="19" t="n">
        <f aca="false">CC11*(1+CD12)</f>
        <v>255.958122922052</v>
      </c>
      <c r="CE11" s="19" t="n">
        <f aca="false">CD11*(1+CE12)</f>
        <v>262.357075995103</v>
      </c>
      <c r="CF11" s="20" t="s">
        <v>86</v>
      </c>
      <c r="CH11" s="21" t="n">
        <f aca="false">IFERROR((CE11/BV11)^(1/5)-1,"n/m")</f>
        <v>0.0573687092752073</v>
      </c>
      <c r="CI11" s="21" t="n">
        <f aca="false">IFERROR((BV11/AW11)^(1/5)-1,"n/m")</f>
        <v>0.0125496665808622</v>
      </c>
      <c r="CJ11" s="21" t="n">
        <f aca="false">IFERROR((BV11/X11)^(1/10)-1,"n/m")</f>
        <v>0.0241092001413985</v>
      </c>
      <c r="CK11" s="21" t="n">
        <f aca="false">IFERROR((BV11/C11)^(1/19)-1,"n/m")</f>
        <v>2.651535239373E-006</v>
      </c>
      <c r="CN11" s="16" t="s">
        <v>87</v>
      </c>
      <c r="CO11" s="22" t="s">
        <v>88</v>
      </c>
      <c r="CP11" s="22" t="s">
        <v>89</v>
      </c>
      <c r="CQ11" s="22" t="s">
        <v>90</v>
      </c>
      <c r="CR11" s="14" t="s">
        <v>91</v>
      </c>
    </row>
    <row r="12" customFormat="false" ht="15" hidden="false" customHeight="true" outlineLevel="0" collapsed="false">
      <c r="B12" s="23" t="s">
        <v>92</v>
      </c>
      <c r="D12" s="24" t="n">
        <f aca="false">IF(AND(ISNUMBER(D11),ISNUMBER(C11)),IFERROR(D11/C11-1,""),"")</f>
        <v>-0.0814348329890675</v>
      </c>
      <c r="E12" s="24" t="n">
        <f aca="false">IF(AND(ISNUMBER(E11),ISNUMBER(D11)),IFERROR(E11/D11-1,""),"")</f>
        <v>-0.125988613801652</v>
      </c>
      <c r="F12" s="24" t="n">
        <f aca="false">IF(AND(ISNUMBER(F11),ISNUMBER(E11)),IFERROR(F11/E11-1,""),"")</f>
        <v>-0.22562203884409</v>
      </c>
      <c r="G12" s="24" t="n">
        <f aca="false">IF(AND(ISNUMBER(G11),ISNUMBER(F11)),IFERROR(G11/F11-1,""),"")</f>
        <v>0.0535327914684647</v>
      </c>
      <c r="H12" s="24" t="n">
        <f aca="false">IF(AND(ISNUMBER(H11),ISNUMBER(G11)),IFERROR(H11/G11-1,""),"")</f>
        <v>-0.0379441107017315</v>
      </c>
      <c r="I12" s="24" t="n">
        <f aca="false">IF(AND(ISNUMBER(I11),ISNUMBER(H11)),IFERROR(I11/H11-1,""),"")</f>
        <v>0.0260405839742872</v>
      </c>
      <c r="N12" s="24" t="n">
        <f aca="false">IF(AND(ISNUMBER(N11),ISNUMBER(I11)),IFERROR(N11/I11-1,""),"")</f>
        <v>0.000794819646071421</v>
      </c>
      <c r="O12" s="24" t="n">
        <f aca="false">IF(AND(ISNUMBER(O11),ISNUMBER(J11)),IFERROR(O11/J11-1,""),"")</f>
        <v>0.0807761534746916</v>
      </c>
      <c r="P12" s="24" t="n">
        <f aca="false">IF(AND(ISNUMBER(P11),ISNUMBER(K11)),IFERROR(P11/K11-1,""),"")</f>
        <v>0.127263261410308</v>
      </c>
      <c r="Q12" s="24" t="n">
        <f aca="false">IF(AND(ISNUMBER(Q11),ISNUMBER(L11)),IFERROR(Q11/L11-1,""),"")</f>
        <v>0.138174661250031</v>
      </c>
      <c r="R12" s="24" t="n">
        <f aca="false">IF(AND(ISNUMBER(R11),ISNUMBER(M11)),IFERROR(R11/M11-1,""),"")</f>
        <v>0.187674891885017</v>
      </c>
      <c r="S12" s="24" t="n">
        <f aca="false">IF(AND(ISNUMBER(S11),ISNUMBER(N11)),IFERROR(S11/N11-1,""),"")</f>
        <v>0.137168796181667</v>
      </c>
      <c r="T12" s="24" t="n">
        <f aca="false">IF(AND(ISNUMBER(T11),ISNUMBER(O11)),IFERROR(T11/O11-1,""),"")</f>
        <v>0.171290466712702</v>
      </c>
      <c r="U12" s="24" t="n">
        <f aca="false">IF(AND(ISNUMBER(U11),ISNUMBER(P11)),IFERROR(U11/P11-1,""),"")</f>
        <v>0.0777184789859908</v>
      </c>
      <c r="V12" s="24" t="n">
        <f aca="false">IF(AND(ISNUMBER(V11),ISNUMBER(Q11)),IFERROR(V11/Q11-1,""),"")</f>
        <v>0.0535171924534994</v>
      </c>
      <c r="W12" s="24" t="n">
        <f aca="false">IF(AND(ISNUMBER(W11),ISNUMBER(R11)),IFERROR(W11/R11-1,""),"")</f>
        <v>0.0174297188755019</v>
      </c>
      <c r="X12" s="24" t="n">
        <f aca="false">IF(AND(ISNUMBER(X11),ISNUMBER(S11)),IFERROR(X11/S11-1,""),"")</f>
        <v>0.0710167750770283</v>
      </c>
      <c r="Y12" s="24" t="n">
        <f aca="false">IF(AND(ISNUMBER(Y11),ISNUMBER(T11)),IFERROR(Y11/T11-1,""),"")</f>
        <v>0.132785407129977</v>
      </c>
      <c r="Z12" s="24" t="n">
        <f aca="false">IF(AND(ISNUMBER(Z11),ISNUMBER(U11)),IFERROR(Z11/U11-1,""),"")</f>
        <v>0.0131181106111469</v>
      </c>
      <c r="AA12" s="24" t="n">
        <f aca="false">IF(AND(ISNUMBER(AA11),ISNUMBER(V11)),IFERROR(AA11/V11-1,""),"")</f>
        <v>-0.0480208749815871</v>
      </c>
      <c r="AB12" s="24" t="n">
        <f aca="false">IF(AND(ISNUMBER(AB11),ISNUMBER(W11)),IFERROR(AB11/W11-1,""),"")</f>
        <v>0.00439462119417922</v>
      </c>
      <c r="AC12" s="24" t="n">
        <f aca="false">IF(AND(ISNUMBER(AC11),ISNUMBER(X11)),IFERROR(AC11/X11-1,""),"")</f>
        <v>0.0140900896293361</v>
      </c>
      <c r="AD12" s="24" t="n">
        <f aca="false">IF(AND(ISNUMBER(AD11),ISNUMBER(Y11)),IFERROR(AD11/Y11-1,""),"")</f>
        <v>-0.00165314556865148</v>
      </c>
      <c r="AE12" s="24" t="n">
        <f aca="false">IF(AND(ISNUMBER(AE11),ISNUMBER(Z11)),IFERROR(AE11/Z11-1,""),"")</f>
        <v>0.020421111998872</v>
      </c>
      <c r="AF12" s="24" t="n">
        <f aca="false">IF(AND(ISNUMBER(AF11),ISNUMBER(AA11)),IFERROR(AF11/AA11-1,""),"")</f>
        <v>-0.031698313402153</v>
      </c>
      <c r="AG12" s="24" t="n">
        <f aca="false">IF(AND(ISNUMBER(AG11),ISNUMBER(AB11)),IFERROR(AG11/AB11-1,""),"")</f>
        <v>-0.00812198700482081</v>
      </c>
      <c r="AH12" s="24" t="n">
        <f aca="false">IF(AND(ISNUMBER(AH11),ISNUMBER(AC11)),IFERROR(AH11/AC11-1,""),"")</f>
        <v>-0.00585023892678371</v>
      </c>
      <c r="AI12" s="24" t="n">
        <f aca="false">IF(AND(ISNUMBER(AI11),ISNUMBER(AD11)),IFERROR(AI11/AD11-1,""),"")</f>
        <v>-0.0794517187452086</v>
      </c>
      <c r="AJ12" s="24" t="n">
        <f aca="false">IF(AND(ISNUMBER(AJ11),ISNUMBER(AE11)),IFERROR(AJ11/AE11-1,""),"")</f>
        <v>0.112751306911084</v>
      </c>
      <c r="AK12" s="24" t="n">
        <f aca="false">IF(AND(ISNUMBER(AK11),ISNUMBER(AF11)),IFERROR(AK11/AF11-1,""),"")</f>
        <v>0.148818628010501</v>
      </c>
      <c r="AL12" s="24" t="n">
        <f aca="false">IF(AND(ISNUMBER(AL11),ISNUMBER(AG11)),IFERROR(AL11/AG11-1,""),"")</f>
        <v>0.113978551429024</v>
      </c>
      <c r="AM12" s="24" t="n">
        <f aca="false">IF(AND(ISNUMBER(AM11),ISNUMBER(AH11)),IFERROR(AM11/AH11-1,""),"")</f>
        <v>0.083311139012543</v>
      </c>
      <c r="AN12" s="24" t="n">
        <f aca="false">IF(AND(ISNUMBER(AN11),ISNUMBER(AI11)),IFERROR(AN11/AI11-1,""),"")</f>
        <v>0.242038640906063</v>
      </c>
      <c r="AO12" s="24" t="n">
        <f aca="false">IF(AND(ISNUMBER(AO11),ISNUMBER(AJ11)),IFERROR(AO11/AJ11-1,""),"")</f>
        <v>0.100043461164345</v>
      </c>
      <c r="AP12" s="24" t="n">
        <f aca="false">IF(AND(ISNUMBER(AP11),ISNUMBER(AK11)),IFERROR(AP11/AK11-1,""),"")</f>
        <v>0.126082982274859</v>
      </c>
      <c r="AQ12" s="24" t="n">
        <f aca="false">IF(AND(ISNUMBER(AQ11),ISNUMBER(AL11)),IFERROR(AQ11/AL11-1,""),"")</f>
        <v>0.0414957437222867</v>
      </c>
      <c r="AR12" s="24" t="n">
        <f aca="false">IF(AND(ISNUMBER(AR11),ISNUMBER(AM11)),IFERROR(AR11/AM11-1,""),"")</f>
        <v>0.118768877754103</v>
      </c>
      <c r="AS12" s="24" t="n">
        <f aca="false">IF(AND(ISNUMBER(AS11),ISNUMBER(AN11)),IFERROR(AS11/AN11-1,""),"")</f>
        <v>0.02719519390656</v>
      </c>
      <c r="AT12" s="24" t="n">
        <f aca="false">IF(AND(ISNUMBER(AT11),ISNUMBER(AO11)),IFERROR(AT11/AO11-1,""),"")</f>
        <v>-0.0367429872255564</v>
      </c>
      <c r="AU12" s="24" t="n">
        <f aca="false">IF(AND(ISNUMBER(AU11),ISNUMBER(AP11)),IFERROR(AU11/AP11-1,""),"")</f>
        <v>-0.0859199915297605</v>
      </c>
      <c r="AV12" s="24" t="n">
        <f aca="false">IF(AND(ISNUMBER(AV11),ISNUMBER(AQ11)),IFERROR(AV11/AQ11-1,""),"")</f>
        <v>0.0290736060833732</v>
      </c>
      <c r="AW12" s="24" t="n">
        <f aca="false">IF(AND(ISNUMBER(AW11),ISNUMBER(AR11)),IFERROR(AW11/AR11-1,""),"")</f>
        <v>-0.0242039282986093</v>
      </c>
      <c r="AX12" s="24" t="n">
        <f aca="false">IF(AND(ISNUMBER(AX11),ISNUMBER(AS11)),IFERROR(AX11/AS11-1,""),"")</f>
        <v>-0.031331592689295</v>
      </c>
      <c r="AY12" s="24" t="n">
        <f aca="false">IF(AND(ISNUMBER(AY11),ISNUMBER(AT11)),IFERROR(AY11/AT11-1,""),"")</f>
        <v>0.033203125</v>
      </c>
      <c r="AZ12" s="24" t="n">
        <f aca="false">IF(AND(ISNUMBER(AZ11),ISNUMBER(AU11)),IFERROR(AZ11/AU11-1,""),"")</f>
        <v>0.1003861003861</v>
      </c>
      <c r="BA12" s="24" t="n">
        <f aca="false">IF(AND(ISNUMBER(BA11),ISNUMBER(AV11)),IFERROR(BA11/AV11-1,""),"")</f>
        <v>0.199115044247788</v>
      </c>
      <c r="BB12" s="24" t="n">
        <f aca="false">IF(AND(ISNUMBER(BB11),ISNUMBER(AW11)),IFERROR(BB11/AW11-1,""),"")</f>
        <v>0.0788203753351207</v>
      </c>
      <c r="BC12" s="24" t="n">
        <f aca="false">IF(AND(ISNUMBER(BC11),ISNUMBER(AX11)),IFERROR(BC11/AX11-1,""),"")</f>
        <v>0.134770889487871</v>
      </c>
      <c r="BD12" s="24" t="n">
        <f aca="false">IF(AND(ISNUMBER(BD11),ISNUMBER(AY11)),IFERROR(BD11/AY11-1,""),"")</f>
        <v>0.0926275992438563</v>
      </c>
      <c r="BE12" s="24" t="n">
        <f aca="false">IF(AND(ISNUMBER(BE11),ISNUMBER(AZ11)),IFERROR(BE11/AZ11-1,""),"")</f>
        <v>0.0561403508771929</v>
      </c>
      <c r="BF12" s="24" t="n">
        <f aca="false">IF(AND(ISNUMBER(BF11),ISNUMBER(BA11)),IFERROR(BF11/BA11-1,""),"")</f>
        <v>-0.119926199261993</v>
      </c>
      <c r="BG12" s="24" t="n">
        <f aca="false">IF(AND(ISNUMBER(BG11),ISNUMBER(BB11)),IFERROR(BG11/BB11-1,""),"")</f>
        <v>0.0323061630218688</v>
      </c>
      <c r="BH12" s="24" t="n">
        <f aca="false">IF(AND(ISNUMBER(BH11),ISNUMBER(BC11)),IFERROR(BH11/BC11-1,""),"")</f>
        <v>-0.00950118764845598</v>
      </c>
      <c r="BI12" s="24" t="n">
        <f aca="false">IF(AND(ISNUMBER(BI11),ISNUMBER(BD11)),IFERROR(BI11/BD11-1,""),"")</f>
        <v>-0.0570934256055363</v>
      </c>
      <c r="BJ12" s="24" t="n">
        <f aca="false">IF(AND(ISNUMBER(BJ11),ISNUMBER(BE11)),IFERROR(BJ11/BE11-1,""),"")</f>
        <v>-0.0714285714285715</v>
      </c>
      <c r="BK12" s="24" t="n">
        <f aca="false">IF(AND(ISNUMBER(BK11),ISNUMBER(BF11)),IFERROR(BK11/BF11-1,""),"")</f>
        <v>-0.0230607966457024</v>
      </c>
      <c r="BL12" s="24" t="n">
        <f aca="false">IF(AND(ISNUMBER(BL11),ISNUMBER(BG11)),IFERROR(BL11/BG11-1,""),"")</f>
        <v>-0.0428502648050071</v>
      </c>
      <c r="BM12" s="24" t="n">
        <f aca="false">IF(AND(ISNUMBER(BM11),ISNUMBER(BH11)),IFERROR(BM11/BH11-1,""),"")</f>
        <v>-0.122302158273381</v>
      </c>
      <c r="BN12" s="24" t="n">
        <f aca="false">IF(AND(ISNUMBER(BN11),ISNUMBER(BI11)),IFERROR(BN11/BI11-1,""),"")</f>
        <v>-0.0275229357798165</v>
      </c>
      <c r="BO12" s="24" t="n">
        <f aca="false">IF(AND(ISNUMBER(BO11),ISNUMBER(BJ11)),IFERROR(BO11/BJ11-1,""),"")</f>
        <v>-0.0393559928443649</v>
      </c>
      <c r="BP12" s="24" t="n">
        <f aca="false">IF(AND(ISNUMBER(BP11),ISNUMBER(BK11)),IFERROR(BP11/BK11-1,""),"")</f>
        <v>0.0278969957081545</v>
      </c>
      <c r="BQ12" s="24" t="n">
        <f aca="false">IF(AND(ISNUMBER(BQ11),ISNUMBER(BL11)),IFERROR(BQ11/BL11-1,""),"")</f>
        <v>-0.0387323943661972</v>
      </c>
      <c r="BR12" s="24" t="n">
        <f aca="false">IF(AND(ISNUMBER(BR11),ISNUMBER(BM11)),IFERROR(BR11/BM11-1,""),"")</f>
        <v>0.0655737704918031</v>
      </c>
      <c r="BS12" s="24" t="n">
        <f aca="false">IF(AND(ISNUMBER(BS11),ISNUMBER(BN11)),IFERROR(BS11/BN11-1,""),"")</f>
        <v>-0.00566037735849057</v>
      </c>
      <c r="BT12" s="24" t="n">
        <f aca="false">IF(AND(ISNUMBER(BT11),ISNUMBER(BO11)),IFERROR(BT11/BO11-1,""),"")</f>
        <v>0.0782122905027931</v>
      </c>
      <c r="BU12" s="24" t="n">
        <f aca="false">IF(AND(ISNUMBER(BU11),ISNUMBER(BP11)),IFERROR(BU11/BP11-1,""),"")</f>
        <v>0.0208768267223383</v>
      </c>
      <c r="BV12" s="24" t="n">
        <f aca="false">IF(AND(ISNUMBER(BV11),ISNUMBER(BQ11)),IFERROR(BV11/BQ11-1,""),"")</f>
        <v>0.0387231815803244</v>
      </c>
      <c r="BW12" s="24" t="n">
        <f aca="false">IF(AND(ISNUMBER(BW11),ISNUMBER(BR11)),IFERROR(BW11/BR11-1,""),"")</f>
        <v>0.125641025641026</v>
      </c>
      <c r="BX12" s="24" t="n">
        <f aca="false">IF(AND(ISNUMBER(BX11),ISNUMBER(BS11)),IFERROR(BX11/BS11-1,""),"")</f>
        <v>0.16888045540797</v>
      </c>
      <c r="BY12" s="25" t="n">
        <f aca="false">$BX$12+BY118</f>
        <v>0.216110163294789</v>
      </c>
      <c r="BZ12" s="25" t="n">
        <f aca="false">$BX$12+BZ118</f>
        <v>0.216110163294789</v>
      </c>
      <c r="CA12" s="25" t="n">
        <f aca="false">IFERROR(CA11/BV11-1,"")</f>
        <v>0.185796299445257</v>
      </c>
      <c r="CB12" s="25" t="n">
        <f aca="false">CHOOSE(MATCH($CF$2,{"Bull","Base","Bear"},0),$CO$25,$CP$25,$CQ$25)</f>
        <v>0.03</v>
      </c>
      <c r="CC12" s="25" t="n">
        <f aca="false">CHOOSE(MATCH($CF$2,{"Bull","Base","Bear"},0),$CO$26,$CP$26,$CQ$26)</f>
        <v>0.03</v>
      </c>
      <c r="CD12" s="25" t="n">
        <f aca="false">CHOOSE(MATCH($CF$2,{"Bull","Base","Bear"},0),$CO$27,$CP$27,$CQ$27)</f>
        <v>0.025</v>
      </c>
      <c r="CE12" s="25" t="n">
        <f aca="false">CHOOSE(MATCH($CF$2,{"Bull","Base","Bear"},0),$CO$28,$CP$28,$CQ$28)</f>
        <v>0.025</v>
      </c>
      <c r="CF12" s="20" t="s">
        <v>93</v>
      </c>
      <c r="CN12" s="26" t="s">
        <v>94</v>
      </c>
      <c r="CO12" s="27" t="n">
        <v>7400</v>
      </c>
      <c r="CP12" s="27" t="n">
        <v>7300</v>
      </c>
      <c r="CQ12" s="27" t="n">
        <v>7200</v>
      </c>
      <c r="CR12" s="14" t="s">
        <v>95</v>
      </c>
    </row>
    <row r="13" customFormat="false" ht="15" hidden="false" customHeight="true" outlineLevel="0" collapsed="false">
      <c r="B13" s="26" t="s">
        <v>96</v>
      </c>
      <c r="I13" s="28" t="n">
        <v>10.33</v>
      </c>
      <c r="J13" s="28" t="n">
        <v>10.97</v>
      </c>
      <c r="K13" s="28" t="n">
        <v>10.48</v>
      </c>
      <c r="L13" s="28" t="n">
        <v>10.55</v>
      </c>
      <c r="M13" s="28" t="n">
        <v>10.67</v>
      </c>
      <c r="N13" s="28" t="n">
        <v>10.63</v>
      </c>
      <c r="O13" s="28" t="n">
        <v>10.82</v>
      </c>
      <c r="P13" s="28" t="n">
        <v>11</v>
      </c>
      <c r="Y13" s="28" t="n">
        <v>13.04</v>
      </c>
      <c r="Z13" s="28" t="n">
        <v>12.78</v>
      </c>
      <c r="AA13" s="28" t="n">
        <v>12.77</v>
      </c>
      <c r="AB13" s="28" t="n">
        <v>13.03</v>
      </c>
      <c r="AC13" s="28" t="n">
        <v>12.88</v>
      </c>
      <c r="AD13" s="28" t="n">
        <v>13.73</v>
      </c>
      <c r="AE13" s="28" t="n">
        <v>13.24</v>
      </c>
      <c r="AF13" s="28" t="n">
        <v>13.4</v>
      </c>
      <c r="AG13" s="28" t="n">
        <v>13.55</v>
      </c>
      <c r="AH13" s="28" t="n">
        <v>13.46</v>
      </c>
      <c r="AI13" s="28" t="n">
        <v>14.04</v>
      </c>
      <c r="AJ13" s="28" t="n">
        <v>13.7</v>
      </c>
      <c r="AK13" s="28" t="n">
        <v>13.6</v>
      </c>
      <c r="AL13" s="28" t="n">
        <v>13.61</v>
      </c>
      <c r="AM13" s="28" t="n">
        <v>13.71</v>
      </c>
      <c r="AN13" s="28" t="n">
        <v>14.36</v>
      </c>
      <c r="AO13" s="28" t="n">
        <v>14.18</v>
      </c>
      <c r="AP13" s="28" t="n">
        <v>14.37</v>
      </c>
      <c r="AQ13" s="28" t="n">
        <v>14.38</v>
      </c>
      <c r="AR13" s="28" t="n">
        <v>14.33</v>
      </c>
      <c r="AS13" s="28" t="n">
        <v>14.8</v>
      </c>
      <c r="AT13" s="28" t="n">
        <v>14.66</v>
      </c>
      <c r="AU13" s="28" t="n">
        <v>14.75</v>
      </c>
      <c r="AV13" s="28" t="n">
        <v>14.88</v>
      </c>
      <c r="AW13" s="28" t="n">
        <v>14.77</v>
      </c>
      <c r="AX13" s="28" t="n">
        <v>15.31</v>
      </c>
      <c r="AY13" s="28" t="n">
        <v>15.07</v>
      </c>
      <c r="AZ13" s="28" t="n">
        <v>14.93</v>
      </c>
      <c r="BA13" s="28" t="n">
        <v>15.09</v>
      </c>
      <c r="BB13" s="28" t="n">
        <v>15.08</v>
      </c>
      <c r="BC13" s="28" t="n">
        <v>16.17</v>
      </c>
      <c r="BD13" s="28" t="n">
        <v>16.34</v>
      </c>
      <c r="BE13" s="28" t="n">
        <v>16.65</v>
      </c>
      <c r="BF13" s="28" t="n">
        <v>17.58</v>
      </c>
      <c r="BG13" s="28" t="n">
        <v>16.68</v>
      </c>
      <c r="BH13" s="28" t="n">
        <v>19.83</v>
      </c>
      <c r="BI13" s="28" t="n">
        <v>19.37</v>
      </c>
      <c r="BJ13" s="28" t="n">
        <v>19.98</v>
      </c>
      <c r="BK13" s="28" t="n">
        <v>20.22</v>
      </c>
      <c r="BL13" s="28" t="n">
        <v>19.84</v>
      </c>
      <c r="BM13" s="28" t="n">
        <v>22.26</v>
      </c>
      <c r="BN13" s="28" t="n">
        <v>21.61</v>
      </c>
      <c r="BO13" s="28" t="n">
        <v>21.52</v>
      </c>
      <c r="BP13" s="28" t="n">
        <v>21.95</v>
      </c>
      <c r="BQ13" s="28" t="n">
        <v>21.8</v>
      </c>
      <c r="BR13" s="28" t="n">
        <v>23.77</v>
      </c>
      <c r="BS13" s="28" t="n">
        <v>23.21</v>
      </c>
      <c r="BT13" s="28" t="n">
        <v>23.24</v>
      </c>
      <c r="BU13" s="28" t="n">
        <v>23.11</v>
      </c>
      <c r="BV13" s="28" t="n">
        <v>23.3</v>
      </c>
      <c r="BW13" s="28" t="n">
        <v>23.7</v>
      </c>
      <c r="BX13" s="28" t="n">
        <v>22.74</v>
      </c>
      <c r="BY13" s="29" t="n">
        <f aca="false">BT13*(1+BY14)</f>
        <v>22.7693925032314</v>
      </c>
      <c r="BZ13" s="29" t="n">
        <f aca="false">BU13*(1+BZ14)</f>
        <v>22.6420249892288</v>
      </c>
      <c r="CA13" s="29" t="n">
        <f aca="false">IFERROR((BW11*BW13+BX11*BX13+BY11*BY13+BZ11*BZ13)/CA11,"")</f>
        <v>22.9030858974109</v>
      </c>
      <c r="CB13" s="29" t="n">
        <f aca="false">CA13*(1+CB14)</f>
        <v>24.2772710512556</v>
      </c>
      <c r="CC13" s="29" t="n">
        <f aca="false">CB13*(1+CC14)</f>
        <v>25.6125209590746</v>
      </c>
      <c r="CD13" s="29" t="n">
        <f aca="false">CC13*(1+CD14)</f>
        <v>26.8931470070284</v>
      </c>
      <c r="CE13" s="29" t="n">
        <f aca="false">CD13*(1+CE14)</f>
        <v>28.2378043573798</v>
      </c>
      <c r="CF13" s="20" t="s">
        <v>97</v>
      </c>
      <c r="CH13" s="21" t="n">
        <f aca="false">IFERROR((CE13/BV13)^(1/5)-1,"n/m")</f>
        <v>0.0391901001654933</v>
      </c>
      <c r="CI13" s="21" t="n">
        <f aca="false">IFERROR((BV13/AW13)^(1/5)-1,"n/m")</f>
        <v>0.0954563701189677</v>
      </c>
      <c r="CJ13" s="21" t="str">
        <f aca="false">IFERROR((BV13/X13)^(1/10)-1,"n/m")</f>
        <v>n/m</v>
      </c>
      <c r="CK13" s="21" t="str">
        <f aca="false">IFERROR((BV13/C13)^(1/19)-1,"n/m")</f>
        <v>n/m</v>
      </c>
      <c r="CN13" s="26" t="s">
        <v>98</v>
      </c>
      <c r="CO13" s="27" t="n">
        <v>2500</v>
      </c>
      <c r="CP13" s="27" t="n">
        <v>2430</v>
      </c>
      <c r="CQ13" s="27" t="n">
        <v>2360</v>
      </c>
      <c r="CR13" s="14" t="s">
        <v>99</v>
      </c>
    </row>
    <row r="14" customFormat="false" ht="15" hidden="false" customHeight="true" outlineLevel="0" collapsed="false">
      <c r="B14" s="23" t="s">
        <v>100</v>
      </c>
      <c r="D14" s="24" t="str">
        <f aca="false">IF(AND(ISNUMBER(D13),ISNUMBER(C13)),IFERROR(D13/C13-1,""),"")</f>
        <v/>
      </c>
      <c r="E14" s="24" t="str">
        <f aca="false">IF(AND(ISNUMBER(E13),ISNUMBER(D13)),IFERROR(E13/D13-1,""),"")</f>
        <v/>
      </c>
      <c r="F14" s="24" t="str">
        <f aca="false">IF(AND(ISNUMBER(F13),ISNUMBER(E13)),IFERROR(F13/E13-1,""),"")</f>
        <v/>
      </c>
      <c r="G14" s="24" t="str">
        <f aca="false">IF(AND(ISNUMBER(G13),ISNUMBER(F13)),IFERROR(G13/F13-1,""),"")</f>
        <v/>
      </c>
      <c r="H14" s="24" t="str">
        <f aca="false">IF(AND(ISNUMBER(H13),ISNUMBER(G13)),IFERROR(H13/G13-1,""),"")</f>
        <v/>
      </c>
      <c r="I14" s="24" t="str">
        <f aca="false">IF(AND(ISNUMBER(I13),ISNUMBER(H13)),IFERROR(I13/H13-1,""),"")</f>
        <v/>
      </c>
      <c r="N14" s="24" t="n">
        <f aca="false">IF(AND(ISNUMBER(N13),ISNUMBER(I13)),IFERROR(N13/I13-1,""),"")</f>
        <v>0.0290416263310747</v>
      </c>
      <c r="O14" s="24" t="n">
        <f aca="false">IF(AND(ISNUMBER(O13),ISNUMBER(J13)),IFERROR(O13/J13-1,""),"")</f>
        <v>-0.0136736554238833</v>
      </c>
      <c r="P14" s="24" t="n">
        <f aca="false">IF(AND(ISNUMBER(P13),ISNUMBER(K13)),IFERROR(P13/K13-1,""),"")</f>
        <v>0.0496183206106871</v>
      </c>
      <c r="Q14" s="24" t="str">
        <f aca="false">IF(AND(ISNUMBER(Q13),ISNUMBER(L13)),IFERROR(Q13/L13-1,""),"")</f>
        <v/>
      </c>
      <c r="R14" s="24" t="str">
        <f aca="false">IF(AND(ISNUMBER(R13),ISNUMBER(M13)),IFERROR(R13/M13-1,""),"")</f>
        <v/>
      </c>
      <c r="S14" s="24" t="str">
        <f aca="false">IF(AND(ISNUMBER(S13),ISNUMBER(N13)),IFERROR(S13/N13-1,""),"")</f>
        <v/>
      </c>
      <c r="T14" s="24" t="str">
        <f aca="false">IF(AND(ISNUMBER(T13),ISNUMBER(O13)),IFERROR(T13/O13-1,""),"")</f>
        <v/>
      </c>
      <c r="U14" s="24" t="str">
        <f aca="false">IF(AND(ISNUMBER(U13),ISNUMBER(P13)),IFERROR(U13/P13-1,""),"")</f>
        <v/>
      </c>
      <c r="V14" s="24" t="str">
        <f aca="false">IF(AND(ISNUMBER(V13),ISNUMBER(Q13)),IFERROR(V13/Q13-1,""),"")</f>
        <v/>
      </c>
      <c r="W14" s="24" t="str">
        <f aca="false">IF(AND(ISNUMBER(W13),ISNUMBER(R13)),IFERROR(W13/R13-1,""),"")</f>
        <v/>
      </c>
      <c r="X14" s="24" t="str">
        <f aca="false">IF(AND(ISNUMBER(X13),ISNUMBER(S13)),IFERROR(X13/S13-1,""),"")</f>
        <v/>
      </c>
      <c r="Y14" s="24" t="str">
        <f aca="false">IF(AND(ISNUMBER(Y13),ISNUMBER(T13)),IFERROR(Y13/T13-1,""),"")</f>
        <v/>
      </c>
      <c r="Z14" s="24" t="str">
        <f aca="false">IF(AND(ISNUMBER(Z13),ISNUMBER(U13)),IFERROR(Z13/U13-1,""),"")</f>
        <v/>
      </c>
      <c r="AA14" s="24" t="str">
        <f aca="false">IF(AND(ISNUMBER(AA13),ISNUMBER(V13)),IFERROR(AA13/V13-1,""),"")</f>
        <v/>
      </c>
      <c r="AB14" s="24" t="str">
        <f aca="false">IF(AND(ISNUMBER(AB13),ISNUMBER(W13)),IFERROR(AB13/W13-1,""),"")</f>
        <v/>
      </c>
      <c r="AC14" s="24" t="str">
        <f aca="false">IF(AND(ISNUMBER(AC13),ISNUMBER(X13)),IFERROR(AC13/X13-1,""),"")</f>
        <v/>
      </c>
      <c r="AD14" s="24" t="n">
        <f aca="false">IF(AND(ISNUMBER(AD13),ISNUMBER(Y13)),IFERROR(AD13/Y13-1,""),"")</f>
        <v>0.0529141104294479</v>
      </c>
      <c r="AE14" s="24" t="n">
        <f aca="false">IF(AND(ISNUMBER(AE13),ISNUMBER(Z13)),IFERROR(AE13/Z13-1,""),"")</f>
        <v>0.0359937402190924</v>
      </c>
      <c r="AF14" s="24" t="n">
        <f aca="false">IF(AND(ISNUMBER(AF13),ISNUMBER(AA13)),IFERROR(AF13/AA13-1,""),"")</f>
        <v>0.0493343774471418</v>
      </c>
      <c r="AG14" s="24" t="n">
        <f aca="false">IF(AND(ISNUMBER(AG13),ISNUMBER(AB13)),IFERROR(AG13/AB13-1,""),"")</f>
        <v>0.0399079048349962</v>
      </c>
      <c r="AH14" s="24" t="n">
        <f aca="false">IF(AND(ISNUMBER(AH13),ISNUMBER(AC13)),IFERROR(AH13/AC13-1,""),"")</f>
        <v>0.0450310559006211</v>
      </c>
      <c r="AI14" s="24" t="n">
        <f aca="false">IF(AND(ISNUMBER(AI13),ISNUMBER(AD13)),IFERROR(AI13/AD13-1,""),"")</f>
        <v>0.0225782957028404</v>
      </c>
      <c r="AJ14" s="24" t="n">
        <f aca="false">IF(AND(ISNUMBER(AJ13),ISNUMBER(AE13)),IFERROR(AJ13/AE13-1,""),"")</f>
        <v>0.0347432024169183</v>
      </c>
      <c r="AK14" s="24" t="n">
        <f aca="false">IF(AND(ISNUMBER(AK13),ISNUMBER(AF13)),IFERROR(AK13/AF13-1,""),"")</f>
        <v>0.0149253731343284</v>
      </c>
      <c r="AL14" s="24" t="n">
        <f aca="false">IF(AND(ISNUMBER(AL13),ISNUMBER(AG13)),IFERROR(AL13/AG13-1,""),"")</f>
        <v>0.00442804428044274</v>
      </c>
      <c r="AM14" s="24" t="n">
        <f aca="false">IF(AND(ISNUMBER(AM13),ISNUMBER(AH13)),IFERROR(AM13/AH13-1,""),"")</f>
        <v>0.0185735512630014</v>
      </c>
      <c r="AN14" s="24" t="n">
        <f aca="false">IF(AND(ISNUMBER(AN13),ISNUMBER(AI13)),IFERROR(AN13/AI13-1,""),"")</f>
        <v>0.0227920227920229</v>
      </c>
      <c r="AO14" s="24" t="n">
        <f aca="false">IF(AND(ISNUMBER(AO13),ISNUMBER(AJ13)),IFERROR(AO13/AJ13-1,""),"")</f>
        <v>0.0350364963503651</v>
      </c>
      <c r="AP14" s="24" t="n">
        <f aca="false">IF(AND(ISNUMBER(AP13),ISNUMBER(AK13)),IFERROR(AP13/AK13-1,""),"")</f>
        <v>0.0566176470588236</v>
      </c>
      <c r="AQ14" s="24" t="n">
        <f aca="false">IF(AND(ISNUMBER(AQ13),ISNUMBER(AL13)),IFERROR(AQ13/AL13-1,""),"")</f>
        <v>0.0565760470242469</v>
      </c>
      <c r="AR14" s="24" t="n">
        <f aca="false">IF(AND(ISNUMBER(AR13),ISNUMBER(AM13)),IFERROR(AR13/AM13-1,""),"")</f>
        <v>0.0452224653537563</v>
      </c>
      <c r="AS14" s="24" t="n">
        <f aca="false">IF(AND(ISNUMBER(AS13),ISNUMBER(AN13)),IFERROR(AS13/AN13-1,""),"")</f>
        <v>0.0306406685236769</v>
      </c>
      <c r="AT14" s="24" t="n">
        <f aca="false">IF(AND(ISNUMBER(AT13),ISNUMBER(AO13)),IFERROR(AT13/AO13-1,""),"")</f>
        <v>0.0338504936530324</v>
      </c>
      <c r="AU14" s="24" t="n">
        <f aca="false">IF(AND(ISNUMBER(AU13),ISNUMBER(AP13)),IFERROR(AU13/AP13-1,""),"")</f>
        <v>0.0264439805149619</v>
      </c>
      <c r="AV14" s="24" t="n">
        <f aca="false">IF(AND(ISNUMBER(AV13),ISNUMBER(AQ13)),IFERROR(AV13/AQ13-1,""),"")</f>
        <v>0.0347705146036161</v>
      </c>
      <c r="AW14" s="24" t="n">
        <f aca="false">IF(AND(ISNUMBER(AW13),ISNUMBER(AR13)),IFERROR(AW13/AR13-1,""),"")</f>
        <v>0.0307048150732727</v>
      </c>
      <c r="AX14" s="24" t="n">
        <f aca="false">IF(AND(ISNUMBER(AX13),ISNUMBER(AS13)),IFERROR(AX13/AS13-1,""),"")</f>
        <v>0.0344594594594594</v>
      </c>
      <c r="AY14" s="24" t="n">
        <f aca="false">IF(AND(ISNUMBER(AY13),ISNUMBER(AT13)),IFERROR(AY13/AT13-1,""),"")</f>
        <v>0.0279672578444747</v>
      </c>
      <c r="AZ14" s="24" t="n">
        <f aca="false">IF(AND(ISNUMBER(AZ13),ISNUMBER(AU13)),IFERROR(AZ13/AU13-1,""),"")</f>
        <v>0.0122033898305085</v>
      </c>
      <c r="BA14" s="24" t="n">
        <f aca="false">IF(AND(ISNUMBER(BA13),ISNUMBER(AV13)),IFERROR(BA13/AV13-1,""),"")</f>
        <v>0.0141129032258065</v>
      </c>
      <c r="BB14" s="24" t="n">
        <f aca="false">IF(AND(ISNUMBER(BB13),ISNUMBER(AW13)),IFERROR(BB13/AW13-1,""),"")</f>
        <v>0.020988490182803</v>
      </c>
      <c r="BC14" s="24" t="n">
        <f aca="false">IF(AND(ISNUMBER(BC13),ISNUMBER(AX13)),IFERROR(BC13/AX13-1,""),"")</f>
        <v>0.0561724363161333</v>
      </c>
      <c r="BD14" s="24" t="n">
        <f aca="false">IF(AND(ISNUMBER(BD13),ISNUMBER(AY13)),IFERROR(BD13/AY13-1,""),"")</f>
        <v>0.0842733908427338</v>
      </c>
      <c r="BE14" s="24" t="n">
        <f aca="false">IF(AND(ISNUMBER(BE13),ISNUMBER(AZ13)),IFERROR(BE13/AZ13-1,""),"")</f>
        <v>0.115204286671132</v>
      </c>
      <c r="BF14" s="24" t="n">
        <f aca="false">IF(AND(ISNUMBER(BF13),ISNUMBER(BA13)),IFERROR(BF13/BA13-1,""),"")</f>
        <v>0.165009940357853</v>
      </c>
      <c r="BG14" s="24" t="n">
        <f aca="false">IF(AND(ISNUMBER(BG13),ISNUMBER(BB13)),IFERROR(BG13/BB13-1,""),"")</f>
        <v>0.106100795755968</v>
      </c>
      <c r="BH14" s="24" t="n">
        <f aca="false">IF(AND(ISNUMBER(BH13),ISNUMBER(BC13)),IFERROR(BH13/BC13-1,""),"")</f>
        <v>0.22634508348794</v>
      </c>
      <c r="BI14" s="24" t="n">
        <f aca="false">IF(AND(ISNUMBER(BI13),ISNUMBER(BD13)),IFERROR(BI13/BD13-1,""),"")</f>
        <v>0.185434516523868</v>
      </c>
      <c r="BJ14" s="24" t="n">
        <f aca="false">IF(AND(ISNUMBER(BJ13),ISNUMBER(BE13)),IFERROR(BJ13/BE13-1,""),"")</f>
        <v>0.2</v>
      </c>
      <c r="BK14" s="24" t="n">
        <f aca="false">IF(AND(ISNUMBER(BK13),ISNUMBER(BF13)),IFERROR(BK13/BF13-1,""),"")</f>
        <v>0.150170648464164</v>
      </c>
      <c r="BL14" s="24" t="n">
        <f aca="false">IF(AND(ISNUMBER(BL13),ISNUMBER(BG13)),IFERROR(BL13/BG13-1,""),"")</f>
        <v>0.189448441247002</v>
      </c>
      <c r="BM14" s="24" t="n">
        <f aca="false">IF(AND(ISNUMBER(BM13),ISNUMBER(BH13)),IFERROR(BM13/BH13-1,""),"")</f>
        <v>0.122541603630862</v>
      </c>
      <c r="BN14" s="24" t="n">
        <f aca="false">IF(AND(ISNUMBER(BN13),ISNUMBER(BI13)),IFERROR(BN13/BI13-1,""),"")</f>
        <v>0.11564274651523</v>
      </c>
      <c r="BO14" s="24" t="n">
        <f aca="false">IF(AND(ISNUMBER(BO13),ISNUMBER(BJ13)),IFERROR(BO13/BJ13-1,""),"")</f>
        <v>0.077077077077077</v>
      </c>
      <c r="BP14" s="24" t="n">
        <f aca="false">IF(AND(ISNUMBER(BP13),ISNUMBER(BK13)),IFERROR(BP13/BK13-1,""),"")</f>
        <v>0.0855588526211673</v>
      </c>
      <c r="BQ14" s="24" t="n">
        <f aca="false">IF(AND(ISNUMBER(BQ13),ISNUMBER(BL13)),IFERROR(BQ13/BL13-1,""),"")</f>
        <v>0.0987903225806452</v>
      </c>
      <c r="BR14" s="24" t="n">
        <f aca="false">IF(AND(ISNUMBER(BR13),ISNUMBER(BM13)),IFERROR(BR13/BM13-1,""),"")</f>
        <v>0.0678346810422281</v>
      </c>
      <c r="BS14" s="24" t="n">
        <f aca="false">IF(AND(ISNUMBER(BS13),ISNUMBER(BN13)),IFERROR(BS13/BN13-1,""),"")</f>
        <v>0.0740397963905599</v>
      </c>
      <c r="BT14" s="24" t="n">
        <f aca="false">IF(AND(ISNUMBER(BT13),ISNUMBER(BO13)),IFERROR(BT13/BO13-1,""),"")</f>
        <v>0.0799256505576207</v>
      </c>
      <c r="BU14" s="24" t="n">
        <f aca="false">IF(AND(ISNUMBER(BU13),ISNUMBER(BP13)),IFERROR(BU13/BP13-1,""),"")</f>
        <v>0.0528473804100227</v>
      </c>
      <c r="BV14" s="24" t="n">
        <f aca="false">IF(AND(ISNUMBER(BV13),ISNUMBER(BQ13)),IFERROR(BV13/BQ13-1,""),"")</f>
        <v>0.0688073394495412</v>
      </c>
      <c r="BW14" s="24" t="n">
        <f aca="false">IF(AND(ISNUMBER(BW13),ISNUMBER(BR13)),IFERROR(BW13/BR13-1,""),"")</f>
        <v>-0.0029448885149348</v>
      </c>
      <c r="BX14" s="24" t="n">
        <f aca="false">IF(AND(ISNUMBER(BX13),ISNUMBER(BS13)),IFERROR(BX13/BS13-1,""),"")</f>
        <v>-0.020249892287807</v>
      </c>
      <c r="BY14" s="25" t="n">
        <f aca="false">$BX$14</f>
        <v>-0.020249892287807</v>
      </c>
      <c r="BZ14" s="25" t="n">
        <f aca="false">$BX$14</f>
        <v>-0.020249892287807</v>
      </c>
      <c r="CA14" s="25" t="n">
        <f aca="false">IFERROR(CA13/BV13-1,"")</f>
        <v>-0.0170349400252824</v>
      </c>
      <c r="CB14" s="25" t="n">
        <f aca="false">CHOOSE(MATCH($CF$2,{"Bull","Base","Bear"},0),$CO$30,$CP$30,$CQ$30)</f>
        <v>0.06</v>
      </c>
      <c r="CC14" s="25" t="n">
        <f aca="false">CHOOSE(MATCH($CF$2,{"Bull","Base","Bear"},0),$CO$31,$CP$31,$CQ$31)</f>
        <v>0.055</v>
      </c>
      <c r="CD14" s="25" t="n">
        <f aca="false">CHOOSE(MATCH($CF$2,{"Bull","Base","Bear"},0),$CO$32,$CP$32,$CQ$32)</f>
        <v>0.05</v>
      </c>
      <c r="CE14" s="25" t="n">
        <f aca="false">CHOOSE(MATCH($CF$2,{"Bull","Base","Bear"},0),$CO$33,$CP$33,$CQ$33)</f>
        <v>0.05</v>
      </c>
      <c r="CF14" s="6"/>
      <c r="CN14" s="26" t="s">
        <v>101</v>
      </c>
      <c r="CO14" s="27" t="n">
        <v>1043</v>
      </c>
      <c r="CP14" s="27" t="n">
        <v>1043</v>
      </c>
      <c r="CQ14" s="27" t="n">
        <v>1043</v>
      </c>
      <c r="CR14" s="14" t="s">
        <v>102</v>
      </c>
    </row>
    <row r="15" customFormat="false" ht="15" hidden="false" customHeight="true" outlineLevel="0" collapsed="false">
      <c r="B15" s="26" t="s">
        <v>103</v>
      </c>
      <c r="C15" s="30" t="str">
        <f aca="false">IFERROR(C16/(C11*C13),"")</f>
        <v/>
      </c>
      <c r="D15" s="30" t="str">
        <f aca="false">IFERROR(D16/(D11*D13),"")</f>
        <v/>
      </c>
      <c r="E15" s="30" t="str">
        <f aca="false">IFERROR(E16/(E11*E13),"")</f>
        <v/>
      </c>
      <c r="F15" s="30" t="str">
        <f aca="false">IFERROR(F16/(F11*F13),"")</f>
        <v/>
      </c>
      <c r="G15" s="30" t="str">
        <f aca="false">IFERROR(G16/(G11*G13),"")</f>
        <v/>
      </c>
      <c r="H15" s="30" t="str">
        <f aca="false">IFERROR(H16/(H11*H13),"")</f>
        <v/>
      </c>
      <c r="I15" s="30" t="n">
        <f aca="false">IFERROR(I16/(I11*I13),"")</f>
        <v>0.983661540228555</v>
      </c>
      <c r="J15" s="30" t="n">
        <f aca="false">IFERROR(J16/(J11*J13),"")</f>
        <v>0.991653661717162</v>
      </c>
      <c r="K15" s="30" t="n">
        <f aca="false">IFERROR(K16/(K11*K13),"")</f>
        <v>0.985826617274509</v>
      </c>
      <c r="L15" s="30" t="n">
        <f aca="false">IFERROR(L16/(L11*L13),"")</f>
        <v>0.983480187669641</v>
      </c>
      <c r="M15" s="30" t="n">
        <f aca="false">IFERROR(M16/(M11*M13),"")</f>
        <v>0.987035738561412</v>
      </c>
      <c r="N15" s="30" t="n">
        <f aca="false">IFERROR(N16/(N11*N13),"")</f>
        <v>0.987003930634199</v>
      </c>
      <c r="O15" s="30" t="n">
        <f aca="false">IFERROR(O16/(O11*O13),"")</f>
        <v>0.990698992009763</v>
      </c>
      <c r="P15" s="30" t="n">
        <f aca="false">IFERROR(P16/(P11*P13),"")</f>
        <v>0.984339209822866</v>
      </c>
      <c r="Q15" s="30" t="str">
        <f aca="false">IFERROR(Q16/(Q11*Q13),"")</f>
        <v/>
      </c>
      <c r="R15" s="30" t="str">
        <f aca="false">IFERROR(R16/(R11*R13),"")</f>
        <v/>
      </c>
      <c r="S15" s="30" t="str">
        <f aca="false">IFERROR(S16/(S11*S13),"")</f>
        <v/>
      </c>
      <c r="T15" s="30" t="str">
        <f aca="false">IFERROR(T16/(T11*T13),"")</f>
        <v/>
      </c>
      <c r="U15" s="30" t="str">
        <f aca="false">IFERROR(U16/(U11*U13),"")</f>
        <v/>
      </c>
      <c r="V15" s="30" t="str">
        <f aca="false">IFERROR(V16/(V11*V13),"")</f>
        <v/>
      </c>
      <c r="W15" s="30" t="str">
        <f aca="false">IFERROR(W16/(W11*W13),"")</f>
        <v/>
      </c>
      <c r="X15" s="30" t="str">
        <f aca="false">IFERROR(X16/(X11*X13),"")</f>
        <v/>
      </c>
      <c r="Y15" s="30" t="n">
        <f aca="false">IFERROR(Y16/(Y11*Y13),"")</f>
        <v>0.954333778767353</v>
      </c>
      <c r="Z15" s="30" t="n">
        <f aca="false">IFERROR(Z16/(Z11*Z13),"")</f>
        <v>0.949359896434268</v>
      </c>
      <c r="AA15" s="30" t="n">
        <f aca="false">IFERROR(AA16/(AA11*AA13),"")</f>
        <v>0.939411620208432</v>
      </c>
      <c r="AB15" s="30" t="n">
        <f aca="false">IFERROR(AB16/(AB11*AB13),"")</f>
        <v>1.00778349882806</v>
      </c>
      <c r="AC15" s="30" t="n">
        <f aca="false">IFERROR(AC16/(AC11*AC13),"")</f>
        <v>1.00871082908953</v>
      </c>
      <c r="AD15" s="30" t="n">
        <f aca="false">IFERROR(AD16/(AD11*AD13),"")</f>
        <v>1.00815405451576</v>
      </c>
      <c r="AE15" s="30" t="n">
        <f aca="false">IFERROR(AE16/(AE11*AE13),"")</f>
        <v>1.00605210612416</v>
      </c>
      <c r="AF15" s="30" t="n">
        <f aca="false">IFERROR(AF16/(AF11*AF13),"")</f>
        <v>1.00717733101415</v>
      </c>
      <c r="AG15" s="30" t="n">
        <f aca="false">IFERROR(AG16/(AG11*AG13),"")</f>
        <v>1.00648003151805</v>
      </c>
      <c r="AH15" s="30" t="n">
        <f aca="false">IFERROR(AH16/(AH11*AH13),"")</f>
        <v>1.00687120342139</v>
      </c>
      <c r="AI15" s="30" t="n">
        <f aca="false">IFERROR(AI16/(AI11*AI13),"")</f>
        <v>1.00834960928232</v>
      </c>
      <c r="AJ15" s="30" t="n">
        <f aca="false">IFERROR(AJ16/(AJ11*AJ13),"")</f>
        <v>1.00504206910793</v>
      </c>
      <c r="AK15" s="30" t="n">
        <f aca="false">IFERROR(AK16/(AK11*AK13),"")</f>
        <v>1.00495845743114</v>
      </c>
      <c r="AL15" s="30" t="n">
        <f aca="false">IFERROR(AL16/(AL11*AL13),"")</f>
        <v>1.00622757598669</v>
      </c>
      <c r="AM15" s="30" t="n">
        <f aca="false">IFERROR(AM16/(AM11*AM13),"")</f>
        <v>1.00576879077462</v>
      </c>
      <c r="AN15" s="30" t="n">
        <f aca="false">IFERROR(AN16/(AN11*AN13),"")</f>
        <v>1.01129199769844</v>
      </c>
      <c r="AO15" s="30" t="n">
        <f aca="false">IFERROR(AO16/(AO11*AO13),"")</f>
        <v>1.00542975746333</v>
      </c>
      <c r="AP15" s="30" t="n">
        <f aca="false">IFERROR(AP16/(AP11*AP13),"")</f>
        <v>1.00535342072922</v>
      </c>
      <c r="AQ15" s="30" t="n">
        <f aca="false">IFERROR(AQ16/(AQ11*AQ13),"")</f>
        <v>1.00582993306943</v>
      </c>
      <c r="AR15" s="30" t="n">
        <f aca="false">IFERROR(AR16/(AR11*AR13),"")</f>
        <v>1.00653650775195</v>
      </c>
      <c r="AS15" s="30" t="n">
        <f aca="false">IFERROR(AS16/(AS11*AS13),"")</f>
        <v>1.0061040152424</v>
      </c>
      <c r="AT15" s="30" t="n">
        <f aca="false">IFERROR(AT16/(AT11*AT13),"")</f>
        <v>1.00573946964529</v>
      </c>
      <c r="AU15" s="30" t="n">
        <f aca="false">IFERROR(AU16/(AU11*AU13),"")</f>
        <v>1.00373012237419</v>
      </c>
      <c r="AV15" s="30" t="n">
        <f aca="false">IFERROR(AV16/(AV11*AV13),"")</f>
        <v>1.00687505947283</v>
      </c>
      <c r="AW15" s="30" t="n">
        <f aca="false">IFERROR(AW16/(AW11*AW13),"")</f>
        <v>1.00533470316071</v>
      </c>
      <c r="AX15" s="30" t="n">
        <f aca="false">IFERROR(AX16/(AX11*AX13),"")</f>
        <v>1.00809681673096</v>
      </c>
      <c r="AY15" s="30" t="n">
        <f aca="false">IFERROR(AY16/(AY11*AY13),"")</f>
        <v>1.00576641081381</v>
      </c>
      <c r="AZ15" s="30" t="n">
        <f aca="false">IFERROR(AZ16/(AZ11*AZ13),"")</f>
        <v>1.00715620262982</v>
      </c>
      <c r="BA15" s="30" t="n">
        <f aca="false">IFERROR(BA16/(BA11*BA13),"")</f>
        <v>1.01115325268561</v>
      </c>
      <c r="BB15" s="30" t="n">
        <f aca="false">IFERROR(BB16/(BB11*BB13),"")</f>
        <v>1.00804325242181</v>
      </c>
      <c r="BC15" s="30" t="n">
        <f aca="false">IFERROR(BC16/(BC11*BC13),"")</f>
        <v>1.00755482499629</v>
      </c>
      <c r="BD15" s="30" t="n">
        <f aca="false">IFERROR(BD16/(BD11*BD13),"")</f>
        <v>1.01138014425296</v>
      </c>
      <c r="BE15" s="30" t="n">
        <f aca="false">IFERROR(BE16/(BE11*BE13),"")</f>
        <v>1.01333892031566</v>
      </c>
      <c r="BF15" s="30" t="n">
        <f aca="false">IFERROR(BF16/(BF11*BF13),"")</f>
        <v>1.01268117238238</v>
      </c>
      <c r="BG15" s="30" t="n">
        <f aca="false">IFERROR(BG16/(BG11*BG13),"")</f>
        <v>1.01199733520839</v>
      </c>
      <c r="BH15" s="30" t="n">
        <f aca="false">IFERROR(BH16/(BH11*BH13),"")</f>
        <v>1.10277889639877</v>
      </c>
      <c r="BI15" s="30" t="n">
        <f aca="false">IFERROR(BI16/(BI11*BI13),"")</f>
        <v>1.0906869129885</v>
      </c>
      <c r="BJ15" s="30" t="n">
        <f aca="false">IFERROR(BJ16/(BJ11*BJ13),"")</f>
        <v>1.08901387971155</v>
      </c>
      <c r="BK15" s="30" t="n">
        <f aca="false">IFERROR(BK16/(BK11*BK13),"")</f>
        <v>1.08452940402355</v>
      </c>
      <c r="BL15" s="30" t="n">
        <f aca="false">IFERROR(BL16/(BL11*BL13),"")</f>
        <v>1.09061627831505</v>
      </c>
      <c r="BM15" s="30" t="n">
        <f aca="false">IFERROR(BM16/(BM11*BM13),"")</f>
        <v>1.0862680983312</v>
      </c>
      <c r="BN15" s="30" t="n">
        <f aca="false">IFERROR(BN16/(BN11*BN13),"")</f>
        <v>1.08440362166363</v>
      </c>
      <c r="BO15" s="30" t="n">
        <f aca="false">IFERROR(BO16/(BO11*BO13),"")</f>
        <v>1.08166670128</v>
      </c>
      <c r="BP15" s="30" t="n">
        <f aca="false">IFERROR(BP16/(BP11*BP13),"")</f>
        <v>1.08141011313433</v>
      </c>
      <c r="BQ15" s="30" t="n">
        <f aca="false">IFERROR(BQ16/(BQ11*BQ13),"")</f>
        <v>1.08353856715587</v>
      </c>
      <c r="BR15" s="30" t="n">
        <f aca="false">IFERROR(BR16/(BR11*BR13),"")</f>
        <v>1.08087116921782</v>
      </c>
      <c r="BS15" s="30" t="n">
        <f aca="false">IFERROR(BS16/(BS11*BS13),"")</f>
        <v>1.07916580483286</v>
      </c>
      <c r="BT15" s="30" t="n">
        <f aca="false">IFERROR(BT16/(BT11*BT13),"")</f>
        <v>1.08353473107827</v>
      </c>
      <c r="BU15" s="30" t="n">
        <f aca="false">IFERROR(BU16/(BU11*BU13),"")</f>
        <v>1.08399501273805</v>
      </c>
      <c r="BV15" s="30" t="n">
        <f aca="false">IFERROR(BV16/(BV11*BV13),"")</f>
        <v>1.08193424935947</v>
      </c>
      <c r="BW15" s="30" t="n">
        <f aca="false">IFERROR(BW16/(BW11*BW13),"")</f>
        <v>1.09762309814211</v>
      </c>
      <c r="BX15" s="30" t="n">
        <f aca="false">IFERROR(BX16/(BX11*BX13),"")</f>
        <v>1.09438714319981</v>
      </c>
      <c r="BY15" s="31" t="n">
        <f aca="false">BT15</f>
        <v>1.08353473107827</v>
      </c>
      <c r="BZ15" s="31" t="n">
        <f aca="false">BU15</f>
        <v>1.08399501273805</v>
      </c>
      <c r="CA15" s="31" t="n">
        <f aca="false">IFERROR(CA16/(CA11*CA13),"")</f>
        <v>1.08918858616976</v>
      </c>
      <c r="CB15" s="31" t="n">
        <f aca="false">CA15</f>
        <v>1.08918858616976</v>
      </c>
      <c r="CC15" s="31" t="n">
        <f aca="false">CB15</f>
        <v>1.08918858616976</v>
      </c>
      <c r="CD15" s="31" t="n">
        <f aca="false">CC15</f>
        <v>1.08918858616976</v>
      </c>
      <c r="CE15" s="31" t="n">
        <f aca="false">CD15</f>
        <v>1.08918858616976</v>
      </c>
      <c r="CF15" s="20" t="s">
        <v>104</v>
      </c>
      <c r="CN15" s="16" t="s">
        <v>105</v>
      </c>
      <c r="CO15" s="22"/>
      <c r="CP15" s="22"/>
      <c r="CQ15" s="22"/>
    </row>
    <row r="16" customFormat="false" ht="15" hidden="false" customHeight="true" outlineLevel="0" collapsed="false">
      <c r="B16" s="17" t="s">
        <v>106</v>
      </c>
      <c r="C16" s="32"/>
      <c r="D16" s="32"/>
      <c r="E16" s="32"/>
      <c r="F16" s="32"/>
      <c r="G16" s="32"/>
      <c r="H16" s="33" t="n">
        <v>1213.2</v>
      </c>
      <c r="I16" s="33" t="n">
        <v>1304</v>
      </c>
      <c r="J16" s="33" t="n">
        <v>247.8</v>
      </c>
      <c r="K16" s="33" t="n">
        <v>357.2</v>
      </c>
      <c r="L16" s="33" t="n">
        <v>411.2</v>
      </c>
      <c r="M16" s="33" t="n">
        <v>331.2</v>
      </c>
      <c r="N16" s="33" t="n">
        <v>1347.5</v>
      </c>
      <c r="O16" s="33" t="n">
        <v>263.9</v>
      </c>
      <c r="P16" s="33" t="n">
        <v>422</v>
      </c>
      <c r="Q16" s="33" t="n">
        <v>478.8</v>
      </c>
      <c r="R16" s="33" t="n">
        <v>405.4</v>
      </c>
      <c r="S16" s="33" t="n">
        <v>1570</v>
      </c>
      <c r="T16" s="33" t="n">
        <v>332.2</v>
      </c>
      <c r="U16" s="33" t="n">
        <v>481.5</v>
      </c>
      <c r="V16" s="33" t="n">
        <v>530</v>
      </c>
      <c r="W16" s="33" t="n">
        <v>449.9</v>
      </c>
      <c r="X16" s="33" t="n">
        <v>1793.7</v>
      </c>
      <c r="Y16" s="33" t="n">
        <v>406.5</v>
      </c>
      <c r="Z16" s="33" t="n">
        <v>516.3</v>
      </c>
      <c r="AA16" s="33" t="n">
        <v>542.7</v>
      </c>
      <c r="AB16" s="33" t="n">
        <v>501.2</v>
      </c>
      <c r="AC16" s="33" t="n">
        <v>2060.9</v>
      </c>
      <c r="AD16" s="33" t="n">
        <v>451.4</v>
      </c>
      <c r="AE16" s="33" t="n">
        <v>578.4</v>
      </c>
      <c r="AF16" s="33" t="n">
        <v>591.2</v>
      </c>
      <c r="AG16" s="33" t="n">
        <v>516.3</v>
      </c>
      <c r="AH16" s="33" t="n">
        <v>2137.2</v>
      </c>
      <c r="AI16" s="33" t="n">
        <v>425</v>
      </c>
      <c r="AJ16" s="33" t="n">
        <v>665.308</v>
      </c>
      <c r="AK16" s="33" t="n">
        <v>687.8</v>
      </c>
      <c r="AL16" s="33" t="n">
        <v>577.549</v>
      </c>
      <c r="AM16" s="33" t="n">
        <v>2355.673</v>
      </c>
      <c r="AN16" s="33" t="n">
        <v>541.473</v>
      </c>
      <c r="AO16" s="33" t="n">
        <v>757.802</v>
      </c>
      <c r="AP16" s="33" t="n">
        <v>818.693</v>
      </c>
      <c r="AQ16" s="33" t="n">
        <v>635.295</v>
      </c>
      <c r="AR16" s="33" t="n">
        <v>2756.738</v>
      </c>
      <c r="AS16" s="33" t="n">
        <v>570.3</v>
      </c>
      <c r="AT16" s="33" t="n">
        <v>754.9</v>
      </c>
      <c r="AU16" s="33" t="n">
        <v>766.9</v>
      </c>
      <c r="AV16" s="33" t="n">
        <v>677.2</v>
      </c>
      <c r="AW16" s="33" t="n">
        <v>2769.3</v>
      </c>
      <c r="AX16" s="33" t="n">
        <v>572.6</v>
      </c>
      <c r="AY16" s="33" t="n">
        <v>801.8</v>
      </c>
      <c r="AZ16" s="33" t="n">
        <v>857.1</v>
      </c>
      <c r="BA16" s="33" t="n">
        <v>827</v>
      </c>
      <c r="BB16" s="33" t="n">
        <v>3058.5</v>
      </c>
      <c r="BC16" s="33" t="n">
        <v>685.9</v>
      </c>
      <c r="BD16" s="33" t="n">
        <v>955.2</v>
      </c>
      <c r="BE16" s="33" t="n">
        <v>1015.7</v>
      </c>
      <c r="BF16" s="33" t="n">
        <v>849.2</v>
      </c>
      <c r="BG16" s="33" t="n">
        <v>3506</v>
      </c>
      <c r="BH16" s="33" t="n">
        <v>911.9</v>
      </c>
      <c r="BI16" s="33" t="n">
        <v>1151.4</v>
      </c>
      <c r="BJ16" s="33" t="n">
        <v>1216.3</v>
      </c>
      <c r="BK16" s="33" t="n">
        <v>1021.9</v>
      </c>
      <c r="BL16" s="33" t="n">
        <v>4301.6</v>
      </c>
      <c r="BM16" s="33" t="n">
        <v>885</v>
      </c>
      <c r="BN16" s="33" t="n">
        <v>1242</v>
      </c>
      <c r="BO16" s="33" t="n">
        <v>1250</v>
      </c>
      <c r="BP16" s="33" t="n">
        <v>1137</v>
      </c>
      <c r="BQ16" s="33" t="n">
        <v>4514</v>
      </c>
      <c r="BR16" s="33" t="n">
        <v>1002</v>
      </c>
      <c r="BS16" s="33" t="n">
        <v>1320</v>
      </c>
      <c r="BT16" s="33" t="n">
        <v>1458</v>
      </c>
      <c r="BU16" s="33" t="n">
        <v>1225</v>
      </c>
      <c r="BV16" s="33" t="n">
        <v>5004</v>
      </c>
      <c r="BW16" s="33" t="n">
        <v>1142</v>
      </c>
      <c r="BX16" s="33" t="n">
        <v>1533</v>
      </c>
      <c r="BY16" s="34" t="n">
        <f aca="false">BY11*BY13*BY15</f>
        <v>1737.18376455087</v>
      </c>
      <c r="BZ16" s="34" t="n">
        <f aca="false">BZ11*BZ13*BZ15</f>
        <v>1459.5679777605</v>
      </c>
      <c r="CA16" s="34" t="n">
        <f aca="false">SUM(BW16,BX16,BY16,BZ16)</f>
        <v>5871.75174231137</v>
      </c>
      <c r="CB16" s="34" t="n">
        <f aca="false">CB11*CB13*CB15</f>
        <v>6410.77855225556</v>
      </c>
      <c r="CC16" s="34" t="n">
        <f aca="false">CC11*CC13*CC15</f>
        <v>6966.2725138085</v>
      </c>
      <c r="CD16" s="34" t="n">
        <f aca="false">CD11*CD13*CD15</f>
        <v>7497.4507929864</v>
      </c>
      <c r="CE16" s="34" t="n">
        <f aca="false">CE11*CE13*CE15</f>
        <v>8069.13141595161</v>
      </c>
      <c r="CF16" s="6"/>
      <c r="CH16" s="21" t="n">
        <f aca="false">IFERROR((CE16/BV16)^(1/5)-1,"n/m")</f>
        <v>0.100276652582188</v>
      </c>
      <c r="CI16" s="21" t="n">
        <f aca="false">IFERROR((BV16/AW16)^(1/5)-1,"n/m")</f>
        <v>0.12561393002382</v>
      </c>
      <c r="CJ16" s="21" t="n">
        <f aca="false">IFERROR((BV16/X16)^(1/10)-1,"n/m")</f>
        <v>0.108043344010693</v>
      </c>
      <c r="CK16" s="21" t="str">
        <f aca="false">IFERROR((BV16/C16)^(1/19)-1,"n/m")</f>
        <v>n/m</v>
      </c>
      <c r="CN16" s="26" t="s">
        <v>107</v>
      </c>
      <c r="CP16" s="27" t="n">
        <v>223</v>
      </c>
      <c r="CR16" s="14" t="s">
        <v>108</v>
      </c>
    </row>
    <row r="17" customFormat="false" ht="15" hidden="false" customHeight="true" outlineLevel="0" collapsed="false">
      <c r="B17" s="23" t="s">
        <v>109</v>
      </c>
      <c r="D17" s="24" t="str">
        <f aca="false">IF(AND(ISNUMBER(D16),ISNUMBER(C16)),IFERROR(D16/C16-1,""),"")</f>
        <v/>
      </c>
      <c r="E17" s="24" t="str">
        <f aca="false">IF(AND(ISNUMBER(E16),ISNUMBER(D16)),IFERROR(E16/D16-1,""),"")</f>
        <v/>
      </c>
      <c r="F17" s="24" t="str">
        <f aca="false">IF(AND(ISNUMBER(F16),ISNUMBER(E16)),IFERROR(F16/E16-1,""),"")</f>
        <v/>
      </c>
      <c r="G17" s="24" t="str">
        <f aca="false">IF(AND(ISNUMBER(G16),ISNUMBER(F16)),IFERROR(G16/F16-1,""),"")</f>
        <v/>
      </c>
      <c r="H17" s="24" t="str">
        <f aca="false">IF(AND(ISNUMBER(H16),ISNUMBER(G16)),IFERROR(H16/G16-1,""),"")</f>
        <v/>
      </c>
      <c r="I17" s="24" t="n">
        <f aca="false">IF(AND(ISNUMBER(I16),ISNUMBER(H16)),IFERROR(I16/H16-1,""),"")</f>
        <v>0.0748433893834486</v>
      </c>
      <c r="N17" s="24" t="n">
        <f aca="false">IF(AND(ISNUMBER(N16),ISNUMBER(I16)),IFERROR(N16/I16-1,""),"")</f>
        <v>0.0333588957055215</v>
      </c>
      <c r="O17" s="24" t="n">
        <f aca="false">IF(AND(ISNUMBER(O16),ISNUMBER(J16)),IFERROR(O16/J16-1,""),"")</f>
        <v>0.0649717514124293</v>
      </c>
      <c r="P17" s="24" t="n">
        <f aca="false">IF(AND(ISNUMBER(P16),ISNUMBER(K16)),IFERROR(P16/K16-1,""),"")</f>
        <v>0.181410974244121</v>
      </c>
      <c r="Q17" s="24" t="n">
        <f aca="false">IF(AND(ISNUMBER(Q16),ISNUMBER(L16)),IFERROR(Q16/L16-1,""),"")</f>
        <v>0.164396887159533</v>
      </c>
      <c r="R17" s="24" t="n">
        <f aca="false">IF(AND(ISNUMBER(R16),ISNUMBER(M16)),IFERROR(R16/M16-1,""),"")</f>
        <v>0.224033816425121</v>
      </c>
      <c r="S17" s="24" t="n">
        <f aca="false">IF(AND(ISNUMBER(S16),ISNUMBER(N16)),IFERROR(S16/N16-1,""),"")</f>
        <v>0.165120593692022</v>
      </c>
      <c r="T17" s="24" t="n">
        <f aca="false">IF(AND(ISNUMBER(T16),ISNUMBER(O16)),IFERROR(T16/O16-1,""),"")</f>
        <v>0.25881015536188</v>
      </c>
      <c r="U17" s="24" t="n">
        <f aca="false">IF(AND(ISNUMBER(U16),ISNUMBER(P16)),IFERROR(U16/P16-1,""),"")</f>
        <v>0.140995260663507</v>
      </c>
      <c r="V17" s="24" t="n">
        <f aca="false">IF(AND(ISNUMBER(V16),ISNUMBER(Q16)),IFERROR(V16/Q16-1,""),"")</f>
        <v>0.106934001670844</v>
      </c>
      <c r="W17" s="24" t="n">
        <f aca="false">IF(AND(ISNUMBER(W16),ISNUMBER(R16)),IFERROR(W16/R16-1,""),"")</f>
        <v>0.109768130241737</v>
      </c>
      <c r="X17" s="24" t="n">
        <f aca="false">IF(AND(ISNUMBER(X16),ISNUMBER(S16)),IFERROR(X16/S16-1,""),"")</f>
        <v>0.142484076433121</v>
      </c>
      <c r="Y17" s="24" t="n">
        <f aca="false">IF(AND(ISNUMBER(Y16),ISNUMBER(T16)),IFERROR(Y16/T16-1,""),"")</f>
        <v>0.22366044551475</v>
      </c>
      <c r="Z17" s="24" t="n">
        <f aca="false">IF(AND(ISNUMBER(Z16),ISNUMBER(U16)),IFERROR(Z16/U16-1,""),"")</f>
        <v>0.0722741433021805</v>
      </c>
      <c r="AA17" s="24" t="n">
        <f aca="false">IF(AND(ISNUMBER(AA16),ISNUMBER(V16)),IFERROR(AA16/V16-1,""),"")</f>
        <v>0.0239622641509434</v>
      </c>
      <c r="AB17" s="24" t="n">
        <f aca="false">IF(AND(ISNUMBER(AB16),ISNUMBER(W16)),IFERROR(AB16/W16-1,""),"")</f>
        <v>0.114025338964214</v>
      </c>
      <c r="AC17" s="24" t="n">
        <f aca="false">IF(AND(ISNUMBER(AC16),ISNUMBER(X16)),IFERROR(AC16/X16-1,""),"")</f>
        <v>0.148965824831354</v>
      </c>
      <c r="AD17" s="24" t="n">
        <f aca="false">IF(AND(ISNUMBER(AD16),ISNUMBER(Y16)),IFERROR(AD16/Y16-1,""),"")</f>
        <v>0.110455104551045</v>
      </c>
      <c r="AE17" s="24" t="n">
        <f aca="false">IF(AND(ISNUMBER(AE16),ISNUMBER(Z16)),IFERROR(AE16/Z16-1,""),"")</f>
        <v>0.120278907611854</v>
      </c>
      <c r="AF17" s="24" t="n">
        <f aca="false">IF(AND(ISNUMBER(AF16),ISNUMBER(AA16)),IFERROR(AF16/AA16-1,""),"")</f>
        <v>0.0893679749401142</v>
      </c>
      <c r="AG17" s="24" t="n">
        <f aca="false">IF(AND(ISNUMBER(AG16),ISNUMBER(AB16)),IFERROR(AG16/AB16-1,""),"")</f>
        <v>0.0301276935355146</v>
      </c>
      <c r="AH17" s="24" t="n">
        <f aca="false">IF(AND(ISNUMBER(AH16),ISNUMBER(AC16)),IFERROR(AH16/AC16-1,""),"")</f>
        <v>0.0370226600029113</v>
      </c>
      <c r="AI17" s="24" t="n">
        <f aca="false">IF(AND(ISNUMBER(AI16),ISNUMBER(AD16)),IFERROR(AI16/AD16-1,""),"")</f>
        <v>-0.0584847142224191</v>
      </c>
      <c r="AJ17" s="24" t="n">
        <f aca="false">IF(AND(ISNUMBER(AJ16),ISNUMBER(AE16)),IFERROR(AJ16/AE16-1,""),"")</f>
        <v>0.150255878284924</v>
      </c>
      <c r="AK17" s="24" t="n">
        <f aca="false">IF(AND(ISNUMBER(AK16),ISNUMBER(AF16)),IFERROR(AK16/AF16-1,""),"")</f>
        <v>0.16339648173207</v>
      </c>
      <c r="AL17" s="24" t="n">
        <f aca="false">IF(AND(ISNUMBER(AL16),ISNUMBER(AG16)),IFERROR(AL16/AG16-1,""),"")</f>
        <v>0.118630641100136</v>
      </c>
      <c r="AM17" s="24" t="n">
        <f aca="false">IF(AND(ISNUMBER(AM16),ISNUMBER(AH16)),IFERROR(AM16/AH16-1,""),"")</f>
        <v>0.102223937862624</v>
      </c>
      <c r="AN17" s="24" t="n">
        <f aca="false">IF(AND(ISNUMBER(AN16),ISNUMBER(AI16)),IFERROR(AN16/AI16-1,""),"")</f>
        <v>0.274054117647059</v>
      </c>
      <c r="AO17" s="24" t="n">
        <f aca="false">IF(AND(ISNUMBER(AO16),ISNUMBER(AJ16)),IFERROR(AO16/AJ16-1,""),"")</f>
        <v>0.139024331587776</v>
      </c>
      <c r="AP17" s="24" t="n">
        <f aca="false">IF(AND(ISNUMBER(AP16),ISNUMBER(AK16)),IFERROR(AP16/AK16-1,""),"")</f>
        <v>0.190306775225356</v>
      </c>
      <c r="AQ17" s="24" t="n">
        <f aca="false">IF(AND(ISNUMBER(AQ16),ISNUMBER(AL16)),IFERROR(AQ16/AL16-1,""),"")</f>
        <v>0.0999845900520995</v>
      </c>
      <c r="AR17" s="24" t="n">
        <f aca="false">IF(AND(ISNUMBER(AR16),ISNUMBER(AM16)),IFERROR(AR16/AM16-1,""),"")</f>
        <v>0.170254954741172</v>
      </c>
      <c r="AS17" s="24" t="n">
        <f aca="false">IF(AND(ISNUMBER(AS16),ISNUMBER(AN16)),IFERROR(AS16/AN16-1,""),"")</f>
        <v>0.053238111595592</v>
      </c>
      <c r="AT17" s="24" t="n">
        <f aca="false">IF(AND(ISNUMBER(AT16),ISNUMBER(AO16)),IFERROR(AT16/AO16-1,""),"")</f>
        <v>-0.00382949635920737</v>
      </c>
      <c r="AU17" s="24" t="n">
        <f aca="false">IF(AND(ISNUMBER(AU16),ISNUMBER(AP16)),IFERROR(AU16/AP16-1,""),"")</f>
        <v>-0.0632630302201191</v>
      </c>
      <c r="AV17" s="24" t="n">
        <f aca="false">IF(AND(ISNUMBER(AV16),ISNUMBER(AQ16)),IFERROR(AV16/AQ16-1,""),"")</f>
        <v>0.0659614824609041</v>
      </c>
      <c r="AW17" s="24" t="n">
        <f aca="false">IF(AND(ISNUMBER(AW16),ISNUMBER(AR16)),IFERROR(AW16/AR16-1,""),"")</f>
        <v>0.00455683492591619</v>
      </c>
      <c r="AX17" s="24" t="n">
        <f aca="false">IF(AND(ISNUMBER(AX16),ISNUMBER(AS16)),IFERROR(AX16/AS16-1,""),"")</f>
        <v>0.00403296510608464</v>
      </c>
      <c r="AY17" s="24" t="n">
        <f aca="false">IF(AND(ISNUMBER(AY16),ISNUMBER(AT16)),IFERROR(AY16/AT16-1,""),"")</f>
        <v>0.0621274340972313</v>
      </c>
      <c r="AZ17" s="24" t="n">
        <f aca="false">IF(AND(ISNUMBER(AZ16),ISNUMBER(AU16)),IFERROR(AZ16/AU16-1,""),"")</f>
        <v>0.117616377624201</v>
      </c>
      <c r="BA17" s="24" t="n">
        <f aca="false">IF(AND(ISNUMBER(BA16),ISNUMBER(AV16)),IFERROR(BA16/AV16-1,""),"")</f>
        <v>0.221204961606615</v>
      </c>
      <c r="BB17" s="24" t="n">
        <f aca="false">IF(AND(ISNUMBER(BB16),ISNUMBER(AW16)),IFERROR(BB16/AW16-1,""),"")</f>
        <v>0.104430722565269</v>
      </c>
      <c r="BC17" s="24" t="n">
        <f aca="false">IF(AND(ISNUMBER(BC16),ISNUMBER(AX16)),IFERROR(BC16/AX16-1,""),"")</f>
        <v>0.197869367796018</v>
      </c>
      <c r="BD17" s="24" t="n">
        <f aca="false">IF(AND(ISNUMBER(BD16),ISNUMBER(AY16)),IFERROR(BD16/AY16-1,""),"")</f>
        <v>0.191319531055126</v>
      </c>
      <c r="BE17" s="24" t="n">
        <f aca="false">IF(AND(ISNUMBER(BE16),ISNUMBER(AZ16)),IFERROR(BE16/AZ16-1,""),"")</f>
        <v>0.185042585462607</v>
      </c>
      <c r="BF17" s="24" t="n">
        <f aca="false">IF(AND(ISNUMBER(BF16),ISNUMBER(BA16)),IFERROR(BF16/BA16-1,""),"")</f>
        <v>0.0268440145102782</v>
      </c>
      <c r="BG17" s="24" t="n">
        <f aca="false">IF(AND(ISNUMBER(BG16),ISNUMBER(BB16)),IFERROR(BG16/BB16-1,""),"")</f>
        <v>0.146313552394965</v>
      </c>
      <c r="BH17" s="24" t="n">
        <f aca="false">IF(AND(ISNUMBER(BH16),ISNUMBER(BC16)),IFERROR(BH16/BC16-1,""),"")</f>
        <v>0.329494095349176</v>
      </c>
      <c r="BI17" s="24" t="n">
        <f aca="false">IF(AND(ISNUMBER(BI16),ISNUMBER(BD16)),IFERROR(BI16/BD16-1,""),"")</f>
        <v>0.205402010050251</v>
      </c>
      <c r="BJ17" s="24" t="n">
        <f aca="false">IF(AND(ISNUMBER(BJ16),ISNUMBER(BE16)),IFERROR(BJ16/BE16-1,""),"")</f>
        <v>0.19749926159299</v>
      </c>
      <c r="BK17" s="24" t="n">
        <f aca="false">IF(AND(ISNUMBER(BK16),ISNUMBER(BF16)),IFERROR(BK16/BF16-1,""),"")</f>
        <v>0.203367875647668</v>
      </c>
      <c r="BL17" s="24" t="n">
        <f aca="false">IF(AND(ISNUMBER(BL16),ISNUMBER(BG16)),IFERROR(BL16/BG16-1,""),"")</f>
        <v>0.226925270964062</v>
      </c>
      <c r="BM17" s="24" t="n">
        <f aca="false">IF(AND(ISNUMBER(BM16),ISNUMBER(BH16)),IFERROR(BM16/BH16-1,""),"")</f>
        <v>-0.0294988485579559</v>
      </c>
      <c r="BN17" s="24" t="n">
        <f aca="false">IF(AND(ISNUMBER(BN16),ISNUMBER(BI16)),IFERROR(BN16/BI16-1,""),"")</f>
        <v>0.078686816050026</v>
      </c>
      <c r="BO17" s="24" t="n">
        <f aca="false">IF(AND(ISNUMBER(BO16),ISNUMBER(BJ16)),IFERROR(BO16/BJ16-1,""),"")</f>
        <v>0.0277069801858094</v>
      </c>
      <c r="BP17" s="24" t="n">
        <f aca="false">IF(AND(ISNUMBER(BP16),ISNUMBER(BK16)),IFERROR(BP16/BK16-1,""),"")</f>
        <v>0.112633330071436</v>
      </c>
      <c r="BQ17" s="24" t="n">
        <f aca="false">IF(AND(ISNUMBER(BQ16),ISNUMBER(BL16)),IFERROR(BQ16/BL16-1,""),"")</f>
        <v>0.0493769760089269</v>
      </c>
      <c r="BR17" s="24" t="n">
        <f aca="false">IF(AND(ISNUMBER(BR16),ISNUMBER(BM16)),IFERROR(BR16/BM16-1,""),"")</f>
        <v>0.132203389830508</v>
      </c>
      <c r="BS17" s="24" t="n">
        <f aca="false">IF(AND(ISNUMBER(BS16),ISNUMBER(BN16)),IFERROR(BS16/BN16-1,""),"")</f>
        <v>0.0628019323671498</v>
      </c>
      <c r="BT17" s="24" t="n">
        <f aca="false">IF(AND(ISNUMBER(BT16),ISNUMBER(BO16)),IFERROR(BT16/BO16-1,""),"")</f>
        <v>0.1664</v>
      </c>
      <c r="BU17" s="24" t="n">
        <f aca="false">IF(AND(ISNUMBER(BU16),ISNUMBER(BP16)),IFERROR(BU16/BP16-1,""),"")</f>
        <v>0.0773966578715919</v>
      </c>
      <c r="BV17" s="24" t="n">
        <f aca="false">IF(AND(ISNUMBER(BV16),ISNUMBER(BQ16)),IFERROR(BV16/BQ16-1,""),"")</f>
        <v>0.108551174124945</v>
      </c>
      <c r="BW17" s="24" t="n">
        <f aca="false">IF(AND(ISNUMBER(BW16),ISNUMBER(BR16)),IFERROR(BW16/BR16-1,""),"")</f>
        <v>0.139720558882235</v>
      </c>
      <c r="BX17" s="24" t="n">
        <f aca="false">IF(AND(ISNUMBER(BX16),ISNUMBER(BS16)),IFERROR(BX16/BS16-1,""),"")</f>
        <v>0.161363636363636</v>
      </c>
      <c r="BY17" s="25" t="n">
        <f aca="false">IFERROR(BY16/BT16-1,"")</f>
        <v>0.191484063477962</v>
      </c>
      <c r="BZ17" s="25" t="n">
        <f aca="false">IFERROR(BZ16/BU16-1,"")</f>
        <v>0.191484063477962</v>
      </c>
      <c r="CA17" s="25" t="n">
        <f aca="false">IFERROR(CA16/BV16-1,"")</f>
        <v>0.173411619166941</v>
      </c>
      <c r="CB17" s="25" t="n">
        <f aca="false">IFERROR(CB16/CA16-1,"")</f>
        <v>0.0918000000000001</v>
      </c>
      <c r="CC17" s="25" t="n">
        <f aca="false">IFERROR(CC16/CB16-1,"")</f>
        <v>0.0866499999999999</v>
      </c>
      <c r="CD17" s="25" t="n">
        <f aca="false">IFERROR(CD16/CC16-1,"")</f>
        <v>0.0762500000000002</v>
      </c>
      <c r="CE17" s="25" t="n">
        <f aca="false">IFERROR(CE16/CD16-1,"")</f>
        <v>0.0762499999999997</v>
      </c>
      <c r="CF17" s="6"/>
      <c r="CN17" s="26" t="s">
        <v>110</v>
      </c>
      <c r="CP17" s="35" t="n">
        <f aca="false">279/(1043+279)</f>
        <v>0.211043872919818</v>
      </c>
      <c r="CR17" s="14" t="s">
        <v>111</v>
      </c>
    </row>
    <row r="18" customFormat="false" ht="15" hidden="false" customHeight="true" outlineLevel="0" collapsed="false">
      <c r="B18" s="26" t="s">
        <v>112</v>
      </c>
      <c r="I18" s="36" t="n">
        <v>240.6</v>
      </c>
      <c r="J18" s="36" t="n">
        <v>2.1</v>
      </c>
      <c r="K18" s="36" t="n">
        <v>78.9</v>
      </c>
      <c r="L18" s="36" t="n">
        <v>108.2</v>
      </c>
      <c r="M18" s="36" t="n">
        <v>69.9</v>
      </c>
      <c r="N18" s="36" t="n">
        <v>259.1</v>
      </c>
      <c r="O18" s="36" t="n">
        <v>10.1</v>
      </c>
      <c r="P18" s="36" t="n">
        <v>100.1</v>
      </c>
      <c r="Q18" s="36" t="n">
        <v>119.3</v>
      </c>
      <c r="R18" s="36" t="n">
        <v>94.6</v>
      </c>
      <c r="S18" s="36" t="n">
        <v>324.1</v>
      </c>
      <c r="T18" s="36" t="n">
        <v>41.4</v>
      </c>
      <c r="U18" s="36" t="n">
        <v>137.2</v>
      </c>
      <c r="V18" s="36" t="n">
        <v>166.1</v>
      </c>
      <c r="W18" s="36" t="n">
        <v>122.2</v>
      </c>
      <c r="X18" s="36" t="n">
        <v>467</v>
      </c>
      <c r="Y18" s="36" t="n">
        <v>81.1</v>
      </c>
      <c r="Z18" s="36" t="n">
        <v>164.4</v>
      </c>
      <c r="AA18" s="36" t="n">
        <v>173</v>
      </c>
      <c r="AB18" s="36" t="n">
        <v>136.3</v>
      </c>
      <c r="AC18" s="36" t="n">
        <v>554.8</v>
      </c>
      <c r="AD18" s="36" t="n">
        <v>79.3</v>
      </c>
      <c r="AE18" s="36" t="n">
        <v>173.5</v>
      </c>
      <c r="AF18" s="36" t="n">
        <v>188</v>
      </c>
      <c r="AG18" s="36" t="n">
        <v>161.3</v>
      </c>
      <c r="AH18" s="36" t="n">
        <v>601.9</v>
      </c>
      <c r="AI18" s="36" t="n">
        <v>53</v>
      </c>
      <c r="AJ18" s="36" t="n">
        <v>198.54</v>
      </c>
      <c r="AK18" s="36" t="n">
        <v>209.082</v>
      </c>
      <c r="AL18" s="36" t="n">
        <v>146.133</v>
      </c>
      <c r="AM18" s="36" t="n">
        <v>606.759</v>
      </c>
      <c r="AN18" s="36" t="n">
        <v>97.562</v>
      </c>
      <c r="AO18" s="36" t="n">
        <v>251.422</v>
      </c>
      <c r="AP18" s="36" t="n">
        <v>287.024</v>
      </c>
      <c r="AQ18" s="36" t="n">
        <v>171.377</v>
      </c>
      <c r="AR18" s="36" t="n">
        <v>807.884</v>
      </c>
      <c r="AS18" s="36" t="n">
        <v>93.4</v>
      </c>
      <c r="AT18" s="36" t="n">
        <v>268</v>
      </c>
      <c r="AU18" s="36" t="n">
        <v>279.1</v>
      </c>
      <c r="AV18" s="36" t="n">
        <v>208.2</v>
      </c>
      <c r="AW18" s="36" t="n">
        <v>848.5</v>
      </c>
      <c r="AX18" s="36" t="n">
        <v>121.8</v>
      </c>
      <c r="AY18" s="36" t="n">
        <v>273</v>
      </c>
      <c r="AZ18" s="36" t="n">
        <v>292.9</v>
      </c>
      <c r="BA18" s="36" t="n">
        <v>217.1</v>
      </c>
      <c r="BB18" s="36" t="n">
        <v>904.8</v>
      </c>
      <c r="BC18" s="36" t="n">
        <v>101.9</v>
      </c>
      <c r="BD18" s="36" t="n">
        <v>309</v>
      </c>
      <c r="BE18" s="36" t="n">
        <v>330.3</v>
      </c>
      <c r="BF18" s="36" t="n">
        <v>239</v>
      </c>
      <c r="BG18" s="36" t="n">
        <v>980.3</v>
      </c>
      <c r="BH18" s="36" t="n">
        <v>238.1</v>
      </c>
      <c r="BI18" s="36" t="n">
        <v>370.9</v>
      </c>
      <c r="BJ18" s="36" t="n">
        <v>440.6</v>
      </c>
      <c r="BK18" s="36" t="n">
        <v>328.6</v>
      </c>
      <c r="BL18" s="36" t="n">
        <v>1378.1</v>
      </c>
      <c r="BM18" s="36" t="n">
        <v>239</v>
      </c>
      <c r="BN18" s="36" t="n">
        <v>392</v>
      </c>
      <c r="BO18" s="36" t="n">
        <v>438</v>
      </c>
      <c r="BP18" s="36" t="n">
        <v>379</v>
      </c>
      <c r="BQ18" s="36" t="n">
        <v>1449</v>
      </c>
      <c r="BR18" s="36" t="n">
        <v>297</v>
      </c>
      <c r="BS18" s="36" t="n">
        <v>430</v>
      </c>
      <c r="BT18" s="36" t="n">
        <v>531</v>
      </c>
      <c r="BU18" s="36" t="n">
        <v>420</v>
      </c>
      <c r="BV18" s="36" t="n">
        <v>1677</v>
      </c>
      <c r="BW18" s="36" t="n">
        <v>288</v>
      </c>
      <c r="BX18" s="36" t="n">
        <v>418</v>
      </c>
      <c r="BY18" s="37" t="n">
        <f aca="false">BY16*BY20</f>
        <v>588.099443438763</v>
      </c>
      <c r="BZ18" s="37" t="n">
        <f aca="false">BZ16*BZ20</f>
        <v>462.968726428684</v>
      </c>
      <c r="CA18" s="37" t="n">
        <f aca="false">SUM(BW18,BX18,BY18,BZ18)</f>
        <v>1757.06816986745</v>
      </c>
      <c r="CB18" s="37" t="n">
        <f aca="false">CB16*CB20</f>
        <v>2115.55692224433</v>
      </c>
      <c r="CC18" s="37" t="n">
        <f aca="false">CC16*CC20</f>
        <v>2368.53265469489</v>
      </c>
      <c r="CD18" s="37" t="n">
        <f aca="false">CD16*CD20</f>
        <v>2624.10777754524</v>
      </c>
      <c r="CE18" s="37" t="n">
        <f aca="false">CE16*CE20</f>
        <v>2864.54165266282</v>
      </c>
      <c r="CF18" s="20" t="s">
        <v>113</v>
      </c>
      <c r="CH18" s="21" t="n">
        <f aca="false">IFERROR((CE18/BV18)^(1/5)-1,"n/m")</f>
        <v>0.113023709699436</v>
      </c>
      <c r="CI18" s="21" t="n">
        <f aca="false">IFERROR((BV18/AW18)^(1/5)-1,"n/m")</f>
        <v>0.145977902052331</v>
      </c>
      <c r="CJ18" s="21" t="n">
        <f aca="false">IFERROR((BV18/X18)^(1/10)-1,"n/m")</f>
        <v>0.136374862448117</v>
      </c>
      <c r="CK18" s="21" t="str">
        <f aca="false">IFERROR((BV18/C18)^(1/19)-1,"n/m")</f>
        <v>n/m</v>
      </c>
      <c r="CN18" s="26" t="s">
        <v>114</v>
      </c>
      <c r="CP18" s="27" t="n">
        <v>800</v>
      </c>
      <c r="CR18" s="14" t="s">
        <v>115</v>
      </c>
    </row>
    <row r="19" customFormat="false" ht="15" hidden="false" customHeight="true" outlineLevel="0" collapsed="false">
      <c r="B19" s="26" t="s">
        <v>116</v>
      </c>
      <c r="BY19" s="25" t="n">
        <f aca="false">BT20+(BW18+BX18)/(BW16+BX16)-(BR18+BS18)/(BR16+BS16)</f>
        <v>0.315030602579686</v>
      </c>
      <c r="BZ19" s="25" t="n">
        <f aca="false">BU20+(BW18+BX18)/(BW16+BX16)-(BR18+BS18)/(BR16+BS16)</f>
        <v>0.293690214572631</v>
      </c>
      <c r="CA19" s="6"/>
      <c r="CB19" s="6"/>
      <c r="CC19" s="6"/>
      <c r="CD19" s="6"/>
      <c r="CE19" s="6"/>
      <c r="CF19" s="20" t="s">
        <v>117</v>
      </c>
      <c r="CN19" s="26" t="s">
        <v>118</v>
      </c>
      <c r="CO19" s="27" t="n">
        <v>600</v>
      </c>
      <c r="CP19" s="27" t="n">
        <v>575</v>
      </c>
      <c r="CQ19" s="27" t="n">
        <v>550</v>
      </c>
      <c r="CR19" s="14" t="s">
        <v>119</v>
      </c>
    </row>
    <row r="20" customFormat="false" ht="15" hidden="false" customHeight="true" outlineLevel="0" collapsed="false">
      <c r="B20" s="26" t="s">
        <v>120</v>
      </c>
      <c r="C20" s="38" t="str">
        <f aca="false">IF(AND(ISNUMBER(C18),ISNUMBER(C16)),IFERROR(C18/C16,""),"")</f>
        <v/>
      </c>
      <c r="D20" s="38" t="str">
        <f aca="false">IF(AND(ISNUMBER(D18),ISNUMBER(D16)),IFERROR(D18/D16,""),"")</f>
        <v/>
      </c>
      <c r="E20" s="38" t="str">
        <f aca="false">IF(AND(ISNUMBER(E18),ISNUMBER(E16)),IFERROR(E18/E16,""),"")</f>
        <v/>
      </c>
      <c r="F20" s="38" t="str">
        <f aca="false">IF(AND(ISNUMBER(F18),ISNUMBER(F16)),IFERROR(F18/F16,""),"")</f>
        <v/>
      </c>
      <c r="G20" s="38" t="str">
        <f aca="false">IF(AND(ISNUMBER(G18),ISNUMBER(G16)),IFERROR(G18/G16,""),"")</f>
        <v/>
      </c>
      <c r="H20" s="38" t="str">
        <f aca="false">IF(AND(ISNUMBER(H18),ISNUMBER(H16)),IFERROR(H18/H16,""),"")</f>
        <v/>
      </c>
      <c r="I20" s="38" t="n">
        <f aca="false">IF(AND(ISNUMBER(I18),ISNUMBER(I16)),IFERROR(I18/I16,""),"")</f>
        <v>0.184509202453988</v>
      </c>
      <c r="J20" s="38" t="n">
        <f aca="false">IF(AND(ISNUMBER(J18),ISNUMBER(J16)),IFERROR(J18/J16,""),"")</f>
        <v>0.00847457627118644</v>
      </c>
      <c r="K20" s="38" t="n">
        <f aca="false">IF(AND(ISNUMBER(K18),ISNUMBER(K16)),IFERROR(K18/K16,""),"")</f>
        <v>0.220884658454647</v>
      </c>
      <c r="L20" s="38" t="n">
        <f aca="false">IF(AND(ISNUMBER(L18),ISNUMBER(L16)),IFERROR(L18/L16,""),"")</f>
        <v>0.263132295719844</v>
      </c>
      <c r="M20" s="38" t="n">
        <f aca="false">IF(AND(ISNUMBER(M18),ISNUMBER(M16)),IFERROR(M18/M16,""),"")</f>
        <v>0.211050724637681</v>
      </c>
      <c r="N20" s="38" t="n">
        <f aca="false">IF(AND(ISNUMBER(N18),ISNUMBER(N16)),IFERROR(N18/N16,""),"")</f>
        <v>0.192282003710575</v>
      </c>
      <c r="O20" s="38" t="n">
        <f aca="false">IF(AND(ISNUMBER(O18),ISNUMBER(O16)),IFERROR(O18/O16,""),"")</f>
        <v>0.0382720727548314</v>
      </c>
      <c r="P20" s="38" t="n">
        <f aca="false">IF(AND(ISNUMBER(P18),ISNUMBER(P16)),IFERROR(P18/P16,""),"")</f>
        <v>0.237203791469194</v>
      </c>
      <c r="Q20" s="38" t="n">
        <f aca="false">IF(AND(ISNUMBER(Q18),ISNUMBER(Q16)),IFERROR(Q18/Q16,""),"")</f>
        <v>0.249164578111947</v>
      </c>
      <c r="R20" s="38" t="n">
        <f aca="false">IF(AND(ISNUMBER(R18),ISNUMBER(R16)),IFERROR(R18/R16,""),"")</f>
        <v>0.23334977799704</v>
      </c>
      <c r="S20" s="38" t="n">
        <f aca="false">IF(AND(ISNUMBER(S18),ISNUMBER(S16)),IFERROR(S18/S16,""),"")</f>
        <v>0.206433121019108</v>
      </c>
      <c r="T20" s="38" t="n">
        <f aca="false">IF(AND(ISNUMBER(T18),ISNUMBER(T16)),IFERROR(T18/T16,""),"")</f>
        <v>0.124623720650211</v>
      </c>
      <c r="U20" s="38" t="n">
        <f aca="false">IF(AND(ISNUMBER(U18),ISNUMBER(U16)),IFERROR(U18/U16,""),"")</f>
        <v>0.284942886812046</v>
      </c>
      <c r="V20" s="38" t="n">
        <f aca="false">IF(AND(ISNUMBER(V18),ISNUMBER(V16)),IFERROR(V18/V16,""),"")</f>
        <v>0.313396226415094</v>
      </c>
      <c r="W20" s="38" t="n">
        <f aca="false">IF(AND(ISNUMBER(W18),ISNUMBER(W16)),IFERROR(W18/W16,""),"")</f>
        <v>0.2716159146477</v>
      </c>
      <c r="X20" s="38" t="n">
        <f aca="false">IF(AND(ISNUMBER(X18),ISNUMBER(X16)),IFERROR(X18/X16,""),"")</f>
        <v>0.260355689357195</v>
      </c>
      <c r="Y20" s="38" t="n">
        <f aca="false">IF(AND(ISNUMBER(Y18),ISNUMBER(Y16)),IFERROR(Y18/Y16,""),"")</f>
        <v>0.199507995079951</v>
      </c>
      <c r="Z20" s="38" t="n">
        <f aca="false">IF(AND(ISNUMBER(Z18),ISNUMBER(Z16)),IFERROR(Z18/Z16,""),"")</f>
        <v>0.31841952353283</v>
      </c>
      <c r="AA20" s="38" t="n">
        <f aca="false">IF(AND(ISNUMBER(AA18),ISNUMBER(AA16)),IFERROR(AA18/AA16,""),"")</f>
        <v>0.318776487930717</v>
      </c>
      <c r="AB20" s="38" t="n">
        <f aca="false">IF(AND(ISNUMBER(AB18),ISNUMBER(AB16)),IFERROR(AB18/AB16,""),"")</f>
        <v>0.2719473264166</v>
      </c>
      <c r="AC20" s="38" t="n">
        <f aca="false">IF(AND(ISNUMBER(AC18),ISNUMBER(AC16)),IFERROR(AC18/AC16,""),"")</f>
        <v>0.269202775486438</v>
      </c>
      <c r="AD20" s="38" t="n">
        <f aca="false">IF(AND(ISNUMBER(AD18),ISNUMBER(AD16)),IFERROR(AD18/AD16,""),"")</f>
        <v>0.175675675675676</v>
      </c>
      <c r="AE20" s="38" t="n">
        <f aca="false">IF(AND(ISNUMBER(AE18),ISNUMBER(AE16)),IFERROR(AE18/AE16,""),"")</f>
        <v>0.299965421853389</v>
      </c>
      <c r="AF20" s="38" t="n">
        <f aca="false">IF(AND(ISNUMBER(AF18),ISNUMBER(AF16)),IFERROR(AF18/AF16,""),"")</f>
        <v>0.317997293640054</v>
      </c>
      <c r="AG20" s="38" t="n">
        <f aca="false">IF(AND(ISNUMBER(AG18),ISNUMBER(AG16)),IFERROR(AG18/AG16,""),"")</f>
        <v>0.312415262444315</v>
      </c>
      <c r="AH20" s="38" t="n">
        <f aca="false">IF(AND(ISNUMBER(AH18),ISNUMBER(AH16)),IFERROR(AH18/AH16,""),"")</f>
        <v>0.281630170316302</v>
      </c>
      <c r="AI20" s="38" t="n">
        <f aca="false">IF(AND(ISNUMBER(AI18),ISNUMBER(AI16)),IFERROR(AI18/AI16,""),"")</f>
        <v>0.124705882352941</v>
      </c>
      <c r="AJ20" s="38" t="n">
        <f aca="false">IF(AND(ISNUMBER(AJ18),ISNUMBER(AJ16)),IFERROR(AJ18/AJ16,""),"")</f>
        <v>0.298418176243184</v>
      </c>
      <c r="AK20" s="38" t="n">
        <f aca="false">IF(AND(ISNUMBER(AK18),ISNUMBER(AK16)),IFERROR(AK18/AK16,""),"")</f>
        <v>0.30398662401861</v>
      </c>
      <c r="AL20" s="38" t="n">
        <f aca="false">IF(AND(ISNUMBER(AL18),ISNUMBER(AL16)),IFERROR(AL18/AL16,""),"")</f>
        <v>0.25302268725251</v>
      </c>
      <c r="AM20" s="38" t="n">
        <f aca="false">IF(AND(ISNUMBER(AM18),ISNUMBER(AM16)),IFERROR(AM18/AM16,""),"")</f>
        <v>0.257573525697327</v>
      </c>
      <c r="AN20" s="38" t="n">
        <f aca="false">IF(AND(ISNUMBER(AN18),ISNUMBER(AN16)),IFERROR(AN18/AN16,""),"")</f>
        <v>0.180178882418883</v>
      </c>
      <c r="AO20" s="38" t="n">
        <f aca="false">IF(AND(ISNUMBER(AO18),ISNUMBER(AO16)),IFERROR(AO18/AO16,""),"")</f>
        <v>0.331777957830673</v>
      </c>
      <c r="AP20" s="38" t="n">
        <f aca="false">IF(AND(ISNUMBER(AP18),ISNUMBER(AP16)),IFERROR(AP18/AP16,""),"")</f>
        <v>0.3505880714749</v>
      </c>
      <c r="AQ20" s="38" t="n">
        <f aca="false">IF(AND(ISNUMBER(AQ18),ISNUMBER(AQ16)),IFERROR(AQ18/AQ16,""),"")</f>
        <v>0.269759717926318</v>
      </c>
      <c r="AR20" s="38" t="n">
        <f aca="false">IF(AND(ISNUMBER(AR18),ISNUMBER(AR16)),IFERROR(AR18/AR16,""),"")</f>
        <v>0.293057954727653</v>
      </c>
      <c r="AS20" s="38" t="n">
        <f aca="false">IF(AND(ISNUMBER(AS18),ISNUMBER(AS16)),IFERROR(AS18/AS16,""),"")</f>
        <v>0.163773452568823</v>
      </c>
      <c r="AT20" s="38" t="n">
        <f aca="false">IF(AND(ISNUMBER(AT18),ISNUMBER(AT16)),IFERROR(AT18/AT16,""),"")</f>
        <v>0.355013909127037</v>
      </c>
      <c r="AU20" s="38" t="n">
        <f aca="false">IF(AND(ISNUMBER(AU18),ISNUMBER(AU16)),IFERROR(AU18/AU16,""),"")</f>
        <v>0.363932716129874</v>
      </c>
      <c r="AV20" s="38" t="n">
        <f aca="false">IF(AND(ISNUMBER(AV18),ISNUMBER(AV16)),IFERROR(AV18/AV16,""),"")</f>
        <v>0.307442409923213</v>
      </c>
      <c r="AW20" s="38" t="n">
        <f aca="false">IF(AND(ISNUMBER(AW18),ISNUMBER(AW16)),IFERROR(AW18/AW16,""),"")</f>
        <v>0.30639511789983</v>
      </c>
      <c r="AX20" s="38" t="n">
        <f aca="false">IF(AND(ISNUMBER(AX18),ISNUMBER(AX16)),IFERROR(AX18/AX16,""),"")</f>
        <v>0.212713936430318</v>
      </c>
      <c r="AY20" s="38" t="n">
        <f aca="false">IF(AND(ISNUMBER(AY18),ISNUMBER(AY16)),IFERROR(AY18/AY16,""),"")</f>
        <v>0.340483911199801</v>
      </c>
      <c r="AZ20" s="38" t="n">
        <f aca="false">IF(AND(ISNUMBER(AZ18),ISNUMBER(AZ16)),IFERROR(AZ18/AZ16,""),"")</f>
        <v>0.341733753354334</v>
      </c>
      <c r="BA20" s="38" t="n">
        <f aca="false">IF(AND(ISNUMBER(BA18),ISNUMBER(BA16)),IFERROR(BA18/BA16,""),"")</f>
        <v>0.262515114873035</v>
      </c>
      <c r="BB20" s="38" t="n">
        <f aca="false">IF(AND(ISNUMBER(BB18),ISNUMBER(BB16)),IFERROR(BB18/BB16,""),"")</f>
        <v>0.295831289847965</v>
      </c>
      <c r="BC20" s="38" t="n">
        <f aca="false">IF(AND(ISNUMBER(BC18),ISNUMBER(BC16)),IFERROR(BC18/BC16,""),"")</f>
        <v>0.148563930602129</v>
      </c>
      <c r="BD20" s="38" t="n">
        <f aca="false">IF(AND(ISNUMBER(BD18),ISNUMBER(BD16)),IFERROR(BD18/BD16,""),"")</f>
        <v>0.323492462311558</v>
      </c>
      <c r="BE20" s="38" t="n">
        <f aca="false">IF(AND(ISNUMBER(BE18),ISNUMBER(BE16)),IFERROR(BE18/BE16,""),"")</f>
        <v>0.325194447179285</v>
      </c>
      <c r="BF20" s="38" t="n">
        <f aca="false">IF(AND(ISNUMBER(BF18),ISNUMBER(BF16)),IFERROR(BF18/BF16,""),"")</f>
        <v>0.28144135657089</v>
      </c>
      <c r="BG20" s="38" t="n">
        <f aca="false">IF(AND(ISNUMBER(BG18),ISNUMBER(BG16)),IFERROR(BG18/BG16,""),"")</f>
        <v>0.279606389047347</v>
      </c>
      <c r="BH20" s="38" t="n">
        <f aca="false">IF(AND(ISNUMBER(BH18),ISNUMBER(BH16)),IFERROR(BH18/BH16,""),"")</f>
        <v>0.261103191139379</v>
      </c>
      <c r="BI20" s="38" t="n">
        <f aca="false">IF(AND(ISNUMBER(BI18),ISNUMBER(BI16)),IFERROR(BI18/BI16,""),"")</f>
        <v>0.322129581379191</v>
      </c>
      <c r="BJ20" s="38" t="n">
        <f aca="false">IF(AND(ISNUMBER(BJ18),ISNUMBER(BJ16)),IFERROR(BJ18/BJ16,""),"")</f>
        <v>0.362246156375894</v>
      </c>
      <c r="BK20" s="38" t="n">
        <f aca="false">IF(AND(ISNUMBER(BK18),ISNUMBER(BK16)),IFERROR(BK18/BK16,""),"")</f>
        <v>0.321557882375966</v>
      </c>
      <c r="BL20" s="38" t="n">
        <f aca="false">IF(AND(ISNUMBER(BL18),ISNUMBER(BL16)),IFERROR(BL18/BL16,""),"")</f>
        <v>0.320369164961875</v>
      </c>
      <c r="BM20" s="38" t="n">
        <f aca="false">IF(AND(ISNUMBER(BM18),ISNUMBER(BM16)),IFERROR(BM18/BM16,""),"")</f>
        <v>0.270056497175141</v>
      </c>
      <c r="BN20" s="38" t="n">
        <f aca="false">IF(AND(ISNUMBER(BN18),ISNUMBER(BN16)),IFERROR(BN18/BN16,""),"")</f>
        <v>0.315619967793881</v>
      </c>
      <c r="BO20" s="38" t="n">
        <f aca="false">IF(AND(ISNUMBER(BO18),ISNUMBER(BO16)),IFERROR(BO18/BO16,""),"")</f>
        <v>0.3504</v>
      </c>
      <c r="BP20" s="38" t="n">
        <f aca="false">IF(AND(ISNUMBER(BP18),ISNUMBER(BP16)),IFERROR(BP18/BP16,""),"")</f>
        <v>0.333333333333333</v>
      </c>
      <c r="BQ20" s="38" t="n">
        <f aca="false">IF(AND(ISNUMBER(BQ18),ISNUMBER(BQ16)),IFERROR(BQ18/BQ16,""),"")</f>
        <v>0.321001329198051</v>
      </c>
      <c r="BR20" s="38" t="n">
        <f aca="false">IF(AND(ISNUMBER(BR18),ISNUMBER(BR16)),IFERROR(BR18/BR16,""),"")</f>
        <v>0.296407185628743</v>
      </c>
      <c r="BS20" s="38" t="n">
        <f aca="false">IF(AND(ISNUMBER(BS18),ISNUMBER(BS16)),IFERROR(BS18/BS16,""),"")</f>
        <v>0.325757575757576</v>
      </c>
      <c r="BT20" s="38" t="n">
        <f aca="false">IF(AND(ISNUMBER(BT18),ISNUMBER(BT16)),IFERROR(BT18/BT16,""),"")</f>
        <v>0.364197530864198</v>
      </c>
      <c r="BU20" s="38" t="n">
        <f aca="false">IF(AND(ISNUMBER(BU18),ISNUMBER(BU16)),IFERROR(BU18/BU16,""),"")</f>
        <v>0.342857142857143</v>
      </c>
      <c r="BV20" s="38" t="n">
        <f aca="false">IF(AND(ISNUMBER(BV18),ISNUMBER(BV16)),IFERROR(BV18/BV16,""),"")</f>
        <v>0.335131894484413</v>
      </c>
      <c r="BW20" s="38" t="n">
        <f aca="false">IF(AND(ISNUMBER(BW18),ISNUMBER(BW16)),IFERROR(BW18/BW16,""),"")</f>
        <v>0.252189141856392</v>
      </c>
      <c r="BX20" s="38" t="n">
        <f aca="false">IF(AND(ISNUMBER(BX18),ISNUMBER(BX16)),IFERROR(BX18/BX16,""),"")</f>
        <v>0.272667971298108</v>
      </c>
      <c r="BY20" s="25" t="n">
        <f aca="false">BY19+BY121</f>
        <v>0.338536115429797</v>
      </c>
      <c r="BZ20" s="25" t="n">
        <f aca="false">BZ19+BZ121</f>
        <v>0.317195727422743</v>
      </c>
      <c r="CA20" s="25" t="n">
        <f aca="false">IFERROR(CA18/CA16,"")</f>
        <v>0.299240881934118</v>
      </c>
      <c r="CB20" s="25" t="n">
        <f aca="false">CHOOSE(MATCH($CF$2,{"Bull","Base","Bear"},0),$CO$35,$CP$35,$CQ$35)</f>
        <v>0.33</v>
      </c>
      <c r="CC20" s="25" t="n">
        <f aca="false">CHOOSE(MATCH($CF$2,{"Bull","Base","Bear"},0),$CO$36,$CP$36,$CQ$36)</f>
        <v>0.34</v>
      </c>
      <c r="CD20" s="25" t="n">
        <f aca="false">CHOOSE(MATCH($CF$2,{"Bull","Base","Bear"},0),$CO$37,$CP$37,$CQ$37)</f>
        <v>0.35</v>
      </c>
      <c r="CE20" s="25" t="n">
        <f aca="false">CHOOSE(MATCH($CF$2,{"Bull","Base","Bear"},0),$CO$38,$CP$38,$CQ$38)</f>
        <v>0.355</v>
      </c>
      <c r="CF20" s="20" t="s">
        <v>121</v>
      </c>
      <c r="CH20" s="39" t="n">
        <f aca="false">IFERROR(AVERAGE(CA20,CB20,CC20,CD20,CE20),"n/m")</f>
        <v>0.334848176386824</v>
      </c>
      <c r="CI20" s="39" t="n">
        <f aca="false">IFERROR(AVERAGE(BB20,BG20,BL20,BQ20,BV20),"n/m")</f>
        <v>0.31038801350793</v>
      </c>
      <c r="CJ20" s="39" t="n">
        <f aca="false">IFERROR(AVERAGE(AC20,AH20,AM20,AR20,AW20,BB20,BG20,BL20,BQ20,BV20),"n/m")</f>
        <v>0.29597996116672</v>
      </c>
      <c r="CK20" s="39" t="n">
        <f aca="false">IFERROR(AVERAGE(C20,D20,E20,F20,G20,H20,I20,N20,S20,X20,AC20,AH20,AM20,AR20,AW20,BB20,BG20,BL20,BQ20,BV20),"n/m")</f>
        <v>0.271669973443433</v>
      </c>
      <c r="CN20" s="26" t="s">
        <v>122</v>
      </c>
      <c r="CP20" s="27" t="n">
        <v>85</v>
      </c>
      <c r="CR20" s="14" t="s">
        <v>123</v>
      </c>
    </row>
    <row r="21" customFormat="false" ht="15" hidden="false" customHeight="true" outlineLevel="0" collapsed="false">
      <c r="B21" s="26" t="s">
        <v>124</v>
      </c>
      <c r="C21" s="40" t="str">
        <f aca="false">IF(AND(ISNUMBER(C18),ISNUMBER(C11)),IFERROR(C18/C11,""),"")</f>
        <v/>
      </c>
      <c r="D21" s="40" t="str">
        <f aca="false">IF(AND(ISNUMBER(D18),ISNUMBER(D11)),IFERROR(D18/D11,""),"")</f>
        <v/>
      </c>
      <c r="E21" s="40" t="str">
        <f aca="false">IF(AND(ISNUMBER(E18),ISNUMBER(E11)),IFERROR(E18/E11,""),"")</f>
        <v/>
      </c>
      <c r="F21" s="40" t="str">
        <f aca="false">IF(AND(ISNUMBER(F18),ISNUMBER(F11)),IFERROR(F18/F11,""),"")</f>
        <v/>
      </c>
      <c r="G21" s="40" t="str">
        <f aca="false">IF(AND(ISNUMBER(G18),ISNUMBER(G11)),IFERROR(G18/G11,""),"")</f>
        <v/>
      </c>
      <c r="H21" s="40" t="str">
        <f aca="false">IF(AND(ISNUMBER(H18),ISNUMBER(H11)),IFERROR(H18/H11,""),"")</f>
        <v/>
      </c>
      <c r="I21" s="40" t="n">
        <f aca="false">IF(AND(ISNUMBER(I18),ISNUMBER(I11)),IFERROR(I18/I11,""),"")</f>
        <v>1.87483928279215</v>
      </c>
      <c r="J21" s="40" t="n">
        <f aca="false">IF(AND(ISNUMBER(J18),ISNUMBER(J11)),IFERROR(J18/J11,""),"")</f>
        <v>0.0921901751613328</v>
      </c>
      <c r="K21" s="40" t="n">
        <f aca="false">IF(AND(ISNUMBER(K18),ISNUMBER(K11)),IFERROR(K18/K11,""),"")</f>
        <v>2.28206166483485</v>
      </c>
      <c r="L21" s="40" t="n">
        <f aca="false">IF(AND(ISNUMBER(L18),ISNUMBER(L11)),IFERROR(L18/L11,""),"")</f>
        <v>2.73018596553203</v>
      </c>
      <c r="M21" s="40" t="n">
        <f aca="false">IF(AND(ISNUMBER(M18),ISNUMBER(M11)),IFERROR(M18/M11,""),"")</f>
        <v>2.22271686593742</v>
      </c>
      <c r="N21" s="40" t="n">
        <f aca="false">IF(AND(ISNUMBER(N18),ISNUMBER(N11)),IFERROR(N18/N11,""),"")</f>
        <v>2.01739428340068</v>
      </c>
      <c r="O21" s="40" t="n">
        <f aca="false">IF(AND(ISNUMBER(O18),ISNUMBER(O11)),IFERROR(O18/O11,""),"")</f>
        <v>0.410252244201633</v>
      </c>
      <c r="P21" s="40" t="n">
        <f aca="false">IF(AND(ISNUMBER(P18),ISNUMBER(P11)),IFERROR(P18/P11,""),"")</f>
        <v>2.56837891927952</v>
      </c>
      <c r="Q21" s="40" t="n">
        <f aca="false">IF(AND(ISNUMBER(Q18),ISNUMBER(Q11)),IFERROR(Q18/Q11,""),"")</f>
        <v>2.64482231139291</v>
      </c>
      <c r="R21" s="40" t="n">
        <f aca="false">IF(AND(ISNUMBER(R18),ISNUMBER(R11)),IFERROR(R18/R11,""),"")</f>
        <v>2.53279785809906</v>
      </c>
      <c r="S21" s="40" t="n">
        <f aca="false">IF(AND(ISNUMBER(S18),ISNUMBER(S11)),IFERROR(S18/S11,""),"")</f>
        <v>2.21910304690175</v>
      </c>
      <c r="T21" s="40" t="n">
        <f aca="false">IF(AND(ISNUMBER(T18),ISNUMBER(T11)),IFERROR(T18/T11,""),"")</f>
        <v>1.43570536828964</v>
      </c>
      <c r="U21" s="40" t="n">
        <f aca="false">IF(AND(ISNUMBER(U18),ISNUMBER(U11)),IFERROR(U18/U11,""),"")</f>
        <v>3.26643334999881</v>
      </c>
      <c r="V21" s="40" t="n">
        <f aca="false">IF(AND(ISNUMBER(V18),ISNUMBER(V11)),IFERROR(V18/V11,""),"")</f>
        <v>3.49529681614444</v>
      </c>
      <c r="W21" s="40" t="n">
        <f aca="false">IF(AND(ISNUMBER(W18),ISNUMBER(W11)),IFERROR(W18/W11,""),"")</f>
        <v>3.21570484987237</v>
      </c>
      <c r="X21" s="40" t="n">
        <f aca="false">IF(AND(ISNUMBER(X18),ISNUMBER(X11)),IFERROR(X18/X11,""),"")</f>
        <v>2.98551354668781</v>
      </c>
      <c r="Y21" s="40" t="n">
        <f aca="false">IF(AND(ISNUMBER(Y18),ISNUMBER(Y11)),IFERROR(Y18/Y11,""),"")</f>
        <v>2.48277973365988</v>
      </c>
      <c r="Z21" s="40" t="n">
        <f aca="false">IF(AND(ISNUMBER(Z18),ISNUMBER(Z11)),IFERROR(Z18/Z11,""),"")</f>
        <v>3.86332659679466</v>
      </c>
      <c r="AA21" s="40" t="n">
        <f aca="false">IF(AND(ISNUMBER(AA18),ISNUMBER(AA11)),IFERROR(AA18/AA11,""),"")</f>
        <v>3.82413404363492</v>
      </c>
      <c r="AB21" s="40" t="n">
        <f aca="false">IF(AND(ISNUMBER(AB18),ISNUMBER(AB11)),IFERROR(AB18/AB11,""),"")</f>
        <v>3.57105428631314</v>
      </c>
      <c r="AC21" s="40" t="n">
        <f aca="false">IF(AND(ISNUMBER(AC18),ISNUMBER(AC11)),IFERROR(AC18/AC11,""),"")</f>
        <v>3.49753508252115</v>
      </c>
      <c r="AD21" s="40" t="n">
        <f aca="false">IF(AND(ISNUMBER(AD18),ISNUMBER(AD11)),IFERROR(AD18/AD11,""),"")</f>
        <v>2.4316948268989</v>
      </c>
      <c r="AE21" s="40" t="n">
        <f aca="false">IF(AND(ISNUMBER(AE18),ISNUMBER(AE11)),IFERROR(AE18/AE11,""),"")</f>
        <v>3.99557838012113</v>
      </c>
      <c r="AF21" s="40" t="n">
        <f aca="false">IF(AND(ISNUMBER(AF18),ISNUMBER(AF11)),IFERROR(AF18/AF11,""),"")</f>
        <v>4.29174751740669</v>
      </c>
      <c r="AG21" s="40" t="n">
        <f aca="false">IF(AND(ISNUMBER(AG18),ISNUMBER(AG11)),IFERROR(AG18/AG11,""),"")</f>
        <v>4.26065824924719</v>
      </c>
      <c r="AH21" s="40" t="n">
        <f aca="false">IF(AND(ISNUMBER(AH18),ISNUMBER(AH11)),IFERROR(AH18/AH11,""),"")</f>
        <v>3.81678905249274</v>
      </c>
      <c r="AI21" s="40" t="n">
        <f aca="false">IF(AND(ISNUMBER(AI18),ISNUMBER(AI11)),IFERROR(AI18/AI11,""),"")</f>
        <v>1.76548967355097</v>
      </c>
      <c r="AJ21" s="40" t="n">
        <f aca="false">IF(AND(ISNUMBER(AJ18),ISNUMBER(AJ11)),IFERROR(AJ18/AJ11,""),"")</f>
        <v>4.10894265195886</v>
      </c>
      <c r="AK21" s="40" t="n">
        <f aca="false">IF(AND(ISNUMBER(AK18),ISNUMBER(AK11)),IFERROR(AK18/AK11,""),"")</f>
        <v>4.15471743104682</v>
      </c>
      <c r="AL21" s="40" t="n">
        <f aca="false">IF(AND(ISNUMBER(AL18),ISNUMBER(AL11)),IFERROR(AL18/AL11,""),"")</f>
        <v>3.46508429563939</v>
      </c>
      <c r="AM21" s="40" t="n">
        <f aca="false">IF(AND(ISNUMBER(AM18),ISNUMBER(AM11)),IFERROR(AM18/AM11,""),"")</f>
        <v>3.55170455875811</v>
      </c>
      <c r="AN21" s="40" t="n">
        <f aca="false">IF(AND(ISNUMBER(AN18),ISNUMBER(AN11)),IFERROR(AN18/AN11,""),"")</f>
        <v>2.6165853135225</v>
      </c>
      <c r="AO21" s="40" t="n">
        <f aca="false">IF(AND(ISNUMBER(AO18),ISNUMBER(AO11)),IFERROR(AO18/AO11,""),"")</f>
        <v>4.73015634112844</v>
      </c>
      <c r="AP21" s="40" t="n">
        <f aca="false">IF(AND(ISNUMBER(AP18),ISNUMBER(AP11)),IFERROR(AP18/AP11,""),"")</f>
        <v>5.06492085620004</v>
      </c>
      <c r="AQ21" s="40" t="n">
        <f aca="false">IF(AND(ISNUMBER(AQ18),ISNUMBER(AQ11)),IFERROR(AQ18/AQ11,""),"")</f>
        <v>3.90175989800332</v>
      </c>
      <c r="AR21" s="40" t="n">
        <f aca="false">IF(AND(ISNUMBER(AR18),ISNUMBER(AR11)),IFERROR(AR18/AR11,""),"")</f>
        <v>4.2269706894928</v>
      </c>
      <c r="AS21" s="40" t="n">
        <f aca="false">IF(AND(ISNUMBER(AS18),ISNUMBER(AS11)),IFERROR(AS18/AS11,""),"")</f>
        <v>2.43864229765013</v>
      </c>
      <c r="AT21" s="40" t="n">
        <f aca="false">IF(AND(ISNUMBER(AT18),ISNUMBER(AT11)),IFERROR(AT18/AT11,""),"")</f>
        <v>5.234375</v>
      </c>
      <c r="AU21" s="40" t="n">
        <f aca="false">IF(AND(ISNUMBER(AU18),ISNUMBER(AU11)),IFERROR(AU18/AU11,""),"")</f>
        <v>5.38803088803089</v>
      </c>
      <c r="AV21" s="40" t="n">
        <f aca="false">IF(AND(ISNUMBER(AV18),ISNUMBER(AV11)),IFERROR(AV18/AV11,""),"")</f>
        <v>4.60619469026549</v>
      </c>
      <c r="AW21" s="40" t="n">
        <f aca="false">IF(AND(ISNUMBER(AW18),ISNUMBER(AW11)),IFERROR(AW18/AW11,""),"")</f>
        <v>4.54959785522788</v>
      </c>
      <c r="AX21" s="40" t="n">
        <f aca="false">IF(AND(ISNUMBER(AX18),ISNUMBER(AX11)),IFERROR(AX18/AX11,""),"")</f>
        <v>3.28301886792453</v>
      </c>
      <c r="AY21" s="40" t="n">
        <f aca="false">IF(AND(ISNUMBER(AY18),ISNUMBER(AY11)),IFERROR(AY18/AY11,""),"")</f>
        <v>5.16068052930057</v>
      </c>
      <c r="AZ21" s="40" t="n">
        <f aca="false">IF(AND(ISNUMBER(AZ18),ISNUMBER(AZ11)),IFERROR(AZ18/AZ11,""),"")</f>
        <v>5.13859649122807</v>
      </c>
      <c r="BA21" s="40" t="n">
        <f aca="false">IF(AND(ISNUMBER(BA18),ISNUMBER(BA11)),IFERROR(BA18/BA11,""),"")</f>
        <v>4.00553505535055</v>
      </c>
      <c r="BB21" s="40" t="n">
        <f aca="false">IF(AND(ISNUMBER(BB18),ISNUMBER(BB11)),IFERROR(BB18/BB11,""),"")</f>
        <v>4.49701789264414</v>
      </c>
      <c r="BC21" s="40" t="n">
        <f aca="false">IF(AND(ISNUMBER(BC18),ISNUMBER(BC11)),IFERROR(BC18/BC11,""),"")</f>
        <v>2.42042755344418</v>
      </c>
      <c r="BD21" s="40" t="n">
        <f aca="false">IF(AND(ISNUMBER(BD18),ISNUMBER(BD11)),IFERROR(BD18/BD11,""),"")</f>
        <v>5.34602076124568</v>
      </c>
      <c r="BE21" s="40" t="n">
        <f aca="false">IF(AND(ISNUMBER(BE18),ISNUMBER(BE11)),IFERROR(BE18/BE11,""),"")</f>
        <v>5.48671096345515</v>
      </c>
      <c r="BF21" s="40" t="n">
        <f aca="false">IF(AND(ISNUMBER(BF18),ISNUMBER(BF11)),IFERROR(BF18/BF11,""),"")</f>
        <v>5.0104821802935</v>
      </c>
      <c r="BG21" s="40" t="n">
        <f aca="false">IF(AND(ISNUMBER(BG18),ISNUMBER(BG11)),IFERROR(BG18/BG11,""),"")</f>
        <v>4.71978815599422</v>
      </c>
      <c r="BH21" s="40" t="n">
        <f aca="false">IF(AND(ISNUMBER(BH18),ISNUMBER(BH11)),IFERROR(BH18/BH11,""),"")</f>
        <v>5.70983213429257</v>
      </c>
      <c r="BI21" s="40" t="n">
        <f aca="false">IF(AND(ISNUMBER(BI18),ISNUMBER(BI11)),IFERROR(BI18/BI11,""),"")</f>
        <v>6.80550458715596</v>
      </c>
      <c r="BJ21" s="40" t="n">
        <f aca="false">IF(AND(ISNUMBER(BJ18),ISNUMBER(BJ11)),IFERROR(BJ18/BJ11,""),"")</f>
        <v>7.88193202146691</v>
      </c>
      <c r="BK21" s="40" t="n">
        <f aca="false">IF(AND(ISNUMBER(BK18),ISNUMBER(BK11)),IFERROR(BK18/BK11,""),"")</f>
        <v>7.05150214592275</v>
      </c>
      <c r="BL21" s="40" t="n">
        <f aca="false">IF(AND(ISNUMBER(BL18),ISNUMBER(BL11)),IFERROR(BL18/BL11,""),"")</f>
        <v>6.93209255533199</v>
      </c>
      <c r="BM21" s="40" t="n">
        <f aca="false">IF(AND(ISNUMBER(BM18),ISNUMBER(BM11)),IFERROR(BM18/BM11,""),"")</f>
        <v>6.53005464480874</v>
      </c>
      <c r="BN21" s="40" t="n">
        <f aca="false">IF(AND(ISNUMBER(BN18),ISNUMBER(BN11)),IFERROR(BN18/BN11,""),"")</f>
        <v>7.39622641509434</v>
      </c>
      <c r="BO21" s="40" t="n">
        <f aca="false">IF(AND(ISNUMBER(BO18),ISNUMBER(BO11)),IFERROR(BO18/BO11,""),"")</f>
        <v>8.15642458100559</v>
      </c>
      <c r="BP21" s="40" t="n">
        <f aca="false">IF(AND(ISNUMBER(BP18),ISNUMBER(BP11)),IFERROR(BP18/BP11,""),"")</f>
        <v>7.91231732776618</v>
      </c>
      <c r="BQ21" s="40" t="n">
        <f aca="false">IF(AND(ISNUMBER(BQ18),ISNUMBER(BQ11)),IFERROR(BQ18/BQ11,""),"")</f>
        <v>7.58241758241758</v>
      </c>
      <c r="BR21" s="40" t="n">
        <f aca="false">IF(AND(ISNUMBER(BR18),ISNUMBER(BR11)),IFERROR(BR18/BR11,""),"")</f>
        <v>7.61538461538462</v>
      </c>
      <c r="BS21" s="40" t="n">
        <f aca="false">IF(AND(ISNUMBER(BS18),ISNUMBER(BS11)),IFERROR(BS18/BS11,""),"")</f>
        <v>8.15939278937381</v>
      </c>
      <c r="BT21" s="40" t="n">
        <f aca="false">IF(AND(ISNUMBER(BT18),ISNUMBER(BT11)),IFERROR(BT18/BT11,""),"")</f>
        <v>9.17098445595855</v>
      </c>
      <c r="BU21" s="40" t="n">
        <f aca="false">IF(AND(ISNUMBER(BU18),ISNUMBER(BU11)),IFERROR(BU18/BU11,""),"")</f>
        <v>8.58895705521472</v>
      </c>
      <c r="BV21" s="40" t="n">
        <f aca="false">IF(AND(ISNUMBER(BV18),ISNUMBER(BV11)),IFERROR(BV18/BV11,""),"")</f>
        <v>8.44836272040302</v>
      </c>
      <c r="BW21" s="40" t="n">
        <f aca="false">IF(AND(ISNUMBER(BW18),ISNUMBER(BW11)),IFERROR(BW18/BW11,""),"")</f>
        <v>6.56036446469248</v>
      </c>
      <c r="BX21" s="40" t="n">
        <f aca="false">IF(AND(ISNUMBER(BX18),ISNUMBER(BX11)),IFERROR(BX18/BX11,""),"")</f>
        <v>6.78571428571429</v>
      </c>
      <c r="BY21" s="29" t="n">
        <f aca="false">IFERROR(BY18/BY11,"")</f>
        <v>8.35216925599017</v>
      </c>
      <c r="BZ21" s="29" t="n">
        <f aca="false">IFERROR(BZ18/BZ11,"")</f>
        <v>7.78520186978818</v>
      </c>
      <c r="CA21" s="29" t="n">
        <f aca="false">IFERROR(CA18/CA11,"")</f>
        <v>7.46479713218382</v>
      </c>
      <c r="CB21" s="29" t="n">
        <f aca="false">IFERROR(CB18/CB11,"")</f>
        <v>8.72603375568446</v>
      </c>
      <c r="CC21" s="29" t="n">
        <f aca="false">IFERROR(CC18/CC11,"")</f>
        <v>9.48493426716368</v>
      </c>
      <c r="CD21" s="29" t="n">
        <f aca="false">IFERROR(CD18/CD11,"")</f>
        <v>10.2520980681843</v>
      </c>
      <c r="CE21" s="29" t="n">
        <f aca="false">IFERROR(CE18/CE11,"")</f>
        <v>10.9184844426163</v>
      </c>
      <c r="CF21" s="6"/>
      <c r="CH21" s="21" t="n">
        <f aca="false">IFERROR((CE21/BV21)^(1/5)-1,"n/m")</f>
        <v>0.0526353767952701</v>
      </c>
      <c r="CI21" s="21" t="n">
        <f aca="false">IFERROR((BV21/AW21)^(1/5)-1,"n/m")</f>
        <v>0.1317745093157</v>
      </c>
      <c r="CJ21" s="21" t="n">
        <f aca="false">IFERROR((BV21/X21)^(1/10)-1,"n/m")</f>
        <v>0.109622745593163</v>
      </c>
      <c r="CK21" s="21" t="str">
        <f aca="false">IFERROR((BV21/C21)^(1/19)-1,"n/m")</f>
        <v>n/m</v>
      </c>
      <c r="CN21" s="26" t="s">
        <v>125</v>
      </c>
      <c r="CO21" s="27" t="n">
        <v>100</v>
      </c>
      <c r="CP21" s="27" t="n">
        <v>0</v>
      </c>
      <c r="CQ21" s="27" t="n">
        <v>0</v>
      </c>
      <c r="CR21" s="14" t="s">
        <v>126</v>
      </c>
    </row>
    <row r="22" customFormat="false" ht="15" hidden="false" customHeight="true" outlineLevel="0" collapsed="false">
      <c r="B22" s="26" t="s">
        <v>127</v>
      </c>
      <c r="BR22" s="36" t="n">
        <v>113</v>
      </c>
      <c r="BS22" s="36" t="n">
        <v>125</v>
      </c>
      <c r="BW22" s="36" t="n">
        <v>131</v>
      </c>
      <c r="BX22" s="36" t="n">
        <v>166</v>
      </c>
      <c r="BY22" s="6"/>
      <c r="BZ22" s="6"/>
      <c r="CA22" s="6"/>
      <c r="CB22" s="6"/>
      <c r="CC22" s="6"/>
      <c r="CD22" s="6"/>
      <c r="CE22" s="6"/>
      <c r="CF22" s="6"/>
      <c r="CN22" s="26" t="s">
        <v>128</v>
      </c>
      <c r="CO22" s="41" t="n">
        <v>2.5</v>
      </c>
      <c r="CP22" s="41" t="n">
        <v>2.25</v>
      </c>
      <c r="CQ22" s="41" t="n">
        <v>2</v>
      </c>
      <c r="CR22" s="14" t="s">
        <v>129</v>
      </c>
    </row>
    <row r="23" customFormat="false" ht="15" hidden="false" customHeight="true" outlineLevel="0" collapsed="false">
      <c r="B23" s="26" t="s">
        <v>130</v>
      </c>
      <c r="C23" s="40" t="str">
        <f aca="false">IFERROR(IF(ISNUMBER(C22),(C18+C22)/C11,""),"")</f>
        <v/>
      </c>
      <c r="D23" s="40" t="str">
        <f aca="false">IFERROR(IF(ISNUMBER(D22),(D18+D22)/D11,""),"")</f>
        <v/>
      </c>
      <c r="E23" s="40" t="str">
        <f aca="false">IFERROR(IF(ISNUMBER(E22),(E18+E22)/E11,""),"")</f>
        <v/>
      </c>
      <c r="F23" s="40" t="str">
        <f aca="false">IFERROR(IF(ISNUMBER(F22),(F18+F22)/F11,""),"")</f>
        <v/>
      </c>
      <c r="G23" s="40" t="str">
        <f aca="false">IFERROR(IF(ISNUMBER(G22),(G18+G22)/G11,""),"")</f>
        <v/>
      </c>
      <c r="H23" s="40" t="str">
        <f aca="false">IFERROR(IF(ISNUMBER(H22),(H18+H22)/H11,""),"")</f>
        <v/>
      </c>
      <c r="I23" s="40" t="str">
        <f aca="false">IFERROR(IF(ISNUMBER(I22),(I18+I22)/I11,""),"")</f>
        <v/>
      </c>
      <c r="J23" s="40" t="str">
        <f aca="false">IFERROR(IF(ISNUMBER(J22),(J18+J22)/J11,""),"")</f>
        <v/>
      </c>
      <c r="K23" s="40" t="str">
        <f aca="false">IFERROR(IF(ISNUMBER(K22),(K18+K22)/K11,""),"")</f>
        <v/>
      </c>
      <c r="L23" s="40" t="str">
        <f aca="false">IFERROR(IF(ISNUMBER(L22),(L18+L22)/L11,""),"")</f>
        <v/>
      </c>
      <c r="M23" s="40" t="str">
        <f aca="false">IFERROR(IF(ISNUMBER(M22),(M18+M22)/M11,""),"")</f>
        <v/>
      </c>
      <c r="N23" s="40" t="str">
        <f aca="false">IFERROR(IF(ISNUMBER(N22),(N18+N22)/N11,""),"")</f>
        <v/>
      </c>
      <c r="O23" s="40" t="str">
        <f aca="false">IFERROR(IF(ISNUMBER(O22),(O18+O22)/O11,""),"")</f>
        <v/>
      </c>
      <c r="P23" s="40" t="str">
        <f aca="false">IFERROR(IF(ISNUMBER(P22),(P18+P22)/P11,""),"")</f>
        <v/>
      </c>
      <c r="Q23" s="40" t="str">
        <f aca="false">IFERROR(IF(ISNUMBER(Q22),(Q18+Q22)/Q11,""),"")</f>
        <v/>
      </c>
      <c r="R23" s="40" t="str">
        <f aca="false">IFERROR(IF(ISNUMBER(R22),(R18+R22)/R11,""),"")</f>
        <v/>
      </c>
      <c r="S23" s="40" t="str">
        <f aca="false">IFERROR(IF(ISNUMBER(S22),(S18+S22)/S11,""),"")</f>
        <v/>
      </c>
      <c r="T23" s="40" t="str">
        <f aca="false">IFERROR(IF(ISNUMBER(T22),(T18+T22)/T11,""),"")</f>
        <v/>
      </c>
      <c r="U23" s="40" t="str">
        <f aca="false">IFERROR(IF(ISNUMBER(U22),(U18+U22)/U11,""),"")</f>
        <v/>
      </c>
      <c r="V23" s="40" t="str">
        <f aca="false">IFERROR(IF(ISNUMBER(V22),(V18+V22)/V11,""),"")</f>
        <v/>
      </c>
      <c r="W23" s="40" t="str">
        <f aca="false">IFERROR(IF(ISNUMBER(W22),(W18+W22)/W11,""),"")</f>
        <v/>
      </c>
      <c r="X23" s="40" t="str">
        <f aca="false">IFERROR(IF(ISNUMBER(X22),(X18+X22)/X11,""),"")</f>
        <v/>
      </c>
      <c r="Y23" s="40" t="str">
        <f aca="false">IFERROR(IF(ISNUMBER(Y22),(Y18+Y22)/Y11,""),"")</f>
        <v/>
      </c>
      <c r="Z23" s="40" t="str">
        <f aca="false">IFERROR(IF(ISNUMBER(Z22),(Z18+Z22)/Z11,""),"")</f>
        <v/>
      </c>
      <c r="AA23" s="40" t="str">
        <f aca="false">IFERROR(IF(ISNUMBER(AA22),(AA18+AA22)/AA11,""),"")</f>
        <v/>
      </c>
      <c r="AB23" s="40" t="str">
        <f aca="false">IFERROR(IF(ISNUMBER(AB22),(AB18+AB22)/AB11,""),"")</f>
        <v/>
      </c>
      <c r="AC23" s="40" t="str">
        <f aca="false">IFERROR(IF(ISNUMBER(AC22),(AC18+AC22)/AC11,""),"")</f>
        <v/>
      </c>
      <c r="AD23" s="40" t="str">
        <f aca="false">IFERROR(IF(ISNUMBER(AD22),(AD18+AD22)/AD11,""),"")</f>
        <v/>
      </c>
      <c r="AE23" s="40" t="str">
        <f aca="false">IFERROR(IF(ISNUMBER(AE22),(AE18+AE22)/AE11,""),"")</f>
        <v/>
      </c>
      <c r="AF23" s="40" t="str">
        <f aca="false">IFERROR(IF(ISNUMBER(AF22),(AF18+AF22)/AF11,""),"")</f>
        <v/>
      </c>
      <c r="AG23" s="40" t="str">
        <f aca="false">IFERROR(IF(ISNUMBER(AG22),(AG18+AG22)/AG11,""),"")</f>
        <v/>
      </c>
      <c r="AH23" s="40" t="str">
        <f aca="false">IFERROR(IF(ISNUMBER(AH22),(AH18+AH22)/AH11,""),"")</f>
        <v/>
      </c>
      <c r="AI23" s="40" t="str">
        <f aca="false">IFERROR(IF(ISNUMBER(AI22),(AI18+AI22)/AI11,""),"")</f>
        <v/>
      </c>
      <c r="AJ23" s="40" t="str">
        <f aca="false">IFERROR(IF(ISNUMBER(AJ22),(AJ18+AJ22)/AJ11,""),"")</f>
        <v/>
      </c>
      <c r="AK23" s="40" t="str">
        <f aca="false">IFERROR(IF(ISNUMBER(AK22),(AK18+AK22)/AK11,""),"")</f>
        <v/>
      </c>
      <c r="AL23" s="40" t="str">
        <f aca="false">IFERROR(IF(ISNUMBER(AL22),(AL18+AL22)/AL11,""),"")</f>
        <v/>
      </c>
      <c r="AM23" s="40" t="str">
        <f aca="false">IFERROR(IF(ISNUMBER(AM22),(AM18+AM22)/AM11,""),"")</f>
        <v/>
      </c>
      <c r="AN23" s="40" t="str">
        <f aca="false">IFERROR(IF(ISNUMBER(AN22),(AN18+AN22)/AN11,""),"")</f>
        <v/>
      </c>
      <c r="AO23" s="40" t="str">
        <f aca="false">IFERROR(IF(ISNUMBER(AO22),(AO18+AO22)/AO11,""),"")</f>
        <v/>
      </c>
      <c r="AP23" s="40" t="str">
        <f aca="false">IFERROR(IF(ISNUMBER(AP22),(AP18+AP22)/AP11,""),"")</f>
        <v/>
      </c>
      <c r="AQ23" s="40" t="str">
        <f aca="false">IFERROR(IF(ISNUMBER(AQ22),(AQ18+AQ22)/AQ11,""),"")</f>
        <v/>
      </c>
      <c r="AR23" s="40" t="str">
        <f aca="false">IFERROR(IF(ISNUMBER(AR22),(AR18+AR22)/AR11,""),"")</f>
        <v/>
      </c>
      <c r="AS23" s="40" t="str">
        <f aca="false">IFERROR(IF(ISNUMBER(AS22),(AS18+AS22)/AS11,""),"")</f>
        <v/>
      </c>
      <c r="AT23" s="40" t="str">
        <f aca="false">IFERROR(IF(ISNUMBER(AT22),(AT18+AT22)/AT11,""),"")</f>
        <v/>
      </c>
      <c r="AU23" s="40" t="str">
        <f aca="false">IFERROR(IF(ISNUMBER(AU22),(AU18+AU22)/AU11,""),"")</f>
        <v/>
      </c>
      <c r="AV23" s="40" t="str">
        <f aca="false">IFERROR(IF(ISNUMBER(AV22),(AV18+AV22)/AV11,""),"")</f>
        <v/>
      </c>
      <c r="AW23" s="40" t="str">
        <f aca="false">IFERROR(IF(ISNUMBER(AW22),(AW18+AW22)/AW11,""),"")</f>
        <v/>
      </c>
      <c r="AX23" s="40" t="str">
        <f aca="false">IFERROR(IF(ISNUMBER(AX22),(AX18+AX22)/AX11,""),"")</f>
        <v/>
      </c>
      <c r="AY23" s="40" t="str">
        <f aca="false">IFERROR(IF(ISNUMBER(AY22),(AY18+AY22)/AY11,""),"")</f>
        <v/>
      </c>
      <c r="AZ23" s="40" t="str">
        <f aca="false">IFERROR(IF(ISNUMBER(AZ22),(AZ18+AZ22)/AZ11,""),"")</f>
        <v/>
      </c>
      <c r="BA23" s="40" t="str">
        <f aca="false">IFERROR(IF(ISNUMBER(BA22),(BA18+BA22)/BA11,""),"")</f>
        <v/>
      </c>
      <c r="BB23" s="40" t="str">
        <f aca="false">IFERROR(IF(ISNUMBER(BB22),(BB18+BB22)/BB11,""),"")</f>
        <v/>
      </c>
      <c r="BC23" s="40" t="str">
        <f aca="false">IFERROR(IF(ISNUMBER(BC22),(BC18+BC22)/BC11,""),"")</f>
        <v/>
      </c>
      <c r="BD23" s="40" t="str">
        <f aca="false">IFERROR(IF(ISNUMBER(BD22),(BD18+BD22)/BD11,""),"")</f>
        <v/>
      </c>
      <c r="BE23" s="40" t="str">
        <f aca="false">IFERROR(IF(ISNUMBER(BE22),(BE18+BE22)/BE11,""),"")</f>
        <v/>
      </c>
      <c r="BF23" s="40" t="str">
        <f aca="false">IFERROR(IF(ISNUMBER(BF22),(BF18+BF22)/BF11,""),"")</f>
        <v/>
      </c>
      <c r="BG23" s="40" t="str">
        <f aca="false">IFERROR(IF(ISNUMBER(BG22),(BG18+BG22)/BG11,""),"")</f>
        <v/>
      </c>
      <c r="BH23" s="40" t="str">
        <f aca="false">IFERROR(IF(ISNUMBER(BH22),(BH18+BH22)/BH11,""),"")</f>
        <v/>
      </c>
      <c r="BI23" s="40" t="str">
        <f aca="false">IFERROR(IF(ISNUMBER(BI22),(BI18+BI22)/BI11,""),"")</f>
        <v/>
      </c>
      <c r="BJ23" s="40" t="str">
        <f aca="false">IFERROR(IF(ISNUMBER(BJ22),(BJ18+BJ22)/BJ11,""),"")</f>
        <v/>
      </c>
      <c r="BK23" s="40" t="str">
        <f aca="false">IFERROR(IF(ISNUMBER(BK22),(BK18+BK22)/BK11,""),"")</f>
        <v/>
      </c>
      <c r="BL23" s="40" t="str">
        <f aca="false">IFERROR(IF(ISNUMBER(BL22),(BL18+BL22)/BL11,""),"")</f>
        <v/>
      </c>
      <c r="BM23" s="40" t="str">
        <f aca="false">IFERROR(IF(ISNUMBER(BM22),(BM18+BM22)/BM11,""),"")</f>
        <v/>
      </c>
      <c r="BN23" s="40" t="str">
        <f aca="false">IFERROR(IF(ISNUMBER(BN22),(BN18+BN22)/BN11,""),"")</f>
        <v/>
      </c>
      <c r="BO23" s="40" t="str">
        <f aca="false">IFERROR(IF(ISNUMBER(BO22),(BO18+BO22)/BO11,""),"")</f>
        <v/>
      </c>
      <c r="BP23" s="40" t="str">
        <f aca="false">IFERROR(IF(ISNUMBER(BP22),(BP18+BP22)/BP11,""),"")</f>
        <v/>
      </c>
      <c r="BQ23" s="40" t="str">
        <f aca="false">IFERROR(IF(ISNUMBER(BQ22),(BQ18+BQ22)/BQ11,""),"")</f>
        <v/>
      </c>
      <c r="BR23" s="40" t="n">
        <f aca="false">IFERROR(IF(ISNUMBER(BR22),(BR18+BR22)/BR11,""),"")</f>
        <v>10.5128205128205</v>
      </c>
      <c r="BS23" s="40" t="n">
        <f aca="false">IFERROR(IF(ISNUMBER(BS22),(BS18+BS22)/BS11,""),"")</f>
        <v>10.5313092979127</v>
      </c>
      <c r="BT23" s="40" t="str">
        <f aca="false">IFERROR(IF(ISNUMBER(BT22),(BT18+BT22)/BT11,""),"")</f>
        <v/>
      </c>
      <c r="BU23" s="40" t="str">
        <f aca="false">IFERROR(IF(ISNUMBER(BU22),(BU18+BU22)/BU11,""),"")</f>
        <v/>
      </c>
      <c r="BV23" s="40" t="str">
        <f aca="false">IFERROR(IF(ISNUMBER(BV22),(BV18+BV22)/BV11,""),"")</f>
        <v/>
      </c>
      <c r="BW23" s="40" t="n">
        <f aca="false">IFERROR(IF(ISNUMBER(BW22),(BW18+BW22)/BW11,""),"")</f>
        <v>9.54441913439636</v>
      </c>
      <c r="BX23" s="40" t="n">
        <f aca="false">IFERROR(IF(ISNUMBER(BX22),(BX18+BX22)/BX11,""),"")</f>
        <v>9.48051948051948</v>
      </c>
      <c r="BY23" s="6"/>
      <c r="BZ23" s="6"/>
      <c r="CA23" s="6"/>
      <c r="CB23" s="6"/>
      <c r="CC23" s="6"/>
      <c r="CD23" s="6"/>
      <c r="CE23" s="6"/>
      <c r="CF23" s="6"/>
    </row>
    <row r="24" customFormat="false" ht="15" hidden="false" customHeight="true" outlineLevel="0" collapsed="false">
      <c r="B24" s="42" t="s">
        <v>131</v>
      </c>
      <c r="C24" s="43" t="n">
        <v>-0.023</v>
      </c>
      <c r="D24" s="43" t="n">
        <v>-0.081</v>
      </c>
      <c r="E24" s="43" t="n">
        <v>-0.126</v>
      </c>
      <c r="F24" s="43" t="n">
        <v>-0.226</v>
      </c>
      <c r="G24" s="43" t="n">
        <v>0.054</v>
      </c>
      <c r="H24" s="43" t="n">
        <v>-0.038</v>
      </c>
      <c r="I24" s="43" t="n">
        <v>0.026</v>
      </c>
      <c r="J24" s="43" t="n">
        <v>-0.088</v>
      </c>
      <c r="K24" s="43" t="n">
        <v>-0.016</v>
      </c>
      <c r="L24" s="43" t="n">
        <v>0.081</v>
      </c>
      <c r="M24" s="43" t="n">
        <v>-0.004</v>
      </c>
      <c r="N24" s="43" t="n">
        <v>0.001</v>
      </c>
      <c r="O24" s="43" t="n">
        <v>0.081</v>
      </c>
      <c r="P24" s="43" t="n">
        <v>0.127</v>
      </c>
      <c r="Q24" s="43" t="n">
        <v>0.138</v>
      </c>
      <c r="R24" s="43" t="n">
        <v>0.188</v>
      </c>
      <c r="S24" s="43" t="n">
        <v>0.137</v>
      </c>
      <c r="T24" s="43" t="n">
        <v>0.173</v>
      </c>
      <c r="U24" s="43" t="n">
        <v>0.078</v>
      </c>
      <c r="V24" s="43" t="n">
        <v>0.054</v>
      </c>
      <c r="W24" s="43" t="n">
        <v>0.017</v>
      </c>
      <c r="X24" s="43" t="n">
        <v>0.071</v>
      </c>
      <c r="Y24" s="43" t="n">
        <v>0.133</v>
      </c>
      <c r="Z24" s="43" t="n">
        <v>0.013</v>
      </c>
      <c r="AA24" s="43" t="n">
        <v>-0.047</v>
      </c>
      <c r="AB24" s="43" t="n">
        <v>0.004</v>
      </c>
      <c r="AC24" s="43" t="n">
        <v>0.014</v>
      </c>
      <c r="AD24" s="43" t="n">
        <v>-0.002</v>
      </c>
      <c r="AE24" s="43" t="n">
        <v>0.02</v>
      </c>
      <c r="AF24" s="43" t="n">
        <v>-0.032</v>
      </c>
      <c r="AG24" s="43" t="n">
        <v>-0.009</v>
      </c>
      <c r="AH24" s="43" t="n">
        <v>-0.006</v>
      </c>
      <c r="AI24" s="43" t="n">
        <v>-0.079</v>
      </c>
      <c r="AJ24" s="43" t="n">
        <v>0.113</v>
      </c>
      <c r="AK24" s="43" t="n">
        <v>0.149</v>
      </c>
      <c r="AL24" s="43" t="n">
        <v>0.114</v>
      </c>
      <c r="AM24" s="43" t="n">
        <v>0.083</v>
      </c>
      <c r="AN24" s="43" t="n">
        <v>0.242</v>
      </c>
      <c r="AO24" s="43" t="n">
        <v>0.099</v>
      </c>
      <c r="AP24" s="43" t="n">
        <v>0.124</v>
      </c>
      <c r="AQ24" s="43" t="n">
        <v>0.04</v>
      </c>
      <c r="AR24" s="43" t="n">
        <v>0.117</v>
      </c>
      <c r="AS24" s="43" t="n">
        <v>0.023</v>
      </c>
      <c r="AT24" s="43" t="n">
        <v>-0.037</v>
      </c>
      <c r="AU24" s="43" t="n">
        <v>-0.087</v>
      </c>
      <c r="AV24" s="43" t="n">
        <v>0.03</v>
      </c>
      <c r="AW24" s="43" t="n">
        <v>-0.024</v>
      </c>
      <c r="AX24" s="43" t="n">
        <v>-0.03</v>
      </c>
      <c r="AY24" s="43" t="n">
        <v>0.033</v>
      </c>
      <c r="AZ24" s="43" t="n">
        <v>0.102</v>
      </c>
      <c r="BA24" s="43" t="n">
        <v>0.197</v>
      </c>
      <c r="BB24" s="43" t="n">
        <v>0.079</v>
      </c>
      <c r="BC24" s="43" t="n">
        <v>0.134</v>
      </c>
      <c r="BD24" s="43" t="n">
        <v>0.093</v>
      </c>
      <c r="BE24" s="43" t="n">
        <v>0.056</v>
      </c>
      <c r="BF24" s="43" t="n">
        <v>-0.12</v>
      </c>
      <c r="BG24" s="43" t="n">
        <v>0.033</v>
      </c>
      <c r="BH24" s="43" t="n">
        <v>-0.008</v>
      </c>
      <c r="BI24" s="43" t="n">
        <v>-0.057</v>
      </c>
      <c r="BJ24" s="43" t="n">
        <v>-0.073</v>
      </c>
      <c r="BK24" s="43" t="n">
        <v>-0.021</v>
      </c>
      <c r="BM24" s="43" t="n">
        <v>-0.123</v>
      </c>
      <c r="BN24" s="43" t="n">
        <v>-0.028</v>
      </c>
      <c r="BO24" s="43" t="n">
        <v>-0.039</v>
      </c>
      <c r="BP24" s="43" t="n">
        <v>0.027</v>
      </c>
      <c r="BQ24" s="43" t="n">
        <v>-0.04</v>
      </c>
      <c r="BT24" s="43" t="n">
        <v>0.08</v>
      </c>
      <c r="BU24" s="43" t="n">
        <v>0.02</v>
      </c>
      <c r="BV24" s="43" t="n">
        <v>0.04</v>
      </c>
      <c r="BW24" s="43" t="n">
        <v>0.124</v>
      </c>
      <c r="BX24" s="43" t="n">
        <v>0.17</v>
      </c>
      <c r="BY24" s="6"/>
      <c r="BZ24" s="6"/>
      <c r="CA24" s="6"/>
      <c r="CB24" s="6"/>
      <c r="CC24" s="6"/>
      <c r="CD24" s="6"/>
      <c r="CE24" s="6"/>
      <c r="CF24" s="6"/>
      <c r="CN24" s="16" t="s">
        <v>132</v>
      </c>
      <c r="CO24" s="44" t="n">
        <v>0.02</v>
      </c>
      <c r="CP24" s="22" t="s">
        <v>133</v>
      </c>
      <c r="CQ24" s="44" t="n">
        <v>-0.02</v>
      </c>
      <c r="CR24" s="14" t="s">
        <v>134</v>
      </c>
    </row>
    <row r="25" customFormat="false" ht="15" hidden="false" customHeight="true" outlineLevel="0" collapsed="false">
      <c r="B25" s="42" t="s">
        <v>135</v>
      </c>
      <c r="C25" s="43" t="n">
        <v>0.135</v>
      </c>
      <c r="D25" s="43" t="n">
        <v>0.104</v>
      </c>
      <c r="E25" s="43" t="n">
        <v>0.069</v>
      </c>
      <c r="F25" s="43" t="n">
        <v>0.021</v>
      </c>
      <c r="G25" s="43" t="n">
        <v>-0.034</v>
      </c>
      <c r="H25" s="43" t="n">
        <v>0.027</v>
      </c>
      <c r="I25" s="43" t="n">
        <v>0.008</v>
      </c>
      <c r="J25" s="43" t="n">
        <v>0.057</v>
      </c>
      <c r="K25" s="43" t="n">
        <v>0.017</v>
      </c>
      <c r="L25" s="43" t="n">
        <v>0.023</v>
      </c>
      <c r="M25" s="43" t="n">
        <v>0.034</v>
      </c>
      <c r="N25" s="43" t="n">
        <v>0.03</v>
      </c>
      <c r="O25" s="43" t="n">
        <v>-0.013</v>
      </c>
      <c r="P25" s="43" t="n">
        <v>0.05</v>
      </c>
      <c r="Q25" s="43" t="n">
        <v>0.058</v>
      </c>
      <c r="R25" s="43" t="n">
        <v>0.067</v>
      </c>
      <c r="S25" s="43" t="n">
        <v>0.045</v>
      </c>
      <c r="T25" s="43" t="n">
        <v>0.114</v>
      </c>
      <c r="U25" s="43" t="n">
        <v>0.085</v>
      </c>
      <c r="V25" s="43" t="n">
        <v>0.054</v>
      </c>
      <c r="W25" s="43" t="n">
        <v>0.084</v>
      </c>
      <c r="X25" s="43" t="n">
        <v>0.08</v>
      </c>
      <c r="Y25" s="43" t="n">
        <v>0.081</v>
      </c>
      <c r="Z25" s="43" t="n">
        <v>0.068</v>
      </c>
      <c r="AA25" s="43" t="n">
        <v>0.085</v>
      </c>
      <c r="AB25" s="43" t="n">
        <v>0.056</v>
      </c>
      <c r="AC25" s="43" t="n">
        <v>0.073</v>
      </c>
      <c r="AD25" s="43" t="n">
        <v>0.053</v>
      </c>
      <c r="AE25" s="43" t="n">
        <v>0.038</v>
      </c>
      <c r="AF25" s="43" t="n">
        <v>0.051</v>
      </c>
      <c r="AG25" s="43" t="n">
        <v>0.04</v>
      </c>
      <c r="AH25" s="43" t="n">
        <v>0.045</v>
      </c>
      <c r="AI25" s="43" t="n">
        <v>0.023</v>
      </c>
      <c r="AJ25" s="43" t="n">
        <v>0.035</v>
      </c>
      <c r="AK25" s="43" t="n">
        <v>0.015</v>
      </c>
      <c r="AL25" s="43" t="n">
        <v>0.005</v>
      </c>
      <c r="AM25" s="43" t="n">
        <v>0.019</v>
      </c>
      <c r="AN25" s="43" t="n">
        <v>0.023</v>
      </c>
      <c r="AO25" s="43" t="n">
        <v>0.034</v>
      </c>
      <c r="AP25" s="43" t="n">
        <v>0.053</v>
      </c>
      <c r="AQ25" s="43" t="n">
        <v>0.053</v>
      </c>
      <c r="AR25" s="43" t="n">
        <v>0.042</v>
      </c>
      <c r="AS25" s="43" t="n">
        <v>0.027</v>
      </c>
      <c r="AT25" s="43" t="n">
        <v>0.033</v>
      </c>
      <c r="AU25" s="43" t="n">
        <v>0.027</v>
      </c>
      <c r="AV25" s="43" t="n">
        <v>0.035</v>
      </c>
      <c r="AW25" s="43" t="n">
        <v>0.031</v>
      </c>
      <c r="AX25" s="43" t="n">
        <v>0.034</v>
      </c>
      <c r="AY25" s="43" t="n">
        <v>0.029</v>
      </c>
      <c r="AZ25" s="43" t="n">
        <v>0.012</v>
      </c>
      <c r="BA25" s="43" t="n">
        <v>0.014</v>
      </c>
      <c r="BB25" s="43" t="n">
        <v>0.021</v>
      </c>
      <c r="BC25" s="43" t="n">
        <v>0.056</v>
      </c>
      <c r="BD25" s="43" t="n">
        <v>0.084</v>
      </c>
      <c r="BE25" s="43" t="n">
        <v>0.116</v>
      </c>
      <c r="BF25" s="43" t="n">
        <v>0.165</v>
      </c>
      <c r="BG25" s="43" t="n">
        <v>0.106</v>
      </c>
      <c r="BH25" s="43" t="n">
        <v>0.226</v>
      </c>
      <c r="BI25" s="43" t="n">
        <v>0.186</v>
      </c>
      <c r="BJ25" s="43" t="n">
        <v>0.2</v>
      </c>
      <c r="BK25" s="43" t="n">
        <v>0.15</v>
      </c>
      <c r="BM25" s="43" t="n">
        <v>0.122</v>
      </c>
      <c r="BN25" s="43" t="n">
        <v>0.116</v>
      </c>
      <c r="BO25" s="43" t="n">
        <v>0.077</v>
      </c>
      <c r="BP25" s="43" t="n">
        <v>0.086</v>
      </c>
      <c r="BQ25" s="43" t="n">
        <v>0.099</v>
      </c>
      <c r="BT25" s="43" t="n">
        <v>0.08</v>
      </c>
      <c r="BU25" s="43" t="n">
        <v>0.053</v>
      </c>
      <c r="BV25" s="43" t="n">
        <v>0.07</v>
      </c>
      <c r="BW25" s="43" t="n">
        <v>0</v>
      </c>
      <c r="BX25" s="43" t="n">
        <v>-0.02</v>
      </c>
      <c r="BY25" s="6"/>
      <c r="BZ25" s="6"/>
      <c r="CA25" s="6"/>
      <c r="CB25" s="6"/>
      <c r="CC25" s="6"/>
      <c r="CD25" s="6"/>
      <c r="CE25" s="6"/>
      <c r="CF25" s="6"/>
      <c r="CN25" s="26" t="s">
        <v>136</v>
      </c>
      <c r="CO25" s="35" t="n">
        <f aca="false">CP25+$CO$24</f>
        <v>0.05</v>
      </c>
      <c r="CP25" s="45" t="n">
        <v>0.03</v>
      </c>
      <c r="CQ25" s="35" t="n">
        <f aca="false">CP25+$CQ$24</f>
        <v>0.01</v>
      </c>
    </row>
    <row r="26" customFormat="false" ht="15" hidden="false" customHeight="true" outlineLevel="0" collapsed="false">
      <c r="CN26" s="26" t="s">
        <v>137</v>
      </c>
      <c r="CO26" s="35" t="n">
        <f aca="false">CP26+$CO$24</f>
        <v>0.05</v>
      </c>
      <c r="CP26" s="45" t="n">
        <v>0.03</v>
      </c>
      <c r="CQ26" s="35" t="n">
        <f aca="false">CP26+$CQ$24</f>
        <v>0.01</v>
      </c>
    </row>
    <row r="27" customFormat="false" ht="15" hidden="false" customHeight="true" outlineLevel="0" collapsed="false">
      <c r="B27" s="15" t="s">
        <v>138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6" t="s">
        <v>139</v>
      </c>
      <c r="CN27" s="26" t="s">
        <v>140</v>
      </c>
      <c r="CO27" s="35" t="n">
        <f aca="false">CP27+$CO$24</f>
        <v>0.045</v>
      </c>
      <c r="CP27" s="45" t="n">
        <v>0.025</v>
      </c>
      <c r="CQ27" s="35" t="n">
        <f aca="false">CP27+$CQ$24</f>
        <v>0.005</v>
      </c>
    </row>
    <row r="28" customFormat="false" ht="15" hidden="false" customHeight="true" outlineLevel="0" collapsed="false">
      <c r="B28" s="17" t="s">
        <v>106</v>
      </c>
      <c r="C28" s="32"/>
      <c r="D28" s="32"/>
      <c r="E28" s="32"/>
      <c r="F28" s="32"/>
      <c r="G28" s="32"/>
      <c r="H28" s="46" t="n">
        <f aca="false">N(H33)+N(H36)+N(H39)+N(H42)+N(H44)+N(H46)</f>
        <v>106.2</v>
      </c>
      <c r="I28" s="46" t="n">
        <f aca="false">N(I33)+N(I36)+N(I39)+N(I42)+N(I44)+N(I46)</f>
        <v>332.5</v>
      </c>
      <c r="J28" s="46" t="n">
        <f aca="false">N(J33)+N(J36)+N(J39)+N(J42)+N(J44)+N(J46)</f>
        <v>42.2</v>
      </c>
      <c r="K28" s="46" t="n">
        <f aca="false">N(K33)+N(K36)+N(K39)+N(K42)+N(K44)+N(K46)</f>
        <v>94.9</v>
      </c>
      <c r="L28" s="46" t="n">
        <f aca="false">N(L33)+N(L36)+N(L39)+N(L42)+N(L44)+N(L46)</f>
        <v>133.5</v>
      </c>
      <c r="M28" s="46" t="n">
        <f aca="false">N(M33)+N(M36)+N(M39)+N(M42)+N(M44)+N(M46)</f>
        <v>102.1</v>
      </c>
      <c r="N28" s="46" t="n">
        <f aca="false">N(N33)+N(N36)+N(N39)+N(N42)+N(N44)+N(N46)</f>
        <v>370.1</v>
      </c>
      <c r="O28" s="46" t="n">
        <f aca="false">N(O33)+N(O36)+N(O39)+N(O42)+N(O44)+N(O46)</f>
        <v>58.4</v>
      </c>
      <c r="P28" s="46" t="n">
        <f aca="false">N(P33)+N(P36)+N(P39)+N(P42)+N(P44)+N(P46)</f>
        <v>118</v>
      </c>
      <c r="Q28" s="46" t="n">
        <f aca="false">N(Q33)+N(Q36)+N(Q39)+N(Q42)+N(Q44)+N(Q46)</f>
        <v>380.4</v>
      </c>
      <c r="R28" s="46" t="n">
        <f aca="false">N(R33)+N(R36)+N(R39)+N(R42)+N(R44)+N(R46)</f>
        <v>315.9</v>
      </c>
      <c r="S28" s="46" t="n">
        <f aca="false">N(S33)+N(S36)+N(S39)+N(S42)+N(S44)+N(S46)</f>
        <v>873</v>
      </c>
      <c r="T28" s="46" t="n">
        <f aca="false">N(T33)+N(T36)+N(T39)+N(T42)+N(T44)+N(T46)</f>
        <v>240.9</v>
      </c>
      <c r="U28" s="46" t="n">
        <f aca="false">N(U33)+N(U36)+N(U39)+N(U42)+N(U44)+N(U46)</f>
        <v>308.2</v>
      </c>
      <c r="V28" s="46" t="n">
        <f aca="false">N(V33)+N(V36)+N(V39)+N(V42)+N(V44)+N(V46)</f>
        <v>417.9</v>
      </c>
      <c r="W28" s="46" t="n">
        <f aca="false">N(W33)+N(W36)+N(W39)+N(W42)+N(W44)+N(W46)</f>
        <v>279.9</v>
      </c>
      <c r="X28" s="46" t="n">
        <f aca="false">N(X33)+N(X36)+N(X39)+N(X42)+N(X44)+N(X46)</f>
        <v>1246.9</v>
      </c>
      <c r="Y28" s="46" t="n">
        <f aca="false">N(Y33)+N(Y36)+N(Y39)+N(Y42)+N(Y44)+N(Y46)</f>
        <v>268</v>
      </c>
      <c r="Z28" s="46" t="n">
        <f aca="false">N(Z33)+N(Z36)+N(Z39)+N(Z42)+N(Z44)+N(Z46)</f>
        <v>340.3</v>
      </c>
      <c r="AA28" s="46" t="n">
        <f aca="false">N(AA33)+N(AA36)+N(AA39)+N(AA42)+N(AA44)+N(AA46)</f>
        <v>435.4</v>
      </c>
      <c r="AB28" s="46" t="n">
        <f aca="false">N(AB33)+N(AB36)+N(AB39)+N(AB42)+N(AB44)+N(AB46)</f>
        <v>412.2</v>
      </c>
      <c r="AC28" s="46" t="n">
        <f aca="false">N(AC33)+N(AC36)+N(AC39)+N(AC42)+N(AC44)+N(AC46)</f>
        <v>1608.4</v>
      </c>
      <c r="AD28" s="46" t="n">
        <f aca="false">N(AD33)+N(AD36)+N(AD39)+N(AD42)+N(AD44)+N(AD46)</f>
        <v>342.7</v>
      </c>
      <c r="AE28" s="46" t="n">
        <f aca="false">N(AE33)+N(AE36)+N(AE39)+N(AE42)+N(AE44)+N(AE46)</f>
        <v>452.9</v>
      </c>
      <c r="AF28" s="46" t="n">
        <f aca="false">N(AF33)+N(AF36)+N(AF39)+N(AF42)+N(AF44)+N(AF46)</f>
        <v>478.4</v>
      </c>
      <c r="AG28" s="46" t="n">
        <f aca="false">N(AG33)+N(AG36)+N(AG39)+N(AG42)+N(AG44)+N(AG46)</f>
        <v>398.7</v>
      </c>
      <c r="AH28" s="46" t="n">
        <f aca="false">N(AH33)+N(AH36)+N(AH39)+N(AH42)+N(AH44)+N(AH46)</f>
        <v>1600.1</v>
      </c>
      <c r="AI28" s="46" t="n">
        <f aca="false">N(AI33)+N(AI36)+N(AI39)+N(AI42)+N(AI44)+N(AI46)</f>
        <v>324.1</v>
      </c>
      <c r="AJ28" s="46" t="n">
        <f aca="false">N(AJ33)+N(AJ36)+N(AJ39)+N(AJ42)+N(AJ44)+N(AJ46)</f>
        <v>473.49</v>
      </c>
      <c r="AK28" s="46" t="n">
        <f aca="false">N(AK33)+N(AK36)+N(AK39)+N(AK42)+N(AK44)+N(AK46)</f>
        <v>452.892</v>
      </c>
      <c r="AL28" s="46" t="n">
        <f aca="false">N(AL33)+N(AL36)+N(AL39)+N(AL42)+N(AL44)+N(AL46)</f>
        <v>369.813</v>
      </c>
      <c r="AM28" s="46" t="n">
        <f aca="false">N(AM33)+N(AM36)+N(AM39)+N(AM42)+N(AM44)+N(AM46)</f>
        <v>1620.279</v>
      </c>
      <c r="AN28" s="46" t="n">
        <f aca="false">N(AN33)+N(AN36)+N(AN39)+N(AN42)+N(AN44)+N(AN46)</f>
        <v>326.019</v>
      </c>
      <c r="AO28" s="46" t="n">
        <f aca="false">N(AO33)+N(AO36)+N(AO39)+N(AO42)+N(AO44)+N(AO46)</f>
        <v>435.726</v>
      </c>
      <c r="AP28" s="46" t="n">
        <f aca="false">N(AP33)+N(AP36)+N(AP39)+N(AP42)+N(AP44)+N(AP46)</f>
        <v>522.552</v>
      </c>
      <c r="AQ28" s="46" t="n">
        <f aca="false">N(AQ33)+N(AQ36)+N(AQ39)+N(AQ42)+N(AQ44)+N(AQ46)</f>
        <v>400.375</v>
      </c>
      <c r="AR28" s="46" t="n">
        <f aca="false">N(AR33)+N(AR36)+N(AR39)+N(AR42)+N(AR44)+N(AR46)</f>
        <v>1681.2</v>
      </c>
      <c r="AS28" s="46" t="n">
        <f aca="false">N(AS33)+N(AS36)+N(AS39)+N(AS42)+N(AS44)+N(AS46)</f>
        <v>314.4</v>
      </c>
      <c r="AT28" s="46" t="n">
        <f aca="false">N(AT33)+N(AT36)+N(AT39)+N(AT42)+N(AT44)+N(AT46)</f>
        <v>461.6</v>
      </c>
      <c r="AU28" s="46" t="n">
        <f aca="false">N(AU33)+N(AU36)+N(AU39)+N(AU42)+N(AU44)+N(AU46)</f>
        <v>500</v>
      </c>
      <c r="AV28" s="46" t="n">
        <f aca="false">N(AV33)+N(AV36)+N(AV39)+N(AV42)+N(AV44)+N(AV46)</f>
        <v>460.3</v>
      </c>
      <c r="AW28" s="46" t="n">
        <f aca="false">N(AW33)+N(AW36)+N(AW39)+N(AW42)+N(AW44)+N(AW46)</f>
        <v>1736.3</v>
      </c>
      <c r="AX28" s="46" t="n">
        <f aca="false">N(AX33)+N(AX36)+N(AX39)+N(AX42)+N(AX44)+N(AX46)</f>
        <v>357.1</v>
      </c>
      <c r="AY28" s="46" t="n">
        <f aca="false">N(AY33)+N(AY36)+N(AY39)+N(AY42)+N(AY44)+N(AY46)</f>
        <v>520.2</v>
      </c>
      <c r="AZ28" s="46" t="n">
        <f aca="false">N(AZ33)+N(AZ36)+N(AZ39)+N(AZ42)+N(AZ44)+N(AZ46)</f>
        <v>649</v>
      </c>
      <c r="BA28" s="46" t="n">
        <f aca="false">N(BA33)+N(BA36)+N(BA39)+N(BA42)+N(BA44)+N(BA46)</f>
        <v>628.1</v>
      </c>
      <c r="BB28" s="46" t="n">
        <f aca="false">N(BB33)+N(BB36)+N(BB39)+N(BB42)+N(BB44)+N(BB46)</f>
        <v>2154.5</v>
      </c>
      <c r="BC28" s="46" t="n">
        <f aca="false">N(BC33)+N(BC36)+N(BC39)+N(BC42)+N(BC44)+N(BC46)</f>
        <v>479.2</v>
      </c>
      <c r="BD28" s="46" t="n">
        <f aca="false">N(BD33)+N(BD36)+N(BD39)+N(BD42)+N(BD44)+N(BD46)</f>
        <v>596.3</v>
      </c>
      <c r="BE28" s="46" t="n">
        <f aca="false">N(BE33)+N(BE36)+N(BE39)+N(BE42)+N(BE44)+N(BE46)</f>
        <v>700.4</v>
      </c>
      <c r="BF28" s="46" t="n">
        <f aca="false">N(BF33)+N(BF36)+N(BF39)+N(BF42)+N(BF44)+N(BF46)</f>
        <v>553.2</v>
      </c>
      <c r="BG28" s="46" t="n">
        <f aca="false">N(BG33)+N(BG36)+N(BG39)+N(BG42)+N(BG44)+N(BG46)</f>
        <v>2329</v>
      </c>
      <c r="BH28" s="46" t="n">
        <f aca="false">N(BH33)+N(BH36)+N(BH39)+N(BH42)+N(BH44)+N(BH46)</f>
        <v>446.6</v>
      </c>
      <c r="BI28" s="46" t="n">
        <f aca="false">N(BI33)+N(BI36)+N(BI39)+N(BI42)+N(BI44)+N(BI46)</f>
        <v>710</v>
      </c>
      <c r="BJ28" s="46" t="n">
        <f aca="false">N(BJ33)+N(BJ36)+N(BJ39)+N(BJ42)+N(BJ44)+N(BJ46)</f>
        <v>844.2</v>
      </c>
      <c r="BK28" s="46" t="n">
        <f aca="false">N(BK33)+N(BK36)+N(BK39)+N(BK42)+N(BK44)+N(BK46)</f>
        <v>621.4</v>
      </c>
      <c r="BL28" s="46" t="n">
        <f aca="false">N(BL33)+N(BL36)+N(BL39)+N(BL42)+N(BL44)+N(BL46)</f>
        <v>2621.9</v>
      </c>
      <c r="BM28" s="46" t="n">
        <f aca="false">N(BM33)+N(BM36)+N(BM39)+N(BM42)+N(BM44)+N(BM46)</f>
        <v>324</v>
      </c>
      <c r="BN28" s="46" t="n">
        <f aca="false">N(BN33)+N(BN36)+N(BN39)+N(BN42)+N(BN44)+N(BN46)</f>
        <v>506</v>
      </c>
      <c r="BO28" s="46" t="n">
        <f aca="false">N(BO33)+N(BO36)+N(BO39)+N(BO42)+N(BO44)+N(BO46)</f>
        <v>639</v>
      </c>
      <c r="BP28" s="46" t="n">
        <f aca="false">N(BP33)+N(BP36)+N(BP39)+N(BP42)+N(BP44)+N(BP46)</f>
        <v>484</v>
      </c>
      <c r="BQ28" s="46" t="n">
        <f aca="false">N(BQ33)+N(BQ36)+N(BQ39)+N(BQ42)+N(BQ44)+N(BQ46)</f>
        <v>1952</v>
      </c>
      <c r="BR28" s="46" t="n">
        <f aca="false">N(BR33)+N(BR36)+N(BR39)+N(BR42)+N(BR44)+N(BR46)</f>
        <v>122</v>
      </c>
      <c r="BS28" s="46" t="n">
        <f aca="false">N(BS33)+N(BS36)+N(BS39)+N(BS42)+N(BS44)+N(BS46)</f>
        <v>271</v>
      </c>
      <c r="BT28" s="46" t="n">
        <f aca="false">N(BT33)+N(BT36)+N(BT39)+N(BT42)+N(BT44)+N(BT46)</f>
        <v>351</v>
      </c>
      <c r="BU28" s="46" t="n">
        <f aca="false">N(BU33)+N(BU36)+N(BU39)+N(BU42)+N(BU44)+N(BU46)</f>
        <v>248</v>
      </c>
      <c r="BV28" s="46" t="n">
        <f aca="false">N(BV33)+N(BV36)+N(BV39)+N(BV42)+N(BV44)+N(BV46)</f>
        <v>992</v>
      </c>
      <c r="BW28" s="46" t="n">
        <f aca="false">N(BW33)+N(BW36)+N(BW39)+N(BW42)+N(BW44)+N(BW46)</f>
        <v>116</v>
      </c>
      <c r="BX28" s="46" t="n">
        <f aca="false">N(BX33)+N(BX36)+N(BX39)+N(BX42)+N(BX44)+N(BX46)</f>
        <v>303</v>
      </c>
      <c r="BY28" s="34" t="n">
        <f aca="false">BT28*(1+BY29)</f>
        <v>409.024121933218</v>
      </c>
      <c r="BZ28" s="34" t="n">
        <f aca="false">BU28*(1+BZ29)</f>
        <v>288.99710039726</v>
      </c>
      <c r="CA28" s="34" t="n">
        <f aca="false">SUM(BW28,BX28,BY28,BZ28)</f>
        <v>1117.02122233048</v>
      </c>
      <c r="CB28" s="34" t="n">
        <f aca="false">CA28*(1+CB29)</f>
        <v>1150.53185900039</v>
      </c>
      <c r="CC28" s="34" t="n">
        <f aca="false">CB28*(1+CC29)</f>
        <v>1185.0478147704</v>
      </c>
      <c r="CD28" s="34" t="n">
        <f aca="false">CC28*(1+CD29)</f>
        <v>1220.59924921352</v>
      </c>
      <c r="CE28" s="34" t="n">
        <f aca="false">CD28*(1+CE29)</f>
        <v>1257.21722668992</v>
      </c>
      <c r="CF28" s="20" t="s">
        <v>141</v>
      </c>
      <c r="CH28" s="21" t="n">
        <f aca="false">IFERROR((CE28/BV28)^(1/5)-1,"n/m")</f>
        <v>0.0485272704076822</v>
      </c>
      <c r="CI28" s="21" t="n">
        <f aca="false">IFERROR((BV28/AW28)^(1/5)-1,"n/m")</f>
        <v>-0.105917938659928</v>
      </c>
      <c r="CJ28" s="21" t="n">
        <f aca="false">IFERROR((BV28/X28)^(1/10)-1,"n/m")</f>
        <v>-0.0226097447522654</v>
      </c>
      <c r="CK28" s="21" t="str">
        <f aca="false">IFERROR((BV28/C28)^(1/19)-1,"n/m")</f>
        <v>n/m</v>
      </c>
      <c r="CN28" s="26" t="s">
        <v>142</v>
      </c>
      <c r="CO28" s="35" t="n">
        <f aca="false">CP28+$CO$24</f>
        <v>0.045</v>
      </c>
      <c r="CP28" s="45" t="n">
        <v>0.025</v>
      </c>
      <c r="CQ28" s="35" t="n">
        <f aca="false">CP28+$CQ$24</f>
        <v>0.005</v>
      </c>
    </row>
    <row r="29" customFormat="false" ht="15" hidden="false" customHeight="true" outlineLevel="0" collapsed="false">
      <c r="B29" s="23" t="s">
        <v>109</v>
      </c>
      <c r="D29" s="24" t="str">
        <f aca="false">IF(AND(ISNUMBER(D28),ISNUMBER(C28)),IFERROR(D28/C28-1,""),"")</f>
        <v/>
      </c>
      <c r="E29" s="24" t="str">
        <f aca="false">IF(AND(ISNUMBER(E28),ISNUMBER(D28)),IFERROR(E28/D28-1,""),"")</f>
        <v/>
      </c>
      <c r="F29" s="24" t="str">
        <f aca="false">IF(AND(ISNUMBER(F28),ISNUMBER(E28)),IFERROR(F28/E28-1,""),"")</f>
        <v/>
      </c>
      <c r="G29" s="24" t="str">
        <f aca="false">IF(AND(ISNUMBER(G28),ISNUMBER(F28)),IFERROR(G28/F28-1,""),"")</f>
        <v/>
      </c>
      <c r="H29" s="24" t="str">
        <f aca="false">IF(AND(ISNUMBER(H28),ISNUMBER(G28)),IFERROR(H28/G28-1,""),"")</f>
        <v/>
      </c>
      <c r="I29" s="24" t="n">
        <f aca="false">IF(AND(ISNUMBER(I28),ISNUMBER(H28)),IFERROR(I28/H28-1,""),"")</f>
        <v>2.13088512241055</v>
      </c>
      <c r="N29" s="24" t="n">
        <f aca="false">IF(AND(ISNUMBER(N28),ISNUMBER(I28)),IFERROR(N28/I28-1,""),"")</f>
        <v>0.113082706766917</v>
      </c>
      <c r="O29" s="24" t="n">
        <f aca="false">IF(AND(ISNUMBER(O28),ISNUMBER(J28)),IFERROR(O28/J28-1,""),"")</f>
        <v>0.38388625592417</v>
      </c>
      <c r="P29" s="24" t="n">
        <f aca="false">IF(AND(ISNUMBER(P28),ISNUMBER(K28)),IFERROR(P28/K28-1,""),"")</f>
        <v>0.243414120126449</v>
      </c>
      <c r="Q29" s="24" t="n">
        <f aca="false">IF(AND(ISNUMBER(Q28),ISNUMBER(L28)),IFERROR(Q28/L28-1,""),"")</f>
        <v>1.84943820224719</v>
      </c>
      <c r="R29" s="24" t="n">
        <f aca="false">IF(AND(ISNUMBER(R28),ISNUMBER(M28)),IFERROR(R28/M28-1,""),"")</f>
        <v>2.09402546523017</v>
      </c>
      <c r="S29" s="24" t="n">
        <f aca="false">IF(AND(ISNUMBER(S28),ISNUMBER(N28)),IFERROR(S28/N28-1,""),"")</f>
        <v>1.35882194001621</v>
      </c>
      <c r="T29" s="24" t="n">
        <f aca="false">IF(AND(ISNUMBER(T28),ISNUMBER(O28)),IFERROR(T28/O28-1,""),"")</f>
        <v>3.125</v>
      </c>
      <c r="U29" s="24" t="n">
        <f aca="false">IF(AND(ISNUMBER(U28),ISNUMBER(P28)),IFERROR(U28/P28-1,""),"")</f>
        <v>1.61186440677966</v>
      </c>
      <c r="V29" s="24" t="n">
        <f aca="false">IF(AND(ISNUMBER(V28),ISNUMBER(Q28)),IFERROR(V28/Q28-1,""),"")</f>
        <v>0.0985804416403786</v>
      </c>
      <c r="W29" s="24" t="n">
        <f aca="false">IF(AND(ISNUMBER(W28),ISNUMBER(R28)),IFERROR(W28/R28-1,""),"")</f>
        <v>-0.113960113960114</v>
      </c>
      <c r="X29" s="24" t="n">
        <f aca="false">IF(AND(ISNUMBER(X28),ISNUMBER(S28)),IFERROR(X28/S28-1,""),"")</f>
        <v>0.428293241695304</v>
      </c>
      <c r="Y29" s="24" t="n">
        <f aca="false">IF(AND(ISNUMBER(Y28),ISNUMBER(T28)),IFERROR(Y28/T28-1,""),"")</f>
        <v>0.112494811124948</v>
      </c>
      <c r="Z29" s="24" t="n">
        <f aca="false">IF(AND(ISNUMBER(Z28),ISNUMBER(U28)),IFERROR(Z28/U28-1,""),"")</f>
        <v>0.104153147306943</v>
      </c>
      <c r="AA29" s="24" t="n">
        <f aca="false">IF(AND(ISNUMBER(AA28),ISNUMBER(V28)),IFERROR(AA28/V28-1,""),"")</f>
        <v>0.0418760469011723</v>
      </c>
      <c r="AB29" s="24" t="n">
        <f aca="false">IF(AND(ISNUMBER(AB28),ISNUMBER(W28)),IFERROR(AB28/W28-1,""),"")</f>
        <v>0.472668810289389</v>
      </c>
      <c r="AC29" s="24" t="n">
        <f aca="false">IF(AND(ISNUMBER(AC28),ISNUMBER(X28)),IFERROR(AC28/X28-1,""),"")</f>
        <v>0.289918999117812</v>
      </c>
      <c r="AD29" s="24" t="n">
        <f aca="false">IF(AND(ISNUMBER(AD28),ISNUMBER(Y28)),IFERROR(AD28/Y28-1,""),"")</f>
        <v>0.278731343283582</v>
      </c>
      <c r="AE29" s="24" t="n">
        <f aca="false">IF(AND(ISNUMBER(AE28),ISNUMBER(Z28)),IFERROR(AE28/Z28-1,""),"")</f>
        <v>0.330884513664414</v>
      </c>
      <c r="AF29" s="24" t="n">
        <f aca="false">IF(AND(ISNUMBER(AF28),ISNUMBER(AA28)),IFERROR(AF28/AA28-1,""),"")</f>
        <v>0.0987597611391824</v>
      </c>
      <c r="AG29" s="24" t="n">
        <f aca="false">IF(AND(ISNUMBER(AG28),ISNUMBER(AB28)),IFERROR(AG28/AB28-1,""),"")</f>
        <v>-0.0327510917030567</v>
      </c>
      <c r="AH29" s="24" t="n">
        <f aca="false">IF(AND(ISNUMBER(AH28),ISNUMBER(AC28)),IFERROR(AH28/AC28-1,""),"")</f>
        <v>-0.00516040785874172</v>
      </c>
      <c r="AI29" s="24" t="n">
        <f aca="false">IF(AND(ISNUMBER(AI28),ISNUMBER(AD28)),IFERROR(AI28/AD28-1,""),"")</f>
        <v>-0.0542748759848266</v>
      </c>
      <c r="AJ29" s="24" t="n">
        <f aca="false">IF(AND(ISNUMBER(AJ28),ISNUMBER(AE28)),IFERROR(AJ28/AE28-1,""),"")</f>
        <v>0.0454625745197617</v>
      </c>
      <c r="AK29" s="24" t="n">
        <f aca="false">IF(AND(ISNUMBER(AK28),ISNUMBER(AF28)),IFERROR(AK28/AF28-1,""),"")</f>
        <v>-0.053319397993311</v>
      </c>
      <c r="AL29" s="24" t="n">
        <f aca="false">IF(AND(ISNUMBER(AL28),ISNUMBER(AG28)),IFERROR(AL28/AG28-1,""),"")</f>
        <v>-0.0724529721595186</v>
      </c>
      <c r="AM29" s="24" t="n">
        <f aca="false">IF(AND(ISNUMBER(AM28),ISNUMBER(AH28)),IFERROR(AM28/AH28-1,""),"")</f>
        <v>0.0126110868070746</v>
      </c>
      <c r="AN29" s="24" t="n">
        <f aca="false">IF(AND(ISNUMBER(AN28),ISNUMBER(AI28)),IFERROR(AN28/AI28-1,""),"")</f>
        <v>0.00592101203332307</v>
      </c>
      <c r="AO29" s="24" t="n">
        <f aca="false">IF(AND(ISNUMBER(AO28),ISNUMBER(AJ28)),IFERROR(AO28/AJ28-1,""),"")</f>
        <v>-0.0797567002471014</v>
      </c>
      <c r="AP29" s="24" t="n">
        <f aca="false">IF(AND(ISNUMBER(AP28),ISNUMBER(AK28)),IFERROR(AP28/AK28-1,""),"")</f>
        <v>0.153811504729604</v>
      </c>
      <c r="AQ29" s="24" t="n">
        <f aca="false">IF(AND(ISNUMBER(AQ28),ISNUMBER(AL28)),IFERROR(AQ28/AL28-1,""),"")</f>
        <v>0.0826417675960554</v>
      </c>
      <c r="AR29" s="24" t="n">
        <f aca="false">IF(AND(ISNUMBER(AR28),ISNUMBER(AM28)),IFERROR(AR28/AM28-1,""),"")</f>
        <v>0.0375990801584172</v>
      </c>
      <c r="AS29" s="24" t="n">
        <f aca="false">IF(AND(ISNUMBER(AS28),ISNUMBER(AN28)),IFERROR(AS28/AN28-1,""),"")</f>
        <v>-0.035639027173263</v>
      </c>
      <c r="AT29" s="24" t="n">
        <f aca="false">IF(AND(ISNUMBER(AT28),ISNUMBER(AO28)),IFERROR(AT28/AO28-1,""),"")</f>
        <v>0.0593813543373589</v>
      </c>
      <c r="AU29" s="24" t="n">
        <f aca="false">IF(AND(ISNUMBER(AU28),ISNUMBER(AP28)),IFERROR(AU28/AP28-1,""),"")</f>
        <v>-0.0431574273947855</v>
      </c>
      <c r="AV29" s="24" t="n">
        <f aca="false">IF(AND(ISNUMBER(AV28),ISNUMBER(AQ28)),IFERROR(AV28/AQ28-1,""),"")</f>
        <v>0.149672182329067</v>
      </c>
      <c r="AW29" s="24" t="n">
        <f aca="false">IF(AND(ISNUMBER(AW28),ISNUMBER(AR28)),IFERROR(AW28/AR28-1,""),"")</f>
        <v>0.0327742088984058</v>
      </c>
      <c r="AX29" s="24" t="n">
        <f aca="false">IF(AND(ISNUMBER(AX28),ISNUMBER(AS28)),IFERROR(AX28/AS28-1,""),"")</f>
        <v>0.135814249363868</v>
      </c>
      <c r="AY29" s="24" t="n">
        <f aca="false">IF(AND(ISNUMBER(AY28),ISNUMBER(AT28)),IFERROR(AY28/AT28-1,""),"")</f>
        <v>0.126949740034662</v>
      </c>
      <c r="AZ29" s="24" t="n">
        <f aca="false">IF(AND(ISNUMBER(AZ28),ISNUMBER(AU28)),IFERROR(AZ28/AU28-1,""),"")</f>
        <v>0.298</v>
      </c>
      <c r="BA29" s="24" t="n">
        <f aca="false">IF(AND(ISNUMBER(BA28),ISNUMBER(AV28)),IFERROR(BA28/AV28-1,""),"")</f>
        <v>0.364544862046491</v>
      </c>
      <c r="BB29" s="24" t="n">
        <f aca="false">IF(AND(ISNUMBER(BB28),ISNUMBER(AW28)),IFERROR(BB28/AW28-1,""),"")</f>
        <v>0.24085699475897</v>
      </c>
      <c r="BC29" s="24" t="n">
        <f aca="false">IF(AND(ISNUMBER(BC28),ISNUMBER(AX28)),IFERROR(BC28/AX28-1,""),"")</f>
        <v>0.341921030523663</v>
      </c>
      <c r="BD29" s="24" t="n">
        <f aca="false">IF(AND(ISNUMBER(BD28),ISNUMBER(AY28)),IFERROR(BD28/AY28-1,""),"")</f>
        <v>0.146289888504421</v>
      </c>
      <c r="BE29" s="24" t="n">
        <f aca="false">IF(AND(ISNUMBER(BE28),ISNUMBER(AZ28)),IFERROR(BE28/AZ28-1,""),"")</f>
        <v>0.0791987673343606</v>
      </c>
      <c r="BF29" s="24" t="n">
        <f aca="false">IF(AND(ISNUMBER(BF28),ISNUMBER(BA28)),IFERROR(BF28/BA28-1,""),"")</f>
        <v>-0.119248527304569</v>
      </c>
      <c r="BG29" s="24" t="n">
        <f aca="false">IF(AND(ISNUMBER(BG28),ISNUMBER(BB28)),IFERROR(BG28/BB28-1,""),"")</f>
        <v>0.0809932699002089</v>
      </c>
      <c r="BH29" s="24" t="n">
        <f aca="false">IF(AND(ISNUMBER(BH28),ISNUMBER(BC28)),IFERROR(BH28/BC28-1,""),"")</f>
        <v>-0.0680300500834725</v>
      </c>
      <c r="BI29" s="24" t="n">
        <f aca="false">IF(AND(ISNUMBER(BI28),ISNUMBER(BD28)),IFERROR(BI28/BD28-1,""),"")</f>
        <v>0.190675834311588</v>
      </c>
      <c r="BJ29" s="24" t="n">
        <f aca="false">IF(AND(ISNUMBER(BJ28),ISNUMBER(BE28)),IFERROR(BJ28/BE28-1,""),"")</f>
        <v>0.205311250713877</v>
      </c>
      <c r="BK29" s="24" t="n">
        <f aca="false">IF(AND(ISNUMBER(BK28),ISNUMBER(BF28)),IFERROR(BK28/BF28-1,""),"")</f>
        <v>0.123282718727404</v>
      </c>
      <c r="BL29" s="24" t="n">
        <f aca="false">IF(AND(ISNUMBER(BL28),ISNUMBER(BG28)),IFERROR(BL28/BG28-1,""),"")</f>
        <v>0.125762129669386</v>
      </c>
      <c r="BM29" s="24" t="n">
        <f aca="false">IF(AND(ISNUMBER(BM28),ISNUMBER(BH28)),IFERROR(BM28/BH28-1,""),"")</f>
        <v>-0.274518584863413</v>
      </c>
      <c r="BN29" s="24" t="n">
        <f aca="false">IF(AND(ISNUMBER(BN28),ISNUMBER(BI28)),IFERROR(BN28/BI28-1,""),"")</f>
        <v>-0.287323943661972</v>
      </c>
      <c r="BO29" s="24" t="n">
        <f aca="false">IF(AND(ISNUMBER(BO28),ISNUMBER(BJ28)),IFERROR(BO28/BJ28-1,""),"")</f>
        <v>-0.243070362473347</v>
      </c>
      <c r="BP29" s="24" t="n">
        <f aca="false">IF(AND(ISNUMBER(BP28),ISNUMBER(BK28)),IFERROR(BP28/BK28-1,""),"")</f>
        <v>-0.221113614419054</v>
      </c>
      <c r="BQ29" s="24" t="n">
        <f aca="false">IF(AND(ISNUMBER(BQ28),ISNUMBER(BL28)),IFERROR(BQ28/BL28-1,""),"")</f>
        <v>-0.255501735382738</v>
      </c>
      <c r="BR29" s="24" t="n">
        <f aca="false">IF(AND(ISNUMBER(BR28),ISNUMBER(BM28)),IFERROR(BR28/BM28-1,""),"")</f>
        <v>-0.623456790123457</v>
      </c>
      <c r="BS29" s="24" t="n">
        <f aca="false">IF(AND(ISNUMBER(BS28),ISNUMBER(BN28)),IFERROR(BS28/BN28-1,""),"")</f>
        <v>-0.464426877470356</v>
      </c>
      <c r="BT29" s="24" t="n">
        <f aca="false">IF(AND(ISNUMBER(BT28),ISNUMBER(BO28)),IFERROR(BT28/BO28-1,""),"")</f>
        <v>-0.450704225352113</v>
      </c>
      <c r="BU29" s="24" t="n">
        <f aca="false">IF(AND(ISNUMBER(BU28),ISNUMBER(BP28)),IFERROR(BU28/BP28-1,""),"")</f>
        <v>-0.487603305785124</v>
      </c>
      <c r="BV29" s="24" t="n">
        <f aca="false">IF(AND(ISNUMBER(BV28),ISNUMBER(BQ28)),IFERROR(BV28/BQ28-1,""),"")</f>
        <v>-0.491803278688525</v>
      </c>
      <c r="BW29" s="24" t="n">
        <f aca="false">IF(AND(ISNUMBER(BW28),ISNUMBER(BR28)),IFERROR(BW28/BR28-1,""),"")</f>
        <v>-0.0491803278688525</v>
      </c>
      <c r="BX29" s="24" t="n">
        <f aca="false">IF(AND(ISNUMBER(BX28),ISNUMBER(BS28)),IFERROR(BX28/BS28-1,""),"")</f>
        <v>0.118081180811808</v>
      </c>
      <c r="BY29" s="25" t="n">
        <f aca="false">$BX$29+BY118</f>
        <v>0.165310888698628</v>
      </c>
      <c r="BZ29" s="25" t="n">
        <f aca="false">$BX$29+BZ118</f>
        <v>0.165310888698628</v>
      </c>
      <c r="CA29" s="25" t="n">
        <f aca="false">IFERROR(CA28/BV28-1,"")</f>
        <v>0.126029457994434</v>
      </c>
      <c r="CB29" s="25" t="n">
        <f aca="false">CHOOSE(MATCH($CF$2,{"Bull","Base","Bear"},0),$CO$40,$CP$40,$CQ$40)</f>
        <v>0.03</v>
      </c>
      <c r="CC29" s="25" t="n">
        <f aca="false">CHOOSE(MATCH($CF$2,{"Bull","Base","Bear"},0),$CO$41,$CP$41,$CQ$41)</f>
        <v>0.03</v>
      </c>
      <c r="CD29" s="25" t="n">
        <f aca="false">CHOOSE(MATCH($CF$2,{"Bull","Base","Bear"},0),$CO$42,$CP$42,$CQ$42)</f>
        <v>0.03</v>
      </c>
      <c r="CE29" s="25" t="n">
        <f aca="false">CHOOSE(MATCH($CF$2,{"Bull","Base","Bear"},0),$CO$43,$CP$43,$CQ$43)</f>
        <v>0.03</v>
      </c>
      <c r="CF29" s="20" t="s">
        <v>143</v>
      </c>
      <c r="CN29" s="16" t="s">
        <v>144</v>
      </c>
      <c r="CO29" s="44" t="n">
        <v>0.015</v>
      </c>
      <c r="CP29" s="22" t="s">
        <v>133</v>
      </c>
      <c r="CQ29" s="44" t="n">
        <v>-0.015</v>
      </c>
      <c r="CR29" s="14" t="s">
        <v>145</v>
      </c>
    </row>
    <row r="30" customFormat="false" ht="15" hidden="false" customHeight="true" outlineLevel="0" collapsed="false">
      <c r="B30" s="26" t="s">
        <v>112</v>
      </c>
      <c r="I30" s="47" t="n">
        <f aca="false">N(I34)+N(I37)+N(I40)+N(I43)+N(I45)+N(I47)</f>
        <v>13.5</v>
      </c>
      <c r="J30" s="47" t="n">
        <f aca="false">N(J34)+N(J37)+N(J40)+N(J43)+N(J45)+N(J47)</f>
        <v>-7.1</v>
      </c>
      <c r="K30" s="47" t="n">
        <f aca="false">N(K34)+N(K37)+N(K40)+N(K43)+N(K45)+N(K47)</f>
        <v>6.3</v>
      </c>
      <c r="L30" s="47" t="n">
        <f aca="false">N(L34)+N(L37)+N(L40)+N(L43)+N(L45)+N(L47)</f>
        <v>14.7</v>
      </c>
      <c r="M30" s="47" t="n">
        <f aca="false">N(M34)+N(M37)+N(M40)+N(M43)+N(M45)+N(M47)</f>
        <v>8.3</v>
      </c>
      <c r="N30" s="47" t="n">
        <f aca="false">N(N34)+N(N37)+N(N40)+N(N43)+N(N45)+N(N47)</f>
        <v>22.6</v>
      </c>
      <c r="O30" s="47" t="n">
        <f aca="false">N(O34)+N(O37)+N(O40)+N(O43)+N(O45)+N(O47)</f>
        <v>-2.5</v>
      </c>
      <c r="P30" s="47" t="n">
        <f aca="false">N(P34)+N(P37)+N(P40)+N(P43)+N(P45)+N(P47)</f>
        <v>11.6</v>
      </c>
      <c r="Q30" s="47" t="n">
        <f aca="false">N(Q34)+N(Q37)+N(Q40)+N(Q43)+N(Q45)+N(Q47)</f>
        <v>57.1</v>
      </c>
      <c r="R30" s="47" t="n">
        <f aca="false">N(R34)+N(R37)+N(R40)+N(R43)+N(R45)+N(R47)</f>
        <v>45.4</v>
      </c>
      <c r="S30" s="47" t="n">
        <f aca="false">N(S34)+N(S37)+N(S40)+N(S43)+N(S45)+N(S47)</f>
        <v>111.6</v>
      </c>
      <c r="T30" s="47" t="n">
        <f aca="false">N(T34)+N(T37)+N(T40)+N(T43)+N(T45)+N(T47)</f>
        <v>16.3</v>
      </c>
      <c r="U30" s="47" t="n">
        <f aca="false">N(U34)+N(U37)+N(U40)+N(U43)+N(U45)+N(U47)</f>
        <v>47.7</v>
      </c>
      <c r="V30" s="47" t="n">
        <f aca="false">N(V34)+N(V37)+N(V40)+N(V43)+N(V45)+N(V47)</f>
        <v>83.9</v>
      </c>
      <c r="W30" s="47" t="n">
        <f aca="false">N(W34)+N(W37)+N(W40)+N(W43)+N(W45)+N(W47)</f>
        <v>34.3</v>
      </c>
      <c r="X30" s="47" t="n">
        <f aca="false">N(X34)+N(X37)+N(X40)+N(X43)+N(X45)+N(X47)</f>
        <v>182.3</v>
      </c>
      <c r="Y30" s="47" t="n">
        <f aca="false">N(Y34)+N(Y37)+N(Y40)+N(Y43)+N(Y45)+N(Y47)</f>
        <v>44.5</v>
      </c>
      <c r="Z30" s="47" t="n">
        <f aca="false">N(Z34)+N(Z37)+N(Z40)+N(Z43)+N(Z45)+N(Z47)</f>
        <v>62.1</v>
      </c>
      <c r="AA30" s="47" t="n">
        <f aca="false">N(AA34)+N(AA37)+N(AA40)+N(AA43)+N(AA45)+N(AA47)</f>
        <v>100</v>
      </c>
      <c r="AB30" s="47" t="n">
        <f aca="false">N(AB34)+N(AB37)+N(AB40)+N(AB43)+N(AB45)+N(AB47)</f>
        <v>66.3</v>
      </c>
      <c r="AC30" s="47" t="n">
        <f aca="false">N(AC34)+N(AC37)+N(AC40)+N(AC43)+N(AC45)+N(AC47)</f>
        <v>272.8</v>
      </c>
      <c r="AD30" s="47" t="n">
        <f aca="false">N(AD34)+N(AD37)+N(AD40)+N(AD43)+N(AD45)+N(AD47)</f>
        <v>45.9</v>
      </c>
      <c r="AE30" s="47" t="n">
        <f aca="false">N(AE34)+N(AE37)+N(AE40)+N(AE43)+N(AE45)+N(AE47)</f>
        <v>76.7</v>
      </c>
      <c r="AF30" s="47" t="n">
        <f aca="false">N(AF34)+N(AF37)+N(AF40)+N(AF43)+N(AF45)+N(AF47)</f>
        <v>80.3</v>
      </c>
      <c r="AG30" s="47" t="n">
        <f aca="false">N(AG34)+N(AG37)+N(AG40)+N(AG43)+N(AG45)+N(AG47)</f>
        <v>70.7</v>
      </c>
      <c r="AH30" s="47" t="n">
        <f aca="false">N(AH34)+N(AH37)+N(AH40)+N(AH43)+N(AH45)+N(AH47)</f>
        <v>273.7</v>
      </c>
      <c r="AI30" s="47" t="n">
        <f aca="false">N(AI34)+N(AI37)+N(AI40)+N(AI43)+N(AI45)+N(AI47)</f>
        <v>31.7</v>
      </c>
      <c r="AJ30" s="47" t="n">
        <f aca="false">N(AJ34)+N(AJ37)+N(AJ40)+N(AJ43)+N(AJ45)+N(AJ47)</f>
        <v>89.769</v>
      </c>
      <c r="AK30" s="47" t="n">
        <f aca="false">N(AK34)+N(AK37)+N(AK40)+N(AK43)+N(AK45)+N(AK47)</f>
        <v>78.781</v>
      </c>
      <c r="AL30" s="47" t="n">
        <f aca="false">N(AL34)+N(AL37)+N(AL40)+N(AL43)+N(AL45)+N(AL47)</f>
        <v>53.019</v>
      </c>
      <c r="AM30" s="47" t="n">
        <f aca="false">N(AM34)+N(AM37)+N(AM40)+N(AM43)+N(AM45)+N(AM47)</f>
        <v>253.305</v>
      </c>
      <c r="AN30" s="47" t="n">
        <f aca="false">N(AN34)+N(AN37)+N(AN40)+N(AN43)+N(AN45)+N(AN47)</f>
        <v>20.442</v>
      </c>
      <c r="AO30" s="47" t="n">
        <f aca="false">N(AO34)+N(AO37)+N(AO40)+N(AO43)+N(AO45)+N(AO47)</f>
        <v>76.985</v>
      </c>
      <c r="AP30" s="47" t="n">
        <f aca="false">N(AP34)+N(AP37)+N(AP40)+N(AP43)+N(AP45)+N(AP47)</f>
        <v>108.569</v>
      </c>
      <c r="AQ30" s="47" t="n">
        <f aca="false">N(AQ34)+N(AQ37)+N(AQ40)+N(AQ43)+N(AQ45)+N(AQ47)</f>
        <v>67.387</v>
      </c>
      <c r="AR30" s="47" t="n">
        <f aca="false">N(AR34)+N(AR37)+N(AR40)+N(AR43)+N(AR45)+N(AR47)</f>
        <v>272.886</v>
      </c>
      <c r="AS30" s="47" t="n">
        <f aca="false">N(AS34)+N(AS37)+N(AS40)+N(AS43)+N(AS45)+N(AS47)</f>
        <v>25.1</v>
      </c>
      <c r="AT30" s="47" t="n">
        <f aca="false">N(AT34)+N(AT37)+N(AT40)+N(AT43)+N(AT45)+N(AT47)</f>
        <v>91.4</v>
      </c>
      <c r="AU30" s="47" t="n">
        <f aca="false">N(AU34)+N(AU37)+N(AU40)+N(AU43)+N(AU45)+N(AU47)</f>
        <v>103.8</v>
      </c>
      <c r="AV30" s="47" t="n">
        <f aca="false">N(AV34)+N(AV37)+N(AV40)+N(AV43)+N(AV45)+N(AV47)</f>
        <v>90.5</v>
      </c>
      <c r="AW30" s="47" t="n">
        <f aca="false">N(AW34)+N(AW37)+N(AW40)+N(AW43)+N(AW45)+N(AW47)</f>
        <v>310.9</v>
      </c>
      <c r="AX30" s="47" t="n">
        <f aca="false">N(AX34)+N(AX37)+N(AX40)+N(AX43)+N(AX45)+N(AX47)</f>
        <v>26.5</v>
      </c>
      <c r="AY30" s="47" t="n">
        <f aca="false">N(AY34)+N(AY37)+N(AY40)+N(AY43)+N(AY45)+N(AY47)</f>
        <v>83.9</v>
      </c>
      <c r="AZ30" s="47" t="n">
        <f aca="false">N(AZ34)+N(AZ37)+N(AZ40)+N(AZ43)+N(AZ45)+N(AZ47)</f>
        <v>120.2</v>
      </c>
      <c r="BA30" s="47" t="n">
        <f aca="false">N(BA34)+N(BA37)+N(BA40)+N(BA43)+N(BA45)+N(BA47)</f>
        <v>101.3</v>
      </c>
      <c r="BB30" s="47" t="n">
        <f aca="false">N(BB34)+N(BB37)+N(BB40)+N(BB43)+N(BB45)+N(BB47)</f>
        <v>331.8</v>
      </c>
      <c r="BC30" s="47" t="n">
        <f aca="false">N(BC34)+N(BC37)+N(BC40)+N(BC43)+N(BC45)+N(BC47)</f>
        <v>35.1</v>
      </c>
      <c r="BD30" s="47" t="n">
        <f aca="false">N(BD34)+N(BD37)+N(BD40)+N(BD43)+N(BD45)+N(BD47)</f>
        <v>91.8</v>
      </c>
      <c r="BE30" s="47" t="n">
        <f aca="false">N(BE34)+N(BE37)+N(BE40)+N(BE43)+N(BE45)+N(BE47)</f>
        <v>136.9</v>
      </c>
      <c r="BF30" s="47" t="n">
        <f aca="false">N(BF34)+N(BF37)+N(BF40)+N(BF43)+N(BF45)+N(BF47)</f>
        <v>92.1</v>
      </c>
      <c r="BG30" s="47" t="n">
        <f aca="false">N(BG34)+N(BG37)+N(BG40)+N(BG43)+N(BG45)+N(BG47)</f>
        <v>355.9</v>
      </c>
      <c r="BH30" s="47" t="n">
        <f aca="false">N(BH34)+N(BH37)+N(BH40)+N(BH43)+N(BH45)+N(BH47)</f>
        <v>37.8</v>
      </c>
      <c r="BI30" s="47" t="n">
        <f aca="false">N(BI34)+N(BI37)+N(BI40)+N(BI43)+N(BI45)+N(BI47)</f>
        <v>165.2</v>
      </c>
      <c r="BJ30" s="47" t="n">
        <f aca="false">N(BJ34)+N(BJ37)+N(BJ40)+N(BJ43)+N(BJ45)+N(BJ47)</f>
        <v>208.9</v>
      </c>
      <c r="BK30" s="47" t="n">
        <f aca="false">N(BK34)+N(BK37)+N(BK40)+N(BK43)+N(BK45)+N(BK47)</f>
        <v>132.7</v>
      </c>
      <c r="BL30" s="47" t="n">
        <f aca="false">N(BL34)+N(BL37)+N(BL40)+N(BL43)+N(BL45)+N(BL47)</f>
        <v>544.6</v>
      </c>
      <c r="BM30" s="47" t="n">
        <f aca="false">N(BM34)+N(BM37)+N(BM40)+N(BM43)+N(BM45)+N(BM47)</f>
        <v>9</v>
      </c>
      <c r="BN30" s="47" t="n">
        <f aca="false">N(BN34)+N(BN37)+N(BN40)+N(BN43)+N(BN45)+N(BN47)</f>
        <v>109</v>
      </c>
      <c r="BO30" s="47" t="n">
        <f aca="false">N(BO34)+N(BO37)+N(BO40)+N(BO43)+N(BO45)+N(BO47)</f>
        <v>150</v>
      </c>
      <c r="BP30" s="47" t="n">
        <f aca="false">N(BP34)+N(BP37)+N(BP40)+N(BP43)+N(BP45)+N(BP47)</f>
        <v>93</v>
      </c>
      <c r="BQ30" s="47" t="n">
        <f aca="false">N(BQ34)+N(BQ37)+N(BQ40)+N(BQ43)+N(BQ45)+N(BQ47)</f>
        <v>361</v>
      </c>
      <c r="BR30" s="47" t="n">
        <f aca="false">N(BR34)+N(BR37)+N(BR40)+N(BR43)+N(BR45)+N(BR47)</f>
        <v>-19</v>
      </c>
      <c r="BS30" s="47" t="n">
        <f aca="false">N(BS34)+N(BS37)+N(BS40)+N(BS43)+N(BS45)+N(BS47)</f>
        <v>39</v>
      </c>
      <c r="BT30" s="47" t="n">
        <f aca="false">N(BT34)+N(BT37)+N(BT40)+N(BT43)+N(BT45)+N(BT47)</f>
        <v>54</v>
      </c>
      <c r="BU30" s="47" t="n">
        <f aca="false">N(BU34)+N(BU37)+N(BU40)+N(BU43)+N(BU45)+N(BU47)</f>
        <v>23</v>
      </c>
      <c r="BV30" s="47" t="n">
        <f aca="false">N(BV34)+N(BV37)+N(BV40)+N(BV43)+N(BV45)+N(BV47)</f>
        <v>98</v>
      </c>
      <c r="BW30" s="47" t="n">
        <f aca="false">N(BW34)+N(BW37)+N(BW40)+N(BW43)+N(BW45)+N(BW47)</f>
        <v>-16</v>
      </c>
      <c r="BX30" s="47" t="n">
        <f aca="false">N(BX34)+N(BX37)+N(BX40)+N(BX43)+N(BX45)+N(BX47)</f>
        <v>34</v>
      </c>
      <c r="BY30" s="37" t="n">
        <f aca="false">BY28*BY32</f>
        <v>69.2970747930241</v>
      </c>
      <c r="BZ30" s="37" t="n">
        <f aca="false">BZ28*BZ32</f>
        <v>31.3030938224558</v>
      </c>
      <c r="CA30" s="37" t="n">
        <f aca="false">SUM(BW30,BX30,BY30,BZ30)</f>
        <v>118.60016861548</v>
      </c>
      <c r="CB30" s="37" t="n">
        <f aca="false">CB28*CB32</f>
        <v>115.053185900039</v>
      </c>
      <c r="CC30" s="37" t="n">
        <f aca="false">CC28*CC32</f>
        <v>124.430020550892</v>
      </c>
      <c r="CD30" s="37" t="n">
        <f aca="false">CD28*CD32</f>
        <v>134.265917413487</v>
      </c>
      <c r="CE30" s="37" t="n">
        <f aca="false">CE28*CE32</f>
        <v>138.293894935891</v>
      </c>
      <c r="CF30" s="6"/>
      <c r="CH30" s="21" t="n">
        <f aca="false">IFERROR((CE30/BV30)^(1/5)-1,"n/m")</f>
        <v>0.0713105617766461</v>
      </c>
      <c r="CI30" s="21" t="n">
        <f aca="false">IFERROR((BV30/AW30)^(1/5)-1,"n/m")</f>
        <v>-0.206181765447009</v>
      </c>
      <c r="CJ30" s="21" t="n">
        <f aca="false">IFERROR((BV30/X30)^(1/10)-1,"n/m")</f>
        <v>-0.0601816060431035</v>
      </c>
      <c r="CK30" s="21" t="str">
        <f aca="false">IFERROR((BV30/C30)^(1/19)-1,"n/m")</f>
        <v>n/m</v>
      </c>
      <c r="CN30" s="26" t="s">
        <v>136</v>
      </c>
      <c r="CO30" s="35" t="n">
        <f aca="false">CP30+$CO$29</f>
        <v>0.075</v>
      </c>
      <c r="CP30" s="45" t="n">
        <v>0.06</v>
      </c>
      <c r="CQ30" s="35" t="n">
        <f aca="false">CP30+$CQ$29</f>
        <v>0.045</v>
      </c>
    </row>
    <row r="31" customFormat="false" ht="15" hidden="false" customHeight="true" outlineLevel="0" collapsed="false">
      <c r="B31" s="26" t="s">
        <v>116</v>
      </c>
      <c r="BY31" s="25" t="n">
        <f aca="false">BT32+(BW30+BX30)/(BW28+BX28)-(BR30+BS30)/(BR28+BS28)</f>
        <v>0.145914995812061</v>
      </c>
      <c r="BZ31" s="25" t="n">
        <f aca="false">BU32+(BW30+BX30)/(BW28+BX28)-(BR30+BS30)/(BR28+BS28)</f>
        <v>0.0848107774497779</v>
      </c>
      <c r="CA31" s="6"/>
      <c r="CB31" s="6"/>
      <c r="CC31" s="6"/>
      <c r="CD31" s="6"/>
      <c r="CE31" s="6"/>
      <c r="CF31" s="6"/>
      <c r="CN31" s="26" t="s">
        <v>137</v>
      </c>
      <c r="CO31" s="35" t="n">
        <f aca="false">CP31+$CO$29</f>
        <v>0.07</v>
      </c>
      <c r="CP31" s="45" t="n">
        <v>0.055</v>
      </c>
      <c r="CQ31" s="35" t="n">
        <f aca="false">CP31+$CQ$29</f>
        <v>0.04</v>
      </c>
    </row>
    <row r="32" customFormat="false" ht="15" hidden="false" customHeight="true" outlineLevel="0" collapsed="false">
      <c r="B32" s="26" t="s">
        <v>120</v>
      </c>
      <c r="C32" s="38" t="str">
        <f aca="false">IF(AND(ISNUMBER(C30),ISNUMBER(C28)),IFERROR(C30/C28,""),"")</f>
        <v/>
      </c>
      <c r="D32" s="38" t="str">
        <f aca="false">IF(AND(ISNUMBER(D30),ISNUMBER(D28)),IFERROR(D30/D28,""),"")</f>
        <v/>
      </c>
      <c r="E32" s="38" t="str">
        <f aca="false">IF(AND(ISNUMBER(E30),ISNUMBER(E28)),IFERROR(E30/E28,""),"")</f>
        <v/>
      </c>
      <c r="F32" s="38" t="str">
        <f aca="false">IF(AND(ISNUMBER(F30),ISNUMBER(F28)),IFERROR(F30/F28,""),"")</f>
        <v/>
      </c>
      <c r="G32" s="38" t="str">
        <f aca="false">IF(AND(ISNUMBER(G30),ISNUMBER(G28)),IFERROR(G30/G28,""),"")</f>
        <v/>
      </c>
      <c r="H32" s="38" t="str">
        <f aca="false">IF(AND(ISNUMBER(H30),ISNUMBER(H28)),IFERROR(H30/H28,""),"")</f>
        <v/>
      </c>
      <c r="I32" s="38" t="n">
        <f aca="false">IF(AND(ISNUMBER(I30),ISNUMBER(I28)),IFERROR(I30/I28,""),"")</f>
        <v>0.0406015037593985</v>
      </c>
      <c r="J32" s="38" t="n">
        <f aca="false">IF(AND(ISNUMBER(J30),ISNUMBER(J28)),IFERROR(J30/J28,""),"")</f>
        <v>-0.16824644549763</v>
      </c>
      <c r="K32" s="38" t="n">
        <f aca="false">IF(AND(ISNUMBER(K30),ISNUMBER(K28)),IFERROR(K30/K28,""),"")</f>
        <v>0.0663856691253952</v>
      </c>
      <c r="L32" s="38" t="n">
        <f aca="false">IF(AND(ISNUMBER(L30),ISNUMBER(L28)),IFERROR(L30/L28,""),"")</f>
        <v>0.110112359550562</v>
      </c>
      <c r="M32" s="38" t="n">
        <f aca="false">IF(AND(ISNUMBER(M30),ISNUMBER(M28)),IFERROR(M30/M28,""),"")</f>
        <v>0.0812928501469148</v>
      </c>
      <c r="N32" s="38" t="n">
        <f aca="false">IF(AND(ISNUMBER(N30),ISNUMBER(N28)),IFERROR(N30/N28,""),"")</f>
        <v>0.0610645771413132</v>
      </c>
      <c r="O32" s="38" t="n">
        <f aca="false">IF(AND(ISNUMBER(O30),ISNUMBER(O28)),IFERROR(O30/O28,""),"")</f>
        <v>-0.0428082191780822</v>
      </c>
      <c r="P32" s="38" t="n">
        <f aca="false">IF(AND(ISNUMBER(P30),ISNUMBER(P28)),IFERROR(P30/P28,""),"")</f>
        <v>0.0983050847457627</v>
      </c>
      <c r="Q32" s="38" t="n">
        <f aca="false">IF(AND(ISNUMBER(Q30),ISNUMBER(Q28)),IFERROR(Q30/Q28,""),"")</f>
        <v>0.150105152471083</v>
      </c>
      <c r="R32" s="38" t="n">
        <f aca="false">IF(AND(ISNUMBER(R30),ISNUMBER(R28)),IFERROR(R30/R28,""),"")</f>
        <v>0.143716365938588</v>
      </c>
      <c r="S32" s="38" t="n">
        <f aca="false">IF(AND(ISNUMBER(S30),ISNUMBER(S28)),IFERROR(S30/S28,""),"")</f>
        <v>0.127835051546392</v>
      </c>
      <c r="T32" s="38" t="n">
        <f aca="false">IF(AND(ISNUMBER(T30),ISNUMBER(T28)),IFERROR(T30/T28,""),"")</f>
        <v>0.0676629306766293</v>
      </c>
      <c r="U32" s="38" t="n">
        <f aca="false">IF(AND(ISNUMBER(U30),ISNUMBER(U28)),IFERROR(U30/U28,""),"")</f>
        <v>0.154769630110318</v>
      </c>
      <c r="V32" s="38" t="n">
        <f aca="false">IF(AND(ISNUMBER(V30),ISNUMBER(V28)),IFERROR(V30/V28,""),"")</f>
        <v>0.20076573342905</v>
      </c>
      <c r="W32" s="38" t="n">
        <f aca="false">IF(AND(ISNUMBER(W30),ISNUMBER(W28)),IFERROR(W30/W28,""),"")</f>
        <v>0.122543765630582</v>
      </c>
      <c r="X32" s="38" t="n">
        <f aca="false">IF(AND(ISNUMBER(X30),ISNUMBER(X28)),IFERROR(X30/X28,""),"")</f>
        <v>0.146202582404363</v>
      </c>
      <c r="Y32" s="38" t="n">
        <f aca="false">IF(AND(ISNUMBER(Y30),ISNUMBER(Y28)),IFERROR(Y30/Y28,""),"")</f>
        <v>0.166044776119403</v>
      </c>
      <c r="Z32" s="38" t="n">
        <f aca="false">IF(AND(ISNUMBER(Z30),ISNUMBER(Z28)),IFERROR(Z30/Z28,""),"")</f>
        <v>0.182486041727887</v>
      </c>
      <c r="AA32" s="38" t="n">
        <f aca="false">IF(AND(ISNUMBER(AA30),ISNUMBER(AA28)),IFERROR(AA30/AA28,""),"")</f>
        <v>0.229673863114378</v>
      </c>
      <c r="AB32" s="38" t="n">
        <f aca="false">IF(AND(ISNUMBER(AB30),ISNUMBER(AB28)),IFERROR(AB30/AB28,""),"")</f>
        <v>0.160844250363901</v>
      </c>
      <c r="AC32" s="38" t="n">
        <f aca="false">IF(AND(ISNUMBER(AC30),ISNUMBER(AC28)),IFERROR(AC30/AC28,""),"")</f>
        <v>0.169609549863218</v>
      </c>
      <c r="AD32" s="38" t="n">
        <f aca="false">IF(AND(ISNUMBER(AD30),ISNUMBER(AD28)),IFERROR(AD30/AD28,""),"")</f>
        <v>0.133936387510943</v>
      </c>
      <c r="AE32" s="38" t="n">
        <f aca="false">IF(AND(ISNUMBER(AE30),ISNUMBER(AE28)),IFERROR(AE30/AE28,""),"")</f>
        <v>0.169353058070214</v>
      </c>
      <c r="AF32" s="38" t="n">
        <f aca="false">IF(AND(ISNUMBER(AF30),ISNUMBER(AF28)),IFERROR(AF30/AF28,""),"")</f>
        <v>0.167851170568562</v>
      </c>
      <c r="AG32" s="38" t="n">
        <f aca="false">IF(AND(ISNUMBER(AG30),ISNUMBER(AG28)),IFERROR(AG30/AG28,""),"")</f>
        <v>0.177326310509155</v>
      </c>
      <c r="AH32" s="38" t="n">
        <f aca="false">IF(AND(ISNUMBER(AH30),ISNUMBER(AH28)),IFERROR(AH30/AH28,""),"")</f>
        <v>0.171051809261921</v>
      </c>
      <c r="AI32" s="38" t="n">
        <f aca="false">IF(AND(ISNUMBER(AI30),ISNUMBER(AI28)),IFERROR(AI30/AI28,""),"")</f>
        <v>0.0978093181116939</v>
      </c>
      <c r="AJ32" s="38" t="n">
        <f aca="false">IF(AND(ISNUMBER(AJ30),ISNUMBER(AJ28)),IFERROR(AJ30/AJ28,""),"")</f>
        <v>0.18959006526009</v>
      </c>
      <c r="AK32" s="38" t="n">
        <f aca="false">IF(AND(ISNUMBER(AK30),ISNUMBER(AK28)),IFERROR(AK30/AK28,""),"")</f>
        <v>0.173950964026744</v>
      </c>
      <c r="AL32" s="38" t="n">
        <f aca="false">IF(AND(ISNUMBER(AL30),ISNUMBER(AL28)),IFERROR(AL30/AL28,""),"")</f>
        <v>0.143367053078177</v>
      </c>
      <c r="AM32" s="38" t="n">
        <f aca="false">IF(AND(ISNUMBER(AM30),ISNUMBER(AM28)),IFERROR(AM30/AM28,""),"")</f>
        <v>0.156334186890036</v>
      </c>
      <c r="AN32" s="38" t="n">
        <f aca="false">IF(AND(ISNUMBER(AN30),ISNUMBER(AN28)),IFERROR(AN30/AN28,""),"")</f>
        <v>0.0627018670690972</v>
      </c>
      <c r="AO32" s="38" t="n">
        <f aca="false">IF(AND(ISNUMBER(AO30),ISNUMBER(AO28)),IFERROR(AO30/AO28,""),"")</f>
        <v>0.176682135103253</v>
      </c>
      <c r="AP32" s="38" t="n">
        <f aca="false">IF(AND(ISNUMBER(AP30),ISNUMBER(AP28)),IFERROR(AP30/AP28,""),"")</f>
        <v>0.207766882530351</v>
      </c>
      <c r="AQ32" s="38" t="n">
        <f aca="false">IF(AND(ISNUMBER(AQ30),ISNUMBER(AQ28)),IFERROR(AQ30/AQ28,""),"")</f>
        <v>0.168309709647206</v>
      </c>
      <c r="AR32" s="38" t="n">
        <f aca="false">IF(AND(ISNUMBER(AR30),ISNUMBER(AR28)),IFERROR(AR30/AR28,""),"")</f>
        <v>0.162316202712348</v>
      </c>
      <c r="AS32" s="38" t="n">
        <f aca="false">IF(AND(ISNUMBER(AS30),ISNUMBER(AS28)),IFERROR(AS30/AS28,""),"")</f>
        <v>0.0798346055979644</v>
      </c>
      <c r="AT32" s="38" t="n">
        <f aca="false">IF(AND(ISNUMBER(AT30),ISNUMBER(AT28)),IFERROR(AT30/AT28,""),"")</f>
        <v>0.198006932409012</v>
      </c>
      <c r="AU32" s="38" t="n">
        <f aca="false">IF(AND(ISNUMBER(AU30),ISNUMBER(AU28)),IFERROR(AU30/AU28,""),"")</f>
        <v>0.2076</v>
      </c>
      <c r="AV32" s="38" t="n">
        <f aca="false">IF(AND(ISNUMBER(AV30),ISNUMBER(AV28)),IFERROR(AV30/AV28,""),"")</f>
        <v>0.196610905930915</v>
      </c>
      <c r="AW32" s="38" t="n">
        <f aca="false">IF(AND(ISNUMBER(AW30),ISNUMBER(AW28)),IFERROR(AW30/AW28,""),"")</f>
        <v>0.179058918389679</v>
      </c>
      <c r="AX32" s="38" t="n">
        <f aca="false">IF(AND(ISNUMBER(AX30),ISNUMBER(AX28)),IFERROR(AX30/AX28,""),"")</f>
        <v>0.0742089050686083</v>
      </c>
      <c r="AY32" s="38" t="n">
        <f aca="false">IF(AND(ISNUMBER(AY30),ISNUMBER(AY28)),IFERROR(AY30/AY28,""),"")</f>
        <v>0.161284121491734</v>
      </c>
      <c r="AZ32" s="38" t="n">
        <f aca="false">IF(AND(ISNUMBER(AZ30),ISNUMBER(AZ28)),IFERROR(AZ30/AZ28,""),"")</f>
        <v>0.185208012326656</v>
      </c>
      <c r="BA32" s="38" t="n">
        <f aca="false">IF(AND(ISNUMBER(BA30),ISNUMBER(BA28)),IFERROR(BA30/BA28,""),"")</f>
        <v>0.161280050947301</v>
      </c>
      <c r="BB32" s="38" t="n">
        <f aca="false">IF(AND(ISNUMBER(BB30),ISNUMBER(BB28)),IFERROR(BB30/BB28,""),"")</f>
        <v>0.154003249013692</v>
      </c>
      <c r="BC32" s="38" t="n">
        <f aca="false">IF(AND(ISNUMBER(BC30),ISNUMBER(BC28)),IFERROR(BC30/BC28,""),"")</f>
        <v>0.0732470784641069</v>
      </c>
      <c r="BD32" s="38" t="n">
        <f aca="false">IF(AND(ISNUMBER(BD30),ISNUMBER(BD28)),IFERROR(BD30/BD28,""),"")</f>
        <v>0.153949354351836</v>
      </c>
      <c r="BE32" s="38" t="n">
        <f aca="false">IF(AND(ISNUMBER(BE30),ISNUMBER(BE28)),IFERROR(BE30/BE28,""),"")</f>
        <v>0.195459737292975</v>
      </c>
      <c r="BF32" s="38" t="n">
        <f aca="false">IF(AND(ISNUMBER(BF30),ISNUMBER(BF28)),IFERROR(BF30/BF28,""),"")</f>
        <v>0.16648590021692</v>
      </c>
      <c r="BG32" s="38" t="n">
        <f aca="false">IF(AND(ISNUMBER(BG30),ISNUMBER(BG28)),IFERROR(BG30/BG28,""),"")</f>
        <v>0.152812365822241</v>
      </c>
      <c r="BH32" s="38" t="n">
        <f aca="false">IF(AND(ISNUMBER(BH30),ISNUMBER(BH28)),IFERROR(BH30/BH28,""),"")</f>
        <v>0.0846394984326019</v>
      </c>
      <c r="BI32" s="38" t="n">
        <f aca="false">IF(AND(ISNUMBER(BI30),ISNUMBER(BI28)),IFERROR(BI30/BI28,""),"")</f>
        <v>0.232676056338028</v>
      </c>
      <c r="BJ32" s="38" t="n">
        <f aca="false">IF(AND(ISNUMBER(BJ30),ISNUMBER(BJ28)),IFERROR(BJ30/BJ28,""),"")</f>
        <v>0.247453210139777</v>
      </c>
      <c r="BK32" s="38" t="n">
        <f aca="false">IF(AND(ISNUMBER(BK30),ISNUMBER(BK28)),IFERROR(BK30/BK28,""),"")</f>
        <v>0.213550048278082</v>
      </c>
      <c r="BL32" s="38" t="n">
        <f aca="false">IF(AND(ISNUMBER(BL30),ISNUMBER(BL28)),IFERROR(BL30/BL28,""),"")</f>
        <v>0.20771196460582</v>
      </c>
      <c r="BM32" s="38" t="n">
        <f aca="false">IF(AND(ISNUMBER(BM30),ISNUMBER(BM28)),IFERROR(BM30/BM28,""),"")</f>
        <v>0.0277777777777778</v>
      </c>
      <c r="BN32" s="38" t="n">
        <f aca="false">IF(AND(ISNUMBER(BN30),ISNUMBER(BN28)),IFERROR(BN30/BN28,""),"")</f>
        <v>0.215415019762846</v>
      </c>
      <c r="BO32" s="38" t="n">
        <f aca="false">IF(AND(ISNUMBER(BO30),ISNUMBER(BO28)),IFERROR(BO30/BO28,""),"")</f>
        <v>0.234741784037559</v>
      </c>
      <c r="BP32" s="38" t="n">
        <f aca="false">IF(AND(ISNUMBER(BP30),ISNUMBER(BP28)),IFERROR(BP30/BP28,""),"")</f>
        <v>0.192148760330579</v>
      </c>
      <c r="BQ32" s="38" t="n">
        <f aca="false">IF(AND(ISNUMBER(BQ30),ISNUMBER(BQ28)),IFERROR(BQ30/BQ28,""),"")</f>
        <v>0.184938524590164</v>
      </c>
      <c r="BR32" s="38" t="n">
        <f aca="false">IF(AND(ISNUMBER(BR30),ISNUMBER(BR28)),IFERROR(BR30/BR28,""),"")</f>
        <v>-0.155737704918033</v>
      </c>
      <c r="BS32" s="38" t="n">
        <f aca="false">IF(AND(ISNUMBER(BS30),ISNUMBER(BS28)),IFERROR(BS30/BS28,""),"")</f>
        <v>0.143911439114391</v>
      </c>
      <c r="BT32" s="38" t="n">
        <f aca="false">IF(AND(ISNUMBER(BT30),ISNUMBER(BT28)),IFERROR(BT30/BT28,""),"")</f>
        <v>0.153846153846154</v>
      </c>
      <c r="BU32" s="38" t="n">
        <f aca="false">IF(AND(ISNUMBER(BU30),ISNUMBER(BU28)),IFERROR(BU30/BU28,""),"")</f>
        <v>0.092741935483871</v>
      </c>
      <c r="BV32" s="38" t="n">
        <f aca="false">IF(AND(ISNUMBER(BV30),ISNUMBER(BV28)),IFERROR(BV30/BV28,""),"")</f>
        <v>0.0987903225806452</v>
      </c>
      <c r="BW32" s="38" t="n">
        <f aca="false">IF(AND(ISNUMBER(BW30),ISNUMBER(BW28)),IFERROR(BW30/BW28,""),"")</f>
        <v>-0.137931034482759</v>
      </c>
      <c r="BX32" s="38" t="n">
        <f aca="false">IF(AND(ISNUMBER(BX30),ISNUMBER(BX28)),IFERROR(BX30/BX28,""),"")</f>
        <v>0.112211221122112</v>
      </c>
      <c r="BY32" s="25" t="n">
        <f aca="false">BY31+BY121</f>
        <v>0.169420508662172</v>
      </c>
      <c r="BZ32" s="25" t="n">
        <f aca="false">BZ31+BZ121</f>
        <v>0.108316290299889</v>
      </c>
      <c r="CA32" s="25" t="n">
        <f aca="false">IFERROR(CA30/CA28,"")</f>
        <v>0.106175394204275</v>
      </c>
      <c r="CB32" s="25" t="n">
        <f aca="false">CHOOSE(MATCH($CF$2,{"Bull","Base","Bear"},0),$CO$45,$CP$45,$CQ$45)</f>
        <v>0.1</v>
      </c>
      <c r="CC32" s="25" t="n">
        <f aca="false">CHOOSE(MATCH($CF$2,{"Bull","Base","Bear"},0),$CO$46,$CP$46,$CQ$46)</f>
        <v>0.105</v>
      </c>
      <c r="CD32" s="25" t="n">
        <f aca="false">CHOOSE(MATCH($CF$2,{"Bull","Base","Bear"},0),$CO$47,$CP$47,$CQ$47)</f>
        <v>0.11</v>
      </c>
      <c r="CE32" s="25" t="n">
        <f aca="false">CHOOSE(MATCH($CF$2,{"Bull","Base","Bear"},0),$CO$48,$CP$48,$CQ$48)</f>
        <v>0.11</v>
      </c>
      <c r="CF32" s="6"/>
      <c r="CH32" s="39" t="n">
        <f aca="false">IFERROR(AVERAGE(CA32,CB32,CC32,CD32,CE32),"n/m")</f>
        <v>0.106235078840855</v>
      </c>
      <c r="CI32" s="39" t="n">
        <f aca="false">IFERROR(AVERAGE(BB32,BG32,BL32,BQ32,BV32),"n/m")</f>
        <v>0.159651285322513</v>
      </c>
      <c r="CJ32" s="39" t="n">
        <f aca="false">IFERROR(AVERAGE(AC32,AH32,AM32,AR32,AW32,BB32,BG32,BL32,BQ32,BV32),"n/m")</f>
        <v>0.163662709372977</v>
      </c>
      <c r="CK32" s="39" t="n">
        <f aca="false">IFERROR(AVERAGE(C32,D32,E32,F32,G32,H32,I32,N32,S32,X32,AC32,AH32,AM32,AR32,AW32,BB32,BG32,BL32,BQ32,BV32),"n/m")</f>
        <v>0.143737914898659</v>
      </c>
      <c r="CN32" s="26" t="s">
        <v>140</v>
      </c>
      <c r="CO32" s="35" t="n">
        <f aca="false">CP32+$CO$29</f>
        <v>0.065</v>
      </c>
      <c r="CP32" s="45" t="n">
        <v>0.05</v>
      </c>
      <c r="CQ32" s="35" t="n">
        <f aca="false">CP32+$CQ$29</f>
        <v>0.035</v>
      </c>
    </row>
    <row r="33" customFormat="false" ht="15" hidden="false" customHeight="true" outlineLevel="0" collapsed="false">
      <c r="B33" s="42" t="s">
        <v>146</v>
      </c>
      <c r="Q33" s="36" t="n">
        <v>109.5</v>
      </c>
      <c r="R33" s="36" t="n">
        <v>100</v>
      </c>
      <c r="S33" s="36" t="n">
        <v>209.6</v>
      </c>
      <c r="T33" s="36" t="n">
        <v>96.6</v>
      </c>
      <c r="U33" s="36" t="n">
        <v>100.4</v>
      </c>
      <c r="V33" s="36" t="n">
        <v>110.5</v>
      </c>
      <c r="W33" s="36" t="n">
        <v>60.1</v>
      </c>
      <c r="X33" s="36" t="n">
        <v>367.6</v>
      </c>
      <c r="Y33" s="36" t="n">
        <v>69.9</v>
      </c>
      <c r="Z33" s="36" t="n">
        <v>59.8</v>
      </c>
      <c r="AA33" s="36" t="n">
        <v>60.1</v>
      </c>
      <c r="AB33" s="36" t="n">
        <v>85.4</v>
      </c>
      <c r="AC33" s="36" t="n">
        <v>364.4</v>
      </c>
      <c r="AD33" s="36" t="n">
        <v>93.7</v>
      </c>
      <c r="AE33" s="36" t="n">
        <v>99</v>
      </c>
      <c r="AF33" s="36" t="n">
        <v>88.6</v>
      </c>
      <c r="AG33" s="36" t="n">
        <v>90.2</v>
      </c>
      <c r="AH33" s="36" t="n">
        <v>371.5</v>
      </c>
      <c r="AI33" s="36" t="n">
        <v>89.2</v>
      </c>
      <c r="AJ33" s="36" t="n">
        <v>113.148</v>
      </c>
      <c r="AK33" s="36" t="n">
        <v>98.223</v>
      </c>
      <c r="AL33" s="36" t="n">
        <v>87.277</v>
      </c>
      <c r="AM33" s="36" t="n">
        <v>387.83</v>
      </c>
      <c r="AN33" s="36" t="n">
        <v>99.017</v>
      </c>
      <c r="AO33" s="36" t="n">
        <v>112.35</v>
      </c>
      <c r="AP33" s="36" t="n">
        <v>119.609</v>
      </c>
      <c r="AQ33" s="36" t="n">
        <v>108.136</v>
      </c>
      <c r="AR33" s="36" t="n">
        <v>439.112</v>
      </c>
      <c r="AS33" s="36" t="n">
        <v>106.6</v>
      </c>
      <c r="AT33" s="36" t="n">
        <v>109.5</v>
      </c>
      <c r="AU33" s="36" t="n">
        <v>115.6</v>
      </c>
      <c r="AV33" s="36" t="n">
        <v>120.8</v>
      </c>
      <c r="AW33" s="36" t="n">
        <v>452.5</v>
      </c>
      <c r="AX33" s="36" t="n">
        <v>109.6</v>
      </c>
      <c r="AY33" s="36" t="n">
        <v>116.5</v>
      </c>
      <c r="AZ33" s="36" t="n">
        <v>132.3</v>
      </c>
      <c r="BA33" s="36" t="n">
        <v>136.1</v>
      </c>
      <c r="BB33" s="36" t="n">
        <v>494.5</v>
      </c>
      <c r="BC33" s="36" t="n">
        <v>134.3</v>
      </c>
      <c r="BD33" s="36" t="n">
        <v>157.9</v>
      </c>
      <c r="BE33" s="36" t="n">
        <v>163.2</v>
      </c>
      <c r="BF33" s="36" t="n">
        <v>146.9</v>
      </c>
      <c r="BG33" s="36" t="n">
        <v>602.3</v>
      </c>
      <c r="BH33" s="36" t="n">
        <v>168.6</v>
      </c>
      <c r="BI33" s="36" t="n">
        <v>197.7</v>
      </c>
      <c r="BJ33" s="36" t="n">
        <v>199.1</v>
      </c>
      <c r="BK33" s="36" t="n">
        <v>160.2</v>
      </c>
      <c r="BL33" s="36" t="n">
        <v>725.5</v>
      </c>
      <c r="BY33" s="6"/>
      <c r="BZ33" s="6"/>
      <c r="CA33" s="6"/>
      <c r="CB33" s="6"/>
      <c r="CC33" s="6"/>
      <c r="CD33" s="6"/>
      <c r="CE33" s="6"/>
      <c r="CF33" s="6"/>
      <c r="CN33" s="26" t="s">
        <v>142</v>
      </c>
      <c r="CO33" s="35" t="n">
        <f aca="false">CP33+$CO$29</f>
        <v>0.065</v>
      </c>
      <c r="CP33" s="45" t="n">
        <v>0.05</v>
      </c>
      <c r="CQ33" s="35" t="n">
        <f aca="false">CP33+$CQ$29</f>
        <v>0.035</v>
      </c>
    </row>
    <row r="34" customFormat="false" ht="15" hidden="false" customHeight="true" outlineLevel="0" collapsed="false">
      <c r="B34" s="42" t="s">
        <v>147</v>
      </c>
      <c r="Q34" s="36" t="n">
        <v>24.2</v>
      </c>
      <c r="R34" s="36" t="n">
        <v>28.3</v>
      </c>
      <c r="S34" s="36" t="n">
        <v>52.5</v>
      </c>
      <c r="T34" s="36" t="n">
        <v>19</v>
      </c>
      <c r="U34" s="36" t="n">
        <v>30.4</v>
      </c>
      <c r="V34" s="36" t="n">
        <v>38.2</v>
      </c>
      <c r="W34" s="36" t="n">
        <v>15.8</v>
      </c>
      <c r="X34" s="36" t="n">
        <v>103.5</v>
      </c>
      <c r="Y34" s="36" t="n">
        <v>32.6</v>
      </c>
      <c r="Z34" s="36" t="n">
        <v>24</v>
      </c>
      <c r="AA34" s="36" t="n">
        <v>29.7</v>
      </c>
      <c r="AB34" s="36" t="n">
        <v>26.7</v>
      </c>
      <c r="AC34" s="36" t="n">
        <v>120.1</v>
      </c>
      <c r="AD34" s="36" t="n">
        <v>30.9</v>
      </c>
      <c r="AE34" s="36" t="n">
        <v>29.4</v>
      </c>
      <c r="AF34" s="36" t="n">
        <v>27.6</v>
      </c>
      <c r="AG34" s="36" t="n">
        <v>29.4</v>
      </c>
      <c r="AH34" s="36" t="n">
        <v>117.3</v>
      </c>
      <c r="AI34" s="36" t="n">
        <v>23.7</v>
      </c>
      <c r="AJ34" s="36" t="n">
        <v>41.305</v>
      </c>
      <c r="AK34" s="36" t="n">
        <v>32.543</v>
      </c>
      <c r="AL34" s="36" t="n">
        <v>28.631</v>
      </c>
      <c r="AM34" s="36" t="n">
        <v>126.213</v>
      </c>
      <c r="AN34" s="36" t="n">
        <v>13.779</v>
      </c>
      <c r="AO34" s="36" t="n">
        <v>42.229</v>
      </c>
      <c r="AP34" s="36" t="n">
        <v>48.519</v>
      </c>
      <c r="AQ34" s="36" t="n">
        <v>38.895</v>
      </c>
      <c r="AR34" s="36" t="n">
        <v>143.421</v>
      </c>
      <c r="AS34" s="36" t="n">
        <v>27.3</v>
      </c>
      <c r="AT34" s="36" t="n">
        <v>43.4</v>
      </c>
      <c r="AU34" s="36" t="n">
        <v>46.5</v>
      </c>
      <c r="AV34" s="36" t="n">
        <v>53.7</v>
      </c>
      <c r="AW34" s="36" t="n">
        <v>170.9</v>
      </c>
      <c r="AX34" s="36" t="n">
        <v>15.3</v>
      </c>
      <c r="AY34" s="36" t="n">
        <v>36.1</v>
      </c>
      <c r="AZ34" s="36" t="n">
        <v>49.9</v>
      </c>
      <c r="BA34" s="36" t="n">
        <v>55.8</v>
      </c>
      <c r="BB34" s="36" t="n">
        <v>157</v>
      </c>
      <c r="BC34" s="36" t="n">
        <v>27.3</v>
      </c>
      <c r="BD34" s="36" t="n">
        <v>51.1</v>
      </c>
      <c r="BE34" s="36" t="n">
        <v>67.7</v>
      </c>
      <c r="BF34" s="36" t="n">
        <v>58.2</v>
      </c>
      <c r="BG34" s="36" t="n">
        <v>204.4</v>
      </c>
      <c r="BH34" s="36" t="n">
        <v>47.1</v>
      </c>
      <c r="BI34" s="36" t="n">
        <v>93.3</v>
      </c>
      <c r="BJ34" s="36" t="n">
        <v>108.7</v>
      </c>
      <c r="BK34" s="36" t="n">
        <v>84.5</v>
      </c>
      <c r="BL34" s="36" t="n">
        <v>333.6</v>
      </c>
      <c r="BY34" s="6"/>
      <c r="BZ34" s="6"/>
      <c r="CA34" s="6"/>
      <c r="CB34" s="6"/>
      <c r="CC34" s="6"/>
      <c r="CD34" s="6"/>
      <c r="CE34" s="6"/>
      <c r="CF34" s="6"/>
      <c r="CN34" s="16" t="s">
        <v>148</v>
      </c>
      <c r="CO34" s="44" t="n">
        <v>0.02</v>
      </c>
      <c r="CP34" s="22" t="s">
        <v>133</v>
      </c>
      <c r="CQ34" s="44" t="n">
        <v>-0.02</v>
      </c>
      <c r="CR34" s="14" t="s">
        <v>149</v>
      </c>
    </row>
    <row r="35" customFormat="false" ht="15" hidden="false" customHeight="true" outlineLevel="0" collapsed="false">
      <c r="B35" s="42" t="s">
        <v>150</v>
      </c>
      <c r="Q35" s="48" t="n">
        <v>1.525</v>
      </c>
      <c r="R35" s="48" t="n">
        <v>1.3</v>
      </c>
      <c r="S35" s="48" t="n">
        <v>2.824</v>
      </c>
      <c r="T35" s="48" t="n">
        <v>1.217</v>
      </c>
      <c r="U35" s="48" t="n">
        <v>1.203</v>
      </c>
      <c r="V35" s="48" t="n">
        <v>1.337</v>
      </c>
      <c r="W35" s="48" t="n">
        <v>0.802</v>
      </c>
      <c r="X35" s="48" t="n">
        <v>4.558</v>
      </c>
      <c r="Y35" s="48" t="n">
        <v>0.957</v>
      </c>
      <c r="Z35" s="48" t="n">
        <v>0.854</v>
      </c>
      <c r="AA35" s="48" t="n">
        <v>0.905</v>
      </c>
      <c r="AB35" s="48" t="n">
        <v>0.81</v>
      </c>
      <c r="AC35" s="48" t="n">
        <v>3.525</v>
      </c>
      <c r="AD35" s="48" t="n">
        <v>0.905</v>
      </c>
      <c r="AE35" s="48" t="n">
        <v>0.922</v>
      </c>
      <c r="AF35" s="48" t="n">
        <v>0.817</v>
      </c>
      <c r="AG35" s="48" t="n">
        <v>0.824</v>
      </c>
      <c r="AH35" s="48" t="n">
        <v>3.467</v>
      </c>
      <c r="AI35" s="48" t="n">
        <v>0.825</v>
      </c>
      <c r="AJ35" s="48" t="n">
        <v>1.028</v>
      </c>
      <c r="AK35" s="48" t="n">
        <v>0.879</v>
      </c>
      <c r="AL35" s="48" t="n">
        <v>0.775</v>
      </c>
      <c r="AM35" s="48" t="n">
        <v>3.508</v>
      </c>
      <c r="AN35" s="48" t="n">
        <v>0.885</v>
      </c>
      <c r="AO35" s="48" t="n">
        <v>0.978</v>
      </c>
      <c r="AP35" s="48" t="n">
        <v>1.06</v>
      </c>
      <c r="AQ35" s="48" t="n">
        <v>0.948</v>
      </c>
      <c r="AR35" s="48" t="n">
        <v>3.871</v>
      </c>
      <c r="AS35" s="48" t="n">
        <v>0.9</v>
      </c>
      <c r="AT35" s="48" t="n">
        <v>1</v>
      </c>
      <c r="AU35" s="48" t="n">
        <v>1</v>
      </c>
      <c r="AV35" s="48" t="n">
        <v>1.1</v>
      </c>
      <c r="AW35" s="48" t="n">
        <v>4</v>
      </c>
      <c r="AX35" s="48" t="n">
        <v>0.9</v>
      </c>
      <c r="AY35" s="48" t="n">
        <v>0.9</v>
      </c>
      <c r="AZ35" s="48" t="n">
        <v>1.1</v>
      </c>
      <c r="BA35" s="48" t="n">
        <v>1.1</v>
      </c>
      <c r="BB35" s="48" t="n">
        <v>4</v>
      </c>
      <c r="BC35" s="48" t="n">
        <v>1</v>
      </c>
      <c r="BD35" s="48" t="n">
        <v>1.1</v>
      </c>
      <c r="BE35" s="48" t="n">
        <v>1.1</v>
      </c>
      <c r="BF35" s="48" t="n">
        <v>0.9</v>
      </c>
      <c r="BG35" s="48" t="n">
        <v>4.2</v>
      </c>
      <c r="BH35" s="48" t="n">
        <v>1</v>
      </c>
      <c r="BI35" s="48" t="n">
        <v>1.1</v>
      </c>
      <c r="BJ35" s="48" t="n">
        <v>1.1</v>
      </c>
      <c r="BK35" s="48" t="n">
        <v>0.9</v>
      </c>
      <c r="BL35" s="48" t="n">
        <v>4</v>
      </c>
      <c r="BM35" s="48" t="n">
        <v>0.6</v>
      </c>
      <c r="BN35" s="48" t="n">
        <v>0.5</v>
      </c>
      <c r="BO35" s="48" t="n">
        <v>0.6</v>
      </c>
      <c r="BP35" s="48" t="n">
        <v>0.5</v>
      </c>
      <c r="BQ35" s="48" t="n">
        <v>2.3</v>
      </c>
      <c r="BY35" s="6"/>
      <c r="BZ35" s="6"/>
      <c r="CA35" s="6"/>
      <c r="CB35" s="6"/>
      <c r="CC35" s="6"/>
      <c r="CD35" s="6"/>
      <c r="CE35" s="6"/>
      <c r="CF35" s="6"/>
      <c r="CN35" s="26" t="s">
        <v>136</v>
      </c>
      <c r="CO35" s="35" t="n">
        <f aca="false">CP35+$CO$34</f>
        <v>0.35</v>
      </c>
      <c r="CP35" s="45" t="n">
        <v>0.33</v>
      </c>
      <c r="CQ35" s="35" t="n">
        <f aca="false">CP35+$CQ$34</f>
        <v>0.31</v>
      </c>
    </row>
    <row r="36" customFormat="false" ht="15" hidden="false" customHeight="true" outlineLevel="0" collapsed="false">
      <c r="B36" s="42" t="s">
        <v>151</v>
      </c>
      <c r="H36" s="36" t="n">
        <v>33</v>
      </c>
      <c r="I36" s="36" t="n">
        <v>116.3</v>
      </c>
      <c r="J36" s="36" t="n">
        <v>27.4</v>
      </c>
      <c r="K36" s="36" t="n">
        <v>36.7</v>
      </c>
      <c r="L36" s="36" t="n">
        <v>41.8</v>
      </c>
      <c r="M36" s="36" t="n">
        <v>42.7</v>
      </c>
      <c r="N36" s="36" t="n">
        <v>146.1</v>
      </c>
      <c r="O36" s="36" t="n">
        <v>38</v>
      </c>
      <c r="P36" s="36" t="n">
        <v>52.4</v>
      </c>
      <c r="Q36" s="36" t="n">
        <v>183.7</v>
      </c>
      <c r="R36" s="36" t="n">
        <v>156.3</v>
      </c>
      <c r="S36" s="36" t="n">
        <v>430.5</v>
      </c>
      <c r="T36" s="36" t="n">
        <v>127.6</v>
      </c>
      <c r="U36" s="36" t="n">
        <v>149.8</v>
      </c>
      <c r="V36" s="36" t="n">
        <v>209.6</v>
      </c>
      <c r="W36" s="36" t="n">
        <v>168.9</v>
      </c>
      <c r="X36" s="36" t="n">
        <v>655.8</v>
      </c>
      <c r="Y36" s="36" t="n">
        <v>186.8</v>
      </c>
      <c r="Z36" s="36" t="n">
        <v>214.9</v>
      </c>
      <c r="AA36" s="36" t="n">
        <v>263.7</v>
      </c>
      <c r="AB36" s="36" t="n">
        <v>237.1</v>
      </c>
      <c r="AC36" s="36" t="n">
        <v>902.6</v>
      </c>
      <c r="AD36" s="36" t="n">
        <v>222.4</v>
      </c>
      <c r="AE36" s="36" t="n">
        <v>241.9</v>
      </c>
      <c r="AF36" s="36" t="n">
        <v>240.2</v>
      </c>
      <c r="AG36" s="36" t="n">
        <v>231.6</v>
      </c>
      <c r="AH36" s="36" t="n">
        <v>936.1</v>
      </c>
      <c r="AI36" s="36" t="n">
        <v>218.5</v>
      </c>
      <c r="AJ36" s="36" t="n">
        <v>277.202</v>
      </c>
      <c r="AK36" s="36" t="n">
        <v>254.686</v>
      </c>
      <c r="AL36" s="36" t="n">
        <v>213.346</v>
      </c>
      <c r="AM36" s="36" t="n">
        <v>963.77</v>
      </c>
      <c r="AN36" s="36" t="n">
        <v>211.156</v>
      </c>
      <c r="AO36" s="36" t="n">
        <v>241.178</v>
      </c>
      <c r="AP36" s="36" t="n">
        <v>271.844</v>
      </c>
      <c r="AQ36" s="36" t="n">
        <v>223.873</v>
      </c>
      <c r="AR36" s="36" t="n">
        <v>948.052</v>
      </c>
      <c r="AS36" s="36" t="n">
        <v>189.7</v>
      </c>
      <c r="AT36" s="36" t="n">
        <v>245.1</v>
      </c>
      <c r="AU36" s="36" t="n">
        <v>254.6</v>
      </c>
      <c r="AV36" s="36" t="n">
        <v>262.7</v>
      </c>
      <c r="AW36" s="36" t="n">
        <v>952.1</v>
      </c>
      <c r="AX36" s="36" t="n">
        <v>235.3</v>
      </c>
      <c r="AY36" s="36" t="n">
        <v>268.4</v>
      </c>
      <c r="AZ36" s="36" t="n">
        <v>320.8</v>
      </c>
      <c r="BA36" s="36" t="n">
        <v>321.3</v>
      </c>
      <c r="BB36" s="36" t="n">
        <v>1145.8</v>
      </c>
      <c r="BC36" s="36" t="n">
        <v>290.1</v>
      </c>
      <c r="BD36" s="36" t="n">
        <v>226.1</v>
      </c>
      <c r="BE36" s="36" t="n">
        <v>227.4</v>
      </c>
      <c r="BF36" s="36" t="n">
        <v>207.7</v>
      </c>
      <c r="BG36" s="36" t="n">
        <v>951.3</v>
      </c>
      <c r="BH36" s="36" t="n">
        <v>220</v>
      </c>
      <c r="BI36" s="36" t="n">
        <v>271.4</v>
      </c>
      <c r="BJ36" s="36" t="n">
        <v>285.2</v>
      </c>
      <c r="BK36" s="36" t="n">
        <v>232.8</v>
      </c>
      <c r="BL36" s="36" t="n">
        <v>1009.3</v>
      </c>
      <c r="BY36" s="6"/>
      <c r="BZ36" s="6"/>
      <c r="CA36" s="6"/>
      <c r="CB36" s="6"/>
      <c r="CC36" s="6"/>
      <c r="CD36" s="6"/>
      <c r="CE36" s="6"/>
      <c r="CF36" s="6"/>
      <c r="CN36" s="26" t="s">
        <v>137</v>
      </c>
      <c r="CO36" s="35" t="n">
        <f aca="false">CP36+$CO$34</f>
        <v>0.36</v>
      </c>
      <c r="CP36" s="45" t="n">
        <v>0.34</v>
      </c>
      <c r="CQ36" s="35" t="n">
        <f aca="false">CP36+$CQ$34</f>
        <v>0.32</v>
      </c>
    </row>
    <row r="37" customFormat="false" ht="15" hidden="false" customHeight="true" outlineLevel="0" collapsed="false">
      <c r="B37" s="42" t="s">
        <v>152</v>
      </c>
      <c r="I37" s="36" t="n">
        <v>-1.2</v>
      </c>
      <c r="J37" s="36" t="n">
        <v>-0.3</v>
      </c>
      <c r="K37" s="36" t="n">
        <v>1.6</v>
      </c>
      <c r="L37" s="36" t="n">
        <v>3.1</v>
      </c>
      <c r="M37" s="36" t="n">
        <v>3.4</v>
      </c>
      <c r="N37" s="36" t="n">
        <v>8.3</v>
      </c>
      <c r="O37" s="36" t="n">
        <v>2.9</v>
      </c>
      <c r="P37" s="36" t="n">
        <v>7</v>
      </c>
      <c r="Q37" s="36" t="n">
        <v>18.6</v>
      </c>
      <c r="R37" s="36" t="n">
        <v>10.5</v>
      </c>
      <c r="S37" s="36" t="n">
        <v>39.1</v>
      </c>
      <c r="T37" s="36" t="n">
        <v>2.1</v>
      </c>
      <c r="U37" s="36" t="n">
        <v>9.4</v>
      </c>
      <c r="V37" s="36" t="n">
        <v>23.6</v>
      </c>
      <c r="W37" s="36" t="n">
        <v>8</v>
      </c>
      <c r="X37" s="36" t="n">
        <v>43</v>
      </c>
      <c r="Y37" s="36" t="n">
        <v>18.1</v>
      </c>
      <c r="Z37" s="36" t="n">
        <v>25.3</v>
      </c>
      <c r="AA37" s="36" t="n">
        <v>39.9</v>
      </c>
      <c r="AB37" s="36" t="n">
        <v>23.1</v>
      </c>
      <c r="AC37" s="36" t="n">
        <v>99.1</v>
      </c>
      <c r="AD37" s="36" t="n">
        <v>19.8</v>
      </c>
      <c r="AE37" s="36" t="n">
        <v>26.9</v>
      </c>
      <c r="AF37" s="36" t="n">
        <v>23.9</v>
      </c>
      <c r="AG37" s="36" t="n">
        <v>21.1</v>
      </c>
      <c r="AH37" s="36" t="n">
        <v>91.7</v>
      </c>
      <c r="AI37" s="36" t="n">
        <v>15.6</v>
      </c>
      <c r="AJ37" s="36" t="n">
        <v>29.952</v>
      </c>
      <c r="AK37" s="36" t="n">
        <v>20.632</v>
      </c>
      <c r="AL37" s="36" t="n">
        <v>7.95</v>
      </c>
      <c r="AM37" s="36" t="n">
        <v>74.175</v>
      </c>
      <c r="AN37" s="36" t="n">
        <v>14.492</v>
      </c>
      <c r="AO37" s="36" t="n">
        <v>19.014</v>
      </c>
      <c r="AP37" s="36" t="n">
        <v>28.948</v>
      </c>
      <c r="AQ37" s="36" t="n">
        <v>16.324</v>
      </c>
      <c r="AR37" s="36" t="n">
        <v>78.778</v>
      </c>
      <c r="AS37" s="36" t="n">
        <v>5.9</v>
      </c>
      <c r="AT37" s="36" t="n">
        <v>26.1</v>
      </c>
      <c r="AU37" s="36" t="n">
        <v>24.7</v>
      </c>
      <c r="AV37" s="36" t="n">
        <v>22.9</v>
      </c>
      <c r="AW37" s="36" t="n">
        <v>79.6</v>
      </c>
      <c r="AX37" s="36" t="n">
        <v>19.4</v>
      </c>
      <c r="AY37" s="36" t="n">
        <v>19.1</v>
      </c>
      <c r="AZ37" s="36" t="n">
        <v>31.4</v>
      </c>
      <c r="BA37" s="36" t="n">
        <v>25.7</v>
      </c>
      <c r="BB37" s="36" t="n">
        <v>95.6</v>
      </c>
      <c r="BC37" s="36" t="n">
        <v>21.1</v>
      </c>
      <c r="BD37" s="36" t="n">
        <v>14.3</v>
      </c>
      <c r="BE37" s="36" t="n">
        <v>18.7</v>
      </c>
      <c r="BF37" s="36" t="n">
        <v>15.5</v>
      </c>
      <c r="BG37" s="36" t="n">
        <v>69.6</v>
      </c>
      <c r="BH37" s="36" t="n">
        <v>11.2</v>
      </c>
      <c r="BI37" s="36" t="n">
        <v>35.4</v>
      </c>
      <c r="BJ37" s="36" t="n">
        <v>34.1</v>
      </c>
      <c r="BK37" s="36" t="n">
        <v>21.3</v>
      </c>
      <c r="BL37" s="36" t="n">
        <v>102</v>
      </c>
      <c r="BY37" s="6"/>
      <c r="BZ37" s="6"/>
      <c r="CA37" s="6"/>
      <c r="CB37" s="6"/>
      <c r="CC37" s="6"/>
      <c r="CD37" s="6"/>
      <c r="CE37" s="6"/>
      <c r="CF37" s="6"/>
      <c r="CN37" s="26" t="s">
        <v>140</v>
      </c>
      <c r="CO37" s="35" t="n">
        <f aca="false">CP37+$CO$34</f>
        <v>0.37</v>
      </c>
      <c r="CP37" s="45" t="n">
        <v>0.35</v>
      </c>
      <c r="CQ37" s="35" t="n">
        <f aca="false">CP37+$CQ$34</f>
        <v>0.33</v>
      </c>
    </row>
    <row r="38" customFormat="false" ht="15" hidden="false" customHeight="true" outlineLevel="0" collapsed="false">
      <c r="B38" s="42" t="s">
        <v>153</v>
      </c>
      <c r="I38" s="48" t="n">
        <v>1.481</v>
      </c>
      <c r="J38" s="48" t="n">
        <v>0.329</v>
      </c>
      <c r="K38" s="48" t="n">
        <v>0.436</v>
      </c>
      <c r="L38" s="48" t="n">
        <v>0.496</v>
      </c>
      <c r="M38" s="48" t="n">
        <v>0.481</v>
      </c>
      <c r="N38" s="48" t="n">
        <v>1.742</v>
      </c>
      <c r="O38" s="48" t="n">
        <v>0.407</v>
      </c>
      <c r="P38" s="48" t="n">
        <v>0.552</v>
      </c>
      <c r="Q38" s="48" t="n">
        <v>2.046</v>
      </c>
      <c r="R38" s="48" t="n">
        <v>1.773</v>
      </c>
      <c r="S38" s="48" t="n">
        <v>4.779</v>
      </c>
      <c r="T38" s="48" t="n">
        <v>1.363</v>
      </c>
      <c r="U38" s="48" t="n">
        <v>1.613</v>
      </c>
      <c r="V38" s="48" t="n">
        <v>2.111</v>
      </c>
      <c r="W38" s="48" t="n">
        <v>1.618</v>
      </c>
      <c r="X38" s="48" t="n">
        <v>6.707</v>
      </c>
      <c r="Y38" s="48" t="n">
        <v>1.786</v>
      </c>
      <c r="Z38" s="48" t="n">
        <v>1.997</v>
      </c>
      <c r="AA38" s="48" t="n">
        <v>2.486</v>
      </c>
      <c r="AB38" s="48" t="n">
        <v>2.22</v>
      </c>
      <c r="AC38" s="48" t="n">
        <v>8.49</v>
      </c>
      <c r="AD38" s="48" t="n">
        <v>2.056</v>
      </c>
      <c r="AE38" s="48" t="n">
        <v>2.226</v>
      </c>
      <c r="AF38" s="48" t="n">
        <v>2.16</v>
      </c>
      <c r="AG38" s="48" t="n">
        <v>2.116</v>
      </c>
      <c r="AH38" s="48" t="n">
        <v>8.559</v>
      </c>
      <c r="AI38" s="48" t="n">
        <v>2.009</v>
      </c>
      <c r="AJ38" s="48" t="n">
        <v>2.559</v>
      </c>
      <c r="AK38" s="48" t="n">
        <v>2.232</v>
      </c>
      <c r="AL38" s="48" t="n">
        <v>1.886</v>
      </c>
      <c r="AM38" s="48" t="n">
        <v>8.685</v>
      </c>
      <c r="AN38" s="48" t="n">
        <v>1.932</v>
      </c>
      <c r="AO38" s="48" t="n">
        <v>2.162</v>
      </c>
      <c r="AP38" s="48" t="n">
        <v>2.433</v>
      </c>
      <c r="AQ38" s="48" t="n">
        <v>1.986</v>
      </c>
      <c r="AR38" s="48" t="n">
        <v>8.516</v>
      </c>
      <c r="AS38" s="48" t="n">
        <v>1.7</v>
      </c>
      <c r="AT38" s="48" t="n">
        <v>2.2</v>
      </c>
      <c r="AU38" s="48" t="n">
        <v>2.2</v>
      </c>
      <c r="AV38" s="48" t="n">
        <v>2.3</v>
      </c>
      <c r="AW38" s="48" t="n">
        <v>8.4</v>
      </c>
      <c r="AX38" s="48" t="n">
        <v>2.1</v>
      </c>
      <c r="AY38" s="48" t="n">
        <v>2.3</v>
      </c>
      <c r="AZ38" s="48" t="n">
        <v>2.7</v>
      </c>
      <c r="BA38" s="48" t="n">
        <v>2.8</v>
      </c>
      <c r="BB38" s="48" t="n">
        <v>10</v>
      </c>
      <c r="BC38" s="48" t="n">
        <v>2.4</v>
      </c>
      <c r="BD38" s="48" t="n">
        <v>1.8</v>
      </c>
      <c r="BE38" s="48" t="n">
        <v>1.7</v>
      </c>
      <c r="BF38" s="48" t="n">
        <v>1.5</v>
      </c>
      <c r="BG38" s="48" t="n">
        <v>7.4</v>
      </c>
      <c r="BH38" s="48" t="n">
        <v>1.5</v>
      </c>
      <c r="BI38" s="48" t="n">
        <v>1.8</v>
      </c>
      <c r="BJ38" s="48" t="n">
        <v>1.8</v>
      </c>
      <c r="BK38" s="48" t="n">
        <v>1.5</v>
      </c>
      <c r="BL38" s="48" t="n">
        <v>6.5</v>
      </c>
      <c r="BM38" s="48" t="n">
        <v>1.2</v>
      </c>
      <c r="BN38" s="48" t="n">
        <v>1.2</v>
      </c>
      <c r="BO38" s="48" t="n">
        <v>1.3</v>
      </c>
      <c r="BP38" s="48" t="n">
        <v>1.2</v>
      </c>
      <c r="BQ38" s="48" t="n">
        <v>5</v>
      </c>
      <c r="BY38" s="6"/>
      <c r="BZ38" s="6"/>
      <c r="CA38" s="6"/>
      <c r="CB38" s="6"/>
      <c r="CC38" s="6"/>
      <c r="CD38" s="6"/>
      <c r="CE38" s="6"/>
      <c r="CF38" s="6"/>
      <c r="CN38" s="26" t="s">
        <v>142</v>
      </c>
      <c r="CO38" s="35" t="n">
        <f aca="false">CP38+$CO$34</f>
        <v>0.375</v>
      </c>
      <c r="CP38" s="45" t="n">
        <v>0.355</v>
      </c>
      <c r="CQ38" s="35" t="n">
        <f aca="false">CP38+$CQ$34</f>
        <v>0.335</v>
      </c>
    </row>
    <row r="39" customFormat="false" ht="15" hidden="false" customHeight="true" outlineLevel="0" collapsed="false">
      <c r="B39" s="42" t="s">
        <v>154</v>
      </c>
      <c r="H39" s="36" t="n">
        <v>72.6</v>
      </c>
      <c r="I39" s="36" t="n">
        <v>216.2</v>
      </c>
      <c r="J39" s="36" t="n">
        <v>14.8</v>
      </c>
      <c r="K39" s="36" t="n">
        <v>58.2</v>
      </c>
      <c r="L39" s="36" t="n">
        <v>91.7</v>
      </c>
      <c r="M39" s="36" t="n">
        <v>59.4</v>
      </c>
      <c r="N39" s="36" t="n">
        <v>224</v>
      </c>
      <c r="O39" s="36" t="n">
        <v>20.4</v>
      </c>
      <c r="P39" s="36" t="n">
        <v>65.6</v>
      </c>
      <c r="Q39" s="36" t="n">
        <v>87.2</v>
      </c>
      <c r="R39" s="36" t="n">
        <v>59.6</v>
      </c>
      <c r="S39" s="36" t="n">
        <v>232.9</v>
      </c>
      <c r="T39" s="36" t="n">
        <v>16.7</v>
      </c>
      <c r="U39" s="36" t="n">
        <v>58</v>
      </c>
      <c r="V39" s="36" t="n">
        <v>97.8</v>
      </c>
      <c r="W39" s="36" t="n">
        <v>50.9</v>
      </c>
      <c r="X39" s="36" t="n">
        <v>223.5</v>
      </c>
      <c r="Y39" s="36" t="n">
        <v>11.3</v>
      </c>
      <c r="Z39" s="36" t="n">
        <v>65.6</v>
      </c>
      <c r="AA39" s="36" t="n">
        <v>111.6</v>
      </c>
      <c r="AB39" s="36" t="n">
        <v>89.7</v>
      </c>
      <c r="AC39" s="36" t="n">
        <v>341.4</v>
      </c>
      <c r="AD39" s="36" t="n">
        <v>26.6</v>
      </c>
      <c r="AE39" s="36" t="n">
        <v>112</v>
      </c>
      <c r="AF39" s="36" t="n">
        <v>149.6</v>
      </c>
      <c r="AG39" s="36" t="n">
        <v>76.9</v>
      </c>
      <c r="AH39" s="36" t="n">
        <v>292.5</v>
      </c>
      <c r="AI39" s="36" t="n">
        <v>16.4</v>
      </c>
      <c r="AJ39" s="36" t="n">
        <v>83.14</v>
      </c>
      <c r="AK39" s="36" t="n">
        <v>99.983</v>
      </c>
      <c r="AL39" s="36" t="n">
        <v>69.19</v>
      </c>
      <c r="AM39" s="36" t="n">
        <v>268.679</v>
      </c>
      <c r="AN39" s="36" t="n">
        <v>15.846</v>
      </c>
      <c r="AO39" s="36" t="n">
        <v>82.198</v>
      </c>
      <c r="AP39" s="36" t="n">
        <v>131.099</v>
      </c>
      <c r="AQ39" s="36" t="n">
        <v>68.366</v>
      </c>
      <c r="AR39" s="36" t="n">
        <v>294.036</v>
      </c>
      <c r="AS39" s="36" t="n">
        <v>18.1</v>
      </c>
      <c r="AT39" s="36" t="n">
        <v>107</v>
      </c>
      <c r="AU39" s="36" t="n">
        <v>129.8</v>
      </c>
      <c r="AV39" s="36" t="n">
        <v>76.8</v>
      </c>
      <c r="AW39" s="36" t="n">
        <v>331.7</v>
      </c>
      <c r="AX39" s="36" t="n">
        <v>12.2</v>
      </c>
      <c r="AY39" s="36" t="n">
        <v>135.3</v>
      </c>
      <c r="AZ39" s="36" t="n">
        <v>195.9</v>
      </c>
      <c r="BA39" s="36" t="n">
        <v>170.7</v>
      </c>
      <c r="BB39" s="36" t="n">
        <v>514.2</v>
      </c>
      <c r="BC39" s="36" t="n">
        <v>54.8</v>
      </c>
      <c r="BD39" s="36" t="n">
        <v>212.3</v>
      </c>
      <c r="BE39" s="36" t="n">
        <v>309.8</v>
      </c>
      <c r="BF39" s="36" t="n">
        <v>198.6</v>
      </c>
      <c r="BG39" s="36" t="n">
        <v>775.4</v>
      </c>
      <c r="BH39" s="36" t="n">
        <v>58</v>
      </c>
      <c r="BI39" s="36" t="n">
        <v>240.9</v>
      </c>
      <c r="BJ39" s="36" t="n">
        <v>359.9</v>
      </c>
      <c r="BK39" s="36" t="n">
        <v>228.4</v>
      </c>
      <c r="BL39" s="36" t="n">
        <v>887.1</v>
      </c>
      <c r="BM39" s="36" t="n">
        <v>59</v>
      </c>
      <c r="BN39" s="36" t="n">
        <v>245</v>
      </c>
      <c r="BO39" s="36" t="n">
        <v>343</v>
      </c>
      <c r="BP39" s="36" t="n">
        <v>223</v>
      </c>
      <c r="BQ39" s="36" t="n">
        <v>869</v>
      </c>
      <c r="BY39" s="6"/>
      <c r="BZ39" s="6"/>
      <c r="CA39" s="6"/>
      <c r="CB39" s="6"/>
      <c r="CC39" s="6"/>
      <c r="CD39" s="6"/>
      <c r="CE39" s="6"/>
      <c r="CF39" s="6"/>
      <c r="CN39" s="16" t="s">
        <v>155</v>
      </c>
      <c r="CO39" s="44" t="n">
        <v>0.03</v>
      </c>
      <c r="CP39" s="22" t="s">
        <v>133</v>
      </c>
      <c r="CQ39" s="44" t="n">
        <v>-0.03</v>
      </c>
      <c r="CR39" s="14" t="s">
        <v>156</v>
      </c>
    </row>
    <row r="40" customFormat="false" ht="15" hidden="false" customHeight="true" outlineLevel="0" collapsed="false">
      <c r="B40" s="42" t="s">
        <v>157</v>
      </c>
      <c r="I40" s="36" t="n">
        <v>14.7</v>
      </c>
      <c r="J40" s="36" t="n">
        <v>-6.8</v>
      </c>
      <c r="K40" s="36" t="n">
        <v>4.7</v>
      </c>
      <c r="L40" s="36" t="n">
        <v>11.6</v>
      </c>
      <c r="M40" s="36" t="n">
        <v>4.9</v>
      </c>
      <c r="N40" s="36" t="n">
        <v>14.3</v>
      </c>
      <c r="O40" s="36" t="n">
        <v>-5.4</v>
      </c>
      <c r="P40" s="36" t="n">
        <v>4.6</v>
      </c>
      <c r="Q40" s="36" t="n">
        <v>14.3</v>
      </c>
      <c r="R40" s="36" t="n">
        <v>6.6</v>
      </c>
      <c r="S40" s="36" t="n">
        <v>20</v>
      </c>
      <c r="T40" s="36" t="n">
        <v>-4.8</v>
      </c>
      <c r="U40" s="36" t="n">
        <v>7.9</v>
      </c>
      <c r="V40" s="36" t="n">
        <v>22.1</v>
      </c>
      <c r="W40" s="36" t="n">
        <v>10.5</v>
      </c>
      <c r="X40" s="36" t="n">
        <v>35.8</v>
      </c>
      <c r="Y40" s="36" t="n">
        <v>-6.2</v>
      </c>
      <c r="Z40" s="36" t="n">
        <v>12.8</v>
      </c>
      <c r="AA40" s="36" t="n">
        <v>30.4</v>
      </c>
      <c r="AB40" s="36" t="n">
        <v>16.5</v>
      </c>
      <c r="AC40" s="36" t="n">
        <v>53.6</v>
      </c>
      <c r="AD40" s="36" t="n">
        <v>-4.8</v>
      </c>
      <c r="AE40" s="36" t="n">
        <v>20.4</v>
      </c>
      <c r="AF40" s="36" t="n">
        <v>28.8</v>
      </c>
      <c r="AG40" s="36" t="n">
        <v>20.2</v>
      </c>
      <c r="AH40" s="36" t="n">
        <v>64.7</v>
      </c>
      <c r="AI40" s="36" t="n">
        <v>-7.6</v>
      </c>
      <c r="AJ40" s="36" t="n">
        <v>18.512</v>
      </c>
      <c r="AK40" s="36" t="n">
        <v>25.606</v>
      </c>
      <c r="AL40" s="36" t="n">
        <v>16.438</v>
      </c>
      <c r="AM40" s="36" t="n">
        <v>52.917</v>
      </c>
      <c r="AN40" s="36" t="n">
        <v>-7.829</v>
      </c>
      <c r="AO40" s="36" t="n">
        <v>15.742</v>
      </c>
      <c r="AP40" s="36" t="n">
        <v>31.102</v>
      </c>
      <c r="AQ40" s="36" t="n">
        <v>12.168</v>
      </c>
      <c r="AR40" s="36" t="n">
        <v>50.687</v>
      </c>
      <c r="AS40" s="36" t="n">
        <v>-8.1</v>
      </c>
      <c r="AT40" s="36" t="n">
        <v>21.9</v>
      </c>
      <c r="AU40" s="36" t="n">
        <v>32.6</v>
      </c>
      <c r="AV40" s="36" t="n">
        <v>13.9</v>
      </c>
      <c r="AW40" s="36" t="n">
        <v>60.4</v>
      </c>
      <c r="AX40" s="36" t="n">
        <v>-8.2</v>
      </c>
      <c r="AY40" s="36" t="n">
        <v>28.7</v>
      </c>
      <c r="AZ40" s="36" t="n">
        <v>38.9</v>
      </c>
      <c r="BA40" s="36" t="n">
        <v>19.8</v>
      </c>
      <c r="BB40" s="36" t="n">
        <v>79.2</v>
      </c>
      <c r="BC40" s="36" t="n">
        <v>-13.3</v>
      </c>
      <c r="BD40" s="36" t="n">
        <v>26.4</v>
      </c>
      <c r="BE40" s="36" t="n">
        <v>50.5</v>
      </c>
      <c r="BF40" s="36" t="n">
        <v>18.4</v>
      </c>
      <c r="BG40" s="36" t="n">
        <v>81.9</v>
      </c>
      <c r="BH40" s="36" t="n">
        <v>-20.5</v>
      </c>
      <c r="BI40" s="36" t="n">
        <v>36.5</v>
      </c>
      <c r="BJ40" s="36" t="n">
        <v>66.1</v>
      </c>
      <c r="BK40" s="36" t="n">
        <v>26.9</v>
      </c>
      <c r="BL40" s="36" t="n">
        <v>109</v>
      </c>
      <c r="BM40" s="36" t="n">
        <v>-22</v>
      </c>
      <c r="BN40" s="36" t="n">
        <v>37</v>
      </c>
      <c r="BO40" s="36" t="n">
        <v>61</v>
      </c>
      <c r="BP40" s="36" t="n">
        <v>25</v>
      </c>
      <c r="BQ40" s="36" t="n">
        <v>101</v>
      </c>
      <c r="BY40" s="6"/>
      <c r="BZ40" s="6"/>
      <c r="CA40" s="6"/>
      <c r="CB40" s="6"/>
      <c r="CC40" s="6"/>
      <c r="CD40" s="6"/>
      <c r="CE40" s="6"/>
      <c r="CF40" s="6"/>
      <c r="CN40" s="26" t="s">
        <v>136</v>
      </c>
      <c r="CO40" s="35" t="n">
        <f aca="false">CP40+$CO$39</f>
        <v>0.06</v>
      </c>
      <c r="CP40" s="45" t="n">
        <v>0.03</v>
      </c>
      <c r="CQ40" s="35" t="n">
        <f aca="false">CP40+$CQ$39</f>
        <v>0</v>
      </c>
    </row>
    <row r="41" customFormat="false" ht="15" hidden="false" customHeight="true" outlineLevel="0" collapsed="false">
      <c r="B41" s="42" t="s">
        <v>158</v>
      </c>
      <c r="I41" s="48" t="n">
        <v>3.26</v>
      </c>
      <c r="J41" s="48" t="n">
        <v>0.261</v>
      </c>
      <c r="K41" s="48" t="n">
        <v>0.843</v>
      </c>
      <c r="L41" s="48" t="n">
        <v>1.225</v>
      </c>
      <c r="M41" s="48" t="n">
        <v>0.759</v>
      </c>
      <c r="N41" s="48" t="n">
        <v>3.089</v>
      </c>
      <c r="O41" s="48" t="n">
        <v>0.326</v>
      </c>
      <c r="P41" s="48" t="n">
        <v>0.95</v>
      </c>
      <c r="Q41" s="48" t="n">
        <v>1.253</v>
      </c>
      <c r="R41" s="48" t="n">
        <v>0.786</v>
      </c>
      <c r="S41" s="48" t="n">
        <v>3.315</v>
      </c>
      <c r="T41" s="48" t="n">
        <v>0.27</v>
      </c>
      <c r="U41" s="48" t="n">
        <v>0.812</v>
      </c>
      <c r="V41" s="48" t="n">
        <v>1.256</v>
      </c>
      <c r="W41" s="48" t="n">
        <v>0.579</v>
      </c>
      <c r="X41" s="48" t="n">
        <v>2.917</v>
      </c>
      <c r="Y41" s="48" t="n">
        <v>0.145</v>
      </c>
      <c r="Z41" s="48" t="n">
        <v>0.847</v>
      </c>
      <c r="AA41" s="48" t="n">
        <v>1.36</v>
      </c>
      <c r="AB41" s="48" t="n">
        <v>0.802</v>
      </c>
      <c r="AC41" s="48" t="n">
        <v>3.154</v>
      </c>
      <c r="AD41" s="48" t="n">
        <v>0.29</v>
      </c>
      <c r="AE41" s="48" t="n">
        <v>0.987</v>
      </c>
      <c r="AF41" s="48" t="n">
        <v>1.214</v>
      </c>
      <c r="AG41" s="48" t="n">
        <v>0.812</v>
      </c>
      <c r="AH41" s="48" t="n">
        <v>3.29</v>
      </c>
      <c r="AI41" s="48" t="n">
        <v>0.192</v>
      </c>
      <c r="AJ41" s="48" t="n">
        <v>0.928</v>
      </c>
      <c r="AK41" s="48" t="n">
        <v>1.103</v>
      </c>
      <c r="AL41" s="48" t="n">
        <v>0.709</v>
      </c>
      <c r="AM41" s="48" t="n">
        <v>2.933</v>
      </c>
      <c r="AN41" s="48" t="n">
        <v>0.193</v>
      </c>
      <c r="AO41" s="48" t="n">
        <v>0.814</v>
      </c>
      <c r="AP41" s="48" t="n">
        <v>1.336</v>
      </c>
      <c r="AQ41" s="48" t="n">
        <v>0.628</v>
      </c>
      <c r="AR41" s="48" t="n">
        <v>2.876</v>
      </c>
      <c r="AS41" s="48" t="n">
        <v>0.2</v>
      </c>
      <c r="AT41" s="48" t="n">
        <v>1.1</v>
      </c>
      <c r="AU41" s="48" t="n">
        <v>1.3</v>
      </c>
      <c r="AV41" s="48" t="n">
        <v>0.7</v>
      </c>
      <c r="AW41" s="48" t="n">
        <v>3.3</v>
      </c>
      <c r="AX41" s="48" t="n">
        <v>0.1</v>
      </c>
      <c r="AY41" s="48" t="n">
        <v>1.8</v>
      </c>
      <c r="AZ41" s="48" t="n">
        <v>2.8</v>
      </c>
      <c r="BA41" s="48" t="n">
        <v>2.3</v>
      </c>
      <c r="BB41" s="48" t="n">
        <v>7.1</v>
      </c>
      <c r="BC41" s="48" t="n">
        <v>0.7</v>
      </c>
      <c r="BD41" s="48" t="n">
        <v>2.6</v>
      </c>
      <c r="BE41" s="48" t="n">
        <v>3.7</v>
      </c>
      <c r="BF41" s="48" t="n">
        <v>2.1</v>
      </c>
      <c r="BG41" s="48" t="n">
        <v>9.1</v>
      </c>
      <c r="BH41" s="48" t="n">
        <v>0.5</v>
      </c>
      <c r="BI41" s="48" t="n">
        <v>2.6</v>
      </c>
      <c r="BJ41" s="48" t="n">
        <v>3.9</v>
      </c>
      <c r="BK41" s="48" t="n">
        <v>2.4</v>
      </c>
      <c r="BL41" s="48" t="n">
        <v>9.4</v>
      </c>
      <c r="BM41" s="48" t="n">
        <v>0.5</v>
      </c>
      <c r="BN41" s="48" t="n">
        <v>2.5</v>
      </c>
      <c r="BO41" s="48" t="n">
        <v>3.6</v>
      </c>
      <c r="BP41" s="48" t="n">
        <v>2.2</v>
      </c>
      <c r="BQ41" s="48" t="n">
        <v>8.8</v>
      </c>
      <c r="BY41" s="6"/>
      <c r="BZ41" s="6"/>
      <c r="CA41" s="6"/>
      <c r="CB41" s="6"/>
      <c r="CC41" s="6"/>
      <c r="CD41" s="6"/>
      <c r="CE41" s="6"/>
      <c r="CF41" s="6"/>
      <c r="CN41" s="26" t="s">
        <v>137</v>
      </c>
      <c r="CO41" s="35" t="n">
        <f aca="false">CP41+$CO$39</f>
        <v>0.06</v>
      </c>
      <c r="CP41" s="45" t="n">
        <v>0.03</v>
      </c>
      <c r="CQ41" s="35" t="n">
        <f aca="false">CP41+$CQ$39</f>
        <v>0</v>
      </c>
    </row>
    <row r="42" customFormat="false" ht="15" hidden="false" customHeight="true" outlineLevel="0" collapsed="false">
      <c r="B42" s="42" t="s">
        <v>159</v>
      </c>
      <c r="BM42" s="36" t="n">
        <v>265</v>
      </c>
      <c r="BN42" s="36" t="n">
        <v>261</v>
      </c>
      <c r="BO42" s="36" t="n">
        <v>296</v>
      </c>
      <c r="BP42" s="36" t="n">
        <v>261</v>
      </c>
      <c r="BQ42" s="36" t="n">
        <v>1083</v>
      </c>
      <c r="BY42" s="6"/>
      <c r="BZ42" s="6"/>
      <c r="CA42" s="6"/>
      <c r="CB42" s="6"/>
      <c r="CC42" s="6"/>
      <c r="CD42" s="6"/>
      <c r="CE42" s="6"/>
      <c r="CF42" s="6"/>
      <c r="CN42" s="26" t="s">
        <v>140</v>
      </c>
      <c r="CO42" s="35" t="n">
        <f aca="false">CP42+$CO$39</f>
        <v>0.06</v>
      </c>
      <c r="CP42" s="45" t="n">
        <v>0.03</v>
      </c>
      <c r="CQ42" s="35" t="n">
        <f aca="false">CP42+$CQ$39</f>
        <v>0</v>
      </c>
    </row>
    <row r="43" customFormat="false" ht="15" hidden="false" customHeight="true" outlineLevel="0" collapsed="false">
      <c r="B43" s="42" t="s">
        <v>160</v>
      </c>
      <c r="BM43" s="36" t="n">
        <v>31</v>
      </c>
      <c r="BN43" s="36" t="n">
        <v>72</v>
      </c>
      <c r="BO43" s="36" t="n">
        <v>89</v>
      </c>
      <c r="BP43" s="36" t="n">
        <v>68</v>
      </c>
      <c r="BQ43" s="36" t="n">
        <v>260</v>
      </c>
      <c r="BY43" s="6"/>
      <c r="BZ43" s="6"/>
      <c r="CA43" s="6"/>
      <c r="CB43" s="6"/>
      <c r="CC43" s="6"/>
      <c r="CD43" s="6"/>
      <c r="CE43" s="6"/>
      <c r="CF43" s="6"/>
      <c r="CN43" s="26" t="s">
        <v>142</v>
      </c>
      <c r="CO43" s="35" t="n">
        <f aca="false">CP43+$CO$39</f>
        <v>0.06</v>
      </c>
      <c r="CP43" s="45" t="n">
        <v>0.03</v>
      </c>
      <c r="CQ43" s="35" t="n">
        <f aca="false">CP43+$CQ$39</f>
        <v>0</v>
      </c>
    </row>
    <row r="44" customFormat="false" ht="15" hidden="false" customHeight="true" outlineLevel="0" collapsed="false">
      <c r="B44" s="42" t="s">
        <v>161</v>
      </c>
      <c r="BY44" s="6"/>
      <c r="BZ44" s="6"/>
      <c r="CA44" s="6"/>
      <c r="CB44" s="6"/>
      <c r="CC44" s="6"/>
      <c r="CD44" s="6"/>
      <c r="CE44" s="6"/>
      <c r="CF44" s="6"/>
      <c r="CN44" s="16" t="s">
        <v>162</v>
      </c>
      <c r="CO44" s="44" t="n">
        <v>0.02</v>
      </c>
      <c r="CP44" s="22" t="s">
        <v>133</v>
      </c>
      <c r="CQ44" s="44" t="n">
        <v>-0.02</v>
      </c>
      <c r="CR44" s="14" t="s">
        <v>163</v>
      </c>
    </row>
    <row r="45" customFormat="false" ht="15" hidden="false" customHeight="true" outlineLevel="0" collapsed="false">
      <c r="B45" s="42" t="s">
        <v>164</v>
      </c>
      <c r="BY45" s="6"/>
      <c r="BZ45" s="6"/>
      <c r="CA45" s="6"/>
      <c r="CB45" s="6"/>
      <c r="CC45" s="6"/>
      <c r="CD45" s="6"/>
      <c r="CE45" s="6"/>
      <c r="CF45" s="6"/>
      <c r="CN45" s="26" t="s">
        <v>136</v>
      </c>
      <c r="CO45" s="35" t="n">
        <f aca="false">CP45+$CO$44</f>
        <v>0.12</v>
      </c>
      <c r="CP45" s="45" t="n">
        <v>0.1</v>
      </c>
      <c r="CQ45" s="35" t="n">
        <f aca="false">CP45+$CQ$44</f>
        <v>0.08</v>
      </c>
    </row>
    <row r="46" customFormat="false" ht="15" hidden="false" customHeight="true" outlineLevel="0" collapsed="false">
      <c r="B46" s="42" t="s">
        <v>165</v>
      </c>
      <c r="H46" s="36" t="n">
        <v>0.6</v>
      </c>
      <c r="BR46" s="36" t="n">
        <v>122</v>
      </c>
      <c r="BS46" s="36" t="n">
        <v>271</v>
      </c>
      <c r="BT46" s="36" t="n">
        <v>351</v>
      </c>
      <c r="BU46" s="36" t="n">
        <v>248</v>
      </c>
      <c r="BV46" s="36" t="n">
        <v>992</v>
      </c>
      <c r="BW46" s="36" t="n">
        <v>116</v>
      </c>
      <c r="BX46" s="36" t="n">
        <v>303</v>
      </c>
      <c r="BY46" s="6"/>
      <c r="BZ46" s="6"/>
      <c r="CA46" s="6"/>
      <c r="CB46" s="6"/>
      <c r="CC46" s="6"/>
      <c r="CD46" s="6"/>
      <c r="CE46" s="6"/>
      <c r="CF46" s="6"/>
      <c r="CN46" s="26" t="s">
        <v>137</v>
      </c>
      <c r="CO46" s="35" t="n">
        <f aca="false">CP46+$CO$44</f>
        <v>0.125</v>
      </c>
      <c r="CP46" s="45" t="n">
        <v>0.105</v>
      </c>
      <c r="CQ46" s="35" t="n">
        <f aca="false">CP46+$CQ$44</f>
        <v>0.085</v>
      </c>
    </row>
    <row r="47" customFormat="false" ht="15" hidden="false" customHeight="true" outlineLevel="0" collapsed="false">
      <c r="B47" s="42" t="s">
        <v>166</v>
      </c>
      <c r="BR47" s="36" t="n">
        <v>-19</v>
      </c>
      <c r="BS47" s="36" t="n">
        <v>39</v>
      </c>
      <c r="BT47" s="36" t="n">
        <v>54</v>
      </c>
      <c r="BU47" s="36" t="n">
        <v>23</v>
      </c>
      <c r="BV47" s="36" t="n">
        <v>98</v>
      </c>
      <c r="BW47" s="36" t="n">
        <v>-16</v>
      </c>
      <c r="BX47" s="36" t="n">
        <v>34</v>
      </c>
      <c r="BY47" s="6"/>
      <c r="BZ47" s="6"/>
      <c r="CA47" s="6"/>
      <c r="CB47" s="6"/>
      <c r="CC47" s="6"/>
      <c r="CD47" s="6"/>
      <c r="CE47" s="6"/>
      <c r="CF47" s="6"/>
      <c r="CN47" s="26" t="s">
        <v>140</v>
      </c>
      <c r="CO47" s="35" t="n">
        <f aca="false">CP47+$CO$44</f>
        <v>0.13</v>
      </c>
      <c r="CP47" s="45" t="n">
        <v>0.11</v>
      </c>
      <c r="CQ47" s="35" t="n">
        <f aca="false">CP47+$CQ$44</f>
        <v>0.09</v>
      </c>
    </row>
    <row r="48" customFormat="false" ht="15" hidden="false" customHeight="true" outlineLevel="0" collapsed="false">
      <c r="CN48" s="26" t="s">
        <v>142</v>
      </c>
      <c r="CO48" s="35" t="n">
        <f aca="false">CP48+$CO$44</f>
        <v>0.13</v>
      </c>
      <c r="CP48" s="45" t="n">
        <v>0.11</v>
      </c>
      <c r="CQ48" s="35" t="n">
        <f aca="false">CP48+$CQ$44</f>
        <v>0.09</v>
      </c>
    </row>
    <row r="49" customFormat="false" ht="15" hidden="false" customHeight="true" outlineLevel="0" collapsed="false">
      <c r="B49" s="26" t="s">
        <v>167</v>
      </c>
      <c r="H49" s="36" t="n">
        <v>0</v>
      </c>
      <c r="I49" s="36" t="n">
        <v>0</v>
      </c>
      <c r="J49" s="36" t="n">
        <v>0</v>
      </c>
      <c r="K49" s="36" t="n">
        <v>0</v>
      </c>
      <c r="L49" s="36" t="n">
        <v>0</v>
      </c>
      <c r="M49" s="36" t="n">
        <v>0</v>
      </c>
      <c r="N49" s="36" t="n">
        <v>0</v>
      </c>
      <c r="O49" s="36" t="n">
        <v>0</v>
      </c>
      <c r="P49" s="36" t="n">
        <v>0</v>
      </c>
      <c r="Q49" s="36" t="n">
        <v>0</v>
      </c>
      <c r="R49" s="36" t="n">
        <v>0</v>
      </c>
      <c r="S49" s="36" t="n">
        <v>0</v>
      </c>
      <c r="T49" s="36" t="n">
        <v>0</v>
      </c>
      <c r="U49" s="36" t="n">
        <v>0</v>
      </c>
      <c r="V49" s="36" t="n">
        <v>0</v>
      </c>
      <c r="W49" s="36" t="n">
        <v>0</v>
      </c>
      <c r="X49" s="36" t="n">
        <v>0</v>
      </c>
      <c r="Y49" s="36" t="n">
        <v>0</v>
      </c>
      <c r="Z49" s="36" t="n">
        <v>0</v>
      </c>
      <c r="AA49" s="36" t="n">
        <v>0</v>
      </c>
      <c r="AB49" s="36" t="n">
        <v>-83.8</v>
      </c>
      <c r="AC49" s="36" t="n">
        <v>-330.5</v>
      </c>
      <c r="AD49" s="36" t="n">
        <v>-65.7</v>
      </c>
      <c r="AE49" s="36" t="n">
        <v>-99.6</v>
      </c>
      <c r="AF49" s="36" t="n">
        <v>-106</v>
      </c>
      <c r="AG49" s="36" t="n">
        <v>-65.4</v>
      </c>
      <c r="AH49" s="36" t="n">
        <v>-264</v>
      </c>
      <c r="AI49" s="36" t="n">
        <v>-60.7</v>
      </c>
      <c r="AJ49" s="36" t="n">
        <v>-78.178</v>
      </c>
      <c r="AK49" s="36" t="n">
        <v>-66.839</v>
      </c>
      <c r="AL49" s="36" t="n">
        <v>-58.557</v>
      </c>
      <c r="AM49" s="36" t="n">
        <v>-264.237</v>
      </c>
      <c r="AN49" s="36" t="n">
        <v>-58.361</v>
      </c>
      <c r="AO49" s="36" t="n">
        <v>-67.772</v>
      </c>
      <c r="AP49" s="36" t="n">
        <v>-77.419</v>
      </c>
      <c r="AQ49" s="36" t="n">
        <v>-61.959</v>
      </c>
      <c r="AR49" s="36" t="n">
        <v>-265.514</v>
      </c>
      <c r="AS49" s="36" t="n">
        <v>-53.6</v>
      </c>
      <c r="AT49" s="36" t="n">
        <v>-75.9</v>
      </c>
      <c r="AU49" s="36" t="n">
        <v>-81.4</v>
      </c>
      <c r="AV49" s="36" t="n">
        <v>-83.4</v>
      </c>
      <c r="AW49" s="36" t="n">
        <v>-294.4</v>
      </c>
      <c r="AX49" s="36" t="n">
        <v>-73.1</v>
      </c>
      <c r="AY49" s="36" t="n">
        <v>-96.7</v>
      </c>
      <c r="AZ49" s="36" t="n">
        <v>-115.3</v>
      </c>
      <c r="BA49" s="36" t="n">
        <v>-117.8</v>
      </c>
      <c r="BB49" s="36" t="n">
        <v>-403</v>
      </c>
      <c r="BC49" s="36" t="n">
        <v>-88.1</v>
      </c>
      <c r="BD49" s="36" t="n">
        <v>-102.3</v>
      </c>
      <c r="BE49" s="36" t="n">
        <v>-104.6</v>
      </c>
      <c r="BF49" s="36" t="n">
        <v>-87.5</v>
      </c>
      <c r="BG49" s="36" t="n">
        <v>-382.5</v>
      </c>
      <c r="BH49" s="36" t="n">
        <v>-87.8</v>
      </c>
      <c r="BI49" s="36" t="n">
        <v>-121.1</v>
      </c>
      <c r="BJ49" s="36" t="n">
        <v>-141.9</v>
      </c>
      <c r="BK49" s="36" t="n">
        <v>-111.1</v>
      </c>
      <c r="BL49" s="36" t="n">
        <v>-461.7</v>
      </c>
      <c r="BM49" s="36" t="n">
        <v>-39</v>
      </c>
      <c r="BN49" s="36" t="n">
        <v>-65</v>
      </c>
      <c r="BO49" s="36" t="n">
        <v>-82</v>
      </c>
      <c r="BP49" s="36" t="n">
        <v>-66</v>
      </c>
      <c r="BQ49" s="36" t="n">
        <v>-250</v>
      </c>
      <c r="BR49" s="36" t="n">
        <v>-49</v>
      </c>
      <c r="BS49" s="36" t="n">
        <v>-72</v>
      </c>
      <c r="BT49" s="36" t="n">
        <v>-94</v>
      </c>
      <c r="BU49" s="36" t="n">
        <v>-72</v>
      </c>
      <c r="BV49" s="36" t="n">
        <v>-287</v>
      </c>
      <c r="BW49" s="36" t="n">
        <v>-39</v>
      </c>
      <c r="BX49" s="36" t="n">
        <v>-41</v>
      </c>
      <c r="BY49" s="37" t="n">
        <f aca="false">-BY28*BY50</f>
        <v>-109.539223537671</v>
      </c>
      <c r="BZ49" s="37" t="n">
        <f aca="false">-BZ28*BZ50</f>
        <v>-83.9023839863012</v>
      </c>
      <c r="CA49" s="37" t="n">
        <f aca="false">SUM(BW49,BX49,BY49,BZ49)</f>
        <v>-273.441607523972</v>
      </c>
      <c r="CB49" s="37" t="n">
        <f aca="false">-CB28*CB50</f>
        <v>-281.644855749692</v>
      </c>
      <c r="CC49" s="37" t="n">
        <f aca="false">-CC28*CC50</f>
        <v>-290.094201422182</v>
      </c>
      <c r="CD49" s="37" t="n">
        <f aca="false">-CD28*CD50</f>
        <v>-298.797027464848</v>
      </c>
      <c r="CE49" s="37" t="n">
        <f aca="false">-CE28*CE50</f>
        <v>-307.760938288793</v>
      </c>
      <c r="CF49" s="6"/>
      <c r="CN49" s="16" t="s">
        <v>168</v>
      </c>
      <c r="CO49" s="44" t="n">
        <v>0.03</v>
      </c>
      <c r="CP49" s="22" t="s">
        <v>133</v>
      </c>
      <c r="CQ49" s="44" t="n">
        <v>-0.03</v>
      </c>
      <c r="CR49" s="14" t="s">
        <v>169</v>
      </c>
    </row>
    <row r="50" customFormat="false" ht="15" hidden="false" customHeight="true" outlineLevel="0" collapsed="false">
      <c r="B50" s="26" t="s">
        <v>170</v>
      </c>
      <c r="C50" s="38" t="str">
        <f aca="false">IFERROR(-C49/C28,"")</f>
        <v/>
      </c>
      <c r="D50" s="38" t="str">
        <f aca="false">IFERROR(-D49/D28,"")</f>
        <v/>
      </c>
      <c r="E50" s="38" t="str">
        <f aca="false">IFERROR(-E49/E28,"")</f>
        <v/>
      </c>
      <c r="F50" s="38" t="str">
        <f aca="false">IFERROR(-F49/F28,"")</f>
        <v/>
      </c>
      <c r="G50" s="38" t="str">
        <f aca="false">IFERROR(-G49/G28,"")</f>
        <v/>
      </c>
      <c r="H50" s="38" t="n">
        <f aca="false">IFERROR(-H49/H28,"")</f>
        <v>-0</v>
      </c>
      <c r="I50" s="38" t="n">
        <f aca="false">IFERROR(-I49/I28,"")</f>
        <v>-0</v>
      </c>
      <c r="J50" s="38" t="n">
        <f aca="false">IFERROR(-J49/J28,"")</f>
        <v>-0</v>
      </c>
      <c r="K50" s="38" t="n">
        <f aca="false">IFERROR(-K49/K28,"")</f>
        <v>-0</v>
      </c>
      <c r="L50" s="38" t="n">
        <f aca="false">IFERROR(-L49/L28,"")</f>
        <v>-0</v>
      </c>
      <c r="M50" s="38" t="n">
        <f aca="false">IFERROR(-M49/M28,"")</f>
        <v>-0</v>
      </c>
      <c r="N50" s="38" t="n">
        <f aca="false">IFERROR(-N49/N28,"")</f>
        <v>-0</v>
      </c>
      <c r="O50" s="38" t="n">
        <f aca="false">IFERROR(-O49/O28,"")</f>
        <v>-0</v>
      </c>
      <c r="P50" s="38" t="n">
        <f aca="false">IFERROR(-P49/P28,"")</f>
        <v>-0</v>
      </c>
      <c r="Q50" s="38" t="n">
        <f aca="false">IFERROR(-Q49/Q28,"")</f>
        <v>-0</v>
      </c>
      <c r="R50" s="38" t="n">
        <f aca="false">IFERROR(-R49/R28,"")</f>
        <v>-0</v>
      </c>
      <c r="S50" s="38" t="n">
        <f aca="false">IFERROR(-S49/S28,"")</f>
        <v>-0</v>
      </c>
      <c r="T50" s="38" t="n">
        <f aca="false">IFERROR(-T49/T28,"")</f>
        <v>-0</v>
      </c>
      <c r="U50" s="38" t="n">
        <f aca="false">IFERROR(-U49/U28,"")</f>
        <v>-0</v>
      </c>
      <c r="V50" s="38" t="n">
        <f aca="false">IFERROR(-V49/V28,"")</f>
        <v>-0</v>
      </c>
      <c r="W50" s="38" t="n">
        <f aca="false">IFERROR(-W49/W28,"")</f>
        <v>-0</v>
      </c>
      <c r="X50" s="38" t="n">
        <f aca="false">IFERROR(-X49/X28,"")</f>
        <v>-0</v>
      </c>
      <c r="Y50" s="38" t="n">
        <f aca="false">IFERROR(-Y49/Y28,"")</f>
        <v>-0</v>
      </c>
      <c r="Z50" s="38" t="n">
        <f aca="false">IFERROR(-Z49/Z28,"")</f>
        <v>-0</v>
      </c>
      <c r="AA50" s="38" t="n">
        <f aca="false">IFERROR(-AA49/AA28,"")</f>
        <v>-0</v>
      </c>
      <c r="AB50" s="38" t="n">
        <f aca="false">IFERROR(-AB49/AB28,"")</f>
        <v>0.203299369238234</v>
      </c>
      <c r="AC50" s="38" t="n">
        <f aca="false">IFERROR(-AC49/AC28,"")</f>
        <v>0.205483710519771</v>
      </c>
      <c r="AD50" s="38" t="n">
        <f aca="false">IFERROR(-AD49/AD28,"")</f>
        <v>0.191712868398016</v>
      </c>
      <c r="AE50" s="38" t="n">
        <f aca="false">IFERROR(-AE49/AE28,"")</f>
        <v>0.219916096268492</v>
      </c>
      <c r="AF50" s="38" t="n">
        <f aca="false">IFERROR(-AF49/AF28,"")</f>
        <v>0.221571906354515</v>
      </c>
      <c r="AG50" s="38" t="n">
        <f aca="false">IFERROR(-AG49/AG28,"")</f>
        <v>0.164033107599699</v>
      </c>
      <c r="AH50" s="38" t="n">
        <f aca="false">IFERROR(-AH49/AH28,"")</f>
        <v>0.164989688144491</v>
      </c>
      <c r="AI50" s="38" t="n">
        <f aca="false">IFERROR(-AI49/AI28,"")</f>
        <v>0.187287874112928</v>
      </c>
      <c r="AJ50" s="38" t="n">
        <f aca="false">IFERROR(-AJ49/AJ28,"")</f>
        <v>0.165110139601681</v>
      </c>
      <c r="AK50" s="38" t="n">
        <f aca="false">IFERROR(-AK49/AK28,"")</f>
        <v>0.147582646635401</v>
      </c>
      <c r="AL50" s="38" t="n">
        <f aca="false">IFERROR(-AL49/AL28,"")</f>
        <v>0.158342189160468</v>
      </c>
      <c r="AM50" s="38" t="n">
        <f aca="false">IFERROR(-AM49/AM28,"")</f>
        <v>0.163081173057233</v>
      </c>
      <c r="AN50" s="38" t="n">
        <f aca="false">IFERROR(-AN49/AN28,"")</f>
        <v>0.17901103923391</v>
      </c>
      <c r="AO50" s="38" t="n">
        <f aca="false">IFERROR(-AO49/AO28,"")</f>
        <v>0.155538113401541</v>
      </c>
      <c r="AP50" s="38" t="n">
        <f aca="false">IFERROR(-AP49/AP28,"")</f>
        <v>0.148155590257046</v>
      </c>
      <c r="AQ50" s="38" t="n">
        <f aca="false">IFERROR(-AQ49/AQ28,"")</f>
        <v>0.154752419606619</v>
      </c>
      <c r="AR50" s="38" t="n">
        <f aca="false">IFERROR(-AR49/AR28,"")</f>
        <v>0.157931239590769</v>
      </c>
      <c r="AS50" s="38" t="n">
        <f aca="false">IFERROR(-AS49/AS28,"")</f>
        <v>0.170483460559796</v>
      </c>
      <c r="AT50" s="38" t="n">
        <f aca="false">IFERROR(-AT49/AT28,"")</f>
        <v>0.164428076256499</v>
      </c>
      <c r="AU50" s="38" t="n">
        <f aca="false">IFERROR(-AU49/AU28,"")</f>
        <v>0.1628</v>
      </c>
      <c r="AV50" s="38" t="n">
        <f aca="false">IFERROR(-AV49/AV28,"")</f>
        <v>0.18118618292418</v>
      </c>
      <c r="AW50" s="38" t="n">
        <f aca="false">IFERROR(-AW49/AW28,"")</f>
        <v>0.169555952312388</v>
      </c>
      <c r="AX50" s="38" t="n">
        <f aca="false">IFERROR(-AX49/AX28,"")</f>
        <v>0.204704564547746</v>
      </c>
      <c r="AY50" s="38" t="n">
        <f aca="false">IFERROR(-AY49/AY28,"")</f>
        <v>0.185890042291426</v>
      </c>
      <c r="AZ50" s="38" t="n">
        <f aca="false">IFERROR(-AZ49/AZ28,"")</f>
        <v>0.177657935285054</v>
      </c>
      <c r="BA50" s="38" t="n">
        <f aca="false">IFERROR(-BA49/BA28,"")</f>
        <v>0.187549753224009</v>
      </c>
      <c r="BB50" s="38" t="n">
        <f aca="false">IFERROR(-BB49/BB28,"")</f>
        <v>0.18705035971223</v>
      </c>
      <c r="BC50" s="38" t="n">
        <f aca="false">IFERROR(-BC49/BC28,"")</f>
        <v>0.183848080133556</v>
      </c>
      <c r="BD50" s="38" t="n">
        <f aca="false">IFERROR(-BD49/BD28,"")</f>
        <v>0.171557940633909</v>
      </c>
      <c r="BE50" s="38" t="n">
        <f aca="false">IFERROR(-BE49/BE28,"")</f>
        <v>0.149343232438606</v>
      </c>
      <c r="BF50" s="38" t="n">
        <f aca="false">IFERROR(-BF49/BF28,"")</f>
        <v>0.158170643528561</v>
      </c>
      <c r="BG50" s="38" t="n">
        <f aca="false">IFERROR(-BG49/BG28,"")</f>
        <v>0.164233576642336</v>
      </c>
      <c r="BH50" s="38" t="n">
        <f aca="false">IFERROR(-BH49/BH28,"")</f>
        <v>0.196596506941335</v>
      </c>
      <c r="BI50" s="38" t="n">
        <f aca="false">IFERROR(-BI49/BI28,"")</f>
        <v>0.17056338028169</v>
      </c>
      <c r="BJ50" s="38" t="n">
        <f aca="false">IFERROR(-BJ49/BJ28,"")</f>
        <v>0.168088130774698</v>
      </c>
      <c r="BK50" s="38" t="n">
        <f aca="false">IFERROR(-BK49/BK28,"")</f>
        <v>0.178789829417444</v>
      </c>
      <c r="BL50" s="38" t="n">
        <f aca="false">IFERROR(-BL49/BL28,"")</f>
        <v>0.176093672527556</v>
      </c>
      <c r="BM50" s="38" t="n">
        <f aca="false">IFERROR(-BM49/BM28,"")</f>
        <v>0.12037037037037</v>
      </c>
      <c r="BN50" s="38" t="n">
        <f aca="false">IFERROR(-BN49/BN28,"")</f>
        <v>0.128458498023715</v>
      </c>
      <c r="BO50" s="38" t="n">
        <f aca="false">IFERROR(-BO49/BO28,"")</f>
        <v>0.128325508607199</v>
      </c>
      <c r="BP50" s="38" t="n">
        <f aca="false">IFERROR(-BP49/BP28,"")</f>
        <v>0.136363636363636</v>
      </c>
      <c r="BQ50" s="38" t="n">
        <f aca="false">IFERROR(-BQ49/BQ28,"")</f>
        <v>0.128073770491803</v>
      </c>
      <c r="BR50" s="38" t="n">
        <f aca="false">IFERROR(-BR49/BR28,"")</f>
        <v>0.401639344262295</v>
      </c>
      <c r="BS50" s="38" t="n">
        <f aca="false">IFERROR(-BS49/BS28,"")</f>
        <v>0.265682656826568</v>
      </c>
      <c r="BT50" s="38" t="n">
        <f aca="false">IFERROR(-BT49/BT28,"")</f>
        <v>0.267806267806268</v>
      </c>
      <c r="BU50" s="38" t="n">
        <f aca="false">IFERROR(-BU49/BU28,"")</f>
        <v>0.290322580645161</v>
      </c>
      <c r="BV50" s="38" t="n">
        <f aca="false">IFERROR(-BV49/BV28,"")</f>
        <v>0.289314516129032</v>
      </c>
      <c r="BW50" s="38" t="n">
        <f aca="false">IFERROR(-BW49/BW28,"")</f>
        <v>0.336206896551724</v>
      </c>
      <c r="BX50" s="38" t="n">
        <f aca="false">IFERROR(-BX49/BX28,"")</f>
        <v>0.135313531353135</v>
      </c>
      <c r="BY50" s="25" t="n">
        <f aca="false">BT50</f>
        <v>0.267806267806268</v>
      </c>
      <c r="BZ50" s="25" t="n">
        <f aca="false">BU50</f>
        <v>0.290322580645161</v>
      </c>
      <c r="CA50" s="25" t="n">
        <f aca="false">IFERROR(-CA49/CA28,"")</f>
        <v>0.244795355770844</v>
      </c>
      <c r="CB50" s="25" t="n">
        <f aca="false">$CA$50</f>
        <v>0.244795355770844</v>
      </c>
      <c r="CC50" s="25" t="n">
        <f aca="false">$CA$50</f>
        <v>0.244795355770844</v>
      </c>
      <c r="CD50" s="25" t="n">
        <f aca="false">$CA$50</f>
        <v>0.244795355770844</v>
      </c>
      <c r="CE50" s="25" t="n">
        <f aca="false">$CA$50</f>
        <v>0.244795355770844</v>
      </c>
      <c r="CF50" s="20" t="s">
        <v>171</v>
      </c>
      <c r="CN50" s="26" t="s">
        <v>136</v>
      </c>
      <c r="CO50" s="35" t="n">
        <f aca="false">CP50+$CO$49</f>
        <v>0.07</v>
      </c>
      <c r="CP50" s="45" t="n">
        <v>0.04</v>
      </c>
      <c r="CQ50" s="35" t="n">
        <f aca="false">CP50+$CQ$49</f>
        <v>0.01</v>
      </c>
    </row>
    <row r="51" customFormat="false" ht="15" hidden="false" customHeight="true" outlineLevel="0" collapsed="false">
      <c r="CN51" s="26" t="s">
        <v>137</v>
      </c>
      <c r="CO51" s="35" t="n">
        <f aca="false">CP51+$CO$49</f>
        <v>0.07</v>
      </c>
      <c r="CP51" s="45" t="n">
        <v>0.04</v>
      </c>
      <c r="CQ51" s="35" t="n">
        <f aca="false">CP51+$CQ$49</f>
        <v>0.01</v>
      </c>
    </row>
    <row r="52" customFormat="false" ht="15" hidden="false" customHeight="true" outlineLevel="0" collapsed="false">
      <c r="B52" s="15" t="s">
        <v>172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 t="s">
        <v>173</v>
      </c>
      <c r="CN52" s="26" t="s">
        <v>140</v>
      </c>
      <c r="CO52" s="35" t="n">
        <f aca="false">CP52+$CO$49</f>
        <v>0.07</v>
      </c>
      <c r="CP52" s="45" t="n">
        <v>0.04</v>
      </c>
      <c r="CQ52" s="35" t="n">
        <f aca="false">CP52+$CQ$49</f>
        <v>0.01</v>
      </c>
    </row>
    <row r="53" customFormat="false" ht="15" hidden="false" customHeight="true" outlineLevel="0" collapsed="false">
      <c r="B53" s="17" t="s">
        <v>106</v>
      </c>
      <c r="C53" s="33" t="n">
        <v>150.7</v>
      </c>
      <c r="D53" s="33" t="n">
        <v>154.4</v>
      </c>
      <c r="E53" s="33" t="n">
        <v>167.2</v>
      </c>
      <c r="F53" s="33" t="n">
        <v>143.7</v>
      </c>
      <c r="G53" s="33" t="n">
        <v>176.4</v>
      </c>
      <c r="H53" s="33" t="n">
        <v>200.6</v>
      </c>
      <c r="I53" s="33" t="n">
        <v>202.2</v>
      </c>
      <c r="J53" s="33" t="n">
        <v>55.2</v>
      </c>
      <c r="K53" s="33" t="n">
        <v>56.6</v>
      </c>
      <c r="L53" s="33" t="n">
        <v>55.8</v>
      </c>
      <c r="M53" s="33" t="n">
        <v>58.1</v>
      </c>
      <c r="N53" s="33" t="n">
        <v>225.6</v>
      </c>
      <c r="O53" s="33" t="n">
        <v>57.4</v>
      </c>
      <c r="P53" s="33" t="n">
        <v>61.9</v>
      </c>
      <c r="Q53" s="33" t="n">
        <v>58.7</v>
      </c>
      <c r="R53" s="33" t="n">
        <v>58.2</v>
      </c>
      <c r="S53" s="33" t="n">
        <v>236.1</v>
      </c>
      <c r="T53" s="33" t="n">
        <v>58.8</v>
      </c>
      <c r="U53" s="33" t="n">
        <v>60.5</v>
      </c>
      <c r="V53" s="33" t="n">
        <v>57.3</v>
      </c>
      <c r="W53" s="33" t="n">
        <v>51</v>
      </c>
      <c r="X53" s="33" t="n">
        <v>227.5</v>
      </c>
      <c r="Y53" s="33" t="n">
        <v>59.5</v>
      </c>
      <c r="Z53" s="33" t="n">
        <v>58.8</v>
      </c>
      <c r="AA53" s="33" t="n">
        <v>60.2</v>
      </c>
      <c r="AB53" s="33" t="n">
        <v>59.4</v>
      </c>
      <c r="AC53" s="33" t="n">
        <v>238</v>
      </c>
      <c r="AD53" s="33" t="n">
        <v>63.3</v>
      </c>
      <c r="AE53" s="33" t="n">
        <v>64.6</v>
      </c>
      <c r="AF53" s="33" t="n">
        <v>58.5</v>
      </c>
      <c r="AG53" s="33" t="n">
        <v>61.7</v>
      </c>
      <c r="AH53" s="33" t="n">
        <v>248.1</v>
      </c>
      <c r="AI53" s="33" t="n">
        <v>64.9</v>
      </c>
      <c r="AJ53" s="33" t="n">
        <v>68.157</v>
      </c>
      <c r="AK53" s="33" t="n">
        <v>68.365</v>
      </c>
      <c r="AL53" s="33" t="n">
        <v>67.246</v>
      </c>
      <c r="AM53" s="33" t="n">
        <v>268.636</v>
      </c>
      <c r="AN53" s="33" t="n">
        <v>69.174</v>
      </c>
      <c r="AO53" s="33" t="n">
        <v>70.379</v>
      </c>
      <c r="AP53" s="33" t="n">
        <v>59.334</v>
      </c>
      <c r="AQ53" s="33" t="n">
        <v>51.008</v>
      </c>
      <c r="AR53" s="33" t="n">
        <v>249.894</v>
      </c>
      <c r="AS53" s="33" t="n">
        <v>59.9</v>
      </c>
      <c r="AT53" s="33" t="n">
        <v>48.9</v>
      </c>
      <c r="AU53" s="33" t="n">
        <v>55.2</v>
      </c>
      <c r="AV53" s="33" t="n">
        <v>56.8</v>
      </c>
      <c r="AW53" s="33" t="n">
        <v>220.9</v>
      </c>
      <c r="AX53" s="33" t="n">
        <v>65.3</v>
      </c>
      <c r="AY53" s="33" t="n">
        <v>70</v>
      </c>
      <c r="AZ53" s="33" t="n">
        <v>71.9</v>
      </c>
      <c r="BA53" s="33" t="n">
        <v>67.6</v>
      </c>
      <c r="BB53" s="33" t="n">
        <v>274.7</v>
      </c>
      <c r="BC53" s="33" t="n">
        <v>70.8</v>
      </c>
      <c r="BD53" s="33" t="n">
        <v>74.6</v>
      </c>
      <c r="BE53" s="33" t="n">
        <v>69</v>
      </c>
      <c r="BF53" s="33" t="n">
        <v>63.5</v>
      </c>
      <c r="BG53" s="33" t="n">
        <v>278</v>
      </c>
      <c r="BH53" s="33" t="n">
        <v>83.4</v>
      </c>
      <c r="BI53" s="33" t="n">
        <v>80.5</v>
      </c>
      <c r="BJ53" s="33" t="n">
        <v>75.5</v>
      </c>
      <c r="BK53" s="33" t="n">
        <v>76</v>
      </c>
      <c r="BL53" s="33" t="n">
        <v>315.4</v>
      </c>
      <c r="BM53" s="33" t="n">
        <v>81</v>
      </c>
      <c r="BN53" s="33" t="n">
        <v>81</v>
      </c>
      <c r="BO53" s="33" t="n">
        <v>82</v>
      </c>
      <c r="BP53" s="33" t="n">
        <v>77</v>
      </c>
      <c r="BQ53" s="33" t="n">
        <v>320</v>
      </c>
      <c r="BR53" s="33" t="n">
        <v>87</v>
      </c>
      <c r="BS53" s="33" t="n">
        <v>90</v>
      </c>
      <c r="BT53" s="33" t="n">
        <v>131</v>
      </c>
      <c r="BU53" s="33" t="n">
        <v>133</v>
      </c>
      <c r="BV53" s="33" t="n">
        <v>441</v>
      </c>
      <c r="BW53" s="33" t="n">
        <v>143</v>
      </c>
      <c r="BX53" s="33" t="n">
        <v>152</v>
      </c>
      <c r="BY53" s="34" t="n">
        <f aca="false">BT53*(1+BY54)</f>
        <v>143.737091733173</v>
      </c>
      <c r="BZ53" s="34" t="n">
        <f aca="false">BU53*(1+BZ54)</f>
        <v>145.931551148947</v>
      </c>
      <c r="CA53" s="34" t="n">
        <f aca="false">SUM(BW53,BX53,BY53,BZ53)</f>
        <v>584.66864288212</v>
      </c>
      <c r="CB53" s="34" t="n">
        <f aca="false">CA53*(1+CB54)</f>
        <v>608.055388597405</v>
      </c>
      <c r="CC53" s="34" t="n">
        <f aca="false">CB53*(1+CC54)</f>
        <v>632.377604141302</v>
      </c>
      <c r="CD53" s="34" t="n">
        <f aca="false">CC53*(1+CD54)</f>
        <v>657.672708306954</v>
      </c>
      <c r="CE53" s="34" t="n">
        <f aca="false">CD53*(1+CE54)</f>
        <v>683.979616639232</v>
      </c>
      <c r="CF53" s="6"/>
      <c r="CH53" s="21" t="n">
        <f aca="false">IFERROR((CE53/BV53)^(1/5)-1,"n/m")</f>
        <v>0.0917442518594482</v>
      </c>
      <c r="CI53" s="21" t="n">
        <f aca="false">IFERROR((BV53/AW53)^(1/5)-1,"n/m")</f>
        <v>0.148282046704272</v>
      </c>
      <c r="CJ53" s="21" t="n">
        <f aca="false">IFERROR((BV53/X53)^(1/10)-1,"n/m")</f>
        <v>0.0684291265322403</v>
      </c>
      <c r="CK53" s="21" t="n">
        <f aca="false">IFERROR((BV53/C53)^(1/19)-1,"n/m")</f>
        <v>0.0581407475574827</v>
      </c>
      <c r="CN53" s="26" t="s">
        <v>142</v>
      </c>
      <c r="CO53" s="35" t="n">
        <f aca="false">CP53+$CO$49</f>
        <v>0.07</v>
      </c>
      <c r="CP53" s="45" t="n">
        <v>0.04</v>
      </c>
      <c r="CQ53" s="35" t="n">
        <f aca="false">CP53+$CQ$49</f>
        <v>0.01</v>
      </c>
    </row>
    <row r="54" customFormat="false" ht="15" hidden="false" customHeight="true" outlineLevel="0" collapsed="false">
      <c r="B54" s="23" t="s">
        <v>109</v>
      </c>
      <c r="D54" s="24" t="n">
        <f aca="false">IF(AND(ISNUMBER(D53),ISNUMBER(C53)),IFERROR(D53/C53-1,""),"")</f>
        <v>0.024552090245521</v>
      </c>
      <c r="E54" s="24" t="n">
        <f aca="false">IF(AND(ISNUMBER(E53),ISNUMBER(D53)),IFERROR(E53/D53-1,""),"")</f>
        <v>0.0829015544041449</v>
      </c>
      <c r="F54" s="24" t="n">
        <f aca="false">IF(AND(ISNUMBER(F53),ISNUMBER(E53)),IFERROR(F53/E53-1,""),"")</f>
        <v>-0.14055023923445</v>
      </c>
      <c r="G54" s="24" t="n">
        <f aca="false">IF(AND(ISNUMBER(G53),ISNUMBER(F53)),IFERROR(G53/F53-1,""),"")</f>
        <v>0.227557411273487</v>
      </c>
      <c r="H54" s="24" t="n">
        <f aca="false">IF(AND(ISNUMBER(H53),ISNUMBER(G53)),IFERROR(H53/G53-1,""),"")</f>
        <v>0.13718820861678</v>
      </c>
      <c r="I54" s="24" t="n">
        <f aca="false">IF(AND(ISNUMBER(I53),ISNUMBER(H53)),IFERROR(I53/H53-1,""),"")</f>
        <v>0.00797607178464599</v>
      </c>
      <c r="N54" s="24" t="n">
        <f aca="false">IF(AND(ISNUMBER(N53),ISNUMBER(I53)),IFERROR(N53/I53-1,""),"")</f>
        <v>0.115727002967359</v>
      </c>
      <c r="O54" s="24" t="n">
        <f aca="false">IF(AND(ISNUMBER(O53),ISNUMBER(J53)),IFERROR(O53/J53-1,""),"")</f>
        <v>0.0398550724637681</v>
      </c>
      <c r="P54" s="24" t="n">
        <f aca="false">IF(AND(ISNUMBER(P53),ISNUMBER(K53)),IFERROR(P53/K53-1,""),"")</f>
        <v>0.0936395759717315</v>
      </c>
      <c r="Q54" s="24" t="n">
        <f aca="false">IF(AND(ISNUMBER(Q53),ISNUMBER(L53)),IFERROR(Q53/L53-1,""),"")</f>
        <v>0.0519713261648747</v>
      </c>
      <c r="R54" s="24" t="n">
        <f aca="false">IF(AND(ISNUMBER(R53),ISNUMBER(M53)),IFERROR(R53/M53-1,""),"")</f>
        <v>0.00172117039586928</v>
      </c>
      <c r="S54" s="24" t="n">
        <f aca="false">IF(AND(ISNUMBER(S53),ISNUMBER(N53)),IFERROR(S53/N53-1,""),"")</f>
        <v>0.0465425531914894</v>
      </c>
      <c r="T54" s="24" t="n">
        <f aca="false">IF(AND(ISNUMBER(T53),ISNUMBER(O53)),IFERROR(T53/O53-1,""),"")</f>
        <v>0.024390243902439</v>
      </c>
      <c r="U54" s="24" t="n">
        <f aca="false">IF(AND(ISNUMBER(U53),ISNUMBER(P53)),IFERROR(U53/P53-1,""),"")</f>
        <v>-0.0226171243941842</v>
      </c>
      <c r="V54" s="24" t="n">
        <f aca="false">IF(AND(ISNUMBER(V53),ISNUMBER(Q53)),IFERROR(V53/Q53-1,""),"")</f>
        <v>-0.0238500851788758</v>
      </c>
      <c r="W54" s="24" t="n">
        <f aca="false">IF(AND(ISNUMBER(W53),ISNUMBER(R53)),IFERROR(W53/R53-1,""),"")</f>
        <v>-0.123711340206186</v>
      </c>
      <c r="X54" s="24" t="n">
        <f aca="false">IF(AND(ISNUMBER(X53),ISNUMBER(S53)),IFERROR(X53/S53-1,""),"")</f>
        <v>-0.0364252435408725</v>
      </c>
      <c r="Y54" s="24" t="n">
        <f aca="false">IF(AND(ISNUMBER(Y53),ISNUMBER(T53)),IFERROR(Y53/T53-1,""),"")</f>
        <v>0.0119047619047619</v>
      </c>
      <c r="Z54" s="24" t="n">
        <f aca="false">IF(AND(ISNUMBER(Z53),ISNUMBER(U53)),IFERROR(Z53/U53-1,""),"")</f>
        <v>-0.028099173553719</v>
      </c>
      <c r="AA54" s="24" t="n">
        <f aca="false">IF(AND(ISNUMBER(AA53),ISNUMBER(V53)),IFERROR(AA53/V53-1,""),"")</f>
        <v>0.0506108202443283</v>
      </c>
      <c r="AB54" s="24" t="n">
        <f aca="false">IF(AND(ISNUMBER(AB53),ISNUMBER(W53)),IFERROR(AB53/W53-1,""),"")</f>
        <v>0.164705882352941</v>
      </c>
      <c r="AC54" s="24" t="n">
        <f aca="false">IF(AND(ISNUMBER(AC53),ISNUMBER(X53)),IFERROR(AC53/X53-1,""),"")</f>
        <v>0.0461538461538462</v>
      </c>
      <c r="AD54" s="24" t="n">
        <f aca="false">IF(AND(ISNUMBER(AD53),ISNUMBER(Y53)),IFERROR(AD53/Y53-1,""),"")</f>
        <v>0.0638655462184874</v>
      </c>
      <c r="AE54" s="24" t="n">
        <f aca="false">IF(AND(ISNUMBER(AE53),ISNUMBER(Z53)),IFERROR(AE53/Z53-1,""),"")</f>
        <v>0.0986394557823129</v>
      </c>
      <c r="AF54" s="24" t="n">
        <f aca="false">IF(AND(ISNUMBER(AF53),ISNUMBER(AA53)),IFERROR(AF53/AA53-1,""),"")</f>
        <v>-0.0282392026578073</v>
      </c>
      <c r="AG54" s="24" t="n">
        <f aca="false">IF(AND(ISNUMBER(AG53),ISNUMBER(AB53)),IFERROR(AG53/AB53-1,""),"")</f>
        <v>0.0387205387205387</v>
      </c>
      <c r="AH54" s="24" t="n">
        <f aca="false">IF(AND(ISNUMBER(AH53),ISNUMBER(AC53)),IFERROR(AH53/AC53-1,""),"")</f>
        <v>0.042436974789916</v>
      </c>
      <c r="AI54" s="24" t="n">
        <f aca="false">IF(AND(ISNUMBER(AI53),ISNUMBER(AD53)),IFERROR(AI53/AD53-1,""),"")</f>
        <v>0.0252764612954188</v>
      </c>
      <c r="AJ54" s="24" t="n">
        <f aca="false">IF(AND(ISNUMBER(AJ53),ISNUMBER(AE53)),IFERROR(AJ53/AE53-1,""),"")</f>
        <v>0.055061919504644</v>
      </c>
      <c r="AK54" s="24" t="n">
        <f aca="false">IF(AND(ISNUMBER(AK53),ISNUMBER(AF53)),IFERROR(AK53/AF53-1,""),"")</f>
        <v>0.168632478632479</v>
      </c>
      <c r="AL54" s="24" t="n">
        <f aca="false">IF(AND(ISNUMBER(AL53),ISNUMBER(AG53)),IFERROR(AL53/AG53-1,""),"")</f>
        <v>0.0898865478119935</v>
      </c>
      <c r="AM54" s="24" t="n">
        <f aca="false">IF(AND(ISNUMBER(AM53),ISNUMBER(AH53)),IFERROR(AM53/AH53-1,""),"")</f>
        <v>0.0827730753728337</v>
      </c>
      <c r="AN54" s="24" t="n">
        <f aca="false">IF(AND(ISNUMBER(AN53),ISNUMBER(AI53)),IFERROR(AN53/AI53-1,""),"")</f>
        <v>0.0658551617873653</v>
      </c>
      <c r="AO54" s="24" t="n">
        <f aca="false">IF(AND(ISNUMBER(AO53),ISNUMBER(AJ53)),IFERROR(AO53/AJ53-1,""),"")</f>
        <v>0.0326012001701954</v>
      </c>
      <c r="AP54" s="24" t="n">
        <f aca="false">IF(AND(ISNUMBER(AP53),ISNUMBER(AK53)),IFERROR(AP53/AK53-1,""),"")</f>
        <v>-0.132099758648431</v>
      </c>
      <c r="AQ54" s="24" t="n">
        <f aca="false">IF(AND(ISNUMBER(AQ53),ISNUMBER(AL53)),IFERROR(AQ53/AL53-1,""),"")</f>
        <v>-0.241471611694376</v>
      </c>
      <c r="AR54" s="24" t="n">
        <f aca="false">IF(AND(ISNUMBER(AR53),ISNUMBER(AM53)),IFERROR(AR53/AM53-1,""),"")</f>
        <v>-0.0697672687204992</v>
      </c>
      <c r="AS54" s="24" t="n">
        <f aca="false">IF(AND(ISNUMBER(AS53),ISNUMBER(AN53)),IFERROR(AS53/AN53-1,""),"")</f>
        <v>-0.134067713302686</v>
      </c>
      <c r="AT54" s="24" t="n">
        <f aca="false">IF(AND(ISNUMBER(AT53),ISNUMBER(AO53)),IFERROR(AT53/AO53-1,""),"")</f>
        <v>-0.30519046874778</v>
      </c>
      <c r="AU54" s="24" t="n">
        <f aca="false">IF(AND(ISNUMBER(AU53),ISNUMBER(AP53)),IFERROR(AU53/AP53-1,""),"")</f>
        <v>-0.0696733744564668</v>
      </c>
      <c r="AV54" s="24" t="n">
        <f aca="false">IF(AND(ISNUMBER(AV53),ISNUMBER(AQ53)),IFERROR(AV53/AQ53-1,""),"")</f>
        <v>0.113550815558344</v>
      </c>
      <c r="AW54" s="24" t="n">
        <f aca="false">IF(AND(ISNUMBER(AW53),ISNUMBER(AR53)),IFERROR(AW53/AR53-1,""),"")</f>
        <v>-0.116025194682545</v>
      </c>
      <c r="AX54" s="24" t="n">
        <f aca="false">IF(AND(ISNUMBER(AX53),ISNUMBER(AS53)),IFERROR(AX53/AS53-1,""),"")</f>
        <v>0.0901502504173624</v>
      </c>
      <c r="AY54" s="24" t="n">
        <f aca="false">IF(AND(ISNUMBER(AY53),ISNUMBER(AT53)),IFERROR(AY53/AT53-1,""),"")</f>
        <v>0.431492842535787</v>
      </c>
      <c r="AZ54" s="24" t="n">
        <f aca="false">IF(AND(ISNUMBER(AZ53),ISNUMBER(AU53)),IFERROR(AZ53/AU53-1,""),"")</f>
        <v>0.302536231884058</v>
      </c>
      <c r="BA54" s="24" t="n">
        <f aca="false">IF(AND(ISNUMBER(BA53),ISNUMBER(AV53)),IFERROR(BA53/AV53-1,""),"")</f>
        <v>0.190140845070423</v>
      </c>
      <c r="BB54" s="24" t="n">
        <f aca="false">IF(AND(ISNUMBER(BB53),ISNUMBER(AW53)),IFERROR(BB53/AW53-1,""),"")</f>
        <v>0.243549117247623</v>
      </c>
      <c r="BC54" s="24" t="n">
        <f aca="false">IF(AND(ISNUMBER(BC53),ISNUMBER(AX53)),IFERROR(BC53/AX53-1,""),"")</f>
        <v>0.0842266462480859</v>
      </c>
      <c r="BD54" s="24" t="n">
        <f aca="false">IF(AND(ISNUMBER(BD53),ISNUMBER(AY53)),IFERROR(BD53/AY53-1,""),"")</f>
        <v>0.0657142857142856</v>
      </c>
      <c r="BE54" s="24" t="n">
        <f aca="false">IF(AND(ISNUMBER(BE53),ISNUMBER(AZ53)),IFERROR(BE53/AZ53-1,""),"")</f>
        <v>-0.0403337969401948</v>
      </c>
      <c r="BF54" s="24" t="n">
        <f aca="false">IF(AND(ISNUMBER(BF53),ISNUMBER(BA53)),IFERROR(BF53/BA53-1,""),"")</f>
        <v>-0.0606508875739644</v>
      </c>
      <c r="BG54" s="24" t="n">
        <f aca="false">IF(AND(ISNUMBER(BG53),ISNUMBER(BB53)),IFERROR(BG53/BB53-1,""),"")</f>
        <v>0.0120131052056789</v>
      </c>
      <c r="BH54" s="24" t="n">
        <f aca="false">IF(AND(ISNUMBER(BH53),ISNUMBER(BC53)),IFERROR(BH53/BC53-1,""),"")</f>
        <v>0.177966101694915</v>
      </c>
      <c r="BI54" s="24" t="n">
        <f aca="false">IF(AND(ISNUMBER(BI53),ISNUMBER(BD53)),IFERROR(BI53/BD53-1,""),"")</f>
        <v>0.0790884718498661</v>
      </c>
      <c r="BJ54" s="24" t="n">
        <f aca="false">IF(AND(ISNUMBER(BJ53),ISNUMBER(BE53)),IFERROR(BJ53/BE53-1,""),"")</f>
        <v>0.0942028985507246</v>
      </c>
      <c r="BK54" s="24" t="n">
        <f aca="false">IF(AND(ISNUMBER(BK53),ISNUMBER(BF53)),IFERROR(BK53/BF53-1,""),"")</f>
        <v>0.196850393700788</v>
      </c>
      <c r="BL54" s="24" t="n">
        <f aca="false">IF(AND(ISNUMBER(BL53),ISNUMBER(BG53)),IFERROR(BL53/BG53-1,""),"")</f>
        <v>0.134532374100719</v>
      </c>
      <c r="BM54" s="24" t="n">
        <f aca="false">IF(AND(ISNUMBER(BM53),ISNUMBER(BH53)),IFERROR(BM53/BH53-1,""),"")</f>
        <v>-0.0287769784172662</v>
      </c>
      <c r="BN54" s="24" t="n">
        <f aca="false">IF(AND(ISNUMBER(BN53),ISNUMBER(BI53)),IFERROR(BN53/BI53-1,""),"")</f>
        <v>0.0062111801242235</v>
      </c>
      <c r="BO54" s="24" t="n">
        <f aca="false">IF(AND(ISNUMBER(BO53),ISNUMBER(BJ53)),IFERROR(BO53/BJ53-1,""),"")</f>
        <v>0.0860927152317881</v>
      </c>
      <c r="BP54" s="24" t="n">
        <f aca="false">IF(AND(ISNUMBER(BP53),ISNUMBER(BK53)),IFERROR(BP53/BK53-1,""),"")</f>
        <v>0.013157894736842</v>
      </c>
      <c r="BQ54" s="24" t="n">
        <f aca="false">IF(AND(ISNUMBER(BQ53),ISNUMBER(BL53)),IFERROR(BQ53/BL53-1,""),"")</f>
        <v>0.0145846544071022</v>
      </c>
      <c r="BR54" s="24" t="n">
        <f aca="false">IF(AND(ISNUMBER(BR53),ISNUMBER(BM53)),IFERROR(BR53/BM53-1,""),"")</f>
        <v>0.0740740740740742</v>
      </c>
      <c r="BS54" s="24" t="n">
        <f aca="false">IF(AND(ISNUMBER(BS53),ISNUMBER(BN53)),IFERROR(BS53/BN53-1,""),"")</f>
        <v>0.111111111111111</v>
      </c>
      <c r="BT54" s="24" t="n">
        <f aca="false">IF(AND(ISNUMBER(BT53),ISNUMBER(BO53)),IFERROR(BT53/BO53-1,""),"")</f>
        <v>0.597560975609756</v>
      </c>
      <c r="BU54" s="24" t="n">
        <f aca="false">IF(AND(ISNUMBER(BU53),ISNUMBER(BP53)),IFERROR(BU53/BP53-1,""),"")</f>
        <v>0.727272727272727</v>
      </c>
      <c r="BV54" s="24" t="n">
        <f aca="false">IF(AND(ISNUMBER(BV53),ISNUMBER(BQ53)),IFERROR(BV53/BQ53-1,""),"")</f>
        <v>0.378125</v>
      </c>
      <c r="BW54" s="24" t="n">
        <f aca="false">IF(AND(ISNUMBER(BW53),ISNUMBER(BR53)),IFERROR(BW53/BR53-1,""),"")</f>
        <v>0.64367816091954</v>
      </c>
      <c r="BX54" s="24" t="n">
        <f aca="false">IF(AND(ISNUMBER(BX53),ISNUMBER(BS53)),IFERROR(BX53/BS53-1,""),"")</f>
        <v>0.688888888888889</v>
      </c>
      <c r="BY54" s="25" t="n">
        <f aca="false">BY55+BY118</f>
        <v>0.0972297078868197</v>
      </c>
      <c r="BZ54" s="25" t="n">
        <f aca="false">BZ55+BZ118</f>
        <v>0.0972297078868197</v>
      </c>
      <c r="CA54" s="25" t="n">
        <f aca="false">IFERROR(CA53/BV53-1,"")</f>
        <v>0.325779235560364</v>
      </c>
      <c r="CB54" s="25" t="n">
        <f aca="false">CHOOSE(MATCH($CF$2,{"Bull","Base","Bear"},0),$CO$50,$CP$50,$CQ$50)</f>
        <v>0.04</v>
      </c>
      <c r="CC54" s="25" t="n">
        <f aca="false">CHOOSE(MATCH($CF$2,{"Bull","Base","Bear"},0),$CO$51,$CP$51,$CQ$51)</f>
        <v>0.04</v>
      </c>
      <c r="CD54" s="25" t="n">
        <f aca="false">CHOOSE(MATCH($CF$2,{"Bull","Base","Bear"},0),$CO$52,$CP$52,$CQ$52)</f>
        <v>0.04</v>
      </c>
      <c r="CE54" s="25" t="n">
        <f aca="false">CHOOSE(MATCH($CF$2,{"Bull","Base","Bear"},0),$CO$53,$CP$53,$CQ$53)</f>
        <v>0.04</v>
      </c>
      <c r="CF54" s="20" t="s">
        <v>174</v>
      </c>
      <c r="CN54" s="16" t="s">
        <v>175</v>
      </c>
      <c r="CO54" s="44" t="n">
        <v>0.02</v>
      </c>
      <c r="CP54" s="22" t="s">
        <v>133</v>
      </c>
      <c r="CQ54" s="44" t="n">
        <v>-0.02</v>
      </c>
      <c r="CR54" s="14" t="s">
        <v>176</v>
      </c>
    </row>
    <row r="55" customFormat="false" ht="15" hidden="false" customHeight="true" outlineLevel="0" collapsed="false">
      <c r="B55" s="26" t="s">
        <v>177</v>
      </c>
      <c r="BY55" s="49" t="n">
        <v>0.05</v>
      </c>
      <c r="BZ55" s="49" t="n">
        <v>0.05</v>
      </c>
      <c r="CA55" s="6"/>
      <c r="CB55" s="6"/>
      <c r="CC55" s="6"/>
      <c r="CD55" s="6"/>
      <c r="CE55" s="6"/>
      <c r="CF55" s="20" t="s">
        <v>178</v>
      </c>
      <c r="CN55" s="26" t="s">
        <v>136</v>
      </c>
      <c r="CO55" s="35" t="n">
        <f aca="false">CP55+$CO$54</f>
        <v>0.33</v>
      </c>
      <c r="CP55" s="45" t="n">
        <v>0.31</v>
      </c>
      <c r="CQ55" s="35" t="n">
        <f aca="false">CP55+$CQ$54</f>
        <v>0.29</v>
      </c>
    </row>
    <row r="56" customFormat="false" ht="15" hidden="false" customHeight="true" outlineLevel="0" collapsed="false">
      <c r="B56" s="26" t="s">
        <v>112</v>
      </c>
      <c r="C56" s="36" t="n">
        <v>33.5</v>
      </c>
      <c r="D56" s="36" t="n">
        <v>43.4</v>
      </c>
      <c r="E56" s="36" t="n">
        <v>41.8</v>
      </c>
      <c r="F56" s="36" t="n">
        <v>45.6</v>
      </c>
      <c r="G56" s="36" t="n">
        <v>61.7</v>
      </c>
      <c r="H56" s="36" t="n">
        <v>75.4</v>
      </c>
      <c r="I56" s="36" t="n">
        <v>77.2</v>
      </c>
      <c r="J56" s="36" t="n">
        <v>19.6</v>
      </c>
      <c r="K56" s="36" t="n">
        <v>21.3</v>
      </c>
      <c r="L56" s="36" t="n">
        <v>19.9</v>
      </c>
      <c r="M56" s="36" t="n">
        <v>22.9</v>
      </c>
      <c r="N56" s="36" t="n">
        <v>83.7</v>
      </c>
      <c r="O56" s="36" t="n">
        <v>18.8</v>
      </c>
      <c r="P56" s="36" t="n">
        <v>23.4</v>
      </c>
      <c r="Q56" s="36" t="n">
        <v>20</v>
      </c>
      <c r="R56" s="36" t="n">
        <v>22.4</v>
      </c>
      <c r="S56" s="36" t="n">
        <v>84.6</v>
      </c>
      <c r="T56" s="36" t="n">
        <v>20.2</v>
      </c>
      <c r="U56" s="36" t="n">
        <v>21.2</v>
      </c>
      <c r="V56" s="36" t="n">
        <v>19.4</v>
      </c>
      <c r="W56" s="36" t="n">
        <v>17.9</v>
      </c>
      <c r="X56" s="36" t="n">
        <v>78.7</v>
      </c>
      <c r="Y56" s="36" t="n">
        <v>23</v>
      </c>
      <c r="Z56" s="36" t="n">
        <v>21.7</v>
      </c>
      <c r="AA56" s="36" t="n">
        <v>22.8</v>
      </c>
      <c r="AB56" s="36" t="n">
        <v>22</v>
      </c>
      <c r="AC56" s="36" t="n">
        <v>89.5</v>
      </c>
      <c r="AD56" s="36" t="n">
        <v>22.3</v>
      </c>
      <c r="AE56" s="36" t="n">
        <v>23.6</v>
      </c>
      <c r="AF56" s="36" t="n">
        <v>19.9</v>
      </c>
      <c r="AG56" s="36" t="n">
        <v>23.6</v>
      </c>
      <c r="AH56" s="36" t="n">
        <v>89.4</v>
      </c>
      <c r="AI56" s="36" t="n">
        <v>25.1</v>
      </c>
      <c r="AJ56" s="36" t="n">
        <v>24.87</v>
      </c>
      <c r="AK56" s="36" t="n">
        <v>26.823</v>
      </c>
      <c r="AL56" s="36" t="n">
        <v>26.151</v>
      </c>
      <c r="AM56" s="36" t="n">
        <v>102.905</v>
      </c>
      <c r="AN56" s="36" t="n">
        <v>26.607</v>
      </c>
      <c r="AO56" s="36" t="n">
        <v>29.212</v>
      </c>
      <c r="AP56" s="36" t="n">
        <v>23.997</v>
      </c>
      <c r="AQ56" s="36" t="n">
        <v>19.644</v>
      </c>
      <c r="AR56" s="36" t="n">
        <v>99.459</v>
      </c>
      <c r="AS56" s="36" t="n">
        <v>26.1</v>
      </c>
      <c r="AT56" s="36" t="n">
        <v>18.2</v>
      </c>
      <c r="AU56" s="36" t="n">
        <v>21</v>
      </c>
      <c r="AV56" s="36" t="n">
        <v>24.3</v>
      </c>
      <c r="AW56" s="36" t="n">
        <v>89.6</v>
      </c>
      <c r="AX56" s="36" t="n">
        <v>28.4</v>
      </c>
      <c r="AY56" s="36" t="n">
        <v>27.9</v>
      </c>
      <c r="AZ56" s="36" t="n">
        <v>28.1</v>
      </c>
      <c r="BA56" s="36" t="n">
        <v>25.9</v>
      </c>
      <c r="BB56" s="36" t="n">
        <v>110.4</v>
      </c>
      <c r="BC56" s="36" t="n">
        <v>26.8</v>
      </c>
      <c r="BD56" s="36" t="n">
        <v>25.8</v>
      </c>
      <c r="BE56" s="36" t="n">
        <v>21.6</v>
      </c>
      <c r="BF56" s="36" t="n">
        <v>21.3</v>
      </c>
      <c r="BG56" s="36" t="n">
        <v>95.5</v>
      </c>
      <c r="BH56" s="36" t="n">
        <v>25</v>
      </c>
      <c r="BI56" s="36" t="n">
        <v>27.7</v>
      </c>
      <c r="BJ56" s="36" t="n">
        <v>21.4</v>
      </c>
      <c r="BK56" s="36" t="n">
        <v>23</v>
      </c>
      <c r="BL56" s="36" t="n">
        <v>97.1</v>
      </c>
      <c r="BM56" s="36" t="n">
        <v>29</v>
      </c>
      <c r="BN56" s="36" t="n">
        <v>27</v>
      </c>
      <c r="BO56" s="36" t="n">
        <v>29</v>
      </c>
      <c r="BP56" s="36" t="n">
        <v>22</v>
      </c>
      <c r="BQ56" s="36" t="n">
        <v>107</v>
      </c>
      <c r="BR56" s="36" t="n">
        <v>38</v>
      </c>
      <c r="BS56" s="36" t="n">
        <v>36</v>
      </c>
      <c r="BT56" s="36" t="n">
        <v>34</v>
      </c>
      <c r="BU56" s="36" t="n">
        <v>29</v>
      </c>
      <c r="BV56" s="36" t="n">
        <v>137</v>
      </c>
      <c r="BW56" s="36" t="n">
        <v>45</v>
      </c>
      <c r="BX56" s="36" t="n">
        <v>50</v>
      </c>
      <c r="BY56" s="37" t="n">
        <f aca="false">BY53*BY58</f>
        <v>40.6844241249236</v>
      </c>
      <c r="BZ56" s="37" t="n">
        <f aca="false">BZ53*BZ58</f>
        <v>35.249857479486</v>
      </c>
      <c r="CA56" s="37" t="n">
        <f aca="false">SUM(BW56,BX56,BY56,BZ56)</f>
        <v>170.93428160441</v>
      </c>
      <c r="CB56" s="37" t="n">
        <f aca="false">CB53*CB58</f>
        <v>188.497170465196</v>
      </c>
      <c r="CC56" s="37" t="n">
        <f aca="false">CC53*CC58</f>
        <v>199.19894530451</v>
      </c>
      <c r="CD56" s="37" t="n">
        <f aca="false">CD53*CD58</f>
        <v>210.455266658225</v>
      </c>
      <c r="CE56" s="37" t="n">
        <f aca="false">CE53*CE58</f>
        <v>218.873477324554</v>
      </c>
      <c r="CF56" s="6"/>
      <c r="CH56" s="21" t="n">
        <f aca="false">IFERROR((CE56/BV56)^(1/5)-1,"n/m")</f>
        <v>0.098233062602421</v>
      </c>
      <c r="CI56" s="21" t="n">
        <f aca="false">IFERROR((BV56/AW56)^(1/5)-1,"n/m")</f>
        <v>0.088635547889697</v>
      </c>
      <c r="CJ56" s="21" t="n">
        <f aca="false">IFERROR((BV56/X56)^(1/10)-1,"n/m")</f>
        <v>0.0569990171515185</v>
      </c>
      <c r="CK56" s="21" t="n">
        <f aca="false">IFERROR((BV56/C56)^(1/19)-1,"n/m")</f>
        <v>0.0769448432364384</v>
      </c>
      <c r="CN56" s="26" t="s">
        <v>137</v>
      </c>
      <c r="CO56" s="35" t="n">
        <f aca="false">CP56+$CO$54</f>
        <v>0.335</v>
      </c>
      <c r="CP56" s="45" t="n">
        <v>0.315</v>
      </c>
      <c r="CQ56" s="35" t="n">
        <f aca="false">CP56+$CQ$54</f>
        <v>0.295</v>
      </c>
    </row>
    <row r="57" customFormat="false" ht="15" hidden="false" customHeight="true" outlineLevel="0" collapsed="false">
      <c r="B57" s="26" t="s">
        <v>116</v>
      </c>
      <c r="BY57" s="25" t="n">
        <f aca="false">BT58</f>
        <v>0.259541984732824</v>
      </c>
      <c r="BZ57" s="25" t="n">
        <f aca="false">BU58</f>
        <v>0.218045112781955</v>
      </c>
      <c r="CA57" s="6"/>
      <c r="CB57" s="6"/>
      <c r="CC57" s="6"/>
      <c r="CD57" s="6"/>
      <c r="CE57" s="6"/>
      <c r="CF57" s="20" t="s">
        <v>179</v>
      </c>
      <c r="CN57" s="26" t="s">
        <v>140</v>
      </c>
      <c r="CO57" s="35" t="n">
        <f aca="false">CP57+$CO$54</f>
        <v>0.34</v>
      </c>
      <c r="CP57" s="45" t="n">
        <v>0.32</v>
      </c>
      <c r="CQ57" s="35" t="n">
        <f aca="false">CP57+$CQ$54</f>
        <v>0.3</v>
      </c>
    </row>
    <row r="58" customFormat="false" ht="15" hidden="false" customHeight="true" outlineLevel="0" collapsed="false">
      <c r="B58" s="26" t="s">
        <v>120</v>
      </c>
      <c r="C58" s="38" t="n">
        <f aca="false">IF(AND(ISNUMBER(C56),ISNUMBER(C53)),IFERROR(C56/C53,""),"")</f>
        <v>0.22229595222296</v>
      </c>
      <c r="D58" s="38" t="n">
        <f aca="false">IF(AND(ISNUMBER(D56),ISNUMBER(D53)),IFERROR(D56/D53,""),"")</f>
        <v>0.281088082901554</v>
      </c>
      <c r="E58" s="38" t="n">
        <f aca="false">IF(AND(ISNUMBER(E56),ISNUMBER(E53)),IFERROR(E56/E53,""),"")</f>
        <v>0.25</v>
      </c>
      <c r="F58" s="38" t="n">
        <f aca="false">IF(AND(ISNUMBER(F56),ISNUMBER(F53)),IFERROR(F56/F53,""),"")</f>
        <v>0.317327766179541</v>
      </c>
      <c r="G58" s="38" t="n">
        <f aca="false">IF(AND(ISNUMBER(G56),ISNUMBER(G53)),IFERROR(G56/G53,""),"")</f>
        <v>0.349773242630386</v>
      </c>
      <c r="H58" s="38" t="n">
        <f aca="false">IF(AND(ISNUMBER(H56),ISNUMBER(H53)),IFERROR(H56/H53,""),"")</f>
        <v>0.375872382851446</v>
      </c>
      <c r="I58" s="38" t="n">
        <f aca="false">IF(AND(ISNUMBER(I56),ISNUMBER(I53)),IFERROR(I56/I53,""),"")</f>
        <v>0.381800197823937</v>
      </c>
      <c r="J58" s="38" t="n">
        <f aca="false">IF(AND(ISNUMBER(J56),ISNUMBER(J53)),IFERROR(J56/J53,""),"")</f>
        <v>0.355072463768116</v>
      </c>
      <c r="K58" s="38" t="n">
        <f aca="false">IF(AND(ISNUMBER(K56),ISNUMBER(K53)),IFERROR(K56/K53,""),"")</f>
        <v>0.376325088339223</v>
      </c>
      <c r="L58" s="38" t="n">
        <f aca="false">IF(AND(ISNUMBER(L56),ISNUMBER(L53)),IFERROR(L56/L53,""),"")</f>
        <v>0.35663082437276</v>
      </c>
      <c r="M58" s="38" t="n">
        <f aca="false">IF(AND(ISNUMBER(M56),ISNUMBER(M53)),IFERROR(M56/M53,""),"")</f>
        <v>0.394148020654045</v>
      </c>
      <c r="N58" s="38" t="n">
        <f aca="false">IF(AND(ISNUMBER(N56),ISNUMBER(N53)),IFERROR(N56/N53,""),"")</f>
        <v>0.371010638297872</v>
      </c>
      <c r="O58" s="38" t="n">
        <f aca="false">IF(AND(ISNUMBER(O56),ISNUMBER(O53)),IFERROR(O56/O53,""),"")</f>
        <v>0.327526132404181</v>
      </c>
      <c r="P58" s="38" t="n">
        <f aca="false">IF(AND(ISNUMBER(P56),ISNUMBER(P53)),IFERROR(P56/P53,""),"")</f>
        <v>0.378029079159935</v>
      </c>
      <c r="Q58" s="38" t="n">
        <f aca="false">IF(AND(ISNUMBER(Q56),ISNUMBER(Q53)),IFERROR(Q56/Q53,""),"")</f>
        <v>0.340715502555366</v>
      </c>
      <c r="R58" s="38" t="n">
        <f aca="false">IF(AND(ISNUMBER(R56),ISNUMBER(R53)),IFERROR(R56/R53,""),"")</f>
        <v>0.384879725085911</v>
      </c>
      <c r="S58" s="38" t="n">
        <f aca="false">IF(AND(ISNUMBER(S56),ISNUMBER(S53)),IFERROR(S56/S53,""),"")</f>
        <v>0.358322744599746</v>
      </c>
      <c r="T58" s="38" t="n">
        <f aca="false">IF(AND(ISNUMBER(T56),ISNUMBER(T53)),IFERROR(T56/T53,""),"")</f>
        <v>0.343537414965986</v>
      </c>
      <c r="U58" s="38" t="n">
        <f aca="false">IF(AND(ISNUMBER(U56),ISNUMBER(U53)),IFERROR(U56/U53,""),"")</f>
        <v>0.350413223140496</v>
      </c>
      <c r="V58" s="38" t="n">
        <f aca="false">IF(AND(ISNUMBER(V56),ISNUMBER(V53)),IFERROR(V56/V53,""),"")</f>
        <v>0.338568935427574</v>
      </c>
      <c r="W58" s="38" t="n">
        <f aca="false">IF(AND(ISNUMBER(W56),ISNUMBER(W53)),IFERROR(W56/W53,""),"")</f>
        <v>0.350980392156863</v>
      </c>
      <c r="X58" s="38" t="n">
        <f aca="false">IF(AND(ISNUMBER(X56),ISNUMBER(X53)),IFERROR(X56/X53,""),"")</f>
        <v>0.345934065934066</v>
      </c>
      <c r="Y58" s="38" t="n">
        <f aca="false">IF(AND(ISNUMBER(Y56),ISNUMBER(Y53)),IFERROR(Y56/Y53,""),"")</f>
        <v>0.38655462184874</v>
      </c>
      <c r="Z58" s="38" t="n">
        <f aca="false">IF(AND(ISNUMBER(Z56),ISNUMBER(Z53)),IFERROR(Z56/Z53,""),"")</f>
        <v>0.369047619047619</v>
      </c>
      <c r="AA58" s="38" t="n">
        <f aca="false">IF(AND(ISNUMBER(AA56),ISNUMBER(AA53)),IFERROR(AA56/AA53,""),"")</f>
        <v>0.378737541528239</v>
      </c>
      <c r="AB58" s="38" t="n">
        <f aca="false">IF(AND(ISNUMBER(AB56),ISNUMBER(AB53)),IFERROR(AB56/AB53,""),"")</f>
        <v>0.37037037037037</v>
      </c>
      <c r="AC58" s="38" t="n">
        <f aca="false">IF(AND(ISNUMBER(AC56),ISNUMBER(AC53)),IFERROR(AC56/AC53,""),"")</f>
        <v>0.376050420168067</v>
      </c>
      <c r="AD58" s="38" t="n">
        <f aca="false">IF(AND(ISNUMBER(AD56),ISNUMBER(AD53)),IFERROR(AD56/AD53,""),"")</f>
        <v>0.352290679304897</v>
      </c>
      <c r="AE58" s="38" t="n">
        <f aca="false">IF(AND(ISNUMBER(AE56),ISNUMBER(AE53)),IFERROR(AE56/AE53,""),"")</f>
        <v>0.365325077399381</v>
      </c>
      <c r="AF58" s="38" t="n">
        <f aca="false">IF(AND(ISNUMBER(AF56),ISNUMBER(AF53)),IFERROR(AF56/AF53,""),"")</f>
        <v>0.34017094017094</v>
      </c>
      <c r="AG58" s="38" t="n">
        <f aca="false">IF(AND(ISNUMBER(AG56),ISNUMBER(AG53)),IFERROR(AG56/AG53,""),"")</f>
        <v>0.382495948136143</v>
      </c>
      <c r="AH58" s="38" t="n">
        <f aca="false">IF(AND(ISNUMBER(AH56),ISNUMBER(AH53)),IFERROR(AH56/AH53,""),"")</f>
        <v>0.360338573155986</v>
      </c>
      <c r="AI58" s="38" t="n">
        <f aca="false">IF(AND(ISNUMBER(AI56),ISNUMBER(AI53)),IFERROR(AI56/AI53,""),"")</f>
        <v>0.386748844375963</v>
      </c>
      <c r="AJ58" s="38" t="n">
        <f aca="false">IF(AND(ISNUMBER(AJ56),ISNUMBER(AJ53)),IFERROR(AJ56/AJ53,""),"")</f>
        <v>0.364892820986839</v>
      </c>
      <c r="AK58" s="38" t="n">
        <f aca="false">IF(AND(ISNUMBER(AK56),ISNUMBER(AK53)),IFERROR(AK56/AK53,""),"")</f>
        <v>0.3923498866379</v>
      </c>
      <c r="AL58" s="38" t="n">
        <f aca="false">IF(AND(ISNUMBER(AL56),ISNUMBER(AL53)),IFERROR(AL56/AL53,""),"")</f>
        <v>0.388885584272671</v>
      </c>
      <c r="AM58" s="38" t="n">
        <f aca="false">IF(AND(ISNUMBER(AM56),ISNUMBER(AM53)),IFERROR(AM56/AM53,""),"")</f>
        <v>0.383064816331393</v>
      </c>
      <c r="AN58" s="38" t="n">
        <f aca="false">IF(AND(ISNUMBER(AN56),ISNUMBER(AN53)),IFERROR(AN56/AN53,""),"")</f>
        <v>0.384638737097753</v>
      </c>
      <c r="AO58" s="38" t="n">
        <f aca="false">IF(AND(ISNUMBER(AO56),ISNUMBER(AO53)),IFERROR(AO56/AO53,""),"")</f>
        <v>0.415066994415948</v>
      </c>
      <c r="AP58" s="38" t="n">
        <f aca="false">IF(AND(ISNUMBER(AP56),ISNUMBER(AP53)),IFERROR(AP56/AP53,""),"")</f>
        <v>0.404439275963191</v>
      </c>
      <c r="AQ58" s="38" t="n">
        <f aca="false">IF(AND(ISNUMBER(AQ56),ISNUMBER(AQ53)),IFERROR(AQ56/AQ53,""),"")</f>
        <v>0.385116060225847</v>
      </c>
      <c r="AR58" s="38" t="n">
        <f aca="false">IF(AND(ISNUMBER(AR56),ISNUMBER(AR53)),IFERROR(AR56/AR53,""),"")</f>
        <v>0.398004754015703</v>
      </c>
      <c r="AS58" s="38" t="n">
        <f aca="false">IF(AND(ISNUMBER(AS56),ISNUMBER(AS53)),IFERROR(AS56/AS53,""),"")</f>
        <v>0.435726210350584</v>
      </c>
      <c r="AT58" s="38" t="n">
        <f aca="false">IF(AND(ISNUMBER(AT56),ISNUMBER(AT53)),IFERROR(AT56/AT53,""),"")</f>
        <v>0.372188139059305</v>
      </c>
      <c r="AU58" s="38" t="n">
        <f aca="false">IF(AND(ISNUMBER(AU56),ISNUMBER(AU53)),IFERROR(AU56/AU53,""),"")</f>
        <v>0.380434782608696</v>
      </c>
      <c r="AV58" s="38" t="n">
        <f aca="false">IF(AND(ISNUMBER(AV56),ISNUMBER(AV53)),IFERROR(AV56/AV53,""),"")</f>
        <v>0.427816901408451</v>
      </c>
      <c r="AW58" s="38" t="n">
        <f aca="false">IF(AND(ISNUMBER(AW56),ISNUMBER(AW53)),IFERROR(AW56/AW53,""),"")</f>
        <v>0.405613399728384</v>
      </c>
      <c r="AX58" s="38" t="n">
        <f aca="false">IF(AND(ISNUMBER(AX56),ISNUMBER(AX53)),IFERROR(AX56/AX53,""),"")</f>
        <v>0.434915773353752</v>
      </c>
      <c r="AY58" s="38" t="n">
        <f aca="false">IF(AND(ISNUMBER(AY56),ISNUMBER(AY53)),IFERROR(AY56/AY53,""),"")</f>
        <v>0.398571428571429</v>
      </c>
      <c r="AZ58" s="38" t="n">
        <f aca="false">IF(AND(ISNUMBER(AZ56),ISNUMBER(AZ53)),IFERROR(AZ56/AZ53,""),"")</f>
        <v>0.390820584144645</v>
      </c>
      <c r="BA58" s="38" t="n">
        <f aca="false">IF(AND(ISNUMBER(BA56),ISNUMBER(BA53)),IFERROR(BA56/BA53,""),"")</f>
        <v>0.383136094674556</v>
      </c>
      <c r="BB58" s="38" t="n">
        <f aca="false">IF(AND(ISNUMBER(BB56),ISNUMBER(BB53)),IFERROR(BB56/BB53,""),"")</f>
        <v>0.401892974153622</v>
      </c>
      <c r="BC58" s="38" t="n">
        <f aca="false">IF(AND(ISNUMBER(BC56),ISNUMBER(BC53)),IFERROR(BC56/BC53,""),"")</f>
        <v>0.378531073446328</v>
      </c>
      <c r="BD58" s="38" t="n">
        <f aca="false">IF(AND(ISNUMBER(BD56),ISNUMBER(BD53)),IFERROR(BD56/BD53,""),"")</f>
        <v>0.345844504021448</v>
      </c>
      <c r="BE58" s="38" t="n">
        <f aca="false">IF(AND(ISNUMBER(BE56),ISNUMBER(BE53)),IFERROR(BE56/BE53,""),"")</f>
        <v>0.31304347826087</v>
      </c>
      <c r="BF58" s="38" t="n">
        <f aca="false">IF(AND(ISNUMBER(BF56),ISNUMBER(BF53)),IFERROR(BF56/BF53,""),"")</f>
        <v>0.335433070866142</v>
      </c>
      <c r="BG58" s="38" t="n">
        <f aca="false">IF(AND(ISNUMBER(BG56),ISNUMBER(BG53)),IFERROR(BG56/BG53,""),"")</f>
        <v>0.343525179856115</v>
      </c>
      <c r="BH58" s="38" t="n">
        <f aca="false">IF(AND(ISNUMBER(BH56),ISNUMBER(BH53)),IFERROR(BH56/BH53,""),"")</f>
        <v>0.299760191846523</v>
      </c>
      <c r="BI58" s="38" t="n">
        <f aca="false">IF(AND(ISNUMBER(BI56),ISNUMBER(BI53)),IFERROR(BI56/BI53,""),"")</f>
        <v>0.344099378881988</v>
      </c>
      <c r="BJ58" s="38" t="n">
        <f aca="false">IF(AND(ISNUMBER(BJ56),ISNUMBER(BJ53)),IFERROR(BJ56/BJ53,""),"")</f>
        <v>0.283443708609272</v>
      </c>
      <c r="BK58" s="38" t="n">
        <f aca="false">IF(AND(ISNUMBER(BK56),ISNUMBER(BK53)),IFERROR(BK56/BK53,""),"")</f>
        <v>0.302631578947368</v>
      </c>
      <c r="BL58" s="38" t="n">
        <f aca="false">IF(AND(ISNUMBER(BL56),ISNUMBER(BL53)),IFERROR(BL56/BL53,""),"")</f>
        <v>0.307863031071655</v>
      </c>
      <c r="BM58" s="38" t="n">
        <f aca="false">IF(AND(ISNUMBER(BM56),ISNUMBER(BM53)),IFERROR(BM56/BM53,""),"")</f>
        <v>0.358024691358025</v>
      </c>
      <c r="BN58" s="38" t="n">
        <f aca="false">IF(AND(ISNUMBER(BN56),ISNUMBER(BN53)),IFERROR(BN56/BN53,""),"")</f>
        <v>0.333333333333333</v>
      </c>
      <c r="BO58" s="38" t="n">
        <f aca="false">IF(AND(ISNUMBER(BO56),ISNUMBER(BO53)),IFERROR(BO56/BO53,""),"")</f>
        <v>0.353658536585366</v>
      </c>
      <c r="BP58" s="38" t="n">
        <f aca="false">IF(AND(ISNUMBER(BP56),ISNUMBER(BP53)),IFERROR(BP56/BP53,""),"")</f>
        <v>0.285714285714286</v>
      </c>
      <c r="BQ58" s="38" t="n">
        <f aca="false">IF(AND(ISNUMBER(BQ56),ISNUMBER(BQ53)),IFERROR(BQ56/BQ53,""),"")</f>
        <v>0.334375</v>
      </c>
      <c r="BR58" s="38" t="n">
        <f aca="false">IF(AND(ISNUMBER(BR56),ISNUMBER(BR53)),IFERROR(BR56/BR53,""),"")</f>
        <v>0.436781609195402</v>
      </c>
      <c r="BS58" s="38" t="n">
        <f aca="false">IF(AND(ISNUMBER(BS56),ISNUMBER(BS53)),IFERROR(BS56/BS53,""),"")</f>
        <v>0.4</v>
      </c>
      <c r="BT58" s="38" t="n">
        <f aca="false">IF(AND(ISNUMBER(BT56),ISNUMBER(BT53)),IFERROR(BT56/BT53,""),"")</f>
        <v>0.259541984732824</v>
      </c>
      <c r="BU58" s="38" t="n">
        <f aca="false">IF(AND(ISNUMBER(BU56),ISNUMBER(BU53)),IFERROR(BU56/BU53,""),"")</f>
        <v>0.218045112781955</v>
      </c>
      <c r="BV58" s="38" t="n">
        <f aca="false">IF(AND(ISNUMBER(BV56),ISNUMBER(BV53)),IFERROR(BV56/BV53,""),"")</f>
        <v>0.310657596371882</v>
      </c>
      <c r="BW58" s="38" t="n">
        <f aca="false">IF(AND(ISNUMBER(BW56),ISNUMBER(BW53)),IFERROR(BW56/BW53,""),"")</f>
        <v>0.314685314685315</v>
      </c>
      <c r="BX58" s="38" t="n">
        <f aca="false">IF(AND(ISNUMBER(BX56),ISNUMBER(BX53)),IFERROR(BX56/BX53,""),"")</f>
        <v>0.328947368421053</v>
      </c>
      <c r="BY58" s="25" t="n">
        <f aca="false">BY57+BY121</f>
        <v>0.283047497582936</v>
      </c>
      <c r="BZ58" s="25" t="n">
        <f aca="false">BZ57+BZ121</f>
        <v>0.241550625632066</v>
      </c>
      <c r="CA58" s="25" t="n">
        <f aca="false">IFERROR(CA56/CA53,"")</f>
        <v>0.292360952969515</v>
      </c>
      <c r="CB58" s="25" t="n">
        <f aca="false">CHOOSE(MATCH($CF$2,{"Bull","Base","Bear"},0),$CO$55,$CP$55,$CQ$55)</f>
        <v>0.31</v>
      </c>
      <c r="CC58" s="25" t="n">
        <f aca="false">CHOOSE(MATCH($CF$2,{"Bull","Base","Bear"},0),$CO$56,$CP$56,$CQ$56)</f>
        <v>0.315</v>
      </c>
      <c r="CD58" s="25" t="n">
        <f aca="false">CHOOSE(MATCH($CF$2,{"Bull","Base","Bear"},0),$CO$57,$CP$57,$CQ$57)</f>
        <v>0.32</v>
      </c>
      <c r="CE58" s="25" t="n">
        <f aca="false">CHOOSE(MATCH($CF$2,{"Bull","Base","Bear"},0),$CO$58,$CP$58,$CQ$58)</f>
        <v>0.32</v>
      </c>
      <c r="CF58" s="6"/>
      <c r="CH58" s="39" t="n">
        <f aca="false">IFERROR(AVERAGE(CA58,CB58,CC58,CD58,CE58),"n/m")</f>
        <v>0.311472190593903</v>
      </c>
      <c r="CI58" s="39" t="n">
        <f aca="false">IFERROR(AVERAGE(BB58,BG58,BL58,BQ58,BV58),"n/m")</f>
        <v>0.339662756290655</v>
      </c>
      <c r="CJ58" s="39" t="n">
        <f aca="false">IFERROR(AVERAGE(AC58,AH58,AM58,AR58,AW58,BB58,BG58,BL58,BQ58,BV58),"n/m")</f>
        <v>0.362138574485281</v>
      </c>
      <c r="CK58" s="39" t="n">
        <f aca="false">IFERROR(AVERAGE(C58,D58,E58,F58,G58,H58,I58,N58,S58,X58,AC58,AH58,AM58,AR58,AW58,BB58,BG58,BL58,BQ58,BV58),"n/m")</f>
        <v>0.343740540914716</v>
      </c>
      <c r="CN58" s="26" t="s">
        <v>142</v>
      </c>
      <c r="CO58" s="35" t="n">
        <f aca="false">CP58+$CO$54</f>
        <v>0.34</v>
      </c>
      <c r="CP58" s="45" t="n">
        <v>0.32</v>
      </c>
      <c r="CQ58" s="35" t="n">
        <f aca="false">CP58+$CQ$54</f>
        <v>0.3</v>
      </c>
    </row>
    <row r="59" customFormat="false" ht="15" hidden="false" customHeight="true" outlineLevel="0" collapsed="false">
      <c r="CN59" s="16" t="s">
        <v>180</v>
      </c>
      <c r="CO59" s="44" t="n">
        <v>0.03</v>
      </c>
      <c r="CP59" s="22" t="s">
        <v>133</v>
      </c>
      <c r="CQ59" s="44" t="n">
        <v>-0.03</v>
      </c>
      <c r="CR59" s="14" t="s">
        <v>181</v>
      </c>
    </row>
    <row r="60" customFormat="false" ht="15" hidden="false" customHeight="true" outlineLevel="0" collapsed="false">
      <c r="B60" s="15" t="s">
        <v>182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6" t="s">
        <v>183</v>
      </c>
      <c r="CN60" s="26" t="s">
        <v>136</v>
      </c>
      <c r="CO60" s="35" t="n">
        <f aca="false">CP60+$CO$59</f>
        <v>0.08</v>
      </c>
      <c r="CP60" s="45" t="n">
        <v>0.05</v>
      </c>
      <c r="CQ60" s="35" t="n">
        <f aca="false">CP60+$CQ$59</f>
        <v>0.02</v>
      </c>
    </row>
    <row r="61" customFormat="false" ht="15" hidden="false" customHeight="true" outlineLevel="0" collapsed="false">
      <c r="B61" s="42" t="s">
        <v>184</v>
      </c>
      <c r="BQ61" s="36" t="n">
        <v>1670.314</v>
      </c>
      <c r="BV61" s="36" t="n">
        <v>1753.66</v>
      </c>
      <c r="BY61" s="6"/>
      <c r="BZ61" s="6"/>
      <c r="CA61" s="6"/>
      <c r="CB61" s="6"/>
      <c r="CC61" s="6"/>
      <c r="CD61" s="6"/>
      <c r="CE61" s="6"/>
      <c r="CF61" s="6"/>
      <c r="CN61" s="26" t="s">
        <v>137</v>
      </c>
      <c r="CO61" s="35" t="n">
        <f aca="false">CP61+$CO$59</f>
        <v>0.08</v>
      </c>
      <c r="CP61" s="45" t="n">
        <v>0.05</v>
      </c>
      <c r="CQ61" s="35" t="n">
        <f aca="false">CP61+$CQ$59</f>
        <v>0.02</v>
      </c>
    </row>
    <row r="62" customFormat="false" ht="15" hidden="false" customHeight="true" outlineLevel="0" collapsed="false">
      <c r="B62" s="42" t="s">
        <v>185</v>
      </c>
      <c r="BQ62" s="36" t="n">
        <v>757.608</v>
      </c>
      <c r="BV62" s="36" t="n">
        <v>820.018</v>
      </c>
      <c r="BY62" s="6"/>
      <c r="BZ62" s="6"/>
      <c r="CA62" s="6"/>
      <c r="CB62" s="6"/>
      <c r="CC62" s="6"/>
      <c r="CD62" s="6"/>
      <c r="CE62" s="6"/>
      <c r="CF62" s="6"/>
      <c r="CN62" s="26" t="s">
        <v>140</v>
      </c>
      <c r="CO62" s="35" t="n">
        <f aca="false">CP62+$CO$59</f>
        <v>0.075</v>
      </c>
      <c r="CP62" s="45" t="n">
        <v>0.045</v>
      </c>
      <c r="CQ62" s="35" t="n">
        <f aca="false">CP62+$CQ$59</f>
        <v>0.015</v>
      </c>
    </row>
    <row r="63" customFormat="false" ht="15" hidden="false" customHeight="true" outlineLevel="0" collapsed="false">
      <c r="B63" s="42" t="s">
        <v>186</v>
      </c>
      <c r="BS63" s="36" t="n">
        <v>863.419</v>
      </c>
      <c r="BX63" s="36" t="n">
        <v>904.568</v>
      </c>
      <c r="BY63" s="6"/>
      <c r="BZ63" s="6"/>
      <c r="CA63" s="6"/>
      <c r="CB63" s="6"/>
      <c r="CC63" s="6"/>
      <c r="CD63" s="6"/>
      <c r="CE63" s="6"/>
      <c r="CF63" s="6"/>
      <c r="CN63" s="26" t="s">
        <v>142</v>
      </c>
      <c r="CO63" s="35" t="n">
        <f aca="false">CP63+$CO$59</f>
        <v>0.075</v>
      </c>
      <c r="CP63" s="45" t="n">
        <v>0.045</v>
      </c>
      <c r="CQ63" s="35" t="n">
        <f aca="false">CP63+$CQ$59</f>
        <v>0.015</v>
      </c>
    </row>
    <row r="64" customFormat="false" ht="15" hidden="false" customHeight="true" outlineLevel="0" collapsed="false">
      <c r="B64" s="42" t="s">
        <v>187</v>
      </c>
      <c r="BS64" s="36" t="n">
        <v>414.889</v>
      </c>
      <c r="BX64" s="36" t="n">
        <v>418.449</v>
      </c>
      <c r="BY64" s="6"/>
      <c r="BZ64" s="6"/>
      <c r="CA64" s="6"/>
      <c r="CB64" s="6"/>
      <c r="CC64" s="6"/>
      <c r="CD64" s="6"/>
      <c r="CE64" s="6"/>
      <c r="CF64" s="6"/>
      <c r="CN64" s="16" t="s">
        <v>188</v>
      </c>
      <c r="CO64" s="44" t="n">
        <v>0.015</v>
      </c>
      <c r="CP64" s="22" t="s">
        <v>133</v>
      </c>
      <c r="CQ64" s="44" t="n">
        <v>-0.015</v>
      </c>
      <c r="CR64" s="14" t="s">
        <v>189</v>
      </c>
    </row>
    <row r="65" customFormat="false" ht="15" hidden="false" customHeight="true" outlineLevel="0" collapsed="false">
      <c r="B65" s="26" t="s">
        <v>190</v>
      </c>
      <c r="BY65" s="50" t="n">
        <v>41</v>
      </c>
      <c r="BZ65" s="50" t="n">
        <v>92</v>
      </c>
      <c r="CA65" s="51" t="n">
        <f aca="false">SUM(BW65,BX65,BY65,BZ65)</f>
        <v>133</v>
      </c>
      <c r="CB65" s="50" t="n">
        <v>365</v>
      </c>
      <c r="CC65" s="50" t="n">
        <v>365</v>
      </c>
      <c r="CD65" s="50" t="n">
        <v>365</v>
      </c>
      <c r="CE65" s="50" t="n">
        <v>365</v>
      </c>
      <c r="CF65" s="20" t="s">
        <v>191</v>
      </c>
      <c r="CN65" s="26" t="s">
        <v>136</v>
      </c>
      <c r="CO65" s="35" t="n">
        <f aca="false">CP65+$CO$64</f>
        <v>0.48</v>
      </c>
      <c r="CP65" s="45" t="n">
        <v>0.465</v>
      </c>
      <c r="CQ65" s="35" t="n">
        <f aca="false">CP65+$CQ$64</f>
        <v>0.45</v>
      </c>
    </row>
    <row r="66" customFormat="false" ht="15" hidden="false" customHeight="true" outlineLevel="0" collapsed="false">
      <c r="B66" s="26" t="s">
        <v>192</v>
      </c>
      <c r="BY66" s="37" t="n">
        <f aca="false">$CA$66</f>
        <v>1837.23628838374</v>
      </c>
      <c r="BZ66" s="37" t="n">
        <f aca="false">$CA$66</f>
        <v>1837.23628838374</v>
      </c>
      <c r="CA66" s="37" t="n">
        <f aca="false">BV61*(1+CA67)</f>
        <v>1837.23628838374</v>
      </c>
      <c r="CB66" s="37" t="n">
        <f aca="false">CA66*(1+CB67)</f>
        <v>1929.09810280293</v>
      </c>
      <c r="CC66" s="37" t="n">
        <f aca="false">CB66*(1+CC67)</f>
        <v>2025.55300794307</v>
      </c>
      <c r="CD66" s="37" t="n">
        <f aca="false">CC66*(1+CD67)</f>
        <v>2116.70289330051</v>
      </c>
      <c r="CE66" s="37" t="n">
        <f aca="false">CD66*(1+CE67)</f>
        <v>2211.95452349903</v>
      </c>
      <c r="CF66" s="20" t="s">
        <v>193</v>
      </c>
      <c r="CN66" s="26" t="s">
        <v>137</v>
      </c>
      <c r="CO66" s="35" t="n">
        <f aca="false">CP66+$CO$64</f>
        <v>0.485</v>
      </c>
      <c r="CP66" s="45" t="n">
        <v>0.47</v>
      </c>
      <c r="CQ66" s="35" t="n">
        <f aca="false">CP66+$CQ$64</f>
        <v>0.455</v>
      </c>
    </row>
    <row r="67" customFormat="false" ht="15" hidden="false" customHeight="true" outlineLevel="0" collapsed="false">
      <c r="B67" s="23" t="s">
        <v>194</v>
      </c>
      <c r="BV67" s="24" t="n">
        <f aca="false">IF(AND(ISNUMBER(BV61),ISNUMBER(BQ61)),IFERROR(BV61/BQ61-1,""),"")</f>
        <v>0.0498984023363271</v>
      </c>
      <c r="BY67" s="6"/>
      <c r="BZ67" s="6"/>
      <c r="CA67" s="25" t="n">
        <f aca="false">IFERROR(BX63/BS63-1,"")</f>
        <v>0.047658205344103</v>
      </c>
      <c r="CB67" s="25" t="n">
        <f aca="false">CHOOSE(MATCH($CF$2,{"Bull","Base","Bear"},0),$CO$60,$CP$60,$CQ$60)</f>
        <v>0.05</v>
      </c>
      <c r="CC67" s="25" t="n">
        <f aca="false">CHOOSE(MATCH($CF$2,{"Bull","Base","Bear"},0),$CO$61,$CP$61,$CQ$61)</f>
        <v>0.05</v>
      </c>
      <c r="CD67" s="25" t="n">
        <f aca="false">CHOOSE(MATCH($CF$2,{"Bull","Base","Bear"},0),$CO$62,$CP$62,$CQ$62)</f>
        <v>0.045</v>
      </c>
      <c r="CE67" s="25" t="n">
        <f aca="false">CHOOSE(MATCH($CF$2,{"Bull","Base","Bear"},0),$CO$63,$CP$63,$CQ$63)</f>
        <v>0.045</v>
      </c>
      <c r="CF67" s="6"/>
      <c r="CN67" s="26" t="s">
        <v>140</v>
      </c>
      <c r="CO67" s="35" t="n">
        <f aca="false">CP67+$CO$64</f>
        <v>0.485</v>
      </c>
      <c r="CP67" s="45" t="n">
        <v>0.47</v>
      </c>
      <c r="CQ67" s="35" t="n">
        <f aca="false">CP67+$CQ$64</f>
        <v>0.455</v>
      </c>
    </row>
    <row r="68" customFormat="false" ht="15" hidden="false" customHeight="true" outlineLevel="0" collapsed="false">
      <c r="B68" s="17" t="s">
        <v>195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4" t="n">
        <f aca="false">BY66*BY65/365</f>
        <v>206.374487188311</v>
      </c>
      <c r="BZ68" s="34" t="n">
        <f aca="false">BZ66*BZ65/365</f>
        <v>463.084215154258</v>
      </c>
      <c r="CA68" s="34" t="n">
        <f aca="false">SUM(BW68,BX68,BY68,BZ68)</f>
        <v>669.458702342568</v>
      </c>
      <c r="CB68" s="34" t="n">
        <f aca="false">CB66*CB65/365</f>
        <v>1929.09810280293</v>
      </c>
      <c r="CC68" s="34" t="n">
        <f aca="false">CC66*CC65/365</f>
        <v>2025.55300794307</v>
      </c>
      <c r="CD68" s="34" t="n">
        <f aca="false">CD66*CD65/365</f>
        <v>2116.70289330051</v>
      </c>
      <c r="CE68" s="34" t="n">
        <f aca="false">CE66*CE65/365</f>
        <v>2211.95452349903</v>
      </c>
      <c r="CF68" s="6"/>
      <c r="CN68" s="26" t="s">
        <v>142</v>
      </c>
      <c r="CO68" s="35" t="n">
        <f aca="false">CP68+$CO$64</f>
        <v>0.485</v>
      </c>
      <c r="CP68" s="45" t="n">
        <v>0.47</v>
      </c>
      <c r="CQ68" s="35" t="n">
        <f aca="false">CP68+$CQ$64</f>
        <v>0.455</v>
      </c>
    </row>
    <row r="69" customFormat="false" ht="15" hidden="false" customHeight="true" outlineLevel="0" collapsed="false">
      <c r="B69" s="26" t="s">
        <v>196</v>
      </c>
      <c r="BQ69" s="38" t="n">
        <f aca="false">IF(AND(ISNUMBER(BQ62),ISNUMBER(BQ61)),IFERROR(BQ62/BQ61,""),"")</f>
        <v>0.453572202591848</v>
      </c>
      <c r="BV69" s="38" t="n">
        <f aca="false">IF(AND(ISNUMBER(BV62),ISNUMBER(BV61)),IFERROR(BV62/BV61,""),"")</f>
        <v>0.467603754433585</v>
      </c>
      <c r="BY69" s="25" t="n">
        <f aca="false">$CA$69</f>
        <v>0.462595404657251</v>
      </c>
      <c r="BZ69" s="25" t="n">
        <f aca="false">$CA$69</f>
        <v>0.462595404657251</v>
      </c>
      <c r="CA69" s="25" t="n">
        <f aca="false">IFERROR(BX64/BX63,"")</f>
        <v>0.462595404657251</v>
      </c>
      <c r="CB69" s="25" t="n">
        <f aca="false">CHOOSE(MATCH($CF$2,{"Bull","Base","Bear"},0),$CO$65,$CP$65,$CQ$65)</f>
        <v>0.465</v>
      </c>
      <c r="CC69" s="25" t="n">
        <f aca="false">CHOOSE(MATCH($CF$2,{"Bull","Base","Bear"},0),$CO$66,$CP$66,$CQ$66)</f>
        <v>0.47</v>
      </c>
      <c r="CD69" s="25" t="n">
        <f aca="false">CHOOSE(MATCH($CF$2,{"Bull","Base","Bear"},0),$CO$67,$CP$67,$CQ$67)</f>
        <v>0.47</v>
      </c>
      <c r="CE69" s="25" t="n">
        <f aca="false">CHOOSE(MATCH($CF$2,{"Bull","Base","Bear"},0),$CO$68,$CP$68,$CQ$68)</f>
        <v>0.47</v>
      </c>
      <c r="CF69" s="20" t="s">
        <v>197</v>
      </c>
      <c r="CN69" s="16" t="s">
        <v>198</v>
      </c>
      <c r="CO69" s="44" t="n">
        <v>0.25</v>
      </c>
      <c r="CP69" s="22" t="s">
        <v>133</v>
      </c>
      <c r="CQ69" s="44" t="n">
        <v>-0.25</v>
      </c>
      <c r="CR69" s="14" t="s">
        <v>199</v>
      </c>
    </row>
    <row r="70" customFormat="false" ht="15" hidden="false" customHeight="true" outlineLevel="0" collapsed="false">
      <c r="B70" s="26" t="s">
        <v>200</v>
      </c>
      <c r="BY70" s="52" t="n">
        <v>0</v>
      </c>
      <c r="BZ70" s="52" t="n">
        <v>0</v>
      </c>
      <c r="CA70" s="37" t="n">
        <f aca="false">SUM(BW70,BX70,BY70,BZ70)</f>
        <v>0</v>
      </c>
      <c r="CB70" s="37" t="n">
        <f aca="false">$CP$20*CHOOSE(MATCH($CF$2,{"Bull","Base","Bear"},0),$CO$70,$CP$70,$CQ$70)</f>
        <v>42.5</v>
      </c>
      <c r="CC70" s="37" t="n">
        <f aca="false">$CP$20*CHOOSE(MATCH($CF$2,{"Bull","Base","Bear"},0),$CO$71,$CP$71,$CQ$71)</f>
        <v>85</v>
      </c>
      <c r="CD70" s="37" t="n">
        <f aca="false">$CP$20*CHOOSE(MATCH($CF$2,{"Bull","Base","Bear"},0),$CO$72,$CP$72,$CQ$72)</f>
        <v>85</v>
      </c>
      <c r="CE70" s="37" t="n">
        <f aca="false">$CP$20*CHOOSE(MATCH($CF$2,{"Bull","Base","Bear"},0),$CO$73,$CP$73,$CQ$73)</f>
        <v>85</v>
      </c>
      <c r="CF70" s="20" t="s">
        <v>201</v>
      </c>
      <c r="CN70" s="26" t="s">
        <v>136</v>
      </c>
      <c r="CO70" s="35" t="n">
        <f aca="false">CP70+$CO$69</f>
        <v>0.75</v>
      </c>
      <c r="CP70" s="45" t="n">
        <v>0.5</v>
      </c>
      <c r="CQ70" s="35" t="n">
        <f aca="false">CP70+$CQ$69</f>
        <v>0.25</v>
      </c>
    </row>
    <row r="71" customFormat="false" ht="15" hidden="false" customHeight="true" outlineLevel="0" collapsed="false">
      <c r="B71" s="26" t="s">
        <v>202</v>
      </c>
      <c r="BY71" s="37" t="n">
        <f aca="false">$CB$71*BY65/365</f>
        <v>42.6849315068493</v>
      </c>
      <c r="BZ71" s="37" t="n">
        <f aca="false">$CB$71*BZ65/365</f>
        <v>95.7808219178082</v>
      </c>
      <c r="CA71" s="37" t="n">
        <f aca="false">SUM(BW71,BX71,BY71,BZ71)</f>
        <v>138.465753424658</v>
      </c>
      <c r="CB71" s="52" t="n">
        <v>380</v>
      </c>
      <c r="CC71" s="52" t="n">
        <v>380</v>
      </c>
      <c r="CD71" s="52" t="n">
        <v>380</v>
      </c>
      <c r="CE71" s="52" t="n">
        <v>380</v>
      </c>
      <c r="CF71" s="20" t="s">
        <v>203</v>
      </c>
      <c r="CN71" s="26" t="s">
        <v>137</v>
      </c>
      <c r="CO71" s="35" t="n">
        <f aca="false">CP71+$CO$69</f>
        <v>1.25</v>
      </c>
      <c r="CP71" s="45" t="n">
        <v>1</v>
      </c>
      <c r="CQ71" s="35" t="n">
        <f aca="false">CP71+$CQ$69</f>
        <v>0.75</v>
      </c>
    </row>
    <row r="72" customFormat="false" ht="15" hidden="false" customHeight="true" outlineLevel="0" collapsed="false">
      <c r="B72" s="26" t="s">
        <v>204</v>
      </c>
      <c r="BY72" s="37" t="n">
        <f aca="false">$CB$72*BY65/365</f>
        <v>41</v>
      </c>
      <c r="BZ72" s="37" t="n">
        <f aca="false">$CB$72*BZ65/365</f>
        <v>92</v>
      </c>
      <c r="CA72" s="37" t="n">
        <f aca="false">SUM(BW72,BX72,BY72,BZ72)</f>
        <v>133</v>
      </c>
      <c r="CB72" s="37" t="n">
        <f aca="false">4000/16+1500/20+400/10</f>
        <v>365</v>
      </c>
      <c r="CC72" s="37" t="n">
        <f aca="false">4000/16+1500/20+400/10</f>
        <v>365</v>
      </c>
      <c r="CD72" s="37" t="n">
        <f aca="false">4000/16+1500/20+400/10</f>
        <v>365</v>
      </c>
      <c r="CE72" s="37" t="n">
        <f aca="false">4000/16+1500/20+400/10</f>
        <v>365</v>
      </c>
      <c r="CF72" s="20" t="s">
        <v>205</v>
      </c>
      <c r="CN72" s="26" t="s">
        <v>140</v>
      </c>
      <c r="CO72" s="35" t="n">
        <f aca="false">CP72+$CO$69</f>
        <v>1.25</v>
      </c>
      <c r="CP72" s="45" t="n">
        <v>1</v>
      </c>
      <c r="CQ72" s="35" t="n">
        <f aca="false">CP72+$CQ$69</f>
        <v>0.75</v>
      </c>
    </row>
    <row r="73" customFormat="false" ht="15" hidden="false" customHeight="true" outlineLevel="0" collapsed="false">
      <c r="B73" s="26" t="s">
        <v>206</v>
      </c>
      <c r="BY73" s="52" t="n">
        <v>30</v>
      </c>
      <c r="BZ73" s="52" t="n">
        <v>29</v>
      </c>
      <c r="CA73" s="37" t="n">
        <f aca="false">SUM(BW73,BX73,BY73,BZ73)</f>
        <v>59</v>
      </c>
      <c r="CB73" s="52" t="n">
        <v>0</v>
      </c>
      <c r="CC73" s="52" t="n">
        <v>0</v>
      </c>
      <c r="CD73" s="52" t="n">
        <v>0</v>
      </c>
      <c r="CE73" s="52" t="n">
        <v>0</v>
      </c>
      <c r="CF73" s="20" t="s">
        <v>207</v>
      </c>
      <c r="CN73" s="26" t="s">
        <v>142</v>
      </c>
      <c r="CO73" s="35" t="n">
        <f aca="false">CP73+$CO$69</f>
        <v>1.25</v>
      </c>
      <c r="CP73" s="45" t="n">
        <v>1</v>
      </c>
      <c r="CQ73" s="35" t="n">
        <f aca="false">CP73+$CQ$69</f>
        <v>0.75</v>
      </c>
    </row>
    <row r="74" customFormat="false" ht="15" hidden="false" customHeight="true" outlineLevel="0" collapsed="false">
      <c r="B74" s="26" t="s">
        <v>112</v>
      </c>
      <c r="BY74" s="37" t="n">
        <f aca="false">BY68*BY69+BY70-BY71-BY73</f>
        <v>22.7829579049598</v>
      </c>
      <c r="BZ74" s="37" t="n">
        <f aca="false">BZ68*BZ69+BZ70-BZ71-BZ73</f>
        <v>89.439807981861</v>
      </c>
      <c r="CA74" s="37" t="n">
        <f aca="false">SUM(BW74,BX74,BY74,BZ74)</f>
        <v>112.222765886821</v>
      </c>
      <c r="CB74" s="37" t="n">
        <f aca="false">CB68*CB69+CB70-CB71-CB73</f>
        <v>559.530617803361</v>
      </c>
      <c r="CC74" s="37" t="n">
        <f aca="false">CC68*CC69+CC70-CC71-CC73</f>
        <v>657.009913733245</v>
      </c>
      <c r="CD74" s="37" t="n">
        <f aca="false">CD68*CD69+CD70-CD71-CD73</f>
        <v>699.85035985124</v>
      </c>
      <c r="CE74" s="37" t="n">
        <f aca="false">CE68*CE69+CE70-CE71-CE73</f>
        <v>744.618626044546</v>
      </c>
      <c r="CF74" s="6"/>
      <c r="CN74" s="16" t="s">
        <v>208</v>
      </c>
      <c r="CO74" s="53" t="n">
        <v>500</v>
      </c>
      <c r="CP74" s="22" t="s">
        <v>133</v>
      </c>
      <c r="CQ74" s="53" t="n">
        <v>-500</v>
      </c>
      <c r="CR74" s="14" t="s">
        <v>209</v>
      </c>
    </row>
    <row r="75" customFormat="false" ht="15" hidden="false" customHeight="true" outlineLevel="0" collapsed="false">
      <c r="B75" s="26" t="s">
        <v>210</v>
      </c>
      <c r="BY75" s="25" t="n">
        <f aca="false">IFERROR(BY74/BY68,"")</f>
        <v>0.110396193906328</v>
      </c>
      <c r="BZ75" s="25" t="n">
        <f aca="false">IFERROR(BZ74/BZ68,"")</f>
        <v>0.1931394011175</v>
      </c>
      <c r="CA75" s="25" t="n">
        <f aca="false">IFERROR(CA74/CA68,"")</f>
        <v>0.167632096638868</v>
      </c>
      <c r="CB75" s="25" t="n">
        <f aca="false">IFERROR(CB74/CB68,"")</f>
        <v>0.29004777776225</v>
      </c>
      <c r="CC75" s="25" t="n">
        <f aca="false">IFERROR(CC74/CC68,"")</f>
        <v>0.32436076032413</v>
      </c>
      <c r="CD75" s="25" t="n">
        <f aca="false">IFERROR(CD74/CD68,"")</f>
        <v>0.330632306530268</v>
      </c>
      <c r="CE75" s="25" t="n">
        <f aca="false">IFERROR(CE74/CE68,"")</f>
        <v>0.336633786153367</v>
      </c>
      <c r="CF75" s="6"/>
      <c r="CN75" s="26" t="s">
        <v>136</v>
      </c>
      <c r="CO75" s="54" t="n">
        <f aca="false">CP75+$CO$74</f>
        <v>500</v>
      </c>
      <c r="CP75" s="27" t="n">
        <v>0</v>
      </c>
      <c r="CQ75" s="54" t="n">
        <f aca="false">CP75+$CQ$74</f>
        <v>-500</v>
      </c>
    </row>
    <row r="76" customFormat="false" ht="15" hidden="false" customHeight="true" outlineLevel="0" collapsed="false">
      <c r="B76" s="26" t="s">
        <v>211</v>
      </c>
      <c r="BY76" s="25" t="n">
        <f aca="false">$CA$76</f>
        <v>0.043</v>
      </c>
      <c r="BZ76" s="25" t="n">
        <f aca="false">$CA$76</f>
        <v>0.043</v>
      </c>
      <c r="CA76" s="49" t="n">
        <v>0.043</v>
      </c>
      <c r="CB76" s="25" t="n">
        <f aca="false">CA76</f>
        <v>0.043</v>
      </c>
      <c r="CC76" s="25" t="n">
        <f aca="false">CB76</f>
        <v>0.043</v>
      </c>
      <c r="CD76" s="25" t="n">
        <f aca="false">CC76</f>
        <v>0.043</v>
      </c>
      <c r="CE76" s="25" t="n">
        <f aca="false">CD76</f>
        <v>0.043</v>
      </c>
      <c r="CF76" s="20" t="s">
        <v>212</v>
      </c>
      <c r="CN76" s="26" t="s">
        <v>137</v>
      </c>
      <c r="CO76" s="54" t="n">
        <f aca="false">CP76+$CO$74</f>
        <v>1000</v>
      </c>
      <c r="CP76" s="27" t="n">
        <v>500</v>
      </c>
      <c r="CQ76" s="54" t="n">
        <f aca="false">CP76+$CQ$74</f>
        <v>0</v>
      </c>
    </row>
    <row r="77" customFormat="false" ht="15" hidden="false" customHeight="true" outlineLevel="0" collapsed="false">
      <c r="B77" s="26" t="s">
        <v>213</v>
      </c>
      <c r="BY77" s="37" t="n">
        <f aca="false">BY68*BY76</f>
        <v>8.87410294909735</v>
      </c>
      <c r="BZ77" s="37" t="n">
        <f aca="false">BZ68*BZ76</f>
        <v>19.9126212516331</v>
      </c>
      <c r="CA77" s="37" t="n">
        <f aca="false">SUM(BW77,BX77,BY77,BZ77)</f>
        <v>28.7867242007304</v>
      </c>
      <c r="CB77" s="37" t="n">
        <f aca="false">CB68*CB76</f>
        <v>82.9512184205259</v>
      </c>
      <c r="CC77" s="37" t="n">
        <f aca="false">CC68*CC76</f>
        <v>87.0987793415522</v>
      </c>
      <c r="CD77" s="37" t="n">
        <f aca="false">CD68*CD76</f>
        <v>91.018224411922</v>
      </c>
      <c r="CE77" s="37" t="n">
        <f aca="false">CE68*CE76</f>
        <v>95.1140445104585</v>
      </c>
      <c r="CF77" s="6"/>
      <c r="CN77" s="26" t="s">
        <v>140</v>
      </c>
      <c r="CO77" s="54" t="n">
        <f aca="false">CP77+$CO$74</f>
        <v>1250</v>
      </c>
      <c r="CP77" s="27" t="n">
        <v>750</v>
      </c>
      <c r="CQ77" s="54" t="n">
        <f aca="false">CP77+$CQ$74</f>
        <v>250</v>
      </c>
    </row>
    <row r="78" customFormat="false" ht="15" hidden="false" customHeight="true" outlineLevel="0" collapsed="false">
      <c r="B78" s="26" t="s">
        <v>214</v>
      </c>
      <c r="BY78" s="25" t="n">
        <f aca="false">$CA$78</f>
        <v>0.088</v>
      </c>
      <c r="BZ78" s="25" t="n">
        <f aca="false">$CA$78</f>
        <v>0.088</v>
      </c>
      <c r="CA78" s="49" t="n">
        <v>0.088</v>
      </c>
      <c r="CB78" s="25" t="n">
        <f aca="false">CA78</f>
        <v>0.088</v>
      </c>
      <c r="CC78" s="25" t="n">
        <f aca="false">CB78</f>
        <v>0.088</v>
      </c>
      <c r="CD78" s="25" t="n">
        <f aca="false">CC78</f>
        <v>0.088</v>
      </c>
      <c r="CE78" s="25" t="n">
        <f aca="false">CD78</f>
        <v>0.088</v>
      </c>
      <c r="CF78" s="20" t="s">
        <v>215</v>
      </c>
      <c r="CN78" s="26" t="s">
        <v>142</v>
      </c>
      <c r="CO78" s="54" t="n">
        <f aca="false">CP78+$CO$74</f>
        <v>1250</v>
      </c>
      <c r="CP78" s="27" t="n">
        <v>750</v>
      </c>
      <c r="CQ78" s="54" t="n">
        <f aca="false">CP78+$CQ$74</f>
        <v>250</v>
      </c>
    </row>
    <row r="79" customFormat="false" ht="15" hidden="false" customHeight="true" outlineLevel="0" collapsed="false">
      <c r="B79" s="26" t="s">
        <v>216</v>
      </c>
      <c r="BY79" s="37" t="n">
        <f aca="false">BY68*BY78</f>
        <v>18.1609548725713</v>
      </c>
      <c r="BZ79" s="37" t="n">
        <f aca="false">BZ68*BZ78</f>
        <v>40.7514109335747</v>
      </c>
      <c r="CA79" s="37" t="n">
        <f aca="false">SUM(BW79,BX79,BY79,BZ79)</f>
        <v>58.912365806146</v>
      </c>
      <c r="CB79" s="37" t="n">
        <f aca="false">CB68*CB78</f>
        <v>169.760633046658</v>
      </c>
      <c r="CC79" s="37" t="n">
        <f aca="false">CC68*CC78</f>
        <v>178.24866469899</v>
      </c>
      <c r="CD79" s="37" t="n">
        <f aca="false">CD68*CD78</f>
        <v>186.269854610445</v>
      </c>
      <c r="CE79" s="37" t="n">
        <f aca="false">CE68*CE78</f>
        <v>194.651998067915</v>
      </c>
      <c r="CF79" s="6"/>
    </row>
    <row r="80" customFormat="false" ht="15" hidden="false" customHeight="true" outlineLevel="0" collapsed="false">
      <c r="B80" s="42" t="s">
        <v>217</v>
      </c>
      <c r="BY80" s="37" t="n">
        <f aca="false">BY74+BY71+BY73+BY77-BY79</f>
        <v>86.1810374883351</v>
      </c>
      <c r="BZ80" s="37" t="n">
        <f aca="false">BZ74+BZ71+BZ73+BZ77-BZ79</f>
        <v>193.381840217728</v>
      </c>
      <c r="CA80" s="37" t="n">
        <f aca="false">CA74+CA71+CA73+CA77-CA79</f>
        <v>279.562877706063</v>
      </c>
      <c r="CB80" s="37" t="n">
        <f aca="false">CB74+CB71+CB73+CB77-CB79</f>
        <v>852.721203177229</v>
      </c>
      <c r="CC80" s="37" t="n">
        <f aca="false">CC74+CC71+CC73+CC77-CC79</f>
        <v>945.860028375806</v>
      </c>
      <c r="CD80" s="37" t="n">
        <f aca="false">CD74+CD71+CD73+CD77-CD79</f>
        <v>984.598729652717</v>
      </c>
      <c r="CE80" s="37" t="n">
        <f aca="false">CE74+CE71+CE73+CE77-CE79</f>
        <v>1025.08067248709</v>
      </c>
      <c r="CF80" s="20" t="s">
        <v>218</v>
      </c>
    </row>
    <row r="81" customFormat="false" ht="15" hidden="false" customHeight="true" outlineLevel="0" collapsed="false">
      <c r="B81" s="42" t="s">
        <v>219</v>
      </c>
      <c r="BY81" s="25" t="n">
        <f aca="false">IFERROR(BY80/BY68,"")</f>
        <v>0.417595404657251</v>
      </c>
      <c r="BZ81" s="25" t="n">
        <f aca="false">IFERROR(BZ80/BZ68,"")</f>
        <v>0.417595404657251</v>
      </c>
      <c r="CA81" s="25" t="n">
        <f aca="false">IFERROR(CA80/CA68,"")</f>
        <v>0.417595404657251</v>
      </c>
      <c r="CB81" s="25" t="n">
        <f aca="false">IFERROR(CB80/CB68,"")</f>
        <v>0.442031020578087</v>
      </c>
      <c r="CC81" s="25" t="n">
        <f aca="false">IFERROR(CC80/CC68,"")</f>
        <v>0.466963848720166</v>
      </c>
      <c r="CD81" s="25" t="n">
        <f aca="false">IFERROR(CD80/CD68,"")</f>
        <v>0.465156793033651</v>
      </c>
      <c r="CE81" s="25" t="n">
        <f aca="false">IFERROR(CE80/CE68,"")</f>
        <v>0.46342755314225</v>
      </c>
      <c r="CF81" s="6"/>
    </row>
    <row r="82" customFormat="false" ht="15" hidden="false" customHeight="true" outlineLevel="0" collapsed="false"/>
    <row r="83" customFormat="false" ht="15" hidden="false" customHeight="true" outlineLevel="0" collapsed="false">
      <c r="B83" s="15" t="s">
        <v>220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6" t="s">
        <v>221</v>
      </c>
    </row>
    <row r="84" customFormat="false" ht="15" hidden="false" customHeight="true" outlineLevel="0" collapsed="false">
      <c r="B84" s="26" t="s">
        <v>222</v>
      </c>
      <c r="C84" s="36" t="n">
        <v>-7.8</v>
      </c>
      <c r="D84" s="36" t="n">
        <v>-4.6</v>
      </c>
      <c r="E84" s="36" t="n">
        <v>-4.1</v>
      </c>
      <c r="F84" s="36" t="n">
        <v>-3.7</v>
      </c>
      <c r="G84" s="36" t="n">
        <v>-4.3</v>
      </c>
      <c r="H84" s="36" t="n">
        <v>-3.4</v>
      </c>
      <c r="I84" s="36" t="n">
        <v>-5.4</v>
      </c>
      <c r="J84" s="36" t="n">
        <v>-2</v>
      </c>
      <c r="K84" s="36" t="n">
        <v>0.3</v>
      </c>
      <c r="L84" s="36" t="n">
        <v>0.3</v>
      </c>
      <c r="M84" s="36" t="n">
        <v>-0.1</v>
      </c>
      <c r="N84" s="36" t="n">
        <v>-1.4</v>
      </c>
      <c r="O84" s="36" t="n">
        <v>-0.6</v>
      </c>
      <c r="P84" s="36" t="n">
        <v>0.5</v>
      </c>
      <c r="Q84" s="36" t="n">
        <v>-0.8</v>
      </c>
      <c r="R84" s="36" t="n">
        <v>2.9</v>
      </c>
      <c r="S84" s="36" t="n">
        <v>2.1</v>
      </c>
      <c r="T84" s="36" t="n">
        <v>-3.6</v>
      </c>
      <c r="U84" s="36" t="n">
        <v>-5.9</v>
      </c>
      <c r="V84" s="36" t="n">
        <v>-6.9</v>
      </c>
      <c r="W84" s="36" t="n">
        <v>10.4</v>
      </c>
      <c r="X84" s="36" t="n">
        <v>-6.2</v>
      </c>
      <c r="Y84" s="36" t="n">
        <v>-4</v>
      </c>
      <c r="Z84" s="36" t="n">
        <v>-1.5</v>
      </c>
      <c r="AA84" s="36" t="n">
        <v>-3.2</v>
      </c>
      <c r="AB84" s="36" t="n">
        <v>0.5</v>
      </c>
      <c r="AC84" s="36" t="n">
        <v>-8.1</v>
      </c>
      <c r="AD84" s="36" t="n">
        <v>-0.4</v>
      </c>
      <c r="AE84" s="36" t="n">
        <v>0.3</v>
      </c>
      <c r="AF84" s="36" t="n">
        <v>3.5</v>
      </c>
      <c r="AG84" s="36" t="n">
        <v>3.5</v>
      </c>
      <c r="AH84" s="36" t="n">
        <v>6.9</v>
      </c>
      <c r="AI84" s="36" t="n">
        <v>1.9</v>
      </c>
      <c r="AJ84" s="36" t="n">
        <v>3.168</v>
      </c>
      <c r="AK84" s="36" t="n">
        <v>-0.579</v>
      </c>
      <c r="AL84" s="36" t="n">
        <v>3.098</v>
      </c>
      <c r="AM84" s="36" t="n">
        <v>7.572</v>
      </c>
      <c r="AN84" s="36" t="n">
        <v>-0.474</v>
      </c>
      <c r="AO84" s="36" t="n">
        <v>0.195</v>
      </c>
      <c r="AP84" s="36" t="n">
        <v>1.725</v>
      </c>
      <c r="AQ84" s="36" t="n">
        <v>1.579</v>
      </c>
      <c r="AR84" s="36" t="n">
        <v>3.024</v>
      </c>
      <c r="AS84" s="36" t="n">
        <v>-1</v>
      </c>
      <c r="AT84" s="36" t="n">
        <v>4.5</v>
      </c>
      <c r="AU84" s="36" t="n">
        <v>0.7</v>
      </c>
      <c r="AV84" s="36" t="n">
        <v>3.2</v>
      </c>
      <c r="AW84" s="36" t="n">
        <v>7.5</v>
      </c>
      <c r="AX84" s="36" t="n">
        <v>-0.8</v>
      </c>
      <c r="AY84" s="36" t="n">
        <v>0.5</v>
      </c>
      <c r="AZ84" s="36" t="n">
        <v>0.5</v>
      </c>
      <c r="BA84" s="36" t="n">
        <v>1.8</v>
      </c>
      <c r="BB84" s="36" t="n">
        <v>2</v>
      </c>
      <c r="BC84" s="36" t="n">
        <v>-7.9</v>
      </c>
      <c r="BD84" s="36" t="n">
        <v>1.6</v>
      </c>
      <c r="BE84" s="36" t="n">
        <v>-2.1</v>
      </c>
      <c r="BF84" s="36" t="n">
        <v>2.8</v>
      </c>
      <c r="BG84" s="36" t="n">
        <v>-5.8</v>
      </c>
      <c r="BH84" s="36" t="n">
        <v>1.9</v>
      </c>
      <c r="BI84" s="36" t="n">
        <v>-3.4</v>
      </c>
      <c r="BJ84" s="36" t="n">
        <v>5.1</v>
      </c>
      <c r="BK84" s="36" t="n">
        <v>-0.8</v>
      </c>
      <c r="BL84" s="36" t="n">
        <v>2.8</v>
      </c>
      <c r="BM84" s="36" t="n">
        <v>-5</v>
      </c>
      <c r="BN84" s="36" t="n">
        <v>-11</v>
      </c>
      <c r="BO84" s="36" t="n">
        <v>-18</v>
      </c>
      <c r="BP84" s="36" t="n">
        <v>-5</v>
      </c>
      <c r="BQ84" s="36" t="n">
        <v>-39</v>
      </c>
      <c r="BR84" s="36" t="n">
        <v>-1</v>
      </c>
      <c r="BS84" s="36" t="n">
        <v>-9</v>
      </c>
      <c r="BT84" s="36" t="n">
        <v>-8</v>
      </c>
      <c r="BU84" s="36" t="n">
        <v>-4</v>
      </c>
      <c r="BV84" s="36" t="n">
        <v>-23</v>
      </c>
      <c r="BW84" s="36" t="n">
        <v>-7</v>
      </c>
      <c r="BX84" s="36" t="n">
        <v>-7</v>
      </c>
      <c r="BY84" s="37" t="n">
        <f aca="false">(BW84+BX84)/2</f>
        <v>-7</v>
      </c>
      <c r="BZ84" s="37" t="n">
        <f aca="false">(BW84+BX84)/2</f>
        <v>-7</v>
      </c>
      <c r="CA84" s="37" t="n">
        <f aca="false">SUM(BW84,BX84,BY84,BZ84)</f>
        <v>-28</v>
      </c>
      <c r="CB84" s="52" t="n">
        <v>-30</v>
      </c>
      <c r="CC84" s="52" t="n">
        <v>-30</v>
      </c>
      <c r="CD84" s="52" t="n">
        <v>-30</v>
      </c>
      <c r="CE84" s="52" t="n">
        <v>-30</v>
      </c>
      <c r="CF84" s="20" t="s">
        <v>223</v>
      </c>
    </row>
    <row r="85" customFormat="false" ht="15" hidden="false" customHeight="true" outlineLevel="0" collapsed="false">
      <c r="B85" s="26" t="s">
        <v>224</v>
      </c>
      <c r="C85" s="36" t="n">
        <v>263.5</v>
      </c>
      <c r="D85" s="36" t="n">
        <v>239.5</v>
      </c>
      <c r="E85" s="36" t="n">
        <v>256.8</v>
      </c>
      <c r="F85" s="36" t="n">
        <v>206</v>
      </c>
      <c r="G85" s="36" t="n">
        <v>232</v>
      </c>
      <c r="H85" s="36" t="n">
        <v>193.9</v>
      </c>
      <c r="I85" s="36" t="n">
        <v>198.9</v>
      </c>
      <c r="J85" s="36" t="n">
        <v>39.8</v>
      </c>
      <c r="K85" s="36" t="n">
        <v>54</v>
      </c>
      <c r="L85" s="36" t="n">
        <v>64.8</v>
      </c>
      <c r="M85" s="36" t="n">
        <v>53.6</v>
      </c>
      <c r="N85" s="36" t="n">
        <v>212.3</v>
      </c>
      <c r="O85" s="36" t="n">
        <v>49</v>
      </c>
      <c r="P85" s="36" t="n">
        <v>67.3</v>
      </c>
      <c r="Q85" s="36" t="n">
        <v>85.8</v>
      </c>
      <c r="R85" s="36" t="n">
        <v>76.8</v>
      </c>
      <c r="S85" s="36" t="n">
        <v>278.9</v>
      </c>
      <c r="T85" s="36" t="n">
        <v>59.5</v>
      </c>
      <c r="U85" s="36" t="n">
        <v>71.2</v>
      </c>
      <c r="V85" s="36" t="n">
        <v>77</v>
      </c>
      <c r="W85" s="36" t="n">
        <v>63.8</v>
      </c>
      <c r="X85" s="36" t="n">
        <v>271.5</v>
      </c>
      <c r="Y85" s="36" t="n">
        <v>54.8</v>
      </c>
      <c r="Z85" s="36" t="n">
        <v>61.9</v>
      </c>
      <c r="AA85" s="36" t="n">
        <v>65.6</v>
      </c>
      <c r="AB85" s="36" t="n">
        <v>59.8</v>
      </c>
      <c r="AC85" s="36" t="n">
        <v>242</v>
      </c>
      <c r="AD85" s="36" t="n">
        <v>52.2</v>
      </c>
      <c r="AE85" s="36" t="n">
        <v>67.2</v>
      </c>
      <c r="AF85" s="36" t="n">
        <v>65.6</v>
      </c>
      <c r="AG85" s="36" t="n">
        <v>59.2</v>
      </c>
      <c r="AH85" s="36" t="n">
        <v>244.2</v>
      </c>
      <c r="AI85" s="36" t="n">
        <v>48.7</v>
      </c>
      <c r="AJ85" s="36" t="n">
        <v>73.626</v>
      </c>
      <c r="AK85" s="36" t="n">
        <v>77.422</v>
      </c>
      <c r="AL85" s="36" t="n">
        <v>64.167</v>
      </c>
      <c r="AM85" s="36" t="n">
        <v>263.914</v>
      </c>
      <c r="AN85" s="36" t="n">
        <v>60.65</v>
      </c>
      <c r="AO85" s="36" t="n">
        <v>83.333</v>
      </c>
      <c r="AP85" s="36" t="n">
        <v>97.086</v>
      </c>
      <c r="AQ85" s="36" t="n">
        <v>75.711</v>
      </c>
      <c r="AR85" s="36" t="n">
        <v>316.78</v>
      </c>
      <c r="AS85" s="36" t="n">
        <v>67.2</v>
      </c>
      <c r="AT85" s="36" t="n">
        <v>81.1</v>
      </c>
      <c r="AU85" s="36" t="n">
        <v>80.7</v>
      </c>
      <c r="AV85" s="36" t="n">
        <v>68.7</v>
      </c>
      <c r="AW85" s="36" t="n">
        <v>297.8</v>
      </c>
      <c r="AX85" s="36" t="n">
        <v>60.5</v>
      </c>
      <c r="AY85" s="36" t="n">
        <v>82.6</v>
      </c>
      <c r="AZ85" s="36" t="n">
        <v>94.6</v>
      </c>
      <c r="BA85" s="36" t="n">
        <v>91.5</v>
      </c>
      <c r="BB85" s="36" t="n">
        <v>329.3</v>
      </c>
      <c r="BC85" s="36" t="n">
        <v>83</v>
      </c>
      <c r="BD85" s="36" t="n">
        <v>117.9</v>
      </c>
      <c r="BE85" s="36" t="n">
        <v>131.2</v>
      </c>
      <c r="BF85" s="36" t="n">
        <v>98.1</v>
      </c>
      <c r="BG85" s="36" t="n">
        <v>430.2</v>
      </c>
      <c r="BH85" s="36" t="n">
        <v>0</v>
      </c>
      <c r="BI85" s="36" t="n">
        <v>0</v>
      </c>
      <c r="BJ85" s="36" t="n">
        <v>0</v>
      </c>
      <c r="BK85" s="36" t="n">
        <v>0</v>
      </c>
      <c r="BL85" s="36" t="n">
        <v>0</v>
      </c>
      <c r="BM85" s="36" t="n">
        <v>0</v>
      </c>
      <c r="BN85" s="36" t="n">
        <v>0</v>
      </c>
      <c r="BO85" s="36" t="n">
        <v>0</v>
      </c>
      <c r="BP85" s="36" t="n">
        <v>0</v>
      </c>
      <c r="BQ85" s="36" t="n">
        <v>0</v>
      </c>
      <c r="BR85" s="36" t="n">
        <v>0</v>
      </c>
      <c r="BS85" s="36" t="n">
        <v>0</v>
      </c>
      <c r="BT85" s="36" t="n">
        <v>0</v>
      </c>
      <c r="BU85" s="36" t="n">
        <v>0</v>
      </c>
      <c r="BV85" s="36" t="n">
        <v>0</v>
      </c>
      <c r="BW85" s="36" t="n">
        <v>0</v>
      </c>
      <c r="BX85" s="36" t="n">
        <v>0</v>
      </c>
      <c r="BY85" s="6"/>
      <c r="BZ85" s="6"/>
      <c r="CA85" s="6"/>
      <c r="CB85" s="6"/>
      <c r="CC85" s="6"/>
      <c r="CD85" s="6"/>
      <c r="CE85" s="6"/>
      <c r="CF85" s="6"/>
    </row>
    <row r="86" customFormat="false" ht="15" hidden="false" customHeight="true" outlineLevel="0" collapsed="false">
      <c r="B86" s="26" t="s">
        <v>225</v>
      </c>
      <c r="C86" s="36" t="n">
        <v>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0</v>
      </c>
      <c r="K86" s="36" t="n">
        <v>0</v>
      </c>
      <c r="L86" s="36" t="n">
        <v>0</v>
      </c>
      <c r="M86" s="36" t="n">
        <v>0</v>
      </c>
      <c r="N86" s="36" t="n">
        <v>0</v>
      </c>
      <c r="O86" s="36" t="n">
        <v>0</v>
      </c>
      <c r="P86" s="36" t="n">
        <v>0</v>
      </c>
      <c r="Q86" s="36" t="n">
        <v>0</v>
      </c>
      <c r="R86" s="36" t="n">
        <v>0</v>
      </c>
      <c r="S86" s="36" t="n">
        <v>0</v>
      </c>
      <c r="T86" s="36" t="n">
        <v>0</v>
      </c>
      <c r="U86" s="36" t="n">
        <v>0</v>
      </c>
      <c r="V86" s="36" t="n">
        <v>0</v>
      </c>
      <c r="W86" s="36" t="n">
        <v>0</v>
      </c>
      <c r="X86" s="36" t="n">
        <v>0</v>
      </c>
      <c r="Y86" s="36" t="n">
        <v>0</v>
      </c>
      <c r="Z86" s="36" t="n">
        <v>0</v>
      </c>
      <c r="AA86" s="36" t="n">
        <v>0</v>
      </c>
      <c r="AB86" s="36" t="n">
        <v>0</v>
      </c>
      <c r="AC86" s="36" t="n">
        <v>0</v>
      </c>
      <c r="AD86" s="36" t="n">
        <v>0</v>
      </c>
      <c r="AE86" s="36" t="n">
        <v>0</v>
      </c>
      <c r="AF86" s="36" t="n">
        <v>0</v>
      </c>
      <c r="AG86" s="36" t="n">
        <v>0</v>
      </c>
      <c r="AH86" s="36" t="n">
        <v>0</v>
      </c>
      <c r="AI86" s="36" t="n">
        <v>-1.3</v>
      </c>
      <c r="AJ86" s="36" t="n">
        <v>-0.43</v>
      </c>
      <c r="AK86" s="36" t="n">
        <v>-1.123</v>
      </c>
      <c r="AL86" s="36" t="n">
        <v>-1.117</v>
      </c>
      <c r="AM86" s="36" t="n">
        <v>-3.964</v>
      </c>
      <c r="AN86" s="36" t="n">
        <v>-1.23</v>
      </c>
      <c r="AO86" s="36" t="n">
        <v>-0.947</v>
      </c>
      <c r="AP86" s="36" t="n">
        <v>-0.67</v>
      </c>
      <c r="AQ86" s="36" t="n">
        <v>-1.398</v>
      </c>
      <c r="AR86" s="36" t="n">
        <v>-4.246</v>
      </c>
      <c r="AS86" s="36" t="n">
        <v>-1.2</v>
      </c>
      <c r="AT86" s="36" t="n">
        <v>-1.6</v>
      </c>
      <c r="AU86" s="36" t="n">
        <v>-0.1</v>
      </c>
      <c r="AV86" s="36" t="n">
        <v>-0.8</v>
      </c>
      <c r="AW86" s="36" t="n">
        <v>-3.7</v>
      </c>
      <c r="AX86" s="36" t="n">
        <v>-1.2</v>
      </c>
      <c r="AY86" s="36" t="n">
        <v>-0.2</v>
      </c>
      <c r="AZ86" s="36" t="n">
        <v>0.2</v>
      </c>
      <c r="BA86" s="36" t="n">
        <v>0.6</v>
      </c>
      <c r="BB86" s="36" t="n">
        <v>-0.6</v>
      </c>
      <c r="BC86" s="36" t="n">
        <v>0.2</v>
      </c>
      <c r="BD86" s="36" t="n">
        <v>-3</v>
      </c>
      <c r="BE86" s="36" t="n">
        <v>1.1</v>
      </c>
      <c r="BF86" s="36" t="n">
        <v>-1</v>
      </c>
      <c r="BG86" s="36" t="n">
        <v>-2.6</v>
      </c>
      <c r="BH86" s="36" t="n">
        <v>0</v>
      </c>
      <c r="BI86" s="36" t="n">
        <v>0</v>
      </c>
      <c r="BJ86" s="36" t="n">
        <v>0</v>
      </c>
      <c r="BK86" s="36" t="n">
        <v>0</v>
      </c>
      <c r="BL86" s="36" t="n">
        <v>0</v>
      </c>
      <c r="BM86" s="36" t="n">
        <v>0</v>
      </c>
      <c r="BN86" s="36" t="n">
        <v>0</v>
      </c>
      <c r="BO86" s="36" t="n">
        <v>0</v>
      </c>
      <c r="BP86" s="36" t="n">
        <v>0</v>
      </c>
      <c r="BQ86" s="36" t="n">
        <v>0</v>
      </c>
      <c r="BR86" s="36" t="n">
        <v>0</v>
      </c>
      <c r="BS86" s="36" t="n">
        <v>0</v>
      </c>
      <c r="BT86" s="36" t="n">
        <v>0</v>
      </c>
      <c r="BU86" s="36" t="n">
        <v>0</v>
      </c>
      <c r="BV86" s="36" t="n">
        <v>0</v>
      </c>
      <c r="BW86" s="36" t="n">
        <v>0</v>
      </c>
      <c r="BX86" s="36" t="n">
        <v>0</v>
      </c>
      <c r="BY86" s="6"/>
      <c r="BZ86" s="6"/>
      <c r="CA86" s="6"/>
      <c r="CB86" s="6"/>
      <c r="CC86" s="6"/>
      <c r="CD86" s="6"/>
      <c r="CE86" s="6"/>
      <c r="CF86" s="6"/>
    </row>
    <row r="87" customFormat="false" ht="15" hidden="false" customHeight="true" outlineLevel="0" collapsed="false">
      <c r="B87" s="26" t="s">
        <v>226</v>
      </c>
      <c r="C87" s="36" t="n">
        <v>1792.2</v>
      </c>
      <c r="D87" s="36" t="n">
        <v>1813.2</v>
      </c>
      <c r="E87" s="36" t="n">
        <v>1696.1</v>
      </c>
      <c r="F87" s="36" t="n">
        <v>1352.9</v>
      </c>
      <c r="G87" s="36" t="n">
        <v>1374.5</v>
      </c>
      <c r="BY87" s="6"/>
      <c r="BZ87" s="6"/>
      <c r="CA87" s="6"/>
      <c r="CB87" s="6"/>
      <c r="CC87" s="6"/>
      <c r="CD87" s="6"/>
      <c r="CE87" s="6"/>
      <c r="CF87" s="6"/>
    </row>
    <row r="88" customFormat="false" ht="15" hidden="false" customHeight="true" outlineLevel="0" collapsed="false">
      <c r="B88" s="26" t="s">
        <v>227</v>
      </c>
      <c r="C88" s="36" t="n">
        <v>496.8</v>
      </c>
      <c r="D88" s="36" t="n">
        <v>532.2</v>
      </c>
      <c r="E88" s="36" t="n">
        <v>432.7</v>
      </c>
      <c r="F88" s="36" t="n">
        <v>295.8</v>
      </c>
      <c r="G88" s="36" t="n">
        <v>264.6</v>
      </c>
      <c r="H88" s="36" t="n">
        <v>230</v>
      </c>
      <c r="BY88" s="6"/>
      <c r="BZ88" s="6"/>
      <c r="CA88" s="6"/>
      <c r="CB88" s="6"/>
      <c r="CC88" s="6"/>
      <c r="CD88" s="6"/>
      <c r="CE88" s="6"/>
      <c r="CF88" s="6"/>
    </row>
    <row r="89" customFormat="false" ht="15" hidden="false" customHeight="true" outlineLevel="0" collapsed="false"/>
    <row r="90" customFormat="false" ht="15" hidden="false" customHeight="true" outlineLevel="0" collapsed="false">
      <c r="B90" s="15" t="s">
        <v>228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6" t="s">
        <v>229</v>
      </c>
    </row>
    <row r="91" customFormat="false" ht="15" hidden="false" customHeight="true" outlineLevel="0" collapsed="false">
      <c r="B91" s="26" t="s">
        <v>230</v>
      </c>
      <c r="BY91" s="6"/>
      <c r="BZ91" s="6"/>
      <c r="CA91" s="52" t="n">
        <v>0</v>
      </c>
      <c r="CB91" s="37" t="n">
        <f aca="false">MAX(0,CHOOSE(MATCH($CF$2,{"Bull","Base","Bear"},0),$CO$75,$CP$75,$CQ$75))</f>
        <v>0</v>
      </c>
      <c r="CC91" s="37" t="n">
        <f aca="false">MAX(0,CHOOSE(MATCH($CF$2,{"Bull","Base","Bear"},0),$CO$76,$CP$76,$CQ$76))</f>
        <v>500</v>
      </c>
      <c r="CD91" s="37" t="n">
        <f aca="false">MAX(0,CHOOSE(MATCH($CF$2,{"Bull","Base","Bear"},0),$CO$77,$CP$77,$CQ$77))</f>
        <v>750</v>
      </c>
      <c r="CE91" s="37" t="n">
        <f aca="false">MAX(0,CHOOSE(MATCH($CF$2,{"Bull","Base","Bear"},0),$CO$78,$CP$78,$CQ$78))</f>
        <v>750</v>
      </c>
      <c r="CF91" s="20" t="s">
        <v>231</v>
      </c>
    </row>
    <row r="92" customFormat="false" ht="15" hidden="false" customHeight="true" outlineLevel="0" collapsed="false">
      <c r="B92" s="26" t="s">
        <v>232</v>
      </c>
      <c r="BY92" s="6"/>
      <c r="BZ92" s="6"/>
      <c r="CA92" s="55" t="n">
        <v>0</v>
      </c>
      <c r="CB92" s="55" t="n">
        <v>3</v>
      </c>
      <c r="CC92" s="56" t="n">
        <f aca="false">CB92</f>
        <v>3</v>
      </c>
      <c r="CD92" s="56" t="n">
        <f aca="false">CC92</f>
        <v>3</v>
      </c>
      <c r="CE92" s="56" t="n">
        <f aca="false">CD92</f>
        <v>3</v>
      </c>
      <c r="CF92" s="6"/>
    </row>
    <row r="93" customFormat="false" ht="15" hidden="false" customHeight="true" outlineLevel="0" collapsed="false">
      <c r="B93" s="26" t="s">
        <v>233</v>
      </c>
      <c r="BY93" s="6"/>
      <c r="BZ93" s="6"/>
      <c r="CA93" s="52" t="n">
        <v>0</v>
      </c>
      <c r="CB93" s="37" t="n">
        <f aca="false">IFERROR(CB91/CB92,0)</f>
        <v>0</v>
      </c>
      <c r="CC93" s="37" t="n">
        <f aca="false">IFERROR(CC91/CC92,0)</f>
        <v>166.666666666667</v>
      </c>
      <c r="CD93" s="37" t="n">
        <f aca="false">IFERROR(CD91/CD92,0)</f>
        <v>250</v>
      </c>
      <c r="CE93" s="37" t="n">
        <f aca="false">IFERROR(CE91/CE92,0)</f>
        <v>250</v>
      </c>
      <c r="CF93" s="6"/>
    </row>
    <row r="94" customFormat="false" ht="15" hidden="false" customHeight="true" outlineLevel="0" collapsed="false">
      <c r="B94" s="26" t="s">
        <v>234</v>
      </c>
      <c r="BY94" s="6"/>
      <c r="BZ94" s="6"/>
      <c r="CA94" s="49" t="n">
        <v>0</v>
      </c>
      <c r="CB94" s="49" t="n">
        <v>0.05</v>
      </c>
      <c r="CC94" s="25" t="n">
        <f aca="false">CB94</f>
        <v>0.05</v>
      </c>
      <c r="CD94" s="25" t="n">
        <f aca="false">CC94</f>
        <v>0.05</v>
      </c>
      <c r="CE94" s="25" t="n">
        <f aca="false">CD94</f>
        <v>0.05</v>
      </c>
      <c r="CF94" s="6"/>
    </row>
    <row r="95" customFormat="false" ht="15" hidden="false" customHeight="true" outlineLevel="0" collapsed="false">
      <c r="B95" s="26" t="s">
        <v>235</v>
      </c>
      <c r="BY95" s="6"/>
      <c r="BZ95" s="6"/>
      <c r="CA95" s="52" t="n">
        <v>0</v>
      </c>
      <c r="CB95" s="37" t="n">
        <f aca="false">CA95*(1+CB94)+CB93</f>
        <v>0</v>
      </c>
      <c r="CC95" s="37" t="n">
        <f aca="false">CB95*(1+CC94)+CC93</f>
        <v>166.666666666667</v>
      </c>
      <c r="CD95" s="37" t="n">
        <f aca="false">CC95*(1+CD94)+CD93</f>
        <v>425</v>
      </c>
      <c r="CE95" s="37" t="n">
        <f aca="false">CD95*(1+CE94)+CE93</f>
        <v>696.25</v>
      </c>
      <c r="CF95" s="6"/>
    </row>
    <row r="96" customFormat="false" ht="15" hidden="false" customHeight="true" outlineLevel="0" collapsed="false">
      <c r="B96" s="17" t="s">
        <v>236</v>
      </c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57"/>
      <c r="BZ96" s="57"/>
      <c r="CA96" s="58" t="n">
        <v>0</v>
      </c>
      <c r="CB96" s="34" t="n">
        <f aca="false">CA95*(1+CB94)+0.5*CB93</f>
        <v>0</v>
      </c>
      <c r="CC96" s="34" t="n">
        <f aca="false">CB95*(1+CC94)+0.5*CC93</f>
        <v>83.3333333333333</v>
      </c>
      <c r="CD96" s="34" t="n">
        <f aca="false">CC95*(1+CD94)+0.5*CD93</f>
        <v>300</v>
      </c>
      <c r="CE96" s="34" t="n">
        <f aca="false">CD95*(1+CE94)+0.5*CE93</f>
        <v>571.25</v>
      </c>
      <c r="CF96" s="20" t="s">
        <v>237</v>
      </c>
    </row>
    <row r="97" customFormat="false" ht="15" hidden="false" customHeight="true" outlineLevel="0" collapsed="false">
      <c r="B97" s="26" t="s">
        <v>238</v>
      </c>
      <c r="BY97" s="6"/>
      <c r="BZ97" s="6"/>
      <c r="CA97" s="49" t="n">
        <v>0</v>
      </c>
      <c r="CB97" s="49" t="n">
        <v>0.25</v>
      </c>
      <c r="CC97" s="25" t="n">
        <f aca="false">CB97</f>
        <v>0.25</v>
      </c>
      <c r="CD97" s="25" t="n">
        <f aca="false">CC97</f>
        <v>0.25</v>
      </c>
      <c r="CE97" s="25" t="n">
        <f aca="false">CD97</f>
        <v>0.25</v>
      </c>
      <c r="CF97" s="6"/>
    </row>
    <row r="98" customFormat="false" ht="15" hidden="false" customHeight="true" outlineLevel="0" collapsed="false">
      <c r="B98" s="26" t="s">
        <v>239</v>
      </c>
      <c r="BY98" s="6"/>
      <c r="BZ98" s="6"/>
      <c r="CA98" s="52" t="n">
        <v>0</v>
      </c>
      <c r="CB98" s="37" t="n">
        <f aca="false">CB96*CB97</f>
        <v>0</v>
      </c>
      <c r="CC98" s="37" t="n">
        <f aca="false">CC96*CC97</f>
        <v>20.8333333333333</v>
      </c>
      <c r="CD98" s="37" t="n">
        <f aca="false">CD96*CD97</f>
        <v>75</v>
      </c>
      <c r="CE98" s="37" t="n">
        <f aca="false">CE96*CE97</f>
        <v>142.8125</v>
      </c>
      <c r="CF98" s="6"/>
    </row>
    <row r="99" customFormat="false" ht="15" hidden="false" customHeight="true" outlineLevel="0" collapsed="false">
      <c r="B99" s="26" t="s">
        <v>240</v>
      </c>
      <c r="BY99" s="6"/>
      <c r="BZ99" s="6"/>
      <c r="CA99" s="49" t="n">
        <v>0</v>
      </c>
      <c r="CB99" s="49" t="n">
        <v>0.12</v>
      </c>
      <c r="CC99" s="25" t="n">
        <f aca="false">CB99</f>
        <v>0.12</v>
      </c>
      <c r="CD99" s="25" t="n">
        <f aca="false">CC99</f>
        <v>0.12</v>
      </c>
      <c r="CE99" s="25" t="n">
        <f aca="false">CD99</f>
        <v>0.12</v>
      </c>
      <c r="CF99" s="6"/>
    </row>
    <row r="100" customFormat="false" ht="15" hidden="false" customHeight="true" outlineLevel="0" collapsed="false">
      <c r="B100" s="26" t="s">
        <v>241</v>
      </c>
      <c r="BY100" s="6"/>
      <c r="BZ100" s="6"/>
      <c r="CA100" s="52" t="n">
        <v>0</v>
      </c>
      <c r="CB100" s="37" t="n">
        <f aca="false">CB96*CB99</f>
        <v>0</v>
      </c>
      <c r="CC100" s="37" t="n">
        <f aca="false">CC96*CC99</f>
        <v>10</v>
      </c>
      <c r="CD100" s="37" t="n">
        <f aca="false">CD96*CD99</f>
        <v>36</v>
      </c>
      <c r="CE100" s="37" t="n">
        <f aca="false">CE96*CE99</f>
        <v>68.55</v>
      </c>
      <c r="CF100" s="6"/>
    </row>
    <row r="101" customFormat="false" ht="15" hidden="false" customHeight="true" outlineLevel="0" collapsed="false">
      <c r="B101" s="26" t="s">
        <v>242</v>
      </c>
      <c r="BY101" s="6"/>
      <c r="BZ101" s="6"/>
      <c r="CA101" s="49" t="n">
        <v>0</v>
      </c>
      <c r="CB101" s="49" t="n">
        <v>0.55</v>
      </c>
      <c r="CC101" s="25" t="n">
        <f aca="false">CB101</f>
        <v>0.55</v>
      </c>
      <c r="CD101" s="25" t="n">
        <f aca="false">CC101</f>
        <v>0.55</v>
      </c>
      <c r="CE101" s="25" t="n">
        <f aca="false">CD101</f>
        <v>0.55</v>
      </c>
      <c r="CF101" s="20" t="s">
        <v>243</v>
      </c>
    </row>
    <row r="102" customFormat="false" ht="15" hidden="false" customHeight="true" outlineLevel="0" collapsed="false">
      <c r="B102" s="26" t="s">
        <v>244</v>
      </c>
      <c r="BY102" s="6"/>
      <c r="BZ102" s="6"/>
      <c r="CA102" s="49" t="n">
        <v>0</v>
      </c>
      <c r="CB102" s="49" t="n">
        <v>0.1</v>
      </c>
      <c r="CC102" s="25" t="n">
        <f aca="false">CB102</f>
        <v>0.1</v>
      </c>
      <c r="CD102" s="25" t="n">
        <f aca="false">CC102</f>
        <v>0.1</v>
      </c>
      <c r="CE102" s="25" t="n">
        <f aca="false">CD102</f>
        <v>0.1</v>
      </c>
      <c r="CF102" s="6"/>
    </row>
    <row r="103" customFormat="false" ht="15" hidden="false" customHeight="true" outlineLevel="0" collapsed="false">
      <c r="B103" s="26" t="s">
        <v>245</v>
      </c>
      <c r="BY103" s="6"/>
      <c r="BZ103" s="6"/>
      <c r="CA103" s="50" t="n">
        <v>0</v>
      </c>
      <c r="CB103" s="50" t="n">
        <v>15</v>
      </c>
      <c r="CC103" s="51" t="n">
        <f aca="false">CB103</f>
        <v>15</v>
      </c>
      <c r="CD103" s="51" t="n">
        <f aca="false">CC103</f>
        <v>15</v>
      </c>
      <c r="CE103" s="51" t="n">
        <f aca="false">CD103</f>
        <v>15</v>
      </c>
      <c r="CF103" s="6"/>
    </row>
    <row r="104" customFormat="false" ht="15" hidden="false" customHeight="true" outlineLevel="0" collapsed="false">
      <c r="B104" s="26" t="s">
        <v>246</v>
      </c>
      <c r="BY104" s="6"/>
      <c r="BZ104" s="6"/>
      <c r="CA104" s="52" t="n">
        <v>0</v>
      </c>
      <c r="CB104" s="37" t="n">
        <f aca="false">CA104+CB91*CB102</f>
        <v>0</v>
      </c>
      <c r="CC104" s="37" t="n">
        <f aca="false">CB104+CC91*CC102</f>
        <v>50</v>
      </c>
      <c r="CD104" s="37" t="n">
        <f aca="false">CC104+CD91*CD102</f>
        <v>125</v>
      </c>
      <c r="CE104" s="37" t="n">
        <f aca="false">CD104+CE91*CE102</f>
        <v>200</v>
      </c>
      <c r="CF104" s="6"/>
    </row>
    <row r="105" customFormat="false" ht="15" hidden="false" customHeight="true" outlineLevel="0" collapsed="false">
      <c r="B105" s="26" t="s">
        <v>247</v>
      </c>
      <c r="BY105" s="6"/>
      <c r="BZ105" s="6"/>
      <c r="CA105" s="52" t="n">
        <v>0</v>
      </c>
      <c r="CB105" s="37" t="n">
        <f aca="false">(CA104+0.5*CB91*CB102)/CB103</f>
        <v>0</v>
      </c>
      <c r="CC105" s="37" t="n">
        <f aca="false">(CB104+0.5*CC91*CC102)/CC103</f>
        <v>1.66666666666667</v>
      </c>
      <c r="CD105" s="37" t="n">
        <f aca="false">(CC104+0.5*CD91*CD102)/CD103</f>
        <v>5.83333333333333</v>
      </c>
      <c r="CE105" s="37" t="n">
        <f aca="false">(CD104+0.5*CE91*CE102)/CE103</f>
        <v>10.8333333333333</v>
      </c>
      <c r="CF105" s="6"/>
    </row>
    <row r="106" customFormat="false" ht="15" hidden="false" customHeight="true" outlineLevel="0" collapsed="false"/>
    <row r="107" customFormat="false" ht="15" hidden="false" customHeight="true" outlineLevel="0" collapsed="false">
      <c r="B107" s="15" t="s">
        <v>248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6" t="s">
        <v>249</v>
      </c>
    </row>
    <row r="108" customFormat="false" ht="15" hidden="false" customHeight="true" outlineLevel="0" collapsed="false">
      <c r="B108" s="59" t="s">
        <v>250</v>
      </c>
      <c r="C108" s="60" t="n">
        <f aca="false">N(C16)+N(C28)+N(C49)+N(C53)+N(C68)+N(C96)+N(C85)+N(C87)</f>
        <v>2206.4</v>
      </c>
      <c r="D108" s="60" t="n">
        <f aca="false">N(D16)+N(D28)+N(D49)+N(D53)+N(D68)+N(D96)+N(D85)+N(D87)</f>
        <v>2207.1</v>
      </c>
      <c r="E108" s="60" t="n">
        <f aca="false">N(E16)+N(E28)+N(E49)+N(E53)+N(E68)+N(E96)+N(E85)+N(E87)</f>
        <v>2120.1</v>
      </c>
      <c r="F108" s="60" t="n">
        <f aca="false">N(F16)+N(F28)+N(F49)+N(F53)+N(F68)+N(F96)+N(F85)+N(F87)</f>
        <v>1702.6</v>
      </c>
      <c r="G108" s="60" t="n">
        <f aca="false">N(G16)+N(G28)+N(G49)+N(G53)+N(G68)+N(G96)+N(G85)+N(G87)</f>
        <v>1782.9</v>
      </c>
      <c r="H108" s="60" t="n">
        <f aca="false">N(H16)+N(H28)+N(H49)+N(H53)+N(H68)+N(H96)+N(H85)+N(H87)</f>
        <v>1713.9</v>
      </c>
      <c r="I108" s="60" t="n">
        <f aca="false">N(I16)+N(I28)+N(I49)+N(I53)+N(I68)+N(I96)+N(I85)+N(I87)</f>
        <v>2037.6</v>
      </c>
      <c r="J108" s="60" t="n">
        <f aca="false">N(J16)+N(J28)+N(J49)+N(J53)+N(J68)+N(J96)+N(J85)+N(J87)</f>
        <v>385</v>
      </c>
      <c r="K108" s="60" t="n">
        <f aca="false">N(K16)+N(K28)+N(K49)+N(K53)+N(K68)+N(K96)+N(K85)+N(K87)</f>
        <v>562.7</v>
      </c>
      <c r="L108" s="60" t="n">
        <f aca="false">N(L16)+N(L28)+N(L49)+N(L53)+N(L68)+N(L96)+N(L85)+N(L87)</f>
        <v>665.3</v>
      </c>
      <c r="M108" s="60" t="n">
        <f aca="false">N(M16)+N(M28)+N(M49)+N(M53)+N(M68)+N(M96)+N(M85)+N(M87)</f>
        <v>545</v>
      </c>
      <c r="N108" s="60" t="n">
        <f aca="false">N(N16)+N(N28)+N(N49)+N(N53)+N(N68)+N(N96)+N(N85)+N(N87)</f>
        <v>2155.5</v>
      </c>
      <c r="O108" s="60" t="n">
        <f aca="false">N(O16)+N(O28)+N(O49)+N(O53)+N(O68)+N(O96)+N(O85)+N(O87)</f>
        <v>428.7</v>
      </c>
      <c r="P108" s="60" t="n">
        <f aca="false">N(P16)+N(P28)+N(P49)+N(P53)+N(P68)+N(P96)+N(P85)+N(P87)</f>
        <v>669.2</v>
      </c>
      <c r="Q108" s="60" t="n">
        <f aca="false">N(Q16)+N(Q28)+N(Q49)+N(Q53)+N(Q68)+N(Q96)+N(Q85)+N(Q87)</f>
        <v>1003.7</v>
      </c>
      <c r="R108" s="60" t="n">
        <f aca="false">N(R16)+N(R28)+N(R49)+N(R53)+N(R68)+N(R96)+N(R85)+N(R87)</f>
        <v>856.3</v>
      </c>
      <c r="S108" s="60" t="n">
        <f aca="false">N(S16)+N(S28)+N(S49)+N(S53)+N(S68)+N(S96)+N(S85)+N(S87)</f>
        <v>2958</v>
      </c>
      <c r="T108" s="60" t="n">
        <f aca="false">N(T16)+N(T28)+N(T49)+N(T53)+N(T68)+N(T96)+N(T85)+N(T87)</f>
        <v>691.4</v>
      </c>
      <c r="U108" s="60" t="n">
        <f aca="false">N(U16)+N(U28)+N(U49)+N(U53)+N(U68)+N(U96)+N(U85)+N(U87)</f>
        <v>921.4</v>
      </c>
      <c r="V108" s="60" t="n">
        <f aca="false">N(V16)+N(V28)+N(V49)+N(V53)+N(V68)+N(V96)+N(V85)+N(V87)</f>
        <v>1082.2</v>
      </c>
      <c r="W108" s="60" t="n">
        <f aca="false">N(W16)+N(W28)+N(W49)+N(W53)+N(W68)+N(W96)+N(W85)+N(W87)</f>
        <v>844.6</v>
      </c>
      <c r="X108" s="60" t="n">
        <f aca="false">N(X16)+N(X28)+N(X49)+N(X53)+N(X68)+N(X96)+N(X85)+N(X87)</f>
        <v>3539.6</v>
      </c>
      <c r="Y108" s="60" t="n">
        <f aca="false">N(Y16)+N(Y28)+N(Y49)+N(Y53)+N(Y68)+N(Y96)+N(Y85)+N(Y87)</f>
        <v>788.8</v>
      </c>
      <c r="Z108" s="60" t="n">
        <f aca="false">N(Z16)+N(Z28)+N(Z49)+N(Z53)+N(Z68)+N(Z96)+N(Z85)+N(Z87)</f>
        <v>977.3</v>
      </c>
      <c r="AA108" s="60" t="n">
        <f aca="false">N(AA16)+N(AA28)+N(AA49)+N(AA53)+N(AA68)+N(AA96)+N(AA85)+N(AA87)</f>
        <v>1103.9</v>
      </c>
      <c r="AB108" s="60" t="n">
        <f aca="false">N(AB16)+N(AB28)+N(AB49)+N(AB53)+N(AB68)+N(AB96)+N(AB85)+N(AB87)</f>
        <v>948.8</v>
      </c>
      <c r="AC108" s="60" t="n">
        <f aca="false">N(AC16)+N(AC28)+N(AC49)+N(AC53)+N(AC68)+N(AC96)+N(AC85)+N(AC87)</f>
        <v>3818.8</v>
      </c>
      <c r="AD108" s="60" t="n">
        <f aca="false">N(AD16)+N(AD28)+N(AD49)+N(AD53)+N(AD68)+N(AD96)+N(AD85)+N(AD87)</f>
        <v>843.9</v>
      </c>
      <c r="AE108" s="60" t="n">
        <f aca="false">N(AE16)+N(AE28)+N(AE49)+N(AE53)+N(AE68)+N(AE96)+N(AE85)+N(AE87)</f>
        <v>1063.5</v>
      </c>
      <c r="AF108" s="60" t="n">
        <f aca="false">N(AF16)+N(AF28)+N(AF49)+N(AF53)+N(AF68)+N(AF96)+N(AF85)+N(AF87)</f>
        <v>1087.7</v>
      </c>
      <c r="AG108" s="60" t="n">
        <f aca="false">N(AG16)+N(AG28)+N(AG49)+N(AG53)+N(AG68)+N(AG96)+N(AG85)+N(AG87)</f>
        <v>970.5</v>
      </c>
      <c r="AH108" s="60" t="n">
        <f aca="false">N(AH16)+N(AH28)+N(AH49)+N(AH53)+N(AH68)+N(AH96)+N(AH85)+N(AH87)</f>
        <v>3965.6</v>
      </c>
      <c r="AI108" s="60" t="n">
        <f aca="false">N(AI16)+N(AI28)+N(AI49)+N(AI53)+N(AI68)+N(AI96)+N(AI85)+N(AI87)</f>
        <v>802</v>
      </c>
      <c r="AJ108" s="60" t="n">
        <f aca="false">N(AJ16)+N(AJ28)+N(AJ49)+N(AJ53)+N(AJ68)+N(AJ96)+N(AJ85)+N(AJ87)</f>
        <v>1202.403</v>
      </c>
      <c r="AK108" s="60" t="n">
        <f aca="false">N(AK16)+N(AK28)+N(AK49)+N(AK53)+N(AK68)+N(AK96)+N(AK85)+N(AK87)</f>
        <v>1219.64</v>
      </c>
      <c r="AL108" s="60" t="n">
        <f aca="false">N(AL16)+N(AL28)+N(AL49)+N(AL53)+N(AL68)+N(AL96)+N(AL85)+N(AL87)</f>
        <v>1020.218</v>
      </c>
      <c r="AM108" s="60" t="n">
        <f aca="false">N(AM16)+N(AM28)+N(AM49)+N(AM53)+N(AM68)+N(AM96)+N(AM85)+N(AM87)</f>
        <v>4244.265</v>
      </c>
      <c r="AN108" s="60" t="n">
        <f aca="false">N(AN16)+N(AN28)+N(AN49)+N(AN53)+N(AN68)+N(AN96)+N(AN85)+N(AN87)</f>
        <v>938.955</v>
      </c>
      <c r="AO108" s="60" t="n">
        <f aca="false">N(AO16)+N(AO28)+N(AO49)+N(AO53)+N(AO68)+N(AO96)+N(AO85)+N(AO87)</f>
        <v>1279.468</v>
      </c>
      <c r="AP108" s="60" t="n">
        <f aca="false">N(AP16)+N(AP28)+N(AP49)+N(AP53)+N(AP68)+N(AP96)+N(AP85)+N(AP87)</f>
        <v>1420.246</v>
      </c>
      <c r="AQ108" s="60" t="n">
        <f aca="false">N(AQ16)+N(AQ28)+N(AQ49)+N(AQ53)+N(AQ68)+N(AQ96)+N(AQ85)+N(AQ87)</f>
        <v>1100.43</v>
      </c>
      <c r="AR108" s="60" t="n">
        <f aca="false">N(AR16)+N(AR28)+N(AR49)+N(AR53)+N(AR68)+N(AR96)+N(AR85)+N(AR87)</f>
        <v>4739.098</v>
      </c>
      <c r="AS108" s="60" t="n">
        <f aca="false">N(AS16)+N(AS28)+N(AS49)+N(AS53)+N(AS68)+N(AS96)+N(AS85)+N(AS87)</f>
        <v>958.2</v>
      </c>
      <c r="AT108" s="60" t="n">
        <f aca="false">N(AT16)+N(AT28)+N(AT49)+N(AT53)+N(AT68)+N(AT96)+N(AT85)+N(AT87)</f>
        <v>1270.6</v>
      </c>
      <c r="AU108" s="60" t="n">
        <f aca="false">N(AU16)+N(AU28)+N(AU49)+N(AU53)+N(AU68)+N(AU96)+N(AU85)+N(AU87)</f>
        <v>1321.4</v>
      </c>
      <c r="AV108" s="60" t="n">
        <f aca="false">N(AV16)+N(AV28)+N(AV49)+N(AV53)+N(AV68)+N(AV96)+N(AV85)+N(AV87)</f>
        <v>1179.6</v>
      </c>
      <c r="AW108" s="60" t="n">
        <f aca="false">N(AW16)+N(AW28)+N(AW49)+N(AW53)+N(AW68)+N(AW96)+N(AW85)+N(AW87)</f>
        <v>4729.9</v>
      </c>
      <c r="AX108" s="60" t="n">
        <f aca="false">N(AX16)+N(AX28)+N(AX49)+N(AX53)+N(AX68)+N(AX96)+N(AX85)+N(AX87)</f>
        <v>982.4</v>
      </c>
      <c r="AY108" s="60" t="n">
        <f aca="false">N(AY16)+N(AY28)+N(AY49)+N(AY53)+N(AY68)+N(AY96)+N(AY85)+N(AY87)</f>
        <v>1377.9</v>
      </c>
      <c r="AZ108" s="60" t="n">
        <f aca="false">N(AZ16)+N(AZ28)+N(AZ49)+N(AZ53)+N(AZ68)+N(AZ96)+N(AZ85)+N(AZ87)</f>
        <v>1557.3</v>
      </c>
      <c r="BA108" s="60" t="n">
        <f aca="false">N(BA16)+N(BA28)+N(BA49)+N(BA53)+N(BA68)+N(BA96)+N(BA85)+N(BA87)</f>
        <v>1496.4</v>
      </c>
      <c r="BB108" s="60" t="n">
        <f aca="false">N(BB16)+N(BB28)+N(BB49)+N(BB53)+N(BB68)+N(BB96)+N(BB85)+N(BB87)</f>
        <v>5414</v>
      </c>
      <c r="BC108" s="60" t="n">
        <f aca="false">N(BC16)+N(BC28)+N(BC49)+N(BC53)+N(BC68)+N(BC96)+N(BC85)+N(BC87)</f>
        <v>1230.8</v>
      </c>
      <c r="BD108" s="60" t="n">
        <f aca="false">N(BD16)+N(BD28)+N(BD49)+N(BD53)+N(BD68)+N(BD96)+N(BD85)+N(BD87)</f>
        <v>1641.7</v>
      </c>
      <c r="BE108" s="60" t="n">
        <f aca="false">N(BE16)+N(BE28)+N(BE49)+N(BE53)+N(BE68)+N(BE96)+N(BE85)+N(BE87)</f>
        <v>1811.7</v>
      </c>
      <c r="BF108" s="60" t="n">
        <f aca="false">N(BF16)+N(BF28)+N(BF49)+N(BF53)+N(BF68)+N(BF96)+N(BF85)+N(BF87)</f>
        <v>1476.5</v>
      </c>
      <c r="BG108" s="60" t="n">
        <f aca="false">N(BG16)+N(BG28)+N(BG49)+N(BG53)+N(BG68)+N(BG96)+N(BG85)+N(BG87)</f>
        <v>6160.7</v>
      </c>
      <c r="BH108" s="60" t="n">
        <f aca="false">N(BH16)+N(BH28)+N(BH49)+N(BH53)+N(BH68)+N(BH96)+N(BH85)+N(BH87)</f>
        <v>1354.1</v>
      </c>
      <c r="BI108" s="60" t="n">
        <f aca="false">N(BI16)+N(BI28)+N(BI49)+N(BI53)+N(BI68)+N(BI96)+N(BI85)+N(BI87)</f>
        <v>1820.8</v>
      </c>
      <c r="BJ108" s="60" t="n">
        <f aca="false">N(BJ16)+N(BJ28)+N(BJ49)+N(BJ53)+N(BJ68)+N(BJ96)+N(BJ85)+N(BJ87)</f>
        <v>1994.1</v>
      </c>
      <c r="BK108" s="60" t="n">
        <f aca="false">N(BK16)+N(BK28)+N(BK49)+N(BK53)+N(BK68)+N(BK96)+N(BK85)+N(BK87)</f>
        <v>1608.2</v>
      </c>
      <c r="BL108" s="60" t="n">
        <f aca="false">N(BL16)+N(BL28)+N(BL49)+N(BL53)+N(BL68)+N(BL96)+N(BL85)+N(BL87)</f>
        <v>6777.2</v>
      </c>
      <c r="BM108" s="60" t="n">
        <f aca="false">N(BM16)+N(BM28)+N(BM49)+N(BM53)+N(BM68)+N(BM96)+N(BM85)+N(BM87)</f>
        <v>1251</v>
      </c>
      <c r="BN108" s="60" t="n">
        <f aca="false">N(BN16)+N(BN28)+N(BN49)+N(BN53)+N(BN68)+N(BN96)+N(BN85)+N(BN87)</f>
        <v>1764</v>
      </c>
      <c r="BO108" s="60" t="n">
        <f aca="false">N(BO16)+N(BO28)+N(BO49)+N(BO53)+N(BO68)+N(BO96)+N(BO85)+N(BO87)</f>
        <v>1889</v>
      </c>
      <c r="BP108" s="60" t="n">
        <f aca="false">N(BP16)+N(BP28)+N(BP49)+N(BP53)+N(BP68)+N(BP96)+N(BP85)+N(BP87)</f>
        <v>1632</v>
      </c>
      <c r="BQ108" s="60" t="n">
        <f aca="false">N(BQ16)+N(BQ28)+N(BQ49)+N(BQ53)+N(BQ68)+N(BQ96)+N(BQ85)+N(BQ87)</f>
        <v>6536</v>
      </c>
      <c r="BR108" s="60" t="n">
        <f aca="false">N(BR16)+N(BR28)+N(BR49)+N(BR53)+N(BR68)+N(BR96)+N(BR85)+N(BR87)</f>
        <v>1162</v>
      </c>
      <c r="BS108" s="60" t="n">
        <f aca="false">N(BS16)+N(BS28)+N(BS49)+N(BS53)+N(BS68)+N(BS96)+N(BS85)+N(BS87)</f>
        <v>1609</v>
      </c>
      <c r="BT108" s="60" t="n">
        <f aca="false">N(BT16)+N(BT28)+N(BT49)+N(BT53)+N(BT68)+N(BT96)+N(BT85)+N(BT87)</f>
        <v>1846</v>
      </c>
      <c r="BU108" s="60" t="n">
        <f aca="false">N(BU16)+N(BU28)+N(BU49)+N(BU53)+N(BU68)+N(BU96)+N(BU85)+N(BU87)</f>
        <v>1534</v>
      </c>
      <c r="BV108" s="60" t="n">
        <f aca="false">N(BV16)+N(BV28)+N(BV49)+N(BV53)+N(BV68)+N(BV96)+N(BV85)+N(BV87)</f>
        <v>6150</v>
      </c>
      <c r="BW108" s="60" t="n">
        <f aca="false">N(BW16)+N(BW28)+N(BW49)+N(BW53)+N(BW68)+N(BW96)+N(BW85)+N(BW87)</f>
        <v>1362</v>
      </c>
      <c r="BX108" s="60" t="n">
        <f aca="false">N(BX16)+N(BX28)+N(BX49)+N(BX53)+N(BX68)+N(BX96)+N(BX85)+N(BX87)</f>
        <v>1947</v>
      </c>
      <c r="BY108" s="60" t="n">
        <f aca="false">N(BY16)+N(BY28)+N(BY49)+N(BY53)+N(BY68)+N(BY96)+N(BY85)+N(BY87)</f>
        <v>2386.7802418679</v>
      </c>
      <c r="BZ108" s="60" t="n">
        <f aca="false">N(BZ16)+N(BZ28)+N(BZ49)+N(BZ53)+N(BZ68)+N(BZ96)+N(BZ85)+N(BZ87)</f>
        <v>2273.67846047467</v>
      </c>
      <c r="CA108" s="60" t="n">
        <f aca="false">N(CA16)+N(CA28)+N(CA49)+N(CA53)+N(CA68)+N(CA96)+N(CA85)+N(CA87)</f>
        <v>7969.45870234257</v>
      </c>
      <c r="CB108" s="60" t="n">
        <f aca="false">N(CB16)+N(CB28)+N(CB49)+N(CB53)+N(CB68)+N(CB96)+N(CB85)+N(CB87)</f>
        <v>9816.81904690659</v>
      </c>
      <c r="CC108" s="60" t="n">
        <f aca="false">N(CC16)+N(CC28)+N(CC49)+N(CC53)+N(CC68)+N(CC96)+N(CC85)+N(CC87)</f>
        <v>10602.4900725744</v>
      </c>
      <c r="CD108" s="60" t="n">
        <f aca="false">N(CD16)+N(CD28)+N(CD49)+N(CD53)+N(CD68)+N(CD96)+N(CD85)+N(CD87)</f>
        <v>11493.6286163425</v>
      </c>
      <c r="CE108" s="60" t="n">
        <f aca="false">N(CE16)+N(CE28)+N(CE49)+N(CE53)+N(CE68)+N(CE96)+N(CE85)+N(CE87)</f>
        <v>12485.771844491</v>
      </c>
      <c r="CF108" s="20" t="s">
        <v>251</v>
      </c>
      <c r="CH108" s="21" t="n">
        <f aca="false">IFERROR((CE108/BV108)^(1/5)-1,"n/m")</f>
        <v>0.152147430960566</v>
      </c>
      <c r="CI108" s="21" t="n">
        <f aca="false">IFERROR((BV108/AW108)^(1/5)-1,"n/m")</f>
        <v>0.0539126840575725</v>
      </c>
      <c r="CJ108" s="21" t="n">
        <f aca="false">IFERROR((BV108/X108)^(1/10)-1,"n/m")</f>
        <v>0.0567982682388555</v>
      </c>
      <c r="CK108" s="21" t="n">
        <f aca="false">IFERROR((BV108/C108)^(1/19)-1,"n/m")</f>
        <v>0.0554340430849662</v>
      </c>
    </row>
    <row r="109" customFormat="false" ht="15" hidden="false" customHeight="true" outlineLevel="0" collapsed="false">
      <c r="B109" s="59" t="s">
        <v>252</v>
      </c>
      <c r="C109" s="60" t="n">
        <f aca="false">N(C18)+N(C30)+N(C56)+N(C74)+N(C98)+N(C84)+N(C86)+N(C88)</f>
        <v>522.5</v>
      </c>
      <c r="D109" s="60" t="n">
        <f aca="false">N(D18)+N(D30)+N(D56)+N(D74)+N(D98)+N(D84)+N(D86)+N(D88)</f>
        <v>571</v>
      </c>
      <c r="E109" s="60" t="n">
        <f aca="false">N(E18)+N(E30)+N(E56)+N(E74)+N(E98)+N(E84)+N(E86)+N(E88)</f>
        <v>470.4</v>
      </c>
      <c r="F109" s="60" t="n">
        <f aca="false">N(F18)+N(F30)+N(F56)+N(F74)+N(F98)+N(F84)+N(F86)+N(F88)</f>
        <v>337.7</v>
      </c>
      <c r="G109" s="60" t="n">
        <f aca="false">N(G18)+N(G30)+N(G56)+N(G74)+N(G98)+N(G84)+N(G86)+N(G88)</f>
        <v>322</v>
      </c>
      <c r="H109" s="60" t="n">
        <f aca="false">N(H18)+N(H30)+N(H56)+N(H74)+N(H98)+N(H84)+N(H86)+N(H88)</f>
        <v>302</v>
      </c>
      <c r="I109" s="60" t="n">
        <f aca="false">N(I18)+N(I30)+N(I56)+N(I74)+N(I98)+N(I84)+N(I86)+N(I88)</f>
        <v>325.9</v>
      </c>
      <c r="J109" s="60" t="n">
        <f aca="false">N(J18)+N(J30)+N(J56)+N(J74)+N(J98)+N(J84)+N(J86)+N(J88)</f>
        <v>12.6</v>
      </c>
      <c r="K109" s="60" t="n">
        <f aca="false">N(K18)+N(K30)+N(K56)+N(K74)+N(K98)+N(K84)+N(K86)+N(K88)</f>
        <v>106.8</v>
      </c>
      <c r="L109" s="60" t="n">
        <f aca="false">N(L18)+N(L30)+N(L56)+N(L74)+N(L98)+N(L84)+N(L86)+N(L88)</f>
        <v>143.1</v>
      </c>
      <c r="M109" s="60" t="n">
        <f aca="false">N(M18)+N(M30)+N(M56)+N(M74)+N(M98)+N(M84)+N(M86)+N(M88)</f>
        <v>101</v>
      </c>
      <c r="N109" s="60" t="n">
        <f aca="false">N(N18)+N(N30)+N(N56)+N(N74)+N(N98)+N(N84)+N(N86)+N(N88)</f>
        <v>364</v>
      </c>
      <c r="O109" s="60" t="n">
        <f aca="false">N(O18)+N(O30)+N(O56)+N(O74)+N(O98)+N(O84)+N(O86)+N(O88)</f>
        <v>25.8</v>
      </c>
      <c r="P109" s="60" t="n">
        <f aca="false">N(P18)+N(P30)+N(P56)+N(P74)+N(P98)+N(P84)+N(P86)+N(P88)</f>
        <v>135.6</v>
      </c>
      <c r="Q109" s="60" t="n">
        <f aca="false">N(Q18)+N(Q30)+N(Q56)+N(Q74)+N(Q98)+N(Q84)+N(Q86)+N(Q88)</f>
        <v>195.6</v>
      </c>
      <c r="R109" s="60" t="n">
        <f aca="false">N(R18)+N(R30)+N(R56)+N(R74)+N(R98)+N(R84)+N(R86)+N(R88)</f>
        <v>165.3</v>
      </c>
      <c r="S109" s="60" t="n">
        <f aca="false">N(S18)+N(S30)+N(S56)+N(S74)+N(S98)+N(S84)+N(S86)+N(S88)</f>
        <v>522.4</v>
      </c>
      <c r="T109" s="60" t="n">
        <f aca="false">N(T18)+N(T30)+N(T56)+N(T74)+N(T98)+N(T84)+N(T86)+N(T88)</f>
        <v>74.3</v>
      </c>
      <c r="U109" s="60" t="n">
        <f aca="false">N(U18)+N(U30)+N(U56)+N(U74)+N(U98)+N(U84)+N(U86)+N(U88)</f>
        <v>200.2</v>
      </c>
      <c r="V109" s="60" t="n">
        <f aca="false">N(V18)+N(V30)+N(V56)+N(V74)+N(V98)+N(V84)+N(V86)+N(V88)</f>
        <v>262.5</v>
      </c>
      <c r="W109" s="60" t="n">
        <f aca="false">N(W18)+N(W30)+N(W56)+N(W74)+N(W98)+N(W84)+N(W86)+N(W88)</f>
        <v>184.8</v>
      </c>
      <c r="X109" s="60" t="n">
        <f aca="false">N(X18)+N(X30)+N(X56)+N(X74)+N(X98)+N(X84)+N(X86)+N(X88)</f>
        <v>721.8</v>
      </c>
      <c r="Y109" s="60" t="n">
        <f aca="false">N(Y18)+N(Y30)+N(Y56)+N(Y74)+N(Y98)+N(Y84)+N(Y86)+N(Y88)</f>
        <v>144.6</v>
      </c>
      <c r="Z109" s="60" t="n">
        <f aca="false">N(Z18)+N(Z30)+N(Z56)+N(Z74)+N(Z98)+N(Z84)+N(Z86)+N(Z88)</f>
        <v>246.7</v>
      </c>
      <c r="AA109" s="60" t="n">
        <f aca="false">N(AA18)+N(AA30)+N(AA56)+N(AA74)+N(AA98)+N(AA84)+N(AA86)+N(AA88)</f>
        <v>292.6</v>
      </c>
      <c r="AB109" s="60" t="n">
        <f aca="false">N(AB18)+N(AB30)+N(AB56)+N(AB74)+N(AB98)+N(AB84)+N(AB86)+N(AB88)</f>
        <v>225.1</v>
      </c>
      <c r="AC109" s="60" t="n">
        <f aca="false">N(AC18)+N(AC30)+N(AC56)+N(AC74)+N(AC98)+N(AC84)+N(AC86)+N(AC88)</f>
        <v>909</v>
      </c>
      <c r="AD109" s="60" t="n">
        <f aca="false">N(AD18)+N(AD30)+N(AD56)+N(AD74)+N(AD98)+N(AD84)+N(AD86)+N(AD88)</f>
        <v>147.1</v>
      </c>
      <c r="AE109" s="60" t="n">
        <f aca="false">N(AE18)+N(AE30)+N(AE56)+N(AE74)+N(AE98)+N(AE84)+N(AE86)+N(AE88)</f>
        <v>274.1</v>
      </c>
      <c r="AF109" s="60" t="n">
        <f aca="false">N(AF18)+N(AF30)+N(AF56)+N(AF74)+N(AF98)+N(AF84)+N(AF86)+N(AF88)</f>
        <v>291.7</v>
      </c>
      <c r="AG109" s="60" t="n">
        <f aca="false">N(AG18)+N(AG30)+N(AG56)+N(AG74)+N(AG98)+N(AG84)+N(AG86)+N(AG88)</f>
        <v>259.1</v>
      </c>
      <c r="AH109" s="60" t="n">
        <f aca="false">N(AH18)+N(AH30)+N(AH56)+N(AH74)+N(AH98)+N(AH84)+N(AH86)+N(AH88)</f>
        <v>971.9</v>
      </c>
      <c r="AI109" s="60" t="n">
        <f aca="false">N(AI18)+N(AI30)+N(AI56)+N(AI74)+N(AI98)+N(AI84)+N(AI86)+N(AI88)</f>
        <v>110.4</v>
      </c>
      <c r="AJ109" s="60" t="n">
        <f aca="false">N(AJ18)+N(AJ30)+N(AJ56)+N(AJ74)+N(AJ98)+N(AJ84)+N(AJ86)+N(AJ88)</f>
        <v>315.917</v>
      </c>
      <c r="AK109" s="60" t="n">
        <f aca="false">N(AK18)+N(AK30)+N(AK56)+N(AK74)+N(AK98)+N(AK84)+N(AK86)+N(AK88)</f>
        <v>312.984</v>
      </c>
      <c r="AL109" s="60" t="n">
        <f aca="false">N(AL18)+N(AL30)+N(AL56)+N(AL74)+N(AL98)+N(AL84)+N(AL86)+N(AL88)</f>
        <v>227.284</v>
      </c>
      <c r="AM109" s="60" t="n">
        <f aca="false">N(AM18)+N(AM30)+N(AM56)+N(AM74)+N(AM98)+N(AM84)+N(AM86)+N(AM88)</f>
        <v>966.577</v>
      </c>
      <c r="AN109" s="60" t="n">
        <f aca="false">N(AN18)+N(AN30)+N(AN56)+N(AN74)+N(AN98)+N(AN84)+N(AN86)+N(AN88)</f>
        <v>142.907</v>
      </c>
      <c r="AO109" s="60" t="n">
        <f aca="false">N(AO18)+N(AO30)+N(AO56)+N(AO74)+N(AO98)+N(AO84)+N(AO86)+N(AO88)</f>
        <v>356.867</v>
      </c>
      <c r="AP109" s="60" t="n">
        <f aca="false">N(AP18)+N(AP30)+N(AP56)+N(AP74)+N(AP98)+N(AP84)+N(AP86)+N(AP88)</f>
        <v>420.645</v>
      </c>
      <c r="AQ109" s="60" t="n">
        <f aca="false">N(AQ18)+N(AQ30)+N(AQ56)+N(AQ74)+N(AQ98)+N(AQ84)+N(AQ86)+N(AQ88)</f>
        <v>258.589</v>
      </c>
      <c r="AR109" s="60" t="n">
        <f aca="false">N(AR18)+N(AR30)+N(AR56)+N(AR74)+N(AR98)+N(AR84)+N(AR86)+N(AR88)</f>
        <v>1179.007</v>
      </c>
      <c r="AS109" s="60" t="n">
        <f aca="false">N(AS18)+N(AS30)+N(AS56)+N(AS74)+N(AS98)+N(AS84)+N(AS86)+N(AS88)</f>
        <v>142.4</v>
      </c>
      <c r="AT109" s="60" t="n">
        <f aca="false">N(AT18)+N(AT30)+N(AT56)+N(AT74)+N(AT98)+N(AT84)+N(AT86)+N(AT88)</f>
        <v>380.5</v>
      </c>
      <c r="AU109" s="60" t="n">
        <f aca="false">N(AU18)+N(AU30)+N(AU56)+N(AU74)+N(AU98)+N(AU84)+N(AU86)+N(AU88)</f>
        <v>404.5</v>
      </c>
      <c r="AV109" s="60" t="n">
        <f aca="false">N(AV18)+N(AV30)+N(AV56)+N(AV74)+N(AV98)+N(AV84)+N(AV86)+N(AV88)</f>
        <v>325.4</v>
      </c>
      <c r="AW109" s="60" t="n">
        <f aca="false">N(AW18)+N(AW30)+N(AW56)+N(AW74)+N(AW98)+N(AW84)+N(AW86)+N(AW88)</f>
        <v>1252.8</v>
      </c>
      <c r="AX109" s="60" t="n">
        <f aca="false">N(AX18)+N(AX30)+N(AX56)+N(AX74)+N(AX98)+N(AX84)+N(AX86)+N(AX88)</f>
        <v>174.7</v>
      </c>
      <c r="AY109" s="60" t="n">
        <f aca="false">N(AY18)+N(AY30)+N(AY56)+N(AY74)+N(AY98)+N(AY84)+N(AY86)+N(AY88)</f>
        <v>385.1</v>
      </c>
      <c r="AZ109" s="60" t="n">
        <f aca="false">N(AZ18)+N(AZ30)+N(AZ56)+N(AZ74)+N(AZ98)+N(AZ84)+N(AZ86)+N(AZ88)</f>
        <v>441.9</v>
      </c>
      <c r="BA109" s="60" t="n">
        <f aca="false">N(BA18)+N(BA30)+N(BA56)+N(BA74)+N(BA98)+N(BA84)+N(BA86)+N(BA88)</f>
        <v>346.7</v>
      </c>
      <c r="BB109" s="60" t="n">
        <f aca="false">N(BB18)+N(BB30)+N(BB56)+N(BB74)+N(BB98)+N(BB84)+N(BB86)+N(BB88)</f>
        <v>1348.4</v>
      </c>
      <c r="BC109" s="60" t="n">
        <f aca="false">N(BC18)+N(BC30)+N(BC56)+N(BC74)+N(BC98)+N(BC84)+N(BC86)+N(BC88)</f>
        <v>156.1</v>
      </c>
      <c r="BD109" s="60" t="n">
        <f aca="false">N(BD18)+N(BD30)+N(BD56)+N(BD74)+N(BD98)+N(BD84)+N(BD86)+N(BD88)</f>
        <v>425.2</v>
      </c>
      <c r="BE109" s="60" t="n">
        <f aca="false">N(BE18)+N(BE30)+N(BE56)+N(BE74)+N(BE98)+N(BE84)+N(BE86)+N(BE88)</f>
        <v>487.8</v>
      </c>
      <c r="BF109" s="60" t="n">
        <f aca="false">N(BF18)+N(BF30)+N(BF56)+N(BF74)+N(BF98)+N(BF84)+N(BF86)+N(BF88)</f>
        <v>354.2</v>
      </c>
      <c r="BG109" s="60" t="n">
        <f aca="false">N(BG18)+N(BG30)+N(BG56)+N(BG74)+N(BG98)+N(BG84)+N(BG86)+N(BG88)</f>
        <v>1423.3</v>
      </c>
      <c r="BH109" s="60" t="n">
        <f aca="false">N(BH18)+N(BH30)+N(BH56)+N(BH74)+N(BH98)+N(BH84)+N(BH86)+N(BH88)</f>
        <v>302.8</v>
      </c>
      <c r="BI109" s="60" t="n">
        <f aca="false">N(BI18)+N(BI30)+N(BI56)+N(BI74)+N(BI98)+N(BI84)+N(BI86)+N(BI88)</f>
        <v>560.4</v>
      </c>
      <c r="BJ109" s="60" t="n">
        <f aca="false">N(BJ18)+N(BJ30)+N(BJ56)+N(BJ74)+N(BJ98)+N(BJ84)+N(BJ86)+N(BJ88)</f>
        <v>676</v>
      </c>
      <c r="BK109" s="60" t="n">
        <f aca="false">N(BK18)+N(BK30)+N(BK56)+N(BK74)+N(BK98)+N(BK84)+N(BK86)+N(BK88)</f>
        <v>483.5</v>
      </c>
      <c r="BL109" s="60" t="n">
        <f aca="false">N(BL18)+N(BL30)+N(BL56)+N(BL74)+N(BL98)+N(BL84)+N(BL86)+N(BL88)</f>
        <v>2022.6</v>
      </c>
      <c r="BM109" s="60" t="n">
        <f aca="false">N(BM18)+N(BM30)+N(BM56)+N(BM74)+N(BM98)+N(BM84)+N(BM86)+N(BM88)</f>
        <v>272</v>
      </c>
      <c r="BN109" s="60" t="n">
        <f aca="false">N(BN18)+N(BN30)+N(BN56)+N(BN74)+N(BN98)+N(BN84)+N(BN86)+N(BN88)</f>
        <v>517</v>
      </c>
      <c r="BO109" s="60" t="n">
        <f aca="false">N(BO18)+N(BO30)+N(BO56)+N(BO74)+N(BO98)+N(BO84)+N(BO86)+N(BO88)</f>
        <v>599</v>
      </c>
      <c r="BP109" s="60" t="n">
        <f aca="false">N(BP18)+N(BP30)+N(BP56)+N(BP74)+N(BP98)+N(BP84)+N(BP86)+N(BP88)</f>
        <v>489</v>
      </c>
      <c r="BQ109" s="60" t="n">
        <f aca="false">N(BQ18)+N(BQ30)+N(BQ56)+N(BQ74)+N(BQ98)+N(BQ84)+N(BQ86)+N(BQ88)</f>
        <v>1878</v>
      </c>
      <c r="BR109" s="60" t="n">
        <f aca="false">N(BR18)+N(BR30)+N(BR56)+N(BR74)+N(BR98)+N(BR84)+N(BR86)+N(BR88)</f>
        <v>315</v>
      </c>
      <c r="BS109" s="60" t="n">
        <f aca="false">N(BS18)+N(BS30)+N(BS56)+N(BS74)+N(BS98)+N(BS84)+N(BS86)+N(BS88)</f>
        <v>496</v>
      </c>
      <c r="BT109" s="60" t="n">
        <f aca="false">N(BT18)+N(BT30)+N(BT56)+N(BT74)+N(BT98)+N(BT84)+N(BT86)+N(BT88)</f>
        <v>611</v>
      </c>
      <c r="BU109" s="60" t="n">
        <f aca="false">N(BU18)+N(BU30)+N(BU56)+N(BU74)+N(BU98)+N(BU84)+N(BU86)+N(BU88)</f>
        <v>468</v>
      </c>
      <c r="BV109" s="60" t="n">
        <f aca="false">N(BV18)+N(BV30)+N(BV56)+N(BV74)+N(BV98)+N(BV84)+N(BV86)+N(BV88)</f>
        <v>1889</v>
      </c>
      <c r="BW109" s="60" t="n">
        <f aca="false">N(BW18)+N(BW30)+N(BW56)+N(BW74)+N(BW98)+N(BW84)+N(BW86)+N(BW88)</f>
        <v>310</v>
      </c>
      <c r="BX109" s="60" t="n">
        <f aca="false">N(BX18)+N(BX30)+N(BX56)+N(BX74)+N(BX98)+N(BX84)+N(BX86)+N(BX88)</f>
        <v>495</v>
      </c>
      <c r="BY109" s="60" t="n">
        <f aca="false">N(BY18)+N(BY30)+N(BY56)+N(BY74)+N(BY98)+N(BY84)+N(BY86)+N(BY88)</f>
        <v>713.86390026167</v>
      </c>
      <c r="BZ109" s="60" t="n">
        <f aca="false">N(BZ18)+N(BZ30)+N(BZ56)+N(BZ74)+N(BZ98)+N(BZ84)+N(BZ86)+N(BZ88)</f>
        <v>611.961485712487</v>
      </c>
      <c r="CA109" s="60" t="n">
        <f aca="false">N(CA18)+N(CA30)+N(CA56)+N(CA74)+N(CA98)+N(CA84)+N(CA86)+N(CA88)</f>
        <v>2130.82538597416</v>
      </c>
      <c r="CB109" s="60" t="n">
        <f aca="false">N(CB18)+N(CB30)+N(CB56)+N(CB74)+N(CB98)+N(CB84)+N(CB86)+N(CB88)</f>
        <v>2948.63789641293</v>
      </c>
      <c r="CC109" s="60" t="n">
        <f aca="false">N(CC18)+N(CC30)+N(CC56)+N(CC74)+N(CC98)+N(CC84)+N(CC86)+N(CC88)</f>
        <v>3340.00486761687</v>
      </c>
      <c r="CD109" s="60" t="n">
        <f aca="false">N(CD18)+N(CD30)+N(CD56)+N(CD74)+N(CD98)+N(CD84)+N(CD86)+N(CD88)</f>
        <v>3713.67932146819</v>
      </c>
      <c r="CE109" s="60" t="n">
        <f aca="false">N(CE18)+N(CE30)+N(CE56)+N(CE74)+N(CE98)+N(CE84)+N(CE86)+N(CE88)</f>
        <v>4079.14015096781</v>
      </c>
      <c r="CF109" s="6"/>
      <c r="CH109" s="21" t="n">
        <f aca="false">IFERROR((CE109/BV109)^(1/5)-1,"n/m")</f>
        <v>0.166453240146447</v>
      </c>
      <c r="CI109" s="21" t="n">
        <f aca="false">IFERROR((BV109/AW109)^(1/5)-1,"n/m")</f>
        <v>0.0856005199096752</v>
      </c>
      <c r="CJ109" s="21" t="n">
        <f aca="false">IFERROR((BV109/X109)^(1/10)-1,"n/m")</f>
        <v>0.100985268485958</v>
      </c>
      <c r="CK109" s="21" t="n">
        <f aca="false">IFERROR((BV109/C109)^(1/19)-1,"n/m")</f>
        <v>0.0699810534333392</v>
      </c>
    </row>
    <row r="110" customFormat="false" ht="15" hidden="false" customHeight="true" outlineLevel="0" collapsed="false">
      <c r="B110" s="26" t="s">
        <v>120</v>
      </c>
      <c r="C110" s="38" t="n">
        <f aca="false">IF(AND(ISNUMBER(C109),ISNUMBER(C108)),IFERROR(C109/C108,""),"")</f>
        <v>0.236811094996374</v>
      </c>
      <c r="D110" s="38" t="n">
        <f aca="false">IF(AND(ISNUMBER(D109),ISNUMBER(D108)),IFERROR(D109/D108,""),"")</f>
        <v>0.258710525123465</v>
      </c>
      <c r="E110" s="38" t="n">
        <f aca="false">IF(AND(ISNUMBER(E109),ISNUMBER(E108)),IFERROR(E109/E108,""),"")</f>
        <v>0.221876326588368</v>
      </c>
      <c r="F110" s="38" t="n">
        <f aca="false">IF(AND(ISNUMBER(F109),ISNUMBER(F108)),IFERROR(F109/F108,""),"")</f>
        <v>0.19834370962058</v>
      </c>
      <c r="G110" s="38" t="n">
        <f aca="false">IF(AND(ISNUMBER(G109),ISNUMBER(G108)),IFERROR(G109/G108,""),"")</f>
        <v>0.180604632901453</v>
      </c>
      <c r="H110" s="38" t="n">
        <f aca="false">IF(AND(ISNUMBER(H109),ISNUMBER(H108)),IFERROR(H109/H108,""),"")</f>
        <v>0.176206313087111</v>
      </c>
      <c r="I110" s="38" t="n">
        <f aca="false">IF(AND(ISNUMBER(I109),ISNUMBER(I108)),IFERROR(I109/I108,""),"")</f>
        <v>0.159943070278759</v>
      </c>
      <c r="J110" s="38" t="n">
        <f aca="false">IF(AND(ISNUMBER(J109),ISNUMBER(J108)),IFERROR(J109/J108,""),"")</f>
        <v>0.0327272727272727</v>
      </c>
      <c r="K110" s="38" t="n">
        <f aca="false">IF(AND(ISNUMBER(K109),ISNUMBER(K108)),IFERROR(K109/K108,""),"")</f>
        <v>0.189799182512884</v>
      </c>
      <c r="L110" s="38" t="n">
        <f aca="false">IF(AND(ISNUMBER(L109),ISNUMBER(L108)),IFERROR(L109/L108,""),"")</f>
        <v>0.21509093641966</v>
      </c>
      <c r="M110" s="38" t="n">
        <f aca="false">IF(AND(ISNUMBER(M109),ISNUMBER(M108)),IFERROR(M109/M108,""),"")</f>
        <v>0.185321100917431</v>
      </c>
      <c r="N110" s="38" t="n">
        <f aca="false">IF(AND(ISNUMBER(N109),ISNUMBER(N108)),IFERROR(N109/N108,""),"")</f>
        <v>0.16887033170958</v>
      </c>
      <c r="O110" s="38" t="n">
        <f aca="false">IF(AND(ISNUMBER(O109),ISNUMBER(O108)),IFERROR(O109/O108,""),"")</f>
        <v>0.0601819454163751</v>
      </c>
      <c r="P110" s="38" t="n">
        <f aca="false">IF(AND(ISNUMBER(P109),ISNUMBER(P108)),IFERROR(P109/P108,""),"")</f>
        <v>0.202630005977286</v>
      </c>
      <c r="Q110" s="38" t="n">
        <f aca="false">IF(AND(ISNUMBER(Q109),ISNUMBER(Q108)),IFERROR(Q109/Q108,""),"")</f>
        <v>0.194878947892797</v>
      </c>
      <c r="R110" s="38" t="n">
        <f aca="false">IF(AND(ISNUMBER(R109),ISNUMBER(R108)),IFERROR(R109/R108,""),"")</f>
        <v>0.193039822492117</v>
      </c>
      <c r="S110" s="38" t="n">
        <f aca="false">IF(AND(ISNUMBER(S109),ISNUMBER(S108)),IFERROR(S109/S108,""),"")</f>
        <v>0.176605814739689</v>
      </c>
      <c r="T110" s="38" t="n">
        <f aca="false">IF(AND(ISNUMBER(T109),ISNUMBER(T108)),IFERROR(T109/T108,""),"")</f>
        <v>0.107463118310674</v>
      </c>
      <c r="U110" s="38" t="n">
        <f aca="false">IF(AND(ISNUMBER(U109),ISNUMBER(U108)),IFERROR(U109/U108,""),"")</f>
        <v>0.217278055133492</v>
      </c>
      <c r="V110" s="38" t="n">
        <f aca="false">IF(AND(ISNUMBER(V109),ISNUMBER(V108)),IFERROR(V109/V108,""),"")</f>
        <v>0.242561448900388</v>
      </c>
      <c r="W110" s="38" t="n">
        <f aca="false">IF(AND(ISNUMBER(W109),ISNUMBER(W108)),IFERROR(W109/W108,""),"")</f>
        <v>0.218801799668482</v>
      </c>
      <c r="X110" s="38" t="n">
        <f aca="false">IF(AND(ISNUMBER(X109),ISNUMBER(X108)),IFERROR(X109/X108,""),"")</f>
        <v>0.203921347044864</v>
      </c>
      <c r="Y110" s="38" t="n">
        <f aca="false">IF(AND(ISNUMBER(Y109),ISNUMBER(Y108)),IFERROR(Y109/Y108,""),"")</f>
        <v>0.183316430020284</v>
      </c>
      <c r="Z110" s="38" t="n">
        <f aca="false">IF(AND(ISNUMBER(Z109),ISNUMBER(Z108)),IFERROR(Z109/Z108,""),"")</f>
        <v>0.252430164739589</v>
      </c>
      <c r="AA110" s="38" t="n">
        <f aca="false">IF(AND(ISNUMBER(AA109),ISNUMBER(AA108)),IFERROR(AA109/AA108,""),"")</f>
        <v>0.265060240963856</v>
      </c>
      <c r="AB110" s="38" t="n">
        <f aca="false">IF(AND(ISNUMBER(AB109),ISNUMBER(AB108)),IFERROR(AB109/AB108,""),"")</f>
        <v>0.237247048903879</v>
      </c>
      <c r="AC110" s="38" t="n">
        <f aca="false">IF(AND(ISNUMBER(AC109),ISNUMBER(AC108)),IFERROR(AC109/AC108,""),"")</f>
        <v>0.238032889913062</v>
      </c>
      <c r="AD110" s="38" t="n">
        <f aca="false">IF(AND(ISNUMBER(AD109),ISNUMBER(AD108)),IFERROR(AD109/AD108,""),"")</f>
        <v>0.174309752340325</v>
      </c>
      <c r="AE110" s="38" t="n">
        <f aca="false">IF(AND(ISNUMBER(AE109),ISNUMBER(AE108)),IFERROR(AE109/AE108,""),"")</f>
        <v>0.257733897508228</v>
      </c>
      <c r="AF110" s="38" t="n">
        <f aca="false">IF(AND(ISNUMBER(AF109),ISNUMBER(AF108)),IFERROR(AF109/AF108,""),"")</f>
        <v>0.268180564493886</v>
      </c>
      <c r="AG110" s="38" t="n">
        <f aca="false">IF(AND(ISNUMBER(AG109),ISNUMBER(AG108)),IFERROR(AG109/AG108,""),"")</f>
        <v>0.266975785677486</v>
      </c>
      <c r="AH110" s="38" t="n">
        <f aca="false">IF(AND(ISNUMBER(AH109),ISNUMBER(AH108)),IFERROR(AH109/AH108,""),"")</f>
        <v>0.245082711317329</v>
      </c>
      <c r="AI110" s="38" t="n">
        <f aca="false">IF(AND(ISNUMBER(AI109),ISNUMBER(AI108)),IFERROR(AI109/AI108,""),"")</f>
        <v>0.137655860349127</v>
      </c>
      <c r="AJ110" s="38" t="n">
        <f aca="false">IF(AND(ISNUMBER(AJ109),ISNUMBER(AJ108)),IFERROR(AJ109/AJ108,""),"")</f>
        <v>0.262738033754074</v>
      </c>
      <c r="AK110" s="38" t="n">
        <f aca="false">IF(AND(ISNUMBER(AK109),ISNUMBER(AK108)),IFERROR(AK109/AK108,""),"")</f>
        <v>0.256619986225444</v>
      </c>
      <c r="AL110" s="38" t="n">
        <f aca="false">IF(AND(ISNUMBER(AL109),ISNUMBER(AL108)),IFERROR(AL109/AL108,""),"")</f>
        <v>0.22277983725047</v>
      </c>
      <c r="AM110" s="38" t="n">
        <f aca="false">IF(AND(ISNUMBER(AM109),ISNUMBER(AM108)),IFERROR(AM109/AM108,""),"")</f>
        <v>0.227737193601248</v>
      </c>
      <c r="AN110" s="38" t="n">
        <f aca="false">IF(AND(ISNUMBER(AN109),ISNUMBER(AN108)),IFERROR(AN109/AN108,""),"")</f>
        <v>0.152197922158144</v>
      </c>
      <c r="AO110" s="38" t="n">
        <f aca="false">IF(AND(ISNUMBER(AO109),ISNUMBER(AO108)),IFERROR(AO109/AO108,""),"")</f>
        <v>0.278918269155618</v>
      </c>
      <c r="AP110" s="38" t="n">
        <f aca="false">IF(AND(ISNUMBER(AP109),ISNUMBER(AP108)),IFERROR(AP109/AP108,""),"")</f>
        <v>0.296177563605178</v>
      </c>
      <c r="AQ110" s="38" t="n">
        <f aca="false">IF(AND(ISNUMBER(AQ109),ISNUMBER(AQ108)),IFERROR(AQ109/AQ108,""),"")</f>
        <v>0.234989049735104</v>
      </c>
      <c r="AR110" s="38" t="n">
        <f aca="false">IF(AND(ISNUMBER(AR109),ISNUMBER(AR108)),IFERROR(AR109/AR108,""),"")</f>
        <v>0.248782996257938</v>
      </c>
      <c r="AS110" s="38" t="n">
        <f aca="false">IF(AND(ISNUMBER(AS109),ISNUMBER(AS108)),IFERROR(AS109/AS108,""),"")</f>
        <v>0.148611980797328</v>
      </c>
      <c r="AT110" s="38" t="n">
        <f aca="false">IF(AND(ISNUMBER(AT109),ISNUMBER(AT108)),IFERROR(AT109/AT108,""),"")</f>
        <v>0.299464819770187</v>
      </c>
      <c r="AU110" s="38" t="n">
        <f aca="false">IF(AND(ISNUMBER(AU109),ISNUMBER(AU108)),IFERROR(AU109/AU108,""),"")</f>
        <v>0.306114726804904</v>
      </c>
      <c r="AV110" s="38" t="n">
        <f aca="false">IF(AND(ISNUMBER(AV109),ISNUMBER(AV108)),IFERROR(AV109/AV108,""),"")</f>
        <v>0.275856222448288</v>
      </c>
      <c r="AW110" s="38" t="n">
        <f aca="false">IF(AND(ISNUMBER(AW109),ISNUMBER(AW108)),IFERROR(AW109/AW108,""),"")</f>
        <v>0.264868179031269</v>
      </c>
      <c r="AX110" s="38" t="n">
        <f aca="false">IF(AND(ISNUMBER(AX109),ISNUMBER(AX108)),IFERROR(AX109/AX108,""),"")</f>
        <v>0.177829804560261</v>
      </c>
      <c r="AY110" s="38" t="n">
        <f aca="false">IF(AND(ISNUMBER(AY109),ISNUMBER(AY108)),IFERROR(AY109/AY108,""),"")</f>
        <v>0.279483271645257</v>
      </c>
      <c r="AZ110" s="38" t="n">
        <f aca="false">IF(AND(ISNUMBER(AZ109),ISNUMBER(AZ108)),IFERROR(AZ109/AZ108,""),"")</f>
        <v>0.283760354459642</v>
      </c>
      <c r="BA110" s="38" t="n">
        <f aca="false">IF(AND(ISNUMBER(BA109),ISNUMBER(BA108)),IFERROR(BA109/BA108,""),"")</f>
        <v>0.231689387864207</v>
      </c>
      <c r="BB110" s="38" t="n">
        <f aca="false">IF(AND(ISNUMBER(BB109),ISNUMBER(BB108)),IFERROR(BB109/BB108,""),"")</f>
        <v>0.249057997783524</v>
      </c>
      <c r="BC110" s="38" t="n">
        <f aca="false">IF(AND(ISNUMBER(BC109),ISNUMBER(BC108)),IFERROR(BC109/BC108,""),"")</f>
        <v>0.126828079298018</v>
      </c>
      <c r="BD110" s="38" t="n">
        <f aca="false">IF(AND(ISNUMBER(BD109),ISNUMBER(BD108)),IFERROR(BD109/BD108,""),"")</f>
        <v>0.258999817262594</v>
      </c>
      <c r="BE110" s="38" t="n">
        <f aca="false">IF(AND(ISNUMBER(BE109),ISNUMBER(BE108)),IFERROR(BE109/BE108,""),"")</f>
        <v>0.269249875807253</v>
      </c>
      <c r="BF110" s="38" t="n">
        <f aca="false">IF(AND(ISNUMBER(BF109),ISNUMBER(BF108)),IFERROR(BF109/BF108,""),"")</f>
        <v>0.239891635624788</v>
      </c>
      <c r="BG110" s="38" t="n">
        <f aca="false">IF(AND(ISNUMBER(BG109),ISNUMBER(BG108)),IFERROR(BG109/BG108,""),"")</f>
        <v>0.231028941516386</v>
      </c>
      <c r="BH110" s="38" t="n">
        <f aca="false">IF(AND(ISNUMBER(BH109),ISNUMBER(BH108)),IFERROR(BH109/BH108,""),"")</f>
        <v>0.223617162691086</v>
      </c>
      <c r="BI110" s="38" t="n">
        <f aca="false">IF(AND(ISNUMBER(BI109),ISNUMBER(BI108)),IFERROR(BI109/BI108,""),"")</f>
        <v>0.307776801405975</v>
      </c>
      <c r="BJ110" s="38" t="n">
        <f aca="false">IF(AND(ISNUMBER(BJ109),ISNUMBER(BJ108)),IFERROR(BJ109/BJ108,""),"")</f>
        <v>0.339000050147936</v>
      </c>
      <c r="BK110" s="38" t="n">
        <f aca="false">IF(AND(ISNUMBER(BK109),ISNUMBER(BK108)),IFERROR(BK109/BK108,""),"")</f>
        <v>0.300646685735605</v>
      </c>
      <c r="BL110" s="38" t="n">
        <f aca="false">IF(AND(ISNUMBER(BL109),ISNUMBER(BL108)),IFERROR(BL109/BL108,""),"")</f>
        <v>0.298441834385882</v>
      </c>
      <c r="BM110" s="38" t="n">
        <f aca="false">IF(AND(ISNUMBER(BM109),ISNUMBER(BM108)),IFERROR(BM109/BM108,""),"")</f>
        <v>0.217426059152678</v>
      </c>
      <c r="BN110" s="38" t="n">
        <f aca="false">IF(AND(ISNUMBER(BN109),ISNUMBER(BN108)),IFERROR(BN109/BN108,""),"")</f>
        <v>0.293083900226757</v>
      </c>
      <c r="BO110" s="38" t="n">
        <f aca="false">IF(AND(ISNUMBER(BO109),ISNUMBER(BO108)),IFERROR(BO109/BO108,""),"")</f>
        <v>0.317098994176813</v>
      </c>
      <c r="BP110" s="38" t="n">
        <f aca="false">IF(AND(ISNUMBER(BP109),ISNUMBER(BP108)),IFERROR(BP109/BP108,""),"")</f>
        <v>0.299632352941176</v>
      </c>
      <c r="BQ110" s="38" t="n">
        <f aca="false">IF(AND(ISNUMBER(BQ109),ISNUMBER(BQ108)),IFERROR(BQ109/BQ108,""),"")</f>
        <v>0.287331701346389</v>
      </c>
      <c r="BR110" s="38" t="n">
        <f aca="false">IF(AND(ISNUMBER(BR109),ISNUMBER(BR108)),IFERROR(BR109/BR108,""),"")</f>
        <v>0.271084337349398</v>
      </c>
      <c r="BS110" s="38" t="n">
        <f aca="false">IF(AND(ISNUMBER(BS109),ISNUMBER(BS108)),IFERROR(BS109/BS108,""),"")</f>
        <v>0.308266003729024</v>
      </c>
      <c r="BT110" s="38" t="n">
        <f aca="false">IF(AND(ISNUMBER(BT109),ISNUMBER(BT108)),IFERROR(BT109/BT108,""),"")</f>
        <v>0.330985915492958</v>
      </c>
      <c r="BU110" s="38" t="n">
        <f aca="false">IF(AND(ISNUMBER(BU109),ISNUMBER(BU108)),IFERROR(BU109/BU108,""),"")</f>
        <v>0.305084745762712</v>
      </c>
      <c r="BV110" s="38" t="n">
        <f aca="false">IF(AND(ISNUMBER(BV109),ISNUMBER(BV108)),IFERROR(BV109/BV108,""),"")</f>
        <v>0.307154471544715</v>
      </c>
      <c r="BW110" s="38" t="n">
        <f aca="false">IF(AND(ISNUMBER(BW109),ISNUMBER(BW108)),IFERROR(BW109/BW108,""),"")</f>
        <v>0.227606461086637</v>
      </c>
      <c r="BX110" s="38" t="n">
        <f aca="false">IF(AND(ISNUMBER(BX109),ISNUMBER(BX108)),IFERROR(BX109/BX108,""),"")</f>
        <v>0.254237288135593</v>
      </c>
      <c r="BY110" s="25" t="n">
        <f aca="false">IFERROR(BY109/BY108,"")</f>
        <v>0.299090753199381</v>
      </c>
      <c r="BZ110" s="25" t="n">
        <f aca="false">IFERROR(BZ109/BZ108,"")</f>
        <v>0.269150408182488</v>
      </c>
      <c r="CA110" s="25" t="n">
        <f aca="false">IFERROR(CA109/CA108,"")</f>
        <v>0.267373916543142</v>
      </c>
      <c r="CB110" s="25" t="n">
        <f aca="false">IFERROR(CB109/CB108,"")</f>
        <v>0.300365921213765</v>
      </c>
      <c r="CC110" s="25" t="n">
        <f aca="false">IFERROR(CC109/CC108,"")</f>
        <v>0.315020796506709</v>
      </c>
      <c r="CD110" s="25" t="n">
        <f aca="false">IFERROR(CD109/CD108,"")</f>
        <v>0.323107649066353</v>
      </c>
      <c r="CE110" s="25" t="n">
        <f aca="false">IFERROR(CE109/CE108,"")</f>
        <v>0.326703082658652</v>
      </c>
      <c r="CF110" s="6"/>
      <c r="CH110" s="39" t="n">
        <f aca="false">IFERROR(AVERAGE(CA110,CB110,CC110,CD110,CE110),"n/m")</f>
        <v>0.306514273197724</v>
      </c>
      <c r="CI110" s="39" t="n">
        <f aca="false">IFERROR(AVERAGE(BB110,BG110,BL110,BQ110,BV110),"n/m")</f>
        <v>0.274602989315379</v>
      </c>
      <c r="CJ110" s="39" t="n">
        <f aca="false">IFERROR(AVERAGE(AC110,AH110,AM110,AR110,AW110,BB110,BG110,BL110,BQ110,BV110),"n/m")</f>
        <v>0.259751891669774</v>
      </c>
      <c r="CK110" s="39" t="n">
        <f aca="false">IFERROR(AVERAGE(C110,D110,E110,F110,G110,H110,I110,N110,S110,X110,AC110,AH110,AM110,AR110,AW110,BB110,BG110,BL110,BQ110,BV110),"n/m")</f>
        <v>0.228970604139399</v>
      </c>
    </row>
    <row r="111" customFormat="false" ht="15" hidden="false" customHeight="true" outlineLevel="0" collapsed="false">
      <c r="B111" s="23" t="s">
        <v>109</v>
      </c>
      <c r="D111" s="24" t="n">
        <f aca="false">IF(AND(ISNUMBER(D108),ISNUMBER(C108)),IFERROR(D108/C108-1,""),"")</f>
        <v>0.000317258883248739</v>
      </c>
      <c r="E111" s="24" t="n">
        <f aca="false">IF(AND(ISNUMBER(E108),ISNUMBER(D108)),IFERROR(E108/D108-1,""),"")</f>
        <v>-0.0394182411308958</v>
      </c>
      <c r="F111" s="24" t="n">
        <f aca="false">IF(AND(ISNUMBER(F108),ISNUMBER(E108)),IFERROR(F108/E108-1,""),"")</f>
        <v>-0.196924673364464</v>
      </c>
      <c r="G111" s="24" t="n">
        <f aca="false">IF(AND(ISNUMBER(G108),ISNUMBER(F108)),IFERROR(G108/F108-1,""),"")</f>
        <v>0.0471631622224833</v>
      </c>
      <c r="H111" s="24" t="n">
        <f aca="false">IF(AND(ISNUMBER(H108),ISNUMBER(G108)),IFERROR(H108/G108-1,""),"")</f>
        <v>-0.038700992764597</v>
      </c>
      <c r="I111" s="24" t="n">
        <f aca="false">IF(AND(ISNUMBER(I108),ISNUMBER(H108)),IFERROR(I108/H108-1,""),"")</f>
        <v>0.188867495186417</v>
      </c>
      <c r="N111" s="24" t="n">
        <f aca="false">IF(AND(ISNUMBER(N108),ISNUMBER(I108)),IFERROR(N108/I108-1,""),"")</f>
        <v>0.0578621908127208</v>
      </c>
      <c r="O111" s="24" t="n">
        <f aca="false">IF(AND(ISNUMBER(O108),ISNUMBER(J108)),IFERROR(O108/J108-1,""),"")</f>
        <v>0.113506493506493</v>
      </c>
      <c r="P111" s="24" t="n">
        <f aca="false">IF(AND(ISNUMBER(P108),ISNUMBER(K108)),IFERROR(P108/K108-1,""),"")</f>
        <v>0.18926603874178</v>
      </c>
      <c r="Q111" s="24" t="n">
        <f aca="false">IF(AND(ISNUMBER(Q108),ISNUMBER(L108)),IFERROR(Q108/L108-1,""),"")</f>
        <v>0.508642717571021</v>
      </c>
      <c r="R111" s="24" t="n">
        <f aca="false">IF(AND(ISNUMBER(R108),ISNUMBER(M108)),IFERROR(R108/M108-1,""),"")</f>
        <v>0.571192660550459</v>
      </c>
      <c r="S111" s="24" t="n">
        <f aca="false">IF(AND(ISNUMBER(S108),ISNUMBER(N108)),IFERROR(S108/N108-1,""),"")</f>
        <v>0.372303409881698</v>
      </c>
      <c r="T111" s="24" t="n">
        <f aca="false">IF(AND(ISNUMBER(T108),ISNUMBER(O108)),IFERROR(T108/O108-1,""),"")</f>
        <v>0.612782831817122</v>
      </c>
      <c r="U111" s="24" t="n">
        <f aca="false">IF(AND(ISNUMBER(U108),ISNUMBER(P108)),IFERROR(U108/P108-1,""),"")</f>
        <v>0.376867901972505</v>
      </c>
      <c r="V111" s="24" t="n">
        <f aca="false">IF(AND(ISNUMBER(V108),ISNUMBER(Q108)),IFERROR(V108/Q108-1,""),"")</f>
        <v>0.0782106207033975</v>
      </c>
      <c r="W111" s="24" t="n">
        <f aca="false">IF(AND(ISNUMBER(W108),ISNUMBER(R108)),IFERROR(W108/R108-1,""),"")</f>
        <v>-0.0136634357117833</v>
      </c>
      <c r="X111" s="24" t="n">
        <f aca="false">IF(AND(ISNUMBER(X108),ISNUMBER(S108)),IFERROR(X108/S108-1,""),"")</f>
        <v>0.196619337390129</v>
      </c>
      <c r="Y111" s="24" t="n">
        <f aca="false">IF(AND(ISNUMBER(Y108),ISNUMBER(T108)),IFERROR(Y108/T108-1,""),"")</f>
        <v>0.140873589817761</v>
      </c>
      <c r="Z111" s="24" t="n">
        <f aca="false">IF(AND(ISNUMBER(Z108),ISNUMBER(U108)),IFERROR(Z108/U108-1,""),"")</f>
        <v>0.0606685478619489</v>
      </c>
      <c r="AA111" s="24" t="n">
        <f aca="false">IF(AND(ISNUMBER(AA108),ISNUMBER(V108)),IFERROR(AA108/V108-1,""),"")</f>
        <v>0.0200517464424319</v>
      </c>
      <c r="AB111" s="24" t="n">
        <f aca="false">IF(AND(ISNUMBER(AB108),ISNUMBER(W108)),IFERROR(AB108/W108-1,""),"")</f>
        <v>0.123372010419133</v>
      </c>
      <c r="AC111" s="24" t="n">
        <f aca="false">IF(AND(ISNUMBER(AC108),ISNUMBER(X108)),IFERROR(AC108/X108-1,""),"")</f>
        <v>0.0788789693750707</v>
      </c>
      <c r="AD111" s="24" t="n">
        <f aca="false">IF(AND(ISNUMBER(AD108),ISNUMBER(Y108)),IFERROR(AD108/Y108-1,""),"")</f>
        <v>0.0698529411764706</v>
      </c>
      <c r="AE111" s="24" t="n">
        <f aca="false">IF(AND(ISNUMBER(AE108),ISNUMBER(Z108)),IFERROR(AE108/Z108-1,""),"")</f>
        <v>0.0882021897063339</v>
      </c>
      <c r="AF111" s="24" t="n">
        <f aca="false">IF(AND(ISNUMBER(AF108),ISNUMBER(AA108)),IFERROR(AF108/AA108-1,""),"")</f>
        <v>-0.0146752423226743</v>
      </c>
      <c r="AG111" s="24" t="n">
        <f aca="false">IF(AND(ISNUMBER(AG108),ISNUMBER(AB108)),IFERROR(AG108/AB108-1,""),"")</f>
        <v>0.0228709949409784</v>
      </c>
      <c r="AH111" s="24" t="n">
        <f aca="false">IF(AND(ISNUMBER(AH108),ISNUMBER(AC108)),IFERROR(AH108/AC108-1,""),"")</f>
        <v>0.0384413952026812</v>
      </c>
      <c r="AI111" s="24" t="n">
        <f aca="false">IF(AND(ISNUMBER(AI108),ISNUMBER(AD108)),IFERROR(AI108/AD108-1,""),"")</f>
        <v>-0.049650432515701</v>
      </c>
      <c r="AJ111" s="24" t="n">
        <f aca="false">IF(AND(ISNUMBER(AJ108),ISNUMBER(AE108)),IFERROR(AJ108/AE108-1,""),"")</f>
        <v>0.130609308885754</v>
      </c>
      <c r="AK111" s="24" t="n">
        <f aca="false">IF(AND(ISNUMBER(AK108),ISNUMBER(AF108)),IFERROR(AK108/AF108-1,""),"")</f>
        <v>0.121301829548589</v>
      </c>
      <c r="AL111" s="24" t="n">
        <f aca="false">IF(AND(ISNUMBER(AL108),ISNUMBER(AG108)),IFERROR(AL108/AG108-1,""),"")</f>
        <v>0.0512292632663574</v>
      </c>
      <c r="AM111" s="24" t="n">
        <f aca="false">IF(AND(ISNUMBER(AM108),ISNUMBER(AH108)),IFERROR(AM108/AH108-1,""),"")</f>
        <v>0.0702705769618721</v>
      </c>
      <c r="AN111" s="24" t="n">
        <f aca="false">IF(AND(ISNUMBER(AN108),ISNUMBER(AI108)),IFERROR(AN108/AI108-1,""),"")</f>
        <v>0.170766832917706</v>
      </c>
      <c r="AO111" s="24" t="n">
        <f aca="false">IF(AND(ISNUMBER(AO108),ISNUMBER(AJ108)),IFERROR(AO108/AJ108-1,""),"")</f>
        <v>0.0640924881258616</v>
      </c>
      <c r="AP111" s="24" t="n">
        <f aca="false">IF(AND(ISNUMBER(AP108),ISNUMBER(AK108)),IFERROR(AP108/AK108-1,""),"")</f>
        <v>0.164479682529271</v>
      </c>
      <c r="AQ111" s="24" t="n">
        <f aca="false">IF(AND(ISNUMBER(AQ108),ISNUMBER(AL108)),IFERROR(AQ108/AL108-1,""),"")</f>
        <v>0.0786224120727139</v>
      </c>
      <c r="AR111" s="24" t="n">
        <f aca="false">IF(AND(ISNUMBER(AR108),ISNUMBER(AM108)),IFERROR(AR108/AM108-1,""),"")</f>
        <v>0.11658862017334</v>
      </c>
      <c r="AS111" s="24" t="n">
        <f aca="false">IF(AND(ISNUMBER(AS108),ISNUMBER(AN108)),IFERROR(AS108/AN108-1,""),"")</f>
        <v>0.0204961899132545</v>
      </c>
      <c r="AT111" s="24" t="n">
        <f aca="false">IF(AND(ISNUMBER(AT108),ISNUMBER(AO108)),IFERROR(AT108/AO108-1,""),"")</f>
        <v>-0.00693100569924388</v>
      </c>
      <c r="AU111" s="24" t="n">
        <f aca="false">IF(AND(ISNUMBER(AU108),ISNUMBER(AP108)),IFERROR(AU108/AP108-1,""),"")</f>
        <v>-0.0695978020709087</v>
      </c>
      <c r="AV111" s="24" t="n">
        <f aca="false">IF(AND(ISNUMBER(AV108),ISNUMBER(AQ108)),IFERROR(AV108/AQ108-1,""),"")</f>
        <v>0.0719446034731877</v>
      </c>
      <c r="AW111" s="24" t="n">
        <f aca="false">IF(AND(ISNUMBER(AW108),ISNUMBER(AR108)),IFERROR(AW108/AR108-1,""),"")</f>
        <v>-0.00194087566874523</v>
      </c>
      <c r="AX111" s="24" t="n">
        <f aca="false">IF(AND(ISNUMBER(AX108),ISNUMBER(AS108)),IFERROR(AX108/AS108-1,""),"")</f>
        <v>0.0252556877478607</v>
      </c>
      <c r="AY111" s="24" t="n">
        <f aca="false">IF(AND(ISNUMBER(AY108),ISNUMBER(AT108)),IFERROR(AY108/AT108-1,""),"")</f>
        <v>0.084448292145443</v>
      </c>
      <c r="AZ111" s="24" t="n">
        <f aca="false">IF(AND(ISNUMBER(AZ108),ISNUMBER(AU108)),IFERROR(AZ108/AU108-1,""),"")</f>
        <v>0.178522778870894</v>
      </c>
      <c r="BA111" s="24" t="n">
        <f aca="false">IF(AND(ISNUMBER(BA108),ISNUMBER(AV108)),IFERROR(BA108/AV108-1,""),"")</f>
        <v>0.268565615462869</v>
      </c>
      <c r="BB111" s="24" t="n">
        <f aca="false">IF(AND(ISNUMBER(BB108),ISNUMBER(AW108)),IFERROR(BB108/AW108-1,""),"")</f>
        <v>0.144633078923444</v>
      </c>
      <c r="BC111" s="24" t="n">
        <f aca="false">IF(AND(ISNUMBER(BC108),ISNUMBER(AX108)),IFERROR(BC108/AX108-1,""),"")</f>
        <v>0.252850162866449</v>
      </c>
      <c r="BD111" s="24" t="n">
        <f aca="false">IF(AND(ISNUMBER(BD108),ISNUMBER(AY108)),IFERROR(BD108/AY108-1,""),"")</f>
        <v>0.191450758400465</v>
      </c>
      <c r="BE111" s="24" t="n">
        <f aca="false">IF(AND(ISNUMBER(BE108),ISNUMBER(AZ108)),IFERROR(BE108/AZ108-1,""),"")</f>
        <v>0.163359660951647</v>
      </c>
      <c r="BF111" s="24" t="n">
        <f aca="false">IF(AND(ISNUMBER(BF108),ISNUMBER(BA108)),IFERROR(BF108/BA108-1,""),"")</f>
        <v>-0.0132985832665062</v>
      </c>
      <c r="BG111" s="24" t="n">
        <f aca="false">IF(AND(ISNUMBER(BG108),ISNUMBER(BB108)),IFERROR(BG108/BB108-1,""),"")</f>
        <v>0.137920206871075</v>
      </c>
      <c r="BH111" s="24" t="n">
        <f aca="false">IF(AND(ISNUMBER(BH108),ISNUMBER(BC108)),IFERROR(BH108/BC108-1,""),"")</f>
        <v>0.100178745531362</v>
      </c>
      <c r="BI111" s="24" t="n">
        <f aca="false">IF(AND(ISNUMBER(BI108),ISNUMBER(BD108)),IFERROR(BI108/BD108-1,""),"")</f>
        <v>0.109094231589206</v>
      </c>
      <c r="BJ111" s="24" t="n">
        <f aca="false">IF(AND(ISNUMBER(BJ108),ISNUMBER(BE108)),IFERROR(BJ108/BE108-1,""),"")</f>
        <v>0.100678920351051</v>
      </c>
      <c r="BK111" s="24" t="n">
        <f aca="false">IF(AND(ISNUMBER(BK108),ISNUMBER(BF108)),IFERROR(BK108/BF108-1,""),"")</f>
        <v>0.0891974263460889</v>
      </c>
      <c r="BL111" s="24" t="n">
        <f aca="false">IF(AND(ISNUMBER(BL108),ISNUMBER(BG108)),IFERROR(BL108/BG108-1,""),"")</f>
        <v>0.100069797263298</v>
      </c>
      <c r="BM111" s="24" t="n">
        <f aca="false">IF(AND(ISNUMBER(BM108),ISNUMBER(BH108)),IFERROR(BM108/BH108-1,""),"")</f>
        <v>-0.0761391330034711</v>
      </c>
      <c r="BN111" s="24" t="n">
        <f aca="false">IF(AND(ISNUMBER(BN108),ISNUMBER(BI108)),IFERROR(BN108/BI108-1,""),"")</f>
        <v>-0.0311950790861161</v>
      </c>
      <c r="BO111" s="24" t="n">
        <f aca="false">IF(AND(ISNUMBER(BO108),ISNUMBER(BJ108)),IFERROR(BO108/BJ108-1,""),"")</f>
        <v>-0.0527054811694498</v>
      </c>
      <c r="BP111" s="24" t="n">
        <f aca="false">IF(AND(ISNUMBER(BP108),ISNUMBER(BK108)),IFERROR(BP108/BK108-1,""),"")</f>
        <v>0.014799154334038</v>
      </c>
      <c r="BQ111" s="24" t="n">
        <f aca="false">IF(AND(ISNUMBER(BQ108),ISNUMBER(BL108)),IFERROR(BQ108/BL108-1,""),"")</f>
        <v>-0.035589919140648</v>
      </c>
      <c r="BR111" s="24" t="n">
        <f aca="false">IF(AND(ISNUMBER(BR108),ISNUMBER(BM108)),IFERROR(BR108/BM108-1,""),"")</f>
        <v>-0.0711430855315748</v>
      </c>
      <c r="BS111" s="24" t="n">
        <f aca="false">IF(AND(ISNUMBER(BS108),ISNUMBER(BN108)),IFERROR(BS108/BN108-1,""),"")</f>
        <v>-0.0878684807256236</v>
      </c>
      <c r="BT111" s="24" t="n">
        <f aca="false">IF(AND(ISNUMBER(BT108),ISNUMBER(BO108)),IFERROR(BT108/BO108-1,""),"")</f>
        <v>-0.0227633668607729</v>
      </c>
      <c r="BU111" s="24" t="n">
        <f aca="false">IF(AND(ISNUMBER(BU108),ISNUMBER(BP108)),IFERROR(BU108/BP108-1,""),"")</f>
        <v>-0.0600490196078431</v>
      </c>
      <c r="BV111" s="24" t="n">
        <f aca="false">IF(AND(ISNUMBER(BV108),ISNUMBER(BQ108)),IFERROR(BV108/BQ108-1,""),"")</f>
        <v>-0.0590575275397797</v>
      </c>
      <c r="BW111" s="24" t="n">
        <f aca="false">IF(AND(ISNUMBER(BW108),ISNUMBER(BR108)),IFERROR(BW108/BR108-1,""),"")</f>
        <v>0.172117039586919</v>
      </c>
      <c r="BX111" s="24" t="n">
        <f aca="false">IF(AND(ISNUMBER(BX108),ISNUMBER(BS108)),IFERROR(BX108/BS108-1,""),"")</f>
        <v>0.210068365444375</v>
      </c>
      <c r="BY111" s="25" t="n">
        <f aca="false">IFERROR(BY108/BT108-1,"")</f>
        <v>0.292947043265385</v>
      </c>
      <c r="BZ111" s="25" t="n">
        <f aca="false">IFERROR(BZ108/BU108-1,"")</f>
        <v>0.482189348418949</v>
      </c>
      <c r="CA111" s="25" t="n">
        <f aca="false">IFERROR(CA108/BV108-1,"")</f>
        <v>0.295846943470336</v>
      </c>
      <c r="CB111" s="25" t="n">
        <f aca="false">IFERROR(CB108/CA108-1,"")</f>
        <v>0.231804996244099</v>
      </c>
      <c r="CC111" s="25" t="n">
        <f aca="false">IFERROR(CC108/CB108-1,"")</f>
        <v>0.0800331575751534</v>
      </c>
      <c r="CD111" s="25" t="n">
        <f aca="false">IFERROR(CD108/CC108-1,"")</f>
        <v>0.0840499295607189</v>
      </c>
      <c r="CE111" s="25" t="n">
        <f aca="false">IFERROR(CE108/CD108-1,"")</f>
        <v>0.086321148983165</v>
      </c>
      <c r="CF111" s="6"/>
    </row>
    <row r="112" customFormat="false" ht="15" hidden="false" customHeight="true" outlineLevel="0" collapsed="false">
      <c r="B112" s="61" t="s">
        <v>253</v>
      </c>
      <c r="C112" s="47" t="n">
        <f aca="false">ROUND(C108-C152,1)</f>
        <v>0</v>
      </c>
      <c r="D112" s="47" t="n">
        <f aca="false">ROUND(D108-D152,1)</f>
        <v>0</v>
      </c>
      <c r="E112" s="47" t="n">
        <f aca="false">ROUND(E108-E152,1)</f>
        <v>0</v>
      </c>
      <c r="F112" s="47" t="n">
        <f aca="false">ROUND(F108-F152,1)</f>
        <v>0</v>
      </c>
      <c r="G112" s="47" t="n">
        <f aca="false">ROUND(G108-G152,1)</f>
        <v>0</v>
      </c>
      <c r="H112" s="47" t="n">
        <f aca="false">ROUND(H108-H152,1)</f>
        <v>0</v>
      </c>
      <c r="I112" s="47" t="n">
        <f aca="false">ROUND(I108-I152,1)</f>
        <v>0</v>
      </c>
      <c r="J112" s="47" t="n">
        <f aca="false">ROUND(J108-J152,1)</f>
        <v>0</v>
      </c>
      <c r="K112" s="47" t="n">
        <f aca="false">ROUND(K108-K152,1)</f>
        <v>0</v>
      </c>
      <c r="L112" s="47" t="n">
        <f aca="false">ROUND(L108-L152,1)</f>
        <v>0</v>
      </c>
      <c r="M112" s="47" t="n">
        <f aca="false">ROUND(M108-M152,1)</f>
        <v>0</v>
      </c>
      <c r="N112" s="47" t="n">
        <f aca="false">ROUND(N108-N152,1)</f>
        <v>0</v>
      </c>
      <c r="O112" s="47" t="n">
        <f aca="false">ROUND(O108-O152,1)</f>
        <v>0</v>
      </c>
      <c r="P112" s="47" t="n">
        <f aca="false">ROUND(P108-P152,1)</f>
        <v>0</v>
      </c>
      <c r="Q112" s="47" t="n">
        <f aca="false">ROUND(Q108-Q152,1)</f>
        <v>0</v>
      </c>
      <c r="R112" s="47" t="n">
        <f aca="false">ROUND(R108-R152,1)</f>
        <v>0</v>
      </c>
      <c r="S112" s="47" t="n">
        <f aca="false">ROUND(S108-S152,1)</f>
        <v>0</v>
      </c>
      <c r="T112" s="47" t="n">
        <f aca="false">ROUND(T108-T152,1)</f>
        <v>0</v>
      </c>
      <c r="U112" s="47" t="n">
        <f aca="false">ROUND(U108-U152,1)</f>
        <v>0</v>
      </c>
      <c r="V112" s="47" t="n">
        <f aca="false">ROUND(V108-V152,1)</f>
        <v>0</v>
      </c>
      <c r="W112" s="47" t="n">
        <f aca="false">ROUND(W108-W152,1)</f>
        <v>0</v>
      </c>
      <c r="X112" s="47" t="n">
        <f aca="false">ROUND(X108-X152,1)</f>
        <v>0</v>
      </c>
      <c r="Y112" s="47" t="n">
        <f aca="false">ROUND(Y108-Y152,1)</f>
        <v>0</v>
      </c>
      <c r="Z112" s="47" t="n">
        <f aca="false">ROUND(Z108-Z152,1)</f>
        <v>0</v>
      </c>
      <c r="AA112" s="47" t="n">
        <f aca="false">ROUND(AA108-AA152,1)</f>
        <v>0</v>
      </c>
      <c r="AB112" s="47" t="n">
        <f aca="false">ROUND(AB108-AB152,1)</f>
        <v>0</v>
      </c>
      <c r="AC112" s="47" t="n">
        <f aca="false">ROUND(AC108-AC152,1)</f>
        <v>0</v>
      </c>
      <c r="AD112" s="47" t="n">
        <f aca="false">ROUND(AD108-AD152,1)</f>
        <v>0</v>
      </c>
      <c r="AE112" s="47" t="n">
        <f aca="false">ROUND(AE108-AE152,1)</f>
        <v>0</v>
      </c>
      <c r="AF112" s="47" t="n">
        <f aca="false">ROUND(AF108-AF152,1)</f>
        <v>0</v>
      </c>
      <c r="AG112" s="47" t="n">
        <f aca="false">ROUND(AG108-AG152,1)</f>
        <v>0</v>
      </c>
      <c r="AH112" s="47" t="n">
        <f aca="false">ROUND(AH108-AH152,1)</f>
        <v>0</v>
      </c>
      <c r="AI112" s="47" t="n">
        <f aca="false">ROUND(AI108-AI152,1)</f>
        <v>0</v>
      </c>
      <c r="AJ112" s="47" t="n">
        <f aca="false">ROUND(AJ108-AJ152,1)</f>
        <v>0</v>
      </c>
      <c r="AK112" s="47" t="n">
        <f aca="false">ROUND(AK108-AK152,1)</f>
        <v>0</v>
      </c>
      <c r="AL112" s="47" t="n">
        <f aca="false">ROUND(AL108-AL152,1)</f>
        <v>0</v>
      </c>
      <c r="AM112" s="47" t="n">
        <f aca="false">ROUND(AM108-AM152,1)</f>
        <v>0</v>
      </c>
      <c r="AN112" s="47" t="n">
        <f aca="false">ROUND(AN108-AN152,1)</f>
        <v>0</v>
      </c>
      <c r="AO112" s="47" t="n">
        <f aca="false">ROUND(AO108-AO152,1)</f>
        <v>0</v>
      </c>
      <c r="AP112" s="47" t="n">
        <f aca="false">ROUND(AP108-AP152,1)</f>
        <v>0</v>
      </c>
      <c r="AQ112" s="47" t="n">
        <f aca="false">ROUND(AQ108-AQ152,1)</f>
        <v>0</v>
      </c>
      <c r="AR112" s="47" t="n">
        <f aca="false">ROUND(AR108-AR152,1)</f>
        <v>0</v>
      </c>
      <c r="AS112" s="47" t="n">
        <f aca="false">ROUND(AS108-AS152,1)</f>
        <v>0</v>
      </c>
      <c r="AT112" s="47" t="n">
        <f aca="false">ROUND(AT108-AT152,1)</f>
        <v>0</v>
      </c>
      <c r="AU112" s="47" t="n">
        <f aca="false">ROUND(AU108-AU152,1)</f>
        <v>0</v>
      </c>
      <c r="AV112" s="47" t="n">
        <f aca="false">ROUND(AV108-AV152,1)</f>
        <v>0</v>
      </c>
      <c r="AW112" s="47" t="n">
        <f aca="false">ROUND(AW108-AW152,1)</f>
        <v>0</v>
      </c>
      <c r="AX112" s="47" t="n">
        <f aca="false">ROUND(AX108-AX152,1)</f>
        <v>0</v>
      </c>
      <c r="AY112" s="47" t="n">
        <f aca="false">ROUND(AY108-AY152,1)</f>
        <v>0</v>
      </c>
      <c r="AZ112" s="47" t="n">
        <f aca="false">ROUND(AZ108-AZ152,1)</f>
        <v>0</v>
      </c>
      <c r="BA112" s="47" t="n">
        <f aca="false">ROUND(BA108-BA152,1)</f>
        <v>0</v>
      </c>
      <c r="BB112" s="47" t="n">
        <f aca="false">ROUND(BB108-BB152,1)</f>
        <v>0</v>
      </c>
      <c r="BC112" s="47" t="n">
        <f aca="false">ROUND(BC108-BC152,1)</f>
        <v>0</v>
      </c>
      <c r="BD112" s="47" t="n">
        <f aca="false">ROUND(BD108-BD152,1)</f>
        <v>0</v>
      </c>
      <c r="BE112" s="47" t="n">
        <f aca="false">ROUND(BE108-BE152,1)</f>
        <v>0</v>
      </c>
      <c r="BF112" s="47" t="n">
        <f aca="false">ROUND(BF108-BF152,1)</f>
        <v>0</v>
      </c>
      <c r="BG112" s="47" t="n">
        <f aca="false">ROUND(BG108-BG152,1)</f>
        <v>0</v>
      </c>
      <c r="BH112" s="47" t="n">
        <f aca="false">ROUND(BH108-BH152,1)</f>
        <v>0</v>
      </c>
      <c r="BI112" s="47" t="n">
        <f aca="false">ROUND(BI108-BI152,1)</f>
        <v>0</v>
      </c>
      <c r="BJ112" s="47" t="n">
        <f aca="false">ROUND(BJ108-BJ152,1)</f>
        <v>0</v>
      </c>
      <c r="BK112" s="47" t="n">
        <f aca="false">ROUND(BK108-BK152,1)</f>
        <v>0</v>
      </c>
      <c r="BL112" s="47" t="n">
        <f aca="false">ROUND(BL108-BL152,1)</f>
        <v>0</v>
      </c>
      <c r="BM112" s="47" t="n">
        <f aca="false">ROUND(BM108-BM152,1)</f>
        <v>0</v>
      </c>
      <c r="BN112" s="47" t="n">
        <f aca="false">ROUND(BN108-BN152,1)</f>
        <v>0</v>
      </c>
      <c r="BO112" s="47" t="n">
        <f aca="false">ROUND(BO108-BO152,1)</f>
        <v>0</v>
      </c>
      <c r="BP112" s="47" t="n">
        <f aca="false">ROUND(BP108-BP152,1)</f>
        <v>0</v>
      </c>
      <c r="BQ112" s="47" t="n">
        <f aca="false">ROUND(BQ108-BQ152,1)</f>
        <v>0</v>
      </c>
      <c r="BR112" s="47" t="n">
        <f aca="false">ROUND(BR108-BR152,1)</f>
        <v>0</v>
      </c>
      <c r="BS112" s="47" t="n">
        <f aca="false">ROUND(BS108-BS152,1)</f>
        <v>0</v>
      </c>
      <c r="BT112" s="47" t="n">
        <f aca="false">ROUND(BT108-BT152,1)</f>
        <v>0</v>
      </c>
      <c r="BU112" s="47" t="n">
        <f aca="false">ROUND(BU108-BU152,1)</f>
        <v>0</v>
      </c>
      <c r="BV112" s="47" t="n">
        <f aca="false">ROUND(BV108-BV152,1)</f>
        <v>0</v>
      </c>
      <c r="BW112" s="47" t="n">
        <f aca="false">ROUND(BW108-BW152,1)</f>
        <v>0</v>
      </c>
      <c r="BX112" s="47" t="n">
        <f aca="false">ROUND(BX108-BX152,1)</f>
        <v>0</v>
      </c>
      <c r="BY112" s="37" t="n">
        <f aca="false">ROUND(BY108-BY152,1)</f>
        <v>0</v>
      </c>
      <c r="BZ112" s="37" t="n">
        <f aca="false">ROUND(BZ108-BZ152,1)</f>
        <v>0</v>
      </c>
      <c r="CA112" s="37" t="n">
        <f aca="false">ROUND(CA108-CA152,1)</f>
        <v>0</v>
      </c>
      <c r="CB112" s="37" t="n">
        <f aca="false">ROUND(CB108-CB152,1)</f>
        <v>0</v>
      </c>
      <c r="CC112" s="37" t="n">
        <f aca="false">ROUND(CC108-CC152,1)</f>
        <v>0</v>
      </c>
      <c r="CD112" s="37" t="n">
        <f aca="false">ROUND(CD108-CD152,1)</f>
        <v>0</v>
      </c>
      <c r="CE112" s="37" t="n">
        <f aca="false">ROUND(CE108-CE152,1)</f>
        <v>0</v>
      </c>
      <c r="CF112" s="6"/>
    </row>
    <row r="113" customFormat="false" ht="15" hidden="false" customHeight="true" outlineLevel="0" collapsed="false">
      <c r="B113" s="61" t="s">
        <v>254</v>
      </c>
      <c r="C113" s="47" t="n">
        <f aca="false">ROUND(C109-C156,1)</f>
        <v>0</v>
      </c>
      <c r="D113" s="47" t="n">
        <f aca="false">ROUND(D109-D156,1)</f>
        <v>0</v>
      </c>
      <c r="E113" s="47" t="n">
        <f aca="false">ROUND(E109-E156,1)</f>
        <v>0</v>
      </c>
      <c r="F113" s="47" t="n">
        <f aca="false">ROUND(F109-F156,1)</f>
        <v>0</v>
      </c>
      <c r="G113" s="47" t="n">
        <f aca="false">ROUND(G109-G156,1)</f>
        <v>0</v>
      </c>
      <c r="H113" s="47" t="n">
        <f aca="false">ROUND(H109-H156,1)</f>
        <v>0</v>
      </c>
      <c r="I113" s="47" t="n">
        <f aca="false">ROUND(I109-I156,1)</f>
        <v>0</v>
      </c>
      <c r="J113" s="47" t="n">
        <f aca="false">ROUND(J109-J156,1)</f>
        <v>0</v>
      </c>
      <c r="K113" s="47" t="n">
        <f aca="false">ROUND(K109-K156,1)</f>
        <v>0</v>
      </c>
      <c r="L113" s="47" t="n">
        <f aca="false">ROUND(L109-L156,1)</f>
        <v>0</v>
      </c>
      <c r="M113" s="47" t="n">
        <f aca="false">ROUND(M109-M156,1)</f>
        <v>0</v>
      </c>
      <c r="N113" s="47" t="n">
        <f aca="false">ROUND(N109-N156,1)</f>
        <v>0</v>
      </c>
      <c r="O113" s="47" t="n">
        <f aca="false">ROUND(O109-O156,1)</f>
        <v>0</v>
      </c>
      <c r="P113" s="47" t="n">
        <f aca="false">ROUND(P109-P156,1)</f>
        <v>0</v>
      </c>
      <c r="Q113" s="47" t="n">
        <f aca="false">ROUND(Q109-Q156,1)</f>
        <v>0</v>
      </c>
      <c r="R113" s="47" t="n">
        <f aca="false">ROUND(R109-R156,1)</f>
        <v>0</v>
      </c>
      <c r="S113" s="47" t="n">
        <f aca="false">ROUND(S109-S156,1)</f>
        <v>0</v>
      </c>
      <c r="T113" s="47" t="n">
        <f aca="false">ROUND(T109-T156,1)</f>
        <v>0</v>
      </c>
      <c r="U113" s="47" t="n">
        <f aca="false">ROUND(U109-U156,1)</f>
        <v>0</v>
      </c>
      <c r="V113" s="47" t="n">
        <f aca="false">ROUND(V109-V156,1)</f>
        <v>0</v>
      </c>
      <c r="W113" s="47" t="n">
        <f aca="false">ROUND(W109-W156,1)</f>
        <v>0</v>
      </c>
      <c r="X113" s="47" t="n">
        <f aca="false">ROUND(X109-X156,1)</f>
        <v>0</v>
      </c>
      <c r="Y113" s="47" t="n">
        <f aca="false">ROUND(Y109-Y156,1)</f>
        <v>0</v>
      </c>
      <c r="Z113" s="47" t="n">
        <f aca="false">ROUND(Z109-Z156,1)</f>
        <v>0</v>
      </c>
      <c r="AA113" s="47" t="n">
        <f aca="false">ROUND(AA109-AA156,1)</f>
        <v>0</v>
      </c>
      <c r="AB113" s="47" t="n">
        <f aca="false">ROUND(AB109-AB156,1)</f>
        <v>0</v>
      </c>
      <c r="AC113" s="47" t="n">
        <f aca="false">ROUND(AC109-AC156,1)</f>
        <v>0</v>
      </c>
      <c r="AD113" s="47" t="n">
        <f aca="false">ROUND(AD109-AD156,1)</f>
        <v>0</v>
      </c>
      <c r="AE113" s="47" t="n">
        <f aca="false">ROUND(AE109-AE156,1)</f>
        <v>0</v>
      </c>
      <c r="AF113" s="47" t="n">
        <f aca="false">ROUND(AF109-AF156,1)</f>
        <v>0</v>
      </c>
      <c r="AG113" s="47" t="n">
        <f aca="false">ROUND(AG109-AG156,1)</f>
        <v>0</v>
      </c>
      <c r="AH113" s="47" t="n">
        <f aca="false">ROUND(AH109-AH156,1)</f>
        <v>0</v>
      </c>
      <c r="AI113" s="47" t="n">
        <f aca="false">ROUND(AI109-AI156,1)</f>
        <v>0</v>
      </c>
      <c r="AJ113" s="47" t="n">
        <f aca="false">ROUND(AJ109-AJ156,1)</f>
        <v>0</v>
      </c>
      <c r="AK113" s="47" t="n">
        <f aca="false">ROUND(AK109-AK156,1)</f>
        <v>0</v>
      </c>
      <c r="AL113" s="47" t="n">
        <f aca="false">ROUND(AL109-AL156,1)</f>
        <v>0</v>
      </c>
      <c r="AM113" s="47" t="n">
        <f aca="false">ROUND(AM109-AM156,1)</f>
        <v>0</v>
      </c>
      <c r="AN113" s="47" t="n">
        <f aca="false">ROUND(AN109-AN156,1)</f>
        <v>0</v>
      </c>
      <c r="AO113" s="47" t="n">
        <f aca="false">ROUND(AO109-AO156,1)</f>
        <v>0</v>
      </c>
      <c r="AP113" s="47" t="n">
        <f aca="false">ROUND(AP109-AP156,1)</f>
        <v>0</v>
      </c>
      <c r="AQ113" s="47" t="n">
        <f aca="false">ROUND(AQ109-AQ156,1)</f>
        <v>0</v>
      </c>
      <c r="AR113" s="47" t="n">
        <f aca="false">ROUND(AR109-AR156,1)</f>
        <v>0</v>
      </c>
      <c r="AS113" s="47" t="n">
        <f aca="false">ROUND(AS109-AS156,1)</f>
        <v>0</v>
      </c>
      <c r="AT113" s="47" t="n">
        <f aca="false">ROUND(AT109-AT156,1)</f>
        <v>0</v>
      </c>
      <c r="AU113" s="47" t="n">
        <f aca="false">ROUND(AU109-AU156,1)</f>
        <v>0</v>
      </c>
      <c r="AV113" s="47" t="n">
        <f aca="false">ROUND(AV109-AV156,1)</f>
        <v>0</v>
      </c>
      <c r="AW113" s="47" t="n">
        <f aca="false">ROUND(AW109-AW156,1)</f>
        <v>0</v>
      </c>
      <c r="AX113" s="47" t="n">
        <f aca="false">ROUND(AX109-AX156,1)</f>
        <v>0</v>
      </c>
      <c r="AY113" s="47" t="n">
        <f aca="false">ROUND(AY109-AY156,1)</f>
        <v>0</v>
      </c>
      <c r="AZ113" s="47" t="n">
        <f aca="false">ROUND(AZ109-AZ156,1)</f>
        <v>0</v>
      </c>
      <c r="BA113" s="47" t="n">
        <f aca="false">ROUND(BA109-BA156,1)</f>
        <v>0</v>
      </c>
      <c r="BB113" s="47" t="n">
        <f aca="false">ROUND(BB109-BB156,1)</f>
        <v>0</v>
      </c>
      <c r="BC113" s="47" t="n">
        <f aca="false">ROUND(BC109-BC156,1)</f>
        <v>0</v>
      </c>
      <c r="BD113" s="47" t="n">
        <f aca="false">ROUND(BD109-BD156,1)</f>
        <v>0</v>
      </c>
      <c r="BE113" s="47" t="n">
        <f aca="false">ROUND(BE109-BE156,1)</f>
        <v>0</v>
      </c>
      <c r="BF113" s="47" t="n">
        <f aca="false">ROUND(BF109-BF156,1)</f>
        <v>0</v>
      </c>
      <c r="BG113" s="47" t="n">
        <f aca="false">ROUND(BG109-BG156,1)</f>
        <v>0</v>
      </c>
      <c r="BH113" s="47" t="n">
        <f aca="false">ROUND(BH109-BH156,1)</f>
        <v>0</v>
      </c>
      <c r="BI113" s="47" t="n">
        <f aca="false">ROUND(BI109-BI156,1)</f>
        <v>0</v>
      </c>
      <c r="BJ113" s="47" t="n">
        <f aca="false">ROUND(BJ109-BJ156,1)</f>
        <v>0</v>
      </c>
      <c r="BK113" s="47" t="n">
        <f aca="false">ROUND(BK109-BK156,1)</f>
        <v>0</v>
      </c>
      <c r="BL113" s="47" t="n">
        <f aca="false">ROUND(BL109-BL156,1)</f>
        <v>0</v>
      </c>
      <c r="BM113" s="47" t="n">
        <f aca="false">ROUND(BM109-BM156,1)</f>
        <v>0</v>
      </c>
      <c r="BN113" s="47" t="n">
        <f aca="false">ROUND(BN109-BN156,1)</f>
        <v>0</v>
      </c>
      <c r="BO113" s="47" t="n">
        <f aca="false">ROUND(BO109-BO156,1)</f>
        <v>0</v>
      </c>
      <c r="BP113" s="47" t="n">
        <f aca="false">ROUND(BP109-BP156,1)</f>
        <v>0</v>
      </c>
      <c r="BQ113" s="47" t="n">
        <f aca="false">ROUND(BQ109-BQ156,1)</f>
        <v>0</v>
      </c>
      <c r="BR113" s="47" t="n">
        <f aca="false">ROUND(BR109-BR156,1)</f>
        <v>0</v>
      </c>
      <c r="BS113" s="47" t="n">
        <f aca="false">ROUND(BS109-BS156,1)</f>
        <v>0</v>
      </c>
      <c r="BT113" s="47" t="n">
        <f aca="false">ROUND(BT109-BT156,1)</f>
        <v>0</v>
      </c>
      <c r="BU113" s="47" t="n">
        <f aca="false">ROUND(BU109-BU156,1)</f>
        <v>0</v>
      </c>
      <c r="BV113" s="47" t="n">
        <f aca="false">ROUND(BV109-BV156,1)</f>
        <v>0</v>
      </c>
      <c r="BW113" s="47" t="n">
        <f aca="false">ROUND(BW109-BW156,1)</f>
        <v>0</v>
      </c>
      <c r="BX113" s="47" t="n">
        <f aca="false">ROUND(BX109-BX156,1)</f>
        <v>0</v>
      </c>
      <c r="BY113" s="37" t="n">
        <f aca="false">ROUND(BY109-BY156,1)</f>
        <v>0</v>
      </c>
      <c r="BZ113" s="37" t="n">
        <f aca="false">ROUND(BZ109-BZ156,1)</f>
        <v>0</v>
      </c>
      <c r="CA113" s="37" t="n">
        <f aca="false">ROUND(CA109-CA156,1)</f>
        <v>0</v>
      </c>
      <c r="CB113" s="37" t="n">
        <f aca="false">ROUND(CB109-CB156,1)</f>
        <v>0</v>
      </c>
      <c r="CC113" s="37" t="n">
        <f aca="false">ROUND(CC109-CC156,1)</f>
        <v>0</v>
      </c>
      <c r="CD113" s="37" t="n">
        <f aca="false">ROUND(CD109-CD156,1)</f>
        <v>0</v>
      </c>
      <c r="CE113" s="37" t="n">
        <f aca="false">ROUND(CE109-CE156,1)</f>
        <v>0</v>
      </c>
      <c r="CF113" s="6"/>
    </row>
    <row r="114" customFormat="false" ht="15" hidden="false" customHeight="true" outlineLevel="0" collapsed="false">
      <c r="B114" s="42" t="s">
        <v>255</v>
      </c>
      <c r="BR114" s="47" t="n">
        <f aca="false">BR108-N(BR68)-N(BR96)</f>
        <v>1162</v>
      </c>
      <c r="BS114" s="47" t="n">
        <f aca="false">BS108-N(BS68)-N(BS96)</f>
        <v>1609</v>
      </c>
      <c r="BT114" s="47" t="n">
        <f aca="false">BT108-N(BT68)-N(BT96)</f>
        <v>1846</v>
      </c>
      <c r="BU114" s="47" t="n">
        <f aca="false">BU108-N(BU68)-N(BU96)</f>
        <v>1534</v>
      </c>
      <c r="BV114" s="47" t="n">
        <f aca="false">BV108-N(BV68)-N(BV96)</f>
        <v>6150</v>
      </c>
      <c r="BW114" s="47" t="n">
        <f aca="false">BW108-N(BW68)-N(BW96)</f>
        <v>1362</v>
      </c>
      <c r="BX114" s="47" t="n">
        <f aca="false">BX108-N(BX68)-N(BX96)</f>
        <v>1947</v>
      </c>
      <c r="BY114" s="37" t="n">
        <f aca="false">BY108-N(BY68)-N(BY96)</f>
        <v>2180.40575467959</v>
      </c>
      <c r="BZ114" s="37" t="n">
        <f aca="false">BZ108-N(BZ68)-N(BZ96)</f>
        <v>1810.59424532041</v>
      </c>
      <c r="CA114" s="37" t="n">
        <f aca="false">CA108-N(CA68)-N(CA96)</f>
        <v>7300</v>
      </c>
      <c r="CB114" s="37" t="n">
        <f aca="false">CB108-N(CB68)-N(CB96)</f>
        <v>7887.72094410366</v>
      </c>
      <c r="CC114" s="37" t="n">
        <f aca="false">CC108-N(CC68)-N(CC96)</f>
        <v>8493.60373129802</v>
      </c>
      <c r="CD114" s="37" t="n">
        <f aca="false">CD108-N(CD68)-N(CD96)</f>
        <v>9076.92572304202</v>
      </c>
      <c r="CE114" s="37" t="n">
        <f aca="false">CE108-N(CE68)-N(CE96)</f>
        <v>9702.56732099197</v>
      </c>
      <c r="CF114" s="6"/>
    </row>
    <row r="115" customFormat="false" ht="15" hidden="false" customHeight="true" outlineLevel="0" collapsed="false">
      <c r="B115" s="42" t="s">
        <v>256</v>
      </c>
      <c r="BY115" s="6"/>
      <c r="BZ115" s="6"/>
      <c r="CA115" s="37" t="n">
        <f aca="false">CHOOSE(MATCH($CF$2,{"Bull","Base","Bear"},0),$CO$12,$CP$12,$CQ$12)</f>
        <v>7300</v>
      </c>
      <c r="CB115" s="6"/>
      <c r="CC115" s="6"/>
      <c r="CD115" s="6"/>
      <c r="CE115" s="6"/>
      <c r="CF115" s="20" t="s">
        <v>257</v>
      </c>
    </row>
    <row r="116" customFormat="false" ht="15" hidden="false" customHeight="true" outlineLevel="0" collapsed="false">
      <c r="B116" s="26" t="s">
        <v>258</v>
      </c>
      <c r="BY116" s="37" t="n">
        <f aca="false">BT11*(1+$BX$12)*BY13*BY15+BT28*(1+$BX$29)*(1-BY50)+BT53*(1+BY55)</f>
        <v>2094.61414001387</v>
      </c>
      <c r="BZ116" s="37" t="n">
        <f aca="false">BU11*(1+$BX$12)*BZ13*BZ15+BU28*(1+$BX$29)*(1-BZ50)+BU53*(1+BZ55)</f>
        <v>1739.31545913146</v>
      </c>
      <c r="CA116" s="6"/>
      <c r="CB116" s="6"/>
      <c r="CC116" s="6"/>
      <c r="CD116" s="6"/>
      <c r="CE116" s="6"/>
      <c r="CF116" s="20" t="s">
        <v>259</v>
      </c>
    </row>
    <row r="117" customFormat="false" ht="15" hidden="false" customHeight="true" outlineLevel="0" collapsed="false">
      <c r="B117" s="26" t="s">
        <v>260</v>
      </c>
      <c r="BY117" s="37" t="n">
        <f aca="false">BT11*BY13*BY15+BT28*(1-BY50)+BT53</f>
        <v>1816.47565704438</v>
      </c>
      <c r="BZ117" s="37" t="n">
        <f aca="false">BU11*BZ13*BZ15+BU28*(1-BZ50)+BU53</f>
        <v>1509.19388194744</v>
      </c>
      <c r="CA117" s="6"/>
      <c r="CB117" s="6"/>
      <c r="CC117" s="6"/>
      <c r="CD117" s="6"/>
      <c r="CE117" s="6"/>
      <c r="CF117" s="6"/>
    </row>
    <row r="118" customFormat="false" ht="15" hidden="false" customHeight="true" outlineLevel="0" collapsed="false">
      <c r="B118" s="26" t="s">
        <v>261</v>
      </c>
      <c r="BY118" s="25" t="n">
        <f aca="false">(CA115-BW152-BX152-BY116-BZ116)/(BY117+BZ117)</f>
        <v>0.0472297078868197</v>
      </c>
      <c r="BZ118" s="25" t="n">
        <f aca="false">BY118</f>
        <v>0.0472297078868197</v>
      </c>
      <c r="CA118" s="6"/>
      <c r="CB118" s="6"/>
      <c r="CC118" s="6"/>
      <c r="CD118" s="6"/>
      <c r="CE118" s="6"/>
      <c r="CF118" s="20" t="s">
        <v>262</v>
      </c>
    </row>
    <row r="119" customFormat="false" ht="15" hidden="false" customHeight="true" outlineLevel="0" collapsed="false">
      <c r="B119" s="61" t="s">
        <v>263</v>
      </c>
      <c r="BY119" s="6"/>
      <c r="BZ119" s="6"/>
      <c r="CA119" s="37" t="n">
        <f aca="false">ROUND(CA114-CA115,1)</f>
        <v>0</v>
      </c>
      <c r="CB119" s="6"/>
      <c r="CC119" s="6"/>
      <c r="CD119" s="6"/>
      <c r="CE119" s="6"/>
      <c r="CF119" s="6"/>
    </row>
    <row r="120" customFormat="false" ht="15" hidden="false" customHeight="true" outlineLevel="0" collapsed="false">
      <c r="B120" s="26" t="s">
        <v>264</v>
      </c>
      <c r="BY120" s="37" t="n">
        <f aca="false">BY16*BY19+BY28*BY31+BY53*BY57+BY84-(BY157-BY79)-BY159-BY163+BY146</f>
        <v>740.647624345614</v>
      </c>
      <c r="BZ120" s="37" t="n">
        <f aca="false">BZ16*BZ19+BZ28*BZ31+BZ53*BZ57+BZ84-(BZ157-BZ79)-BZ159-BZ163+BZ146</f>
        <v>588.994929678192</v>
      </c>
      <c r="CA120" s="6"/>
      <c r="CB120" s="6"/>
      <c r="CC120" s="6"/>
      <c r="CD120" s="6"/>
      <c r="CE120" s="6"/>
      <c r="CF120" s="20" t="s">
        <v>265</v>
      </c>
    </row>
    <row r="121" customFormat="false" ht="15" hidden="false" customHeight="true" outlineLevel="0" collapsed="false">
      <c r="B121" s="26" t="s">
        <v>266</v>
      </c>
      <c r="BY121" s="25" t="n">
        <f aca="false">(CA122-BW204-BX204-BY120-BZ120)/(BY16+BZ16+BY28+BZ28+BY53+BZ53)</f>
        <v>0.0235055128501111</v>
      </c>
      <c r="BZ121" s="25" t="n">
        <f aca="false">BY121</f>
        <v>0.0235055128501111</v>
      </c>
      <c r="CA121" s="6"/>
      <c r="CB121" s="6"/>
      <c r="CC121" s="6"/>
      <c r="CD121" s="6"/>
      <c r="CE121" s="6"/>
      <c r="CF121" s="20" t="s">
        <v>267</v>
      </c>
    </row>
    <row r="122" customFormat="false" ht="15" hidden="false" customHeight="true" outlineLevel="0" collapsed="false">
      <c r="B122" s="42" t="s">
        <v>268</v>
      </c>
      <c r="BY122" s="6"/>
      <c r="BZ122" s="6"/>
      <c r="CA122" s="37" t="n">
        <f aca="false">CHOOSE(MATCH($CF$2,{"Bull","Base","Bear"},0),$CO$13,$CP$13,$CQ$13)</f>
        <v>2430</v>
      </c>
      <c r="CB122" s="6"/>
      <c r="CC122" s="6"/>
      <c r="CD122" s="6"/>
      <c r="CE122" s="6"/>
      <c r="CF122" s="20" t="s">
        <v>269</v>
      </c>
    </row>
    <row r="123" customFormat="false" ht="15" hidden="false" customHeight="true" outlineLevel="0" collapsed="false">
      <c r="B123" s="42" t="s">
        <v>270</v>
      </c>
      <c r="BW123" s="47" t="n">
        <f aca="false">BW204-N(BW80)</f>
        <v>364</v>
      </c>
      <c r="BX123" s="47" t="n">
        <f aca="false">BX204-N(BX80)</f>
        <v>638</v>
      </c>
      <c r="BY123" s="37" t="n">
        <f aca="false">BY204-N(BY80)</f>
        <v>794.473955457147</v>
      </c>
      <c r="BZ123" s="37" t="n">
        <f aca="false">BZ204-N(BZ80)</f>
        <v>633.526044542853</v>
      </c>
      <c r="CA123" s="37" t="n">
        <f aca="false">CA204-N(CA80)</f>
        <v>2430</v>
      </c>
      <c r="CB123" s="37" t="n">
        <f aca="false">CB204-N(CB80)</f>
        <v>2739.61611637372</v>
      </c>
      <c r="CC123" s="37" t="n">
        <f aca="false">CC204-N(CC80)</f>
        <v>3061.90576980221</v>
      </c>
      <c r="CD123" s="37" t="n">
        <f aca="false">CD204-N(CD80)</f>
        <v>3426.90599053863</v>
      </c>
      <c r="CE123" s="37" t="n">
        <f aca="false">CE204-N(CE80)</f>
        <v>3786.18671776295</v>
      </c>
      <c r="CF123" s="6"/>
    </row>
    <row r="124" customFormat="false" ht="15" hidden="false" customHeight="true" outlineLevel="0" collapsed="false">
      <c r="B124" s="61" t="s">
        <v>271</v>
      </c>
      <c r="BY124" s="6"/>
      <c r="BZ124" s="6"/>
      <c r="CA124" s="37" t="n">
        <f aca="false">ROUND(CA123-CA122,1)</f>
        <v>0</v>
      </c>
      <c r="CB124" s="6"/>
      <c r="CC124" s="6"/>
      <c r="CD124" s="6"/>
      <c r="CE124" s="6"/>
      <c r="CF124" s="6"/>
    </row>
    <row r="125" customFormat="false" ht="15" hidden="false" customHeight="true" outlineLevel="0" collapsed="false"/>
    <row r="126" customFormat="false" ht="15" hidden="false" customHeight="true" outlineLevel="0" collapsed="false">
      <c r="B126" s="15" t="s">
        <v>272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6" t="s">
        <v>273</v>
      </c>
    </row>
    <row r="127" customFormat="false" ht="15" hidden="false" customHeight="true" outlineLevel="0" collapsed="false">
      <c r="B127" s="26" t="s">
        <v>274</v>
      </c>
      <c r="AU127" s="36" t="n">
        <v>549.3</v>
      </c>
      <c r="AV127" s="36" t="n">
        <v>483.3</v>
      </c>
      <c r="AW127" s="36" t="n">
        <v>1949.1</v>
      </c>
      <c r="AX127" s="36" t="n">
        <v>394.9</v>
      </c>
      <c r="AY127" s="36" t="n">
        <v>635.3</v>
      </c>
      <c r="AZ127" s="36" t="n">
        <v>684.1</v>
      </c>
      <c r="BA127" s="36" t="n">
        <v>588.7</v>
      </c>
      <c r="BB127" s="36" t="n">
        <v>2303</v>
      </c>
      <c r="BC127" s="36" t="n">
        <v>418.8</v>
      </c>
      <c r="BD127" s="36" t="n">
        <v>674.5</v>
      </c>
      <c r="BE127" s="36" t="n">
        <v>773.6</v>
      </c>
      <c r="BF127" s="36" t="n">
        <v>601.1</v>
      </c>
      <c r="BG127" s="36" t="n">
        <v>2468.1</v>
      </c>
      <c r="BH127" s="36" t="n">
        <v>529.6</v>
      </c>
      <c r="BI127" s="36" t="n">
        <v>735.1</v>
      </c>
      <c r="BJ127" s="36" t="n">
        <v>814.3</v>
      </c>
      <c r="BK127" s="36" t="n">
        <v>684.3</v>
      </c>
      <c r="BL127" s="36" t="n">
        <v>2763.4</v>
      </c>
      <c r="BM127" s="36" t="n">
        <v>526</v>
      </c>
      <c r="BN127" s="36" t="n">
        <v>823</v>
      </c>
      <c r="BO127" s="36" t="n">
        <v>849</v>
      </c>
      <c r="BP127" s="36" t="n">
        <v>743</v>
      </c>
      <c r="BQ127" s="36" t="n">
        <v>2941</v>
      </c>
      <c r="BR127" s="36" t="n">
        <v>758</v>
      </c>
      <c r="BS127" s="36" t="n">
        <v>878</v>
      </c>
      <c r="BT127" s="36" t="n">
        <v>953</v>
      </c>
      <c r="BU127" s="36" t="n">
        <v>775</v>
      </c>
      <c r="BV127" s="36" t="n">
        <v>3194</v>
      </c>
      <c r="BW127" s="36" t="n">
        <v>835</v>
      </c>
      <c r="BX127" s="36" t="n">
        <v>972</v>
      </c>
      <c r="BY127" s="6"/>
      <c r="BZ127" s="6"/>
      <c r="CA127" s="6"/>
      <c r="CB127" s="6"/>
      <c r="CC127" s="6"/>
      <c r="CD127" s="6"/>
      <c r="CE127" s="6"/>
      <c r="CF127" s="6"/>
    </row>
    <row r="128" customFormat="false" ht="15" hidden="false" customHeight="true" outlineLevel="0" collapsed="false">
      <c r="B128" s="26" t="s">
        <v>275</v>
      </c>
      <c r="AU128" s="36" t="n">
        <v>711.2</v>
      </c>
      <c r="AV128" s="36" t="n">
        <v>633.9</v>
      </c>
      <c r="AW128" s="36" t="n">
        <v>2538.1</v>
      </c>
      <c r="AX128" s="36" t="n">
        <v>516.6</v>
      </c>
      <c r="AY128" s="36" t="n">
        <v>666.8</v>
      </c>
      <c r="AZ128" s="36" t="n">
        <v>794.8</v>
      </c>
      <c r="BA128" s="36" t="n">
        <v>834.1</v>
      </c>
      <c r="BB128" s="36" t="n">
        <v>2812.3</v>
      </c>
      <c r="BC128" s="36" t="n">
        <v>735</v>
      </c>
      <c r="BD128" s="36" t="n">
        <v>885.5</v>
      </c>
      <c r="BE128" s="36" t="n">
        <v>962.4</v>
      </c>
      <c r="BF128" s="36" t="n">
        <v>805.8</v>
      </c>
      <c r="BG128" s="36" t="n">
        <v>3388.6</v>
      </c>
      <c r="BH128" s="36" t="n">
        <v>741.1</v>
      </c>
      <c r="BI128" s="36" t="n">
        <v>1005.2</v>
      </c>
      <c r="BJ128" s="36" t="n">
        <v>1104.3</v>
      </c>
      <c r="BK128" s="36" t="n">
        <v>847.9</v>
      </c>
      <c r="BL128" s="36" t="n">
        <v>3698.4</v>
      </c>
      <c r="BM128" s="36" t="n">
        <v>644</v>
      </c>
      <c r="BN128" s="36" t="n">
        <v>860</v>
      </c>
      <c r="BO128" s="36" t="n">
        <v>958</v>
      </c>
      <c r="BP128" s="36" t="n">
        <v>812</v>
      </c>
      <c r="BQ128" s="36" t="n">
        <v>3275</v>
      </c>
      <c r="BR128" s="36" t="n">
        <v>317</v>
      </c>
      <c r="BS128" s="36" t="n">
        <v>641</v>
      </c>
      <c r="BT128" s="36" t="n">
        <v>762</v>
      </c>
      <c r="BU128" s="36" t="n">
        <v>626</v>
      </c>
      <c r="BV128" s="36" t="n">
        <v>2515</v>
      </c>
      <c r="BW128" s="36" t="n">
        <v>384</v>
      </c>
      <c r="BX128" s="36" t="n">
        <v>823</v>
      </c>
      <c r="BY128" s="6"/>
      <c r="BZ128" s="6"/>
      <c r="CA128" s="6"/>
      <c r="CB128" s="6"/>
      <c r="CC128" s="6"/>
      <c r="CD128" s="6"/>
      <c r="CE128" s="6"/>
      <c r="CF128" s="6"/>
    </row>
    <row r="129" customFormat="false" ht="15" hidden="false" customHeight="true" outlineLevel="0" collapsed="false">
      <c r="B129" s="26" t="s">
        <v>276</v>
      </c>
      <c r="AU129" s="36" t="n">
        <v>181.4</v>
      </c>
      <c r="AV129" s="36" t="n">
        <v>136</v>
      </c>
      <c r="AW129" s="36" t="n">
        <v>522.1</v>
      </c>
      <c r="AX129" s="36" t="n">
        <v>61.7</v>
      </c>
      <c r="AY129" s="36" t="n">
        <v>197.8</v>
      </c>
      <c r="AZ129" s="36" t="n">
        <v>205.8</v>
      </c>
      <c r="BA129" s="36" t="n">
        <v>156.3</v>
      </c>
      <c r="BB129" s="36" t="n">
        <v>621.7</v>
      </c>
      <c r="BC129" s="36" t="n">
        <v>28</v>
      </c>
      <c r="BD129" s="36" t="n">
        <v>210.6</v>
      </c>
      <c r="BE129" s="36" t="n">
        <v>239.4</v>
      </c>
      <c r="BF129" s="36" t="n">
        <v>162.2</v>
      </c>
      <c r="BG129" s="36" t="n">
        <v>640.2</v>
      </c>
      <c r="BH129" s="36" t="n">
        <v>108.9</v>
      </c>
      <c r="BI129" s="36" t="n">
        <v>227.5</v>
      </c>
      <c r="BJ129" s="36" t="n">
        <v>295.2</v>
      </c>
      <c r="BK129" s="36" t="n">
        <v>225.5</v>
      </c>
      <c r="BL129" s="36" t="n">
        <v>857.1</v>
      </c>
      <c r="BM129" s="36" t="n">
        <v>128</v>
      </c>
      <c r="BN129" s="36" t="n">
        <v>249</v>
      </c>
      <c r="BO129" s="36" t="n">
        <v>272</v>
      </c>
      <c r="BP129" s="36" t="n">
        <v>241</v>
      </c>
      <c r="BQ129" s="36" t="n">
        <v>891</v>
      </c>
      <c r="BR129" s="36" t="n">
        <v>237</v>
      </c>
      <c r="BS129" s="36" t="n">
        <v>302</v>
      </c>
      <c r="BT129" s="36" t="n">
        <v>331</v>
      </c>
      <c r="BU129" s="36" t="n">
        <v>243</v>
      </c>
      <c r="BV129" s="36" t="n">
        <v>992</v>
      </c>
      <c r="BW129" s="36" t="n">
        <v>230</v>
      </c>
      <c r="BX129" s="36" t="n">
        <v>295</v>
      </c>
      <c r="BY129" s="6"/>
      <c r="BZ129" s="6"/>
      <c r="CA129" s="6"/>
      <c r="CB129" s="6"/>
      <c r="CC129" s="6"/>
      <c r="CD129" s="6"/>
      <c r="CE129" s="6"/>
      <c r="CF129" s="6"/>
    </row>
    <row r="130" customFormat="false" ht="15" hidden="false" customHeight="true" outlineLevel="0" collapsed="false">
      <c r="B130" s="26" t="s">
        <v>277</v>
      </c>
      <c r="AU130" s="36" t="n">
        <v>212.3</v>
      </c>
      <c r="AV130" s="36" t="n">
        <v>103.1</v>
      </c>
      <c r="AW130" s="36" t="n">
        <v>471.3</v>
      </c>
      <c r="AX130" s="36" t="n">
        <v>31.9</v>
      </c>
      <c r="AY130" s="36" t="n">
        <v>101.8</v>
      </c>
      <c r="AZ130" s="36" t="n">
        <v>150.6</v>
      </c>
      <c r="BA130" s="36" t="n">
        <v>101.1</v>
      </c>
      <c r="BB130" s="36" t="n">
        <v>385.2</v>
      </c>
      <c r="BC130" s="36" t="n">
        <v>43</v>
      </c>
      <c r="BD130" s="36" t="n">
        <v>274.5</v>
      </c>
      <c r="BE130" s="36" t="n">
        <v>159.7</v>
      </c>
      <c r="BF130" s="36" t="n">
        <v>110.8</v>
      </c>
      <c r="BG130" s="36" t="n">
        <v>588.1</v>
      </c>
      <c r="BH130" s="36" t="n">
        <v>94.7</v>
      </c>
      <c r="BI130" s="36" t="n">
        <v>239.6</v>
      </c>
      <c r="BJ130" s="36" t="n">
        <v>283</v>
      </c>
      <c r="BK130" s="36" t="n">
        <v>159.9</v>
      </c>
      <c r="BL130" s="36" t="n">
        <v>777.1</v>
      </c>
      <c r="BM130" s="36" t="n">
        <v>1299</v>
      </c>
      <c r="BN130" s="36" t="n">
        <v>171</v>
      </c>
      <c r="BO130" s="36" t="n">
        <v>233</v>
      </c>
      <c r="BP130" s="36" t="n">
        <v>174</v>
      </c>
      <c r="BQ130" s="36" t="n">
        <v>1877</v>
      </c>
      <c r="BR130" s="36" t="n">
        <v>-42</v>
      </c>
      <c r="BS130" s="36" t="n">
        <v>92</v>
      </c>
      <c r="BT130" s="36" t="n">
        <v>180</v>
      </c>
      <c r="BU130" s="36" t="n">
        <v>104</v>
      </c>
      <c r="BV130" s="36" t="n">
        <v>455</v>
      </c>
      <c r="BW130" s="36" t="n">
        <v>-43</v>
      </c>
      <c r="BX130" s="36" t="n">
        <v>81</v>
      </c>
      <c r="BY130" s="6"/>
      <c r="BZ130" s="6"/>
      <c r="CA130" s="6"/>
      <c r="CB130" s="6"/>
      <c r="CC130" s="6"/>
      <c r="CD130" s="6"/>
      <c r="CE130" s="6"/>
      <c r="CF130" s="6"/>
    </row>
    <row r="131" customFormat="false" ht="15" hidden="false" customHeight="true" outlineLevel="0" collapsed="false">
      <c r="B131" s="26" t="s">
        <v>278</v>
      </c>
      <c r="C131" s="36" t="n">
        <v>150.7</v>
      </c>
      <c r="D131" s="36" t="n">
        <v>154.4</v>
      </c>
      <c r="E131" s="36" t="n">
        <v>167.2</v>
      </c>
      <c r="F131" s="36" t="n">
        <v>143.7</v>
      </c>
      <c r="G131" s="36" t="n">
        <v>176.4</v>
      </c>
      <c r="H131" s="36" t="n">
        <v>200.6</v>
      </c>
      <c r="I131" s="36" t="n">
        <v>202.2</v>
      </c>
      <c r="J131" s="36" t="n">
        <v>55.2</v>
      </c>
      <c r="K131" s="36" t="n">
        <v>56.6</v>
      </c>
      <c r="L131" s="36" t="n">
        <v>55.8</v>
      </c>
      <c r="M131" s="36" t="n">
        <v>58.1</v>
      </c>
      <c r="N131" s="36" t="n">
        <v>225.6</v>
      </c>
      <c r="O131" s="36" t="n">
        <v>57.4</v>
      </c>
      <c r="P131" s="36" t="n">
        <v>61.9</v>
      </c>
      <c r="Q131" s="36" t="n">
        <v>58.7</v>
      </c>
      <c r="R131" s="36" t="n">
        <v>58.2</v>
      </c>
      <c r="S131" s="36" t="n">
        <v>236.1</v>
      </c>
      <c r="T131" s="36" t="n">
        <v>58.8</v>
      </c>
      <c r="U131" s="36" t="n">
        <v>60.5</v>
      </c>
      <c r="V131" s="36" t="n">
        <v>57.3</v>
      </c>
      <c r="W131" s="36" t="n">
        <v>51</v>
      </c>
      <c r="X131" s="36" t="n">
        <v>227.5</v>
      </c>
      <c r="Y131" s="36" t="n">
        <v>59.5</v>
      </c>
      <c r="Z131" s="36" t="n">
        <v>58.8</v>
      </c>
      <c r="AA131" s="36" t="n">
        <v>60.2</v>
      </c>
      <c r="AB131" s="36" t="n">
        <v>59.4</v>
      </c>
      <c r="AC131" s="36" t="n">
        <v>238</v>
      </c>
      <c r="AD131" s="36" t="n">
        <v>63.3</v>
      </c>
      <c r="AE131" s="36" t="n">
        <v>64.6</v>
      </c>
      <c r="AF131" s="36" t="n">
        <v>63.9</v>
      </c>
      <c r="AG131" s="36" t="n">
        <v>67.5</v>
      </c>
      <c r="AH131" s="36" t="n">
        <v>270</v>
      </c>
      <c r="AI131" s="36" t="n">
        <v>69.3</v>
      </c>
      <c r="AJ131" s="36" t="n">
        <v>72.962</v>
      </c>
      <c r="AK131" s="36" t="n">
        <v>73.523</v>
      </c>
      <c r="AL131" s="36" t="n">
        <v>71.975</v>
      </c>
      <c r="AM131" s="36" t="n">
        <v>287.723</v>
      </c>
      <c r="AN131" s="36" t="n">
        <v>74.074</v>
      </c>
      <c r="AO131" s="36" t="n">
        <v>76.239</v>
      </c>
      <c r="AP131" s="36" t="n">
        <v>64.877</v>
      </c>
      <c r="AQ131" s="36" t="n">
        <v>56.126</v>
      </c>
      <c r="AR131" s="36" t="n">
        <v>271.316</v>
      </c>
      <c r="AS131" s="36" t="n">
        <v>65.7</v>
      </c>
      <c r="AT131" s="36" t="n">
        <v>53.6</v>
      </c>
      <c r="AU131" s="36" t="n">
        <v>60.9</v>
      </c>
      <c r="AV131" s="36" t="n">
        <v>62.4</v>
      </c>
      <c r="AW131" s="36" t="n">
        <v>242.7</v>
      </c>
      <c r="AX131" s="36" t="n">
        <v>70.9</v>
      </c>
      <c r="AY131" s="36" t="n">
        <v>75.8</v>
      </c>
      <c r="AZ131" s="36" t="n">
        <v>78.4</v>
      </c>
      <c r="BA131" s="36" t="n">
        <v>73.6</v>
      </c>
      <c r="BB131" s="36" t="n">
        <v>298.7</v>
      </c>
      <c r="BC131" s="36" t="n">
        <v>77</v>
      </c>
      <c r="BD131" s="36" t="n">
        <v>81.7</v>
      </c>
      <c r="BE131" s="36" t="n">
        <v>75.7</v>
      </c>
      <c r="BF131" s="36" t="n">
        <v>69.6</v>
      </c>
      <c r="BG131" s="36" t="n">
        <v>304</v>
      </c>
      <c r="BH131" s="36" t="n">
        <v>83.4</v>
      </c>
      <c r="BI131" s="36" t="n">
        <v>80.5</v>
      </c>
      <c r="BJ131" s="36" t="n">
        <v>75.5</v>
      </c>
      <c r="BK131" s="36" t="n">
        <v>76</v>
      </c>
      <c r="BL131" s="36" t="n">
        <v>315.4</v>
      </c>
      <c r="BM131" s="36" t="n">
        <v>81</v>
      </c>
      <c r="BN131" s="36" t="n">
        <v>81</v>
      </c>
      <c r="BO131" s="36" t="n">
        <v>82</v>
      </c>
      <c r="BP131" s="36" t="n">
        <v>77</v>
      </c>
      <c r="BQ131" s="36" t="n">
        <v>320</v>
      </c>
      <c r="BR131" s="36" t="n">
        <v>87</v>
      </c>
      <c r="BS131" s="36" t="n">
        <v>90</v>
      </c>
      <c r="BT131" s="36" t="n">
        <v>131</v>
      </c>
      <c r="BU131" s="36" t="n">
        <v>133</v>
      </c>
      <c r="BV131" s="36" t="n">
        <v>441</v>
      </c>
      <c r="BW131" s="36" t="n">
        <v>143</v>
      </c>
      <c r="BX131" s="36" t="n">
        <v>152</v>
      </c>
      <c r="BY131" s="6"/>
      <c r="BZ131" s="6"/>
      <c r="CA131" s="6"/>
      <c r="CB131" s="6"/>
      <c r="CC131" s="6"/>
      <c r="CD131" s="6"/>
      <c r="CE131" s="6"/>
      <c r="CF131" s="6"/>
    </row>
    <row r="132" customFormat="false" ht="15" hidden="false" customHeight="true" outlineLevel="0" collapsed="false">
      <c r="B132" s="26" t="s">
        <v>279</v>
      </c>
      <c r="C132" s="36" t="n">
        <v>22.5</v>
      </c>
      <c r="D132" s="36" t="n">
        <v>32.9</v>
      </c>
      <c r="E132" s="36" t="n">
        <v>28.1</v>
      </c>
      <c r="F132" s="36" t="n">
        <v>35.7</v>
      </c>
      <c r="G132" s="36" t="n">
        <v>50.6</v>
      </c>
      <c r="H132" s="36" t="n">
        <v>66.3</v>
      </c>
      <c r="I132" s="36" t="n">
        <v>68.5</v>
      </c>
      <c r="J132" s="36" t="n">
        <v>17.1</v>
      </c>
      <c r="K132" s="36" t="n">
        <v>18.7</v>
      </c>
      <c r="L132" s="36" t="n">
        <v>17.3</v>
      </c>
      <c r="M132" s="36" t="n">
        <v>20.4</v>
      </c>
      <c r="N132" s="36" t="n">
        <v>73.5</v>
      </c>
      <c r="O132" s="36" t="n">
        <v>16.3</v>
      </c>
      <c r="P132" s="36" t="n">
        <v>21</v>
      </c>
      <c r="Q132" s="36" t="n">
        <v>17.7</v>
      </c>
      <c r="R132" s="36" t="n">
        <v>19.8</v>
      </c>
      <c r="S132" s="36" t="n">
        <v>74.8</v>
      </c>
      <c r="T132" s="36" t="n">
        <v>17.8</v>
      </c>
      <c r="U132" s="36" t="n">
        <v>18.8</v>
      </c>
      <c r="V132" s="36" t="n">
        <v>17</v>
      </c>
      <c r="W132" s="36" t="n">
        <v>15.3</v>
      </c>
      <c r="X132" s="36" t="n">
        <v>68.9</v>
      </c>
      <c r="Y132" s="36" t="n">
        <v>20.6</v>
      </c>
      <c r="Z132" s="36" t="n">
        <v>19.2</v>
      </c>
      <c r="AA132" s="36" t="n">
        <v>20.4</v>
      </c>
      <c r="AB132" s="36" t="n">
        <v>18.9</v>
      </c>
      <c r="AC132" s="36" t="n">
        <v>79.1</v>
      </c>
      <c r="AD132" s="36" t="n">
        <v>19.9</v>
      </c>
      <c r="AE132" s="36" t="n">
        <v>21.1</v>
      </c>
      <c r="AF132" s="36" t="n">
        <v>17.6</v>
      </c>
      <c r="AG132" s="36" t="n">
        <v>20.8</v>
      </c>
      <c r="AH132" s="36" t="n">
        <v>79.4</v>
      </c>
      <c r="AI132" s="36" t="n">
        <v>21.2</v>
      </c>
      <c r="AJ132" s="36" t="n">
        <v>21.329</v>
      </c>
      <c r="AK132" s="36" t="n">
        <v>23.301</v>
      </c>
      <c r="AL132" s="36" t="n">
        <v>22.196</v>
      </c>
      <c r="AM132" s="36" t="n">
        <v>88.063</v>
      </c>
      <c r="AN132" s="36" t="n">
        <v>22.642</v>
      </c>
      <c r="AO132" s="36" t="n">
        <v>25.219</v>
      </c>
      <c r="AP132" s="36" t="n">
        <v>20.097</v>
      </c>
      <c r="AQ132" s="36" t="n">
        <v>15.598</v>
      </c>
      <c r="AR132" s="36" t="n">
        <v>83.557</v>
      </c>
      <c r="AS132" s="36" t="n">
        <v>21.7</v>
      </c>
      <c r="AT132" s="36" t="n">
        <v>13.2</v>
      </c>
      <c r="AU132" s="36" t="n">
        <v>16.4</v>
      </c>
      <c r="AV132" s="36" t="n">
        <v>19.5</v>
      </c>
      <c r="AW132" s="36" t="n">
        <v>70.7</v>
      </c>
      <c r="AX132" s="36" t="n">
        <v>23.5</v>
      </c>
      <c r="AY132" s="36" t="n">
        <v>23.1</v>
      </c>
      <c r="AZ132" s="36" t="n">
        <v>23.1</v>
      </c>
      <c r="BA132" s="36" t="n">
        <v>20.9</v>
      </c>
      <c r="BB132" s="36" t="n">
        <v>90.8</v>
      </c>
      <c r="BC132" s="36" t="n">
        <v>21.5</v>
      </c>
      <c r="BD132" s="36" t="n">
        <v>20.3</v>
      </c>
      <c r="BE132" s="36" t="n">
        <v>16.5</v>
      </c>
      <c r="BF132" s="36" t="n">
        <v>16.8</v>
      </c>
      <c r="BG132" s="36" t="n">
        <v>75.2</v>
      </c>
      <c r="BH132" s="36" t="n">
        <v>20.6</v>
      </c>
      <c r="BI132" s="36" t="n">
        <v>23.3</v>
      </c>
      <c r="BJ132" s="36" t="n">
        <v>16.9</v>
      </c>
      <c r="BK132" s="36" t="n">
        <v>15.2</v>
      </c>
      <c r="BL132" s="36" t="n">
        <v>76</v>
      </c>
      <c r="BM132" s="36" t="n">
        <v>24</v>
      </c>
      <c r="BN132" s="36" t="n">
        <v>25</v>
      </c>
      <c r="BO132" s="36" t="n">
        <v>26</v>
      </c>
      <c r="BP132" s="36" t="n">
        <v>16</v>
      </c>
      <c r="BQ132" s="36" t="n">
        <v>90</v>
      </c>
      <c r="BR132" s="36" t="n">
        <v>33</v>
      </c>
      <c r="BS132" s="36" t="n">
        <v>31</v>
      </c>
      <c r="BT132" s="36" t="n">
        <v>26</v>
      </c>
      <c r="BU132" s="36" t="n">
        <v>20</v>
      </c>
      <c r="BV132" s="36" t="n">
        <v>110</v>
      </c>
      <c r="BW132" s="36" t="n">
        <v>35</v>
      </c>
      <c r="BX132" s="36" t="n">
        <v>42</v>
      </c>
      <c r="BY132" s="6"/>
      <c r="BZ132" s="6"/>
      <c r="CA132" s="6"/>
      <c r="CB132" s="6"/>
      <c r="CC132" s="6"/>
      <c r="CD132" s="6"/>
      <c r="CE132" s="6"/>
      <c r="CF132" s="6"/>
    </row>
    <row r="133" customFormat="false" ht="15" hidden="false" customHeight="true" outlineLevel="0" collapsed="false">
      <c r="B133" s="26" t="s">
        <v>280</v>
      </c>
      <c r="C133" s="36" t="n">
        <v>-34.8</v>
      </c>
      <c r="D133" s="36" t="n">
        <v>-31.7</v>
      </c>
      <c r="E133" s="36" t="n">
        <v>-35.8</v>
      </c>
      <c r="F133" s="36" t="n">
        <v>-25.1</v>
      </c>
      <c r="G133" s="36" t="n">
        <v>-20.8</v>
      </c>
      <c r="H133" s="36" t="n">
        <v>-32.8</v>
      </c>
      <c r="I133" s="36" t="n">
        <v>-57</v>
      </c>
      <c r="J133" s="36" t="n">
        <v>-10</v>
      </c>
      <c r="K133" s="36" t="n">
        <v>-8</v>
      </c>
      <c r="L133" s="36" t="n">
        <v>-5.8</v>
      </c>
      <c r="M133" s="36" t="n">
        <v>-9.4</v>
      </c>
      <c r="N133" s="36" t="n">
        <v>-33.1</v>
      </c>
      <c r="O133" s="36" t="n">
        <v>-16.4</v>
      </c>
      <c r="P133" s="36" t="n">
        <v>-11.7</v>
      </c>
      <c r="Q133" s="36" t="n">
        <v>-83.6</v>
      </c>
      <c r="R133" s="36" t="n">
        <v>-9.1</v>
      </c>
      <c r="S133" s="36" t="n">
        <v>-120.8</v>
      </c>
      <c r="T133" s="36" t="n">
        <v>-13.2</v>
      </c>
      <c r="U133" s="36" t="n">
        <v>-25.2</v>
      </c>
      <c r="V133" s="36" t="n">
        <v>-21.1</v>
      </c>
      <c r="W133" s="36" t="n">
        <v>-6.9</v>
      </c>
      <c r="X133" s="36" t="n">
        <v>-66.2</v>
      </c>
      <c r="Y133" s="36" t="n">
        <v>-26.9</v>
      </c>
      <c r="Z133" s="36" t="n">
        <v>-22.3</v>
      </c>
      <c r="AA133" s="36" t="n">
        <v>-17.6</v>
      </c>
      <c r="AB133" s="36" t="n">
        <v>-23.9</v>
      </c>
      <c r="AC133" s="36" t="n">
        <v>-87.2</v>
      </c>
      <c r="AD133" s="36" t="n">
        <v>-27.4</v>
      </c>
      <c r="AE133" s="36" t="n">
        <v>-20.4</v>
      </c>
      <c r="AF133" s="36" t="n">
        <v>-11.2</v>
      </c>
      <c r="AG133" s="36" t="n">
        <v>-26.5</v>
      </c>
      <c r="AH133" s="36" t="n">
        <v>-85.6</v>
      </c>
      <c r="AI133" s="36" t="n">
        <v>-25.3</v>
      </c>
      <c r="AJ133" s="36" t="n">
        <v>-20.981</v>
      </c>
      <c r="AK133" s="36" t="n">
        <v>-21.445</v>
      </c>
      <c r="AL133" s="36" t="n">
        <v>-20.365</v>
      </c>
      <c r="AM133" s="36" t="n">
        <v>-88.106</v>
      </c>
      <c r="AN133" s="36" t="n">
        <v>-25.446</v>
      </c>
      <c r="AO133" s="36" t="n">
        <v>-23.926</v>
      </c>
      <c r="AP133" s="36" t="n">
        <v>-22.39</v>
      </c>
      <c r="AQ133" s="36" t="n">
        <v>-21.078</v>
      </c>
      <c r="AR133" s="36" t="n">
        <v>-92.841</v>
      </c>
      <c r="AS133" s="36" t="n">
        <v>-21.4</v>
      </c>
      <c r="AT133" s="36" t="n">
        <v>-9.9</v>
      </c>
      <c r="AU133" s="36" t="n">
        <v>-9.5</v>
      </c>
      <c r="AV133" s="36" t="n">
        <v>-18</v>
      </c>
      <c r="AW133" s="36" t="n">
        <v>-58.7</v>
      </c>
      <c r="AX133" s="36" t="n">
        <v>-17.8</v>
      </c>
      <c r="AY133" s="36" t="n">
        <v>-15.2</v>
      </c>
      <c r="AZ133" s="36" t="n">
        <v>-22.6</v>
      </c>
      <c r="BA133" s="36" t="n">
        <v>-68.3</v>
      </c>
      <c r="BB133" s="36" t="n">
        <v>-123.9</v>
      </c>
      <c r="BC133" s="36" t="n">
        <v>-32.6</v>
      </c>
      <c r="BD133" s="36" t="n">
        <v>-26.8</v>
      </c>
      <c r="BE133" s="36" t="n">
        <v>-9.7</v>
      </c>
      <c r="BF133" s="36" t="n">
        <v>-27.5</v>
      </c>
      <c r="BG133" s="36" t="n">
        <v>-96.8</v>
      </c>
      <c r="BH133" s="36" t="n">
        <v>-28.1</v>
      </c>
      <c r="BI133" s="36" t="n">
        <v>-27.1</v>
      </c>
      <c r="BJ133" s="36" t="n">
        <v>-28.5</v>
      </c>
      <c r="BK133" s="36" t="n">
        <v>-30.4</v>
      </c>
      <c r="BL133" s="36" t="n">
        <v>-114.2</v>
      </c>
      <c r="BM133" s="36" t="n">
        <v>-30</v>
      </c>
      <c r="BN133" s="36" t="n">
        <v>-47</v>
      </c>
      <c r="BO133" s="36" t="n">
        <v>-42</v>
      </c>
      <c r="BP133" s="36" t="n">
        <v>-32</v>
      </c>
      <c r="BQ133" s="36" t="n">
        <v>-151</v>
      </c>
      <c r="BR133" s="36" t="n">
        <v>-49</v>
      </c>
      <c r="BS133" s="36" t="n">
        <v>-12</v>
      </c>
      <c r="BT133" s="36" t="n">
        <v>-32</v>
      </c>
      <c r="BU133" s="36" t="n">
        <v>-26</v>
      </c>
      <c r="BV133" s="36" t="n">
        <v>-120</v>
      </c>
      <c r="BW133" s="36" t="n">
        <v>-60</v>
      </c>
      <c r="BX133" s="36" t="n">
        <v>-46</v>
      </c>
      <c r="BY133" s="6"/>
      <c r="BZ133" s="6"/>
      <c r="CA133" s="6"/>
      <c r="CB133" s="6"/>
      <c r="CC133" s="6"/>
      <c r="CD133" s="6"/>
      <c r="CE133" s="6"/>
      <c r="CF133" s="6"/>
    </row>
    <row r="134" customFormat="false" ht="15" hidden="true" customHeight="true" outlineLevel="1" collapsed="false">
      <c r="B134" s="42" t="s">
        <v>281</v>
      </c>
      <c r="CF134" s="6"/>
    </row>
    <row r="135" customFormat="false" ht="15" hidden="true" customHeight="true" outlineLevel="1" collapsed="false">
      <c r="B135" s="26" t="s">
        <v>282</v>
      </c>
      <c r="C135" s="36" t="n">
        <v>580.5</v>
      </c>
      <c r="D135" s="36" t="n">
        <v>682.5</v>
      </c>
      <c r="E135" s="36" t="n">
        <v>580.4</v>
      </c>
      <c r="F135" s="36" t="n">
        <v>438.5</v>
      </c>
      <c r="G135" s="36" t="n">
        <v>450</v>
      </c>
      <c r="H135" s="36" t="n">
        <v>454</v>
      </c>
      <c r="I135" s="36" t="n">
        <v>406.6</v>
      </c>
      <c r="J135" s="36" t="n">
        <v>106.3</v>
      </c>
      <c r="K135" s="36" t="n">
        <v>186.4</v>
      </c>
      <c r="L135" s="36" t="n">
        <v>216.4</v>
      </c>
      <c r="M135" s="36" t="n">
        <v>169.5</v>
      </c>
      <c r="N135" s="36" t="n">
        <v>678.5</v>
      </c>
      <c r="O135" s="36" t="n">
        <v>106.5</v>
      </c>
      <c r="P135" s="36" t="n">
        <v>218.7</v>
      </c>
      <c r="Q135" s="36" t="n">
        <v>244.3</v>
      </c>
      <c r="R135" s="36" t="n">
        <v>201</v>
      </c>
      <c r="S135" s="36" t="n">
        <v>770.5</v>
      </c>
      <c r="T135" s="36" t="n">
        <v>129.7</v>
      </c>
      <c r="U135" s="36" t="n">
        <v>237.4</v>
      </c>
      <c r="V135" s="36" t="n">
        <v>265.6</v>
      </c>
      <c r="W135" s="36" t="n">
        <v>219.1</v>
      </c>
      <c r="X135" s="36" t="n">
        <v>851.9</v>
      </c>
      <c r="Y135" s="36" t="n">
        <v>173.4</v>
      </c>
      <c r="Z135" s="36" t="n">
        <v>259</v>
      </c>
      <c r="AA135" s="36" t="n">
        <v>275.8</v>
      </c>
      <c r="AB135" s="36" t="n">
        <v>237</v>
      </c>
      <c r="AC135" s="36" t="n">
        <v>945.1</v>
      </c>
      <c r="AD135" s="36" t="n">
        <v>177.3</v>
      </c>
      <c r="AE135" s="36" t="n">
        <v>269.8</v>
      </c>
      <c r="AF135" s="36" t="n">
        <v>308.5</v>
      </c>
      <c r="AG135" s="36" t="n">
        <v>264.9</v>
      </c>
      <c r="AH135" s="36" t="n">
        <v>1053.3</v>
      </c>
      <c r="AI135" s="36" t="n">
        <v>178.8</v>
      </c>
      <c r="AJ135" s="36" t="n">
        <v>350.592</v>
      </c>
      <c r="AK135" s="36" t="n">
        <v>377.005</v>
      </c>
      <c r="AL135" s="36" t="n">
        <v>316.857</v>
      </c>
      <c r="AM135" s="36" t="n">
        <v>1223.236</v>
      </c>
      <c r="AN135" s="36" t="n">
        <v>248.813</v>
      </c>
      <c r="AO135" s="36" t="n">
        <v>415.327</v>
      </c>
      <c r="AP135" s="36" t="n">
        <v>448.758</v>
      </c>
      <c r="AQ135" s="36" t="n">
        <v>333.132</v>
      </c>
      <c r="AR135" s="36" t="n">
        <v>1446.029</v>
      </c>
      <c r="AS135" s="36" t="n">
        <v>260.8</v>
      </c>
      <c r="AT135" s="36" t="n">
        <v>392.3</v>
      </c>
      <c r="BY135" s="6"/>
      <c r="BZ135" s="6"/>
      <c r="CA135" s="6"/>
      <c r="CB135" s="6"/>
      <c r="CC135" s="6"/>
      <c r="CD135" s="6"/>
      <c r="CE135" s="6"/>
      <c r="CF135" s="6"/>
    </row>
    <row r="136" customFormat="false" ht="15" hidden="true" customHeight="true" outlineLevel="1" collapsed="false">
      <c r="B136" s="26" t="s">
        <v>283</v>
      </c>
      <c r="C136" s="36" t="n">
        <v>546.8</v>
      </c>
      <c r="D136" s="36" t="n">
        <v>457.9</v>
      </c>
      <c r="E136" s="36" t="n">
        <v>449.5</v>
      </c>
      <c r="F136" s="36" t="n">
        <v>350.1</v>
      </c>
      <c r="G136" s="36" t="n">
        <v>329.3</v>
      </c>
      <c r="H136" s="36" t="n">
        <v>224.7</v>
      </c>
      <c r="I136" s="36" t="n">
        <v>282.2</v>
      </c>
      <c r="J136" s="36" t="n">
        <v>51.3</v>
      </c>
      <c r="K136" s="36" t="n">
        <v>55.3</v>
      </c>
      <c r="L136" s="36" t="n">
        <v>64.9</v>
      </c>
      <c r="M136" s="36" t="n">
        <v>55</v>
      </c>
      <c r="N136" s="36" t="n">
        <v>226.4</v>
      </c>
      <c r="O136" s="36" t="n">
        <v>55.4</v>
      </c>
      <c r="P136" s="36" t="n">
        <v>70.7</v>
      </c>
      <c r="Q136" s="36" t="n">
        <v>68</v>
      </c>
      <c r="R136" s="36" t="n">
        <v>60.8</v>
      </c>
      <c r="S136" s="36" t="n">
        <v>255</v>
      </c>
      <c r="T136" s="36" t="n">
        <v>59.7</v>
      </c>
      <c r="U136" s="36" t="n">
        <v>76.4</v>
      </c>
      <c r="V136" s="36" t="n">
        <v>78.3</v>
      </c>
      <c r="W136" s="36" t="n">
        <v>70.8</v>
      </c>
      <c r="X136" s="36" t="n">
        <v>285.3</v>
      </c>
      <c r="Y136" s="36" t="n">
        <v>67.3</v>
      </c>
      <c r="Z136" s="36" t="n">
        <v>82.7</v>
      </c>
      <c r="AA136" s="36" t="n">
        <v>80</v>
      </c>
      <c r="AB136" s="36" t="n">
        <v>74.4</v>
      </c>
      <c r="AC136" s="36" t="n">
        <v>304.5</v>
      </c>
      <c r="AD136" s="36" t="n">
        <v>86.7</v>
      </c>
      <c r="AE136" s="36" t="n">
        <v>88.5</v>
      </c>
      <c r="AF136" s="36" t="n">
        <v>94.8</v>
      </c>
      <c r="AG136" s="36" t="n">
        <v>85.1</v>
      </c>
      <c r="AH136" s="36" t="n">
        <v>362.6</v>
      </c>
      <c r="AI136" s="36" t="n">
        <v>80.2</v>
      </c>
      <c r="AJ136" s="36" t="n">
        <v>112.963</v>
      </c>
      <c r="AK136" s="36" t="n">
        <v>125.547</v>
      </c>
      <c r="AL136" s="36" t="n">
        <v>104.633</v>
      </c>
      <c r="AM136" s="36" t="n">
        <v>423.382</v>
      </c>
      <c r="AN136" s="36" t="n">
        <v>119.237</v>
      </c>
      <c r="AO136" s="36" t="n">
        <v>137.024</v>
      </c>
      <c r="AP136" s="36" t="n">
        <v>134.138</v>
      </c>
      <c r="AQ136" s="36" t="n">
        <v>116.018</v>
      </c>
      <c r="AR136" s="36" t="n">
        <v>506.417</v>
      </c>
      <c r="AS136" s="36" t="n">
        <v>121.1</v>
      </c>
      <c r="AT136" s="36" t="n">
        <v>142.2</v>
      </c>
      <c r="BY136" s="6"/>
      <c r="BZ136" s="6"/>
      <c r="CA136" s="6"/>
      <c r="CB136" s="6"/>
      <c r="CC136" s="6"/>
      <c r="CD136" s="6"/>
      <c r="CE136" s="6"/>
      <c r="CF136" s="6"/>
    </row>
    <row r="137" customFormat="false" ht="15" hidden="true" customHeight="true" outlineLevel="1" collapsed="false">
      <c r="B137" s="26" t="s">
        <v>284</v>
      </c>
      <c r="C137" s="36" t="n">
        <v>664.9</v>
      </c>
      <c r="D137" s="36" t="n">
        <v>672.8</v>
      </c>
      <c r="E137" s="36" t="n">
        <v>666.2</v>
      </c>
      <c r="F137" s="36" t="n">
        <v>564.3</v>
      </c>
      <c r="G137" s="36" t="n">
        <v>595.2</v>
      </c>
      <c r="H137" s="36" t="n">
        <v>640.7</v>
      </c>
      <c r="I137" s="36" t="n">
        <v>947.7</v>
      </c>
      <c r="J137" s="36" t="n">
        <v>132.4</v>
      </c>
      <c r="K137" s="36" t="n">
        <v>210.4</v>
      </c>
      <c r="L137" s="36" t="n">
        <v>263.4</v>
      </c>
      <c r="M137" s="36" t="n">
        <v>208.8</v>
      </c>
      <c r="N137" s="36" t="n">
        <v>812.7</v>
      </c>
      <c r="O137" s="36" t="n">
        <v>160.4</v>
      </c>
      <c r="P137" s="36" t="n">
        <v>250.6</v>
      </c>
      <c r="Q137" s="36" t="n">
        <v>437.4</v>
      </c>
      <c r="R137" s="36" t="n">
        <v>359.5</v>
      </c>
      <c r="S137" s="36" t="n">
        <v>1207.9</v>
      </c>
      <c r="T137" s="36" t="n">
        <v>287.1</v>
      </c>
      <c r="U137" s="36" t="n">
        <v>375.5</v>
      </c>
      <c r="V137" s="36" t="n">
        <v>493.5</v>
      </c>
      <c r="W137" s="36" t="n">
        <v>379.8</v>
      </c>
      <c r="X137" s="36" t="n">
        <v>1535.8</v>
      </c>
      <c r="Y137" s="36" t="n">
        <v>363.9</v>
      </c>
      <c r="Z137" s="36" t="n">
        <v>455.1</v>
      </c>
      <c r="AA137" s="36" t="n">
        <v>562.2</v>
      </c>
      <c r="AB137" s="36" t="n">
        <v>466</v>
      </c>
      <c r="AC137" s="36" t="n">
        <v>1847.2</v>
      </c>
      <c r="AD137" s="36" t="n">
        <v>464.4</v>
      </c>
      <c r="AE137" s="36" t="n">
        <v>573.4</v>
      </c>
      <c r="AF137" s="36" t="n">
        <v>620.5</v>
      </c>
      <c r="AG137" s="36" t="n">
        <v>553</v>
      </c>
      <c r="AH137" s="36" t="n">
        <v>2279.7</v>
      </c>
      <c r="AI137" s="36" t="n">
        <v>473.7</v>
      </c>
      <c r="AJ137" s="36" t="n">
        <v>665.886</v>
      </c>
      <c r="AK137" s="36" t="n">
        <v>643.565</v>
      </c>
      <c r="AL137" s="36" t="n">
        <v>526.753</v>
      </c>
      <c r="AM137" s="36" t="n">
        <v>2309.924</v>
      </c>
      <c r="AN137" s="36" t="n">
        <v>496.831</v>
      </c>
      <c r="AO137" s="36" t="n">
        <v>650.878</v>
      </c>
      <c r="AP137" s="36" t="n">
        <v>772.473</v>
      </c>
      <c r="AQ137" s="36" t="n">
        <v>595.154</v>
      </c>
      <c r="AR137" s="36" t="n">
        <v>2515.336</v>
      </c>
      <c r="AS137" s="36" t="n">
        <v>510.6</v>
      </c>
      <c r="AT137" s="36" t="n">
        <v>682.5</v>
      </c>
      <c r="BY137" s="6"/>
      <c r="BZ137" s="6"/>
      <c r="CA137" s="6"/>
      <c r="CB137" s="6"/>
      <c r="CC137" s="6"/>
      <c r="CD137" s="6"/>
      <c r="CE137" s="6"/>
      <c r="CF137" s="6"/>
    </row>
    <row r="138" customFormat="false" ht="15" hidden="true" customHeight="true" outlineLevel="1" collapsed="false">
      <c r="B138" s="26" t="s">
        <v>285</v>
      </c>
      <c r="Q138" s="36" t="n">
        <v>109.5</v>
      </c>
      <c r="R138" s="36" t="n">
        <v>100</v>
      </c>
      <c r="S138" s="36" t="n">
        <v>209.6</v>
      </c>
      <c r="T138" s="36" t="n">
        <v>96.6</v>
      </c>
      <c r="U138" s="36" t="n">
        <v>100.4</v>
      </c>
      <c r="V138" s="36" t="n">
        <v>110.5</v>
      </c>
      <c r="W138" s="36" t="n">
        <v>60.1</v>
      </c>
      <c r="X138" s="36" t="n">
        <v>367.6</v>
      </c>
      <c r="Y138" s="36" t="n">
        <v>69.9</v>
      </c>
      <c r="Z138" s="36" t="n">
        <v>59.8</v>
      </c>
      <c r="AA138" s="36" t="n">
        <v>60.1</v>
      </c>
      <c r="AB138" s="36" t="n">
        <v>85.4</v>
      </c>
      <c r="AC138" s="36" t="n">
        <v>364.4</v>
      </c>
      <c r="BY138" s="6"/>
      <c r="BZ138" s="6"/>
      <c r="CA138" s="6"/>
      <c r="CB138" s="6"/>
      <c r="CC138" s="6"/>
      <c r="CD138" s="6"/>
      <c r="CE138" s="6"/>
      <c r="CF138" s="6"/>
    </row>
    <row r="139" customFormat="false" ht="15" hidden="true" customHeight="true" outlineLevel="1" collapsed="false">
      <c r="B139" s="26" t="s">
        <v>286</v>
      </c>
      <c r="C139" s="36" t="n">
        <v>199.4</v>
      </c>
      <c r="D139" s="36" t="n">
        <v>246.6</v>
      </c>
      <c r="E139" s="36" t="n">
        <v>187.2</v>
      </c>
      <c r="F139" s="36" t="n">
        <v>95.1</v>
      </c>
      <c r="G139" s="36" t="n">
        <v>93.9</v>
      </c>
      <c r="H139" s="36" t="n">
        <v>85.1</v>
      </c>
      <c r="I139" s="36" t="n">
        <v>75</v>
      </c>
      <c r="J139" s="36" t="n">
        <v>-11</v>
      </c>
      <c r="K139" s="36" t="n">
        <v>47</v>
      </c>
      <c r="L139" s="36" t="n">
        <v>66.4</v>
      </c>
      <c r="M139" s="36" t="n">
        <v>44.6</v>
      </c>
      <c r="N139" s="36" t="n">
        <v>146.9</v>
      </c>
      <c r="O139" s="36" t="n">
        <v>-11.8</v>
      </c>
      <c r="P139" s="36" t="n">
        <v>57.3</v>
      </c>
      <c r="Q139" s="36" t="n">
        <v>71.2</v>
      </c>
      <c r="R139" s="36" t="n">
        <v>55.5</v>
      </c>
      <c r="S139" s="36" t="n">
        <v>172.2</v>
      </c>
      <c r="T139" s="36" t="n">
        <v>-4.2</v>
      </c>
      <c r="U139" s="36" t="n">
        <v>66.9</v>
      </c>
      <c r="V139" s="36" t="n">
        <v>85.7</v>
      </c>
      <c r="W139" s="36" t="n">
        <v>58.5</v>
      </c>
      <c r="X139" s="36" t="n">
        <v>206.8</v>
      </c>
      <c r="Y139" s="36" t="n">
        <v>15.7</v>
      </c>
      <c r="Z139" s="36" t="n">
        <v>80.6</v>
      </c>
      <c r="AA139" s="36" t="n">
        <v>91.9</v>
      </c>
      <c r="AB139" s="36" t="n">
        <v>70.5</v>
      </c>
      <c r="AC139" s="36" t="n">
        <v>257.3</v>
      </c>
      <c r="AD139" s="36" t="n">
        <v>13.4</v>
      </c>
      <c r="AE139" s="36" t="n">
        <v>85.4</v>
      </c>
      <c r="AF139" s="36" t="n">
        <v>106.2</v>
      </c>
      <c r="AG139" s="36" t="n">
        <v>79.9</v>
      </c>
      <c r="AH139" s="36" t="n">
        <v>284.8</v>
      </c>
      <c r="AI139" s="36" t="n">
        <v>6.2</v>
      </c>
      <c r="AJ139" s="36" t="n">
        <v>108.709</v>
      </c>
      <c r="AK139" s="36" t="n">
        <v>120.344</v>
      </c>
      <c r="AL139" s="36" t="n">
        <v>83.918</v>
      </c>
      <c r="AM139" s="36" t="n">
        <v>319.139</v>
      </c>
      <c r="AN139" s="36" t="n">
        <v>30.955</v>
      </c>
      <c r="AO139" s="36" t="n">
        <v>141.678</v>
      </c>
      <c r="AP139" s="36" t="n">
        <v>159.711</v>
      </c>
      <c r="AQ139" s="36" t="n">
        <v>93.567</v>
      </c>
      <c r="AR139" s="36" t="n">
        <v>425.911</v>
      </c>
      <c r="AS139" s="36" t="n">
        <v>20.8</v>
      </c>
      <c r="AT139" s="36" t="n">
        <v>136.2</v>
      </c>
      <c r="BY139" s="6"/>
      <c r="BZ139" s="6"/>
      <c r="CA139" s="6"/>
      <c r="CB139" s="6"/>
      <c r="CC139" s="6"/>
      <c r="CD139" s="6"/>
      <c r="CE139" s="6"/>
      <c r="CF139" s="6"/>
    </row>
    <row r="140" customFormat="false" ht="15" hidden="true" customHeight="true" outlineLevel="1" collapsed="false">
      <c r="B140" s="26" t="s">
        <v>287</v>
      </c>
      <c r="C140" s="36" t="n">
        <v>97.1</v>
      </c>
      <c r="D140" s="36" t="n">
        <v>84.2</v>
      </c>
      <c r="E140" s="36" t="n">
        <v>48</v>
      </c>
      <c r="F140" s="36" t="n">
        <v>20.5</v>
      </c>
      <c r="G140" s="36" t="n">
        <v>-3.1</v>
      </c>
      <c r="H140" s="36" t="n">
        <v>-21.2</v>
      </c>
      <c r="I140" s="36" t="n">
        <v>-13.5</v>
      </c>
      <c r="J140" s="36" t="n">
        <v>-8.4</v>
      </c>
      <c r="K140" s="36" t="n">
        <v>-5.2</v>
      </c>
      <c r="L140" s="36" t="n">
        <v>-1.4</v>
      </c>
      <c r="M140" s="36" t="n">
        <v>-4.9</v>
      </c>
      <c r="N140" s="36" t="n">
        <v>-19.8</v>
      </c>
      <c r="O140" s="36" t="n">
        <v>-6.1</v>
      </c>
      <c r="P140" s="36" t="n">
        <v>-1.3</v>
      </c>
      <c r="Q140" s="36" t="n">
        <v>0.3</v>
      </c>
      <c r="R140" s="36" t="n">
        <v>1.8</v>
      </c>
      <c r="S140" s="36" t="n">
        <v>-5.3</v>
      </c>
      <c r="T140" s="36" t="n">
        <v>-1.5</v>
      </c>
      <c r="U140" s="36" t="n">
        <v>4.8</v>
      </c>
      <c r="V140" s="36" t="n">
        <v>7.6</v>
      </c>
      <c r="W140" s="36" t="n">
        <v>5.6</v>
      </c>
      <c r="X140" s="36" t="n">
        <v>16.4</v>
      </c>
      <c r="Y140" s="36" t="n">
        <v>8</v>
      </c>
      <c r="Z140" s="36" t="n">
        <v>11.5</v>
      </c>
      <c r="AA140" s="36" t="n">
        <v>11.9</v>
      </c>
      <c r="AB140" s="36" t="n">
        <v>11</v>
      </c>
      <c r="AC140" s="36" t="n">
        <v>41.4</v>
      </c>
      <c r="AD140" s="36" t="n">
        <v>10.1</v>
      </c>
      <c r="AE140" s="36" t="n">
        <v>14.3</v>
      </c>
      <c r="AF140" s="36" t="n">
        <v>17.9</v>
      </c>
      <c r="AG140" s="36" t="n">
        <v>18.9</v>
      </c>
      <c r="AH140" s="36" t="n">
        <v>61.2</v>
      </c>
      <c r="AI140" s="36" t="n">
        <v>2</v>
      </c>
      <c r="AJ140" s="36" t="n">
        <v>32.052</v>
      </c>
      <c r="AK140" s="36" t="n">
        <v>26.372</v>
      </c>
      <c r="AL140" s="36" t="n">
        <v>15.377</v>
      </c>
      <c r="AM140" s="36" t="n">
        <v>75.84</v>
      </c>
      <c r="AN140" s="36" t="n">
        <v>21.134</v>
      </c>
      <c r="AO140" s="36" t="n">
        <v>32.688</v>
      </c>
      <c r="AP140" s="36" t="n">
        <v>31.463</v>
      </c>
      <c r="AQ140" s="36" t="n">
        <v>17.778</v>
      </c>
      <c r="AR140" s="36" t="n">
        <v>103.063</v>
      </c>
      <c r="AS140" s="36" t="n">
        <v>14</v>
      </c>
      <c r="AT140" s="36" t="n">
        <v>33.7</v>
      </c>
      <c r="BY140" s="6"/>
      <c r="BZ140" s="6"/>
      <c r="CA140" s="6"/>
      <c r="CB140" s="6"/>
      <c r="CC140" s="6"/>
      <c r="CD140" s="6"/>
      <c r="CE140" s="6"/>
      <c r="CF140" s="6"/>
    </row>
    <row r="141" customFormat="false" ht="15" hidden="true" customHeight="true" outlineLevel="1" collapsed="false">
      <c r="B141" s="26" t="s">
        <v>288</v>
      </c>
      <c r="C141" s="36" t="n">
        <v>103.8</v>
      </c>
      <c r="D141" s="36" t="n">
        <v>101</v>
      </c>
      <c r="E141" s="36" t="n">
        <v>95.8</v>
      </c>
      <c r="F141" s="36" t="n">
        <v>61.4</v>
      </c>
      <c r="G141" s="36" t="n">
        <v>75.8</v>
      </c>
      <c r="H141" s="36" t="n">
        <v>63.6</v>
      </c>
      <c r="I141" s="36" t="n">
        <v>82</v>
      </c>
      <c r="J141" s="36" t="n">
        <v>-11.3</v>
      </c>
      <c r="K141" s="36" t="n">
        <v>16.9</v>
      </c>
      <c r="L141" s="36" t="n">
        <v>32.3</v>
      </c>
      <c r="M141" s="36" t="n">
        <v>12.1</v>
      </c>
      <c r="N141" s="36" t="n">
        <v>50.5</v>
      </c>
      <c r="O141" s="36" t="n">
        <v>2.1</v>
      </c>
      <c r="P141" s="36" t="n">
        <v>30.9</v>
      </c>
      <c r="Q141" s="36" t="n">
        <v>92.1</v>
      </c>
      <c r="R141" s="36" t="n">
        <v>28.1</v>
      </c>
      <c r="S141" s="36" t="n">
        <v>153.2</v>
      </c>
      <c r="T141" s="36" t="n">
        <v>14.5</v>
      </c>
      <c r="U141" s="36" t="n">
        <v>49.2</v>
      </c>
      <c r="V141" s="36" t="n">
        <v>87.5</v>
      </c>
      <c r="W141" s="36" t="n">
        <v>54.5</v>
      </c>
      <c r="X141" s="36" t="n">
        <v>205.7</v>
      </c>
      <c r="Y141" s="36" t="n">
        <v>40.1</v>
      </c>
      <c r="Z141" s="36" t="n">
        <v>77.4</v>
      </c>
      <c r="AA141" s="36" t="n">
        <v>110.8</v>
      </c>
      <c r="AB141" s="36" t="n">
        <v>57.4</v>
      </c>
      <c r="AC141" s="36" t="n">
        <v>277.3</v>
      </c>
      <c r="AD141" s="36" t="n">
        <v>61.2</v>
      </c>
      <c r="AE141" s="36" t="n">
        <v>112.5</v>
      </c>
      <c r="AF141" s="36" t="n">
        <v>96.5</v>
      </c>
      <c r="AG141" s="36" t="n">
        <v>90.3</v>
      </c>
      <c r="AH141" s="36" t="n">
        <v>360.6</v>
      </c>
      <c r="AI141" s="36" t="n">
        <v>35</v>
      </c>
      <c r="AJ141" s="36" t="n">
        <v>122.844</v>
      </c>
      <c r="AK141" s="36" t="n">
        <v>92.09</v>
      </c>
      <c r="AL141" s="36" t="n">
        <v>45.915</v>
      </c>
      <c r="AM141" s="36" t="n">
        <v>295.801</v>
      </c>
      <c r="AN141" s="36" t="n">
        <v>19.936</v>
      </c>
      <c r="AO141" s="36" t="n">
        <v>110.223</v>
      </c>
      <c r="AP141" s="36" t="n">
        <v>156.382</v>
      </c>
      <c r="AQ141" s="36" t="n">
        <v>78.704</v>
      </c>
      <c r="AR141" s="36" t="n">
        <v>365.244</v>
      </c>
      <c r="AS141" s="36" t="n">
        <v>22.7</v>
      </c>
      <c r="AT141" s="36" t="n">
        <v>133.2</v>
      </c>
      <c r="BY141" s="6"/>
      <c r="BZ141" s="6"/>
      <c r="CA141" s="6"/>
      <c r="CB141" s="6"/>
      <c r="CC141" s="6"/>
      <c r="CD141" s="6"/>
      <c r="CE141" s="6"/>
      <c r="CF141" s="6"/>
    </row>
    <row r="142" customFormat="false" ht="15" hidden="true" customHeight="true" outlineLevel="1" collapsed="false">
      <c r="B142" s="26" t="s">
        <v>289</v>
      </c>
      <c r="Q142" s="36" t="n">
        <v>18.3</v>
      </c>
      <c r="R142" s="36" t="n">
        <v>22.5</v>
      </c>
      <c r="S142" s="36" t="n">
        <v>40.8</v>
      </c>
      <c r="T142" s="36" t="n">
        <v>12.2</v>
      </c>
      <c r="U142" s="36" t="n">
        <v>22.5</v>
      </c>
      <c r="V142" s="36" t="n">
        <v>2.8</v>
      </c>
      <c r="W142" s="36" t="n">
        <v>10.4</v>
      </c>
      <c r="X142" s="36" t="n">
        <v>47.8</v>
      </c>
      <c r="Y142" s="36" t="n">
        <v>26.3</v>
      </c>
      <c r="Z142" s="36" t="n">
        <v>21.3</v>
      </c>
      <c r="AA142" s="36" t="n">
        <v>23</v>
      </c>
      <c r="AB142" s="36" t="n">
        <v>21.6</v>
      </c>
      <c r="AC142" s="36" t="n">
        <v>99.4</v>
      </c>
      <c r="BY142" s="6"/>
      <c r="BZ142" s="6"/>
      <c r="CA142" s="6"/>
      <c r="CB142" s="6"/>
      <c r="CC142" s="6"/>
      <c r="CD142" s="6"/>
      <c r="CE142" s="6"/>
      <c r="CF142" s="6"/>
    </row>
    <row r="143" customFormat="false" ht="15" hidden="false" customHeight="true" outlineLevel="0" collapsed="false">
      <c r="B143" s="61" t="s">
        <v>290</v>
      </c>
      <c r="C143" s="47" t="n">
        <f aca="false">ROUND(N(C129)+N(C130)+N(C132)+N(C133)+N(C139)+N(C140)+N(C141)+N(C142)-C160,1)</f>
        <v>0</v>
      </c>
      <c r="D143" s="47" t="n">
        <f aca="false">ROUND(N(D129)+N(D130)+N(D132)+N(D133)+N(D139)+N(D140)+N(D141)+N(D142)-D160,1)</f>
        <v>0</v>
      </c>
      <c r="E143" s="47" t="n">
        <f aca="false">ROUND(N(E129)+N(E130)+N(E132)+N(E133)+N(E139)+N(E140)+N(E141)+N(E142)-E160,1)</f>
        <v>0</v>
      </c>
      <c r="F143" s="47" t="n">
        <f aca="false">ROUND(N(F129)+N(F130)+N(F132)+N(F133)+N(F139)+N(F140)+N(F141)+N(F142)-F160,1)</f>
        <v>0</v>
      </c>
      <c r="G143" s="47" t="n">
        <f aca="false">ROUND(N(G129)+N(G130)+N(G132)+N(G133)+N(G139)+N(G140)+N(G141)+N(G142)-G160,1)</f>
        <v>0</v>
      </c>
      <c r="H143" s="47" t="n">
        <f aca="false">ROUND(N(H129)+N(H130)+N(H132)+N(H133)+N(H139)+N(H140)+N(H141)+N(H142)-H160,1)</f>
        <v>0</v>
      </c>
      <c r="I143" s="47" t="n">
        <f aca="false">ROUND(N(I129)+N(I130)+N(I132)+N(I133)+N(I139)+N(I140)+N(I141)+N(I142)-I160,1)</f>
        <v>0</v>
      </c>
      <c r="J143" s="47" t="n">
        <f aca="false">ROUND(N(J129)+N(J130)+N(J132)+N(J133)+N(J139)+N(J140)+N(J141)+N(J142)-J160,1)</f>
        <v>0</v>
      </c>
      <c r="K143" s="47" t="n">
        <f aca="false">ROUND(N(K129)+N(K130)+N(K132)+N(K133)+N(K139)+N(K140)+N(K141)+N(K142)-K160,1)</f>
        <v>0</v>
      </c>
      <c r="L143" s="47" t="n">
        <f aca="false">ROUND(N(L129)+N(L130)+N(L132)+N(L133)+N(L139)+N(L140)+N(L141)+N(L142)-L160,1)</f>
        <v>0</v>
      </c>
      <c r="M143" s="47" t="n">
        <f aca="false">ROUND(N(M129)+N(M130)+N(M132)+N(M133)+N(M139)+N(M140)+N(M141)+N(M142)-M160,1)</f>
        <v>0</v>
      </c>
      <c r="N143" s="47" t="n">
        <f aca="false">ROUND(N(N129)+N(N130)+N(N132)+N(N133)+N(N139)+N(N140)+N(N141)+N(N142)-N160,1)</f>
        <v>0</v>
      </c>
      <c r="O143" s="47" t="n">
        <f aca="false">ROUND(N(O129)+N(O130)+N(O132)+N(O133)+N(O139)+N(O140)+N(O141)+N(O142)-O160,1)</f>
        <v>0</v>
      </c>
      <c r="P143" s="47" t="n">
        <f aca="false">ROUND(N(P129)+N(P130)+N(P132)+N(P133)+N(P139)+N(P140)+N(P141)+N(P142)-P160,1)</f>
        <v>0</v>
      </c>
      <c r="Q143" s="47" t="n">
        <f aca="false">ROUND(N(Q129)+N(Q130)+N(Q132)+N(Q133)+N(Q139)+N(Q140)+N(Q141)+N(Q142)-Q160,1)</f>
        <v>0</v>
      </c>
      <c r="R143" s="47" t="n">
        <f aca="false">ROUND(N(R129)+N(R130)+N(R132)+N(R133)+N(R139)+N(R140)+N(R141)+N(R142)-R160,1)</f>
        <v>0</v>
      </c>
      <c r="S143" s="47" t="n">
        <f aca="false">ROUND(N(S129)+N(S130)+N(S132)+N(S133)+N(S139)+N(S140)+N(S141)+N(S142)-S160,1)</f>
        <v>0</v>
      </c>
      <c r="T143" s="47" t="n">
        <f aca="false">ROUND(N(T129)+N(T130)+N(T132)+N(T133)+N(T139)+N(T140)+N(T141)+N(T142)-T160,1)</f>
        <v>0</v>
      </c>
      <c r="U143" s="47" t="n">
        <f aca="false">ROUND(N(U129)+N(U130)+N(U132)+N(U133)+N(U139)+N(U140)+N(U141)+N(U142)-U160,1)</f>
        <v>0</v>
      </c>
      <c r="V143" s="47" t="n">
        <f aca="false">ROUND(N(V129)+N(V130)+N(V132)+N(V133)+N(V139)+N(V140)+N(V141)+N(V142)-V160,1)</f>
        <v>0</v>
      </c>
      <c r="W143" s="47" t="n">
        <f aca="false">ROUND(N(W129)+N(W130)+N(W132)+N(W133)+N(W139)+N(W140)+N(W141)+N(W142)-W160,1)</f>
        <v>0</v>
      </c>
      <c r="X143" s="47" t="n">
        <f aca="false">ROUND(N(X129)+N(X130)+N(X132)+N(X133)+N(X139)+N(X140)+N(X141)+N(X142)-X160,1)</f>
        <v>0</v>
      </c>
      <c r="Y143" s="47" t="n">
        <f aca="false">ROUND(N(Y129)+N(Y130)+N(Y132)+N(Y133)+N(Y139)+N(Y140)+N(Y141)+N(Y142)-Y160,1)</f>
        <v>0</v>
      </c>
      <c r="Z143" s="47" t="n">
        <f aca="false">ROUND(N(Z129)+N(Z130)+N(Z132)+N(Z133)+N(Z139)+N(Z140)+N(Z141)+N(Z142)-Z160,1)</f>
        <v>0</v>
      </c>
      <c r="AA143" s="47" t="n">
        <f aca="false">ROUND(N(AA129)+N(AA130)+N(AA132)+N(AA133)+N(AA139)+N(AA140)+N(AA141)+N(AA142)-AA160,1)</f>
        <v>0</v>
      </c>
      <c r="AB143" s="47" t="n">
        <f aca="false">ROUND(N(AB129)+N(AB130)+N(AB132)+N(AB133)+N(AB139)+N(AB140)+N(AB141)+N(AB142)-AB160,1)</f>
        <v>0</v>
      </c>
      <c r="AC143" s="47" t="n">
        <f aca="false">ROUND(N(AC129)+N(AC130)+N(AC132)+N(AC133)+N(AC139)+N(AC140)+N(AC141)+N(AC142)-AC160,1)</f>
        <v>0</v>
      </c>
      <c r="AD143" s="47" t="n">
        <f aca="false">ROUND(N(AD129)+N(AD130)+N(AD132)+N(AD133)+N(AD139)+N(AD140)+N(AD141)+N(AD142)-AD160,1)</f>
        <v>0</v>
      </c>
      <c r="AE143" s="47" t="n">
        <f aca="false">ROUND(N(AE129)+N(AE130)+N(AE132)+N(AE133)+N(AE139)+N(AE140)+N(AE141)+N(AE142)-AE160,1)</f>
        <v>0</v>
      </c>
      <c r="AF143" s="47" t="n">
        <f aca="false">ROUND(N(AF129)+N(AF130)+N(AF132)+N(AF133)+N(AF139)+N(AF140)+N(AF141)+N(AF142)-AF160,1)</f>
        <v>0</v>
      </c>
      <c r="AG143" s="47" t="n">
        <f aca="false">ROUND(N(AG129)+N(AG130)+N(AG132)+N(AG133)+N(AG139)+N(AG140)+N(AG141)+N(AG142)-AG160,1)</f>
        <v>0</v>
      </c>
      <c r="AH143" s="47" t="n">
        <f aca="false">ROUND(N(AH129)+N(AH130)+N(AH132)+N(AH133)+N(AH139)+N(AH140)+N(AH141)+N(AH142)-AH160,1)</f>
        <v>0</v>
      </c>
      <c r="AI143" s="47" t="n">
        <f aca="false">ROUND(N(AI129)+N(AI130)+N(AI132)+N(AI133)+N(AI139)+N(AI140)+N(AI141)+N(AI142)-AI160,1)</f>
        <v>0</v>
      </c>
      <c r="AJ143" s="47" t="n">
        <f aca="false">ROUND(N(AJ129)+N(AJ130)+N(AJ132)+N(AJ133)+N(AJ139)+N(AJ140)+N(AJ141)+N(AJ142)-AJ160,1)</f>
        <v>0</v>
      </c>
      <c r="AK143" s="47" t="n">
        <f aca="false">ROUND(N(AK129)+N(AK130)+N(AK132)+N(AK133)+N(AK139)+N(AK140)+N(AK141)+N(AK142)-AK160,1)</f>
        <v>0</v>
      </c>
      <c r="AL143" s="47" t="n">
        <f aca="false">ROUND(N(AL129)+N(AL130)+N(AL132)+N(AL133)+N(AL139)+N(AL140)+N(AL141)+N(AL142)-AL160,1)</f>
        <v>0</v>
      </c>
      <c r="AM143" s="47" t="n">
        <f aca="false">ROUND(N(AM129)+N(AM130)+N(AM132)+N(AM133)+N(AM139)+N(AM140)+N(AM141)+N(AM142)-AM160,1)</f>
        <v>0</v>
      </c>
      <c r="AN143" s="47" t="n">
        <f aca="false">ROUND(N(AN129)+N(AN130)+N(AN132)+N(AN133)+N(AN139)+N(AN140)+N(AN141)+N(AN142)-AN160,1)</f>
        <v>0</v>
      </c>
      <c r="AO143" s="47" t="n">
        <f aca="false">ROUND(N(AO129)+N(AO130)+N(AO132)+N(AO133)+N(AO139)+N(AO140)+N(AO141)+N(AO142)-AO160,1)</f>
        <v>0</v>
      </c>
      <c r="AP143" s="47" t="n">
        <f aca="false">ROUND(N(AP129)+N(AP130)+N(AP132)+N(AP133)+N(AP139)+N(AP140)+N(AP141)+N(AP142)-AP160,1)</f>
        <v>0</v>
      </c>
      <c r="AQ143" s="47" t="n">
        <f aca="false">ROUND(N(AQ129)+N(AQ130)+N(AQ132)+N(AQ133)+N(AQ139)+N(AQ140)+N(AQ141)+N(AQ142)-AQ160,1)</f>
        <v>0</v>
      </c>
      <c r="AR143" s="47" t="n">
        <f aca="false">ROUND(N(AR129)+N(AR130)+N(AR132)+N(AR133)+N(AR139)+N(AR140)+N(AR141)+N(AR142)-AR160,1)</f>
        <v>0</v>
      </c>
      <c r="AS143" s="47" t="n">
        <f aca="false">ROUND(N(AS129)+N(AS130)+N(AS132)+N(AS133)+N(AS139)+N(AS140)+N(AS141)+N(AS142)-AS160,1)</f>
        <v>0</v>
      </c>
      <c r="AT143" s="47" t="n">
        <f aca="false">ROUND(N(AT129)+N(AT130)+N(AT132)+N(AT133)+N(AT139)+N(AT140)+N(AT141)+N(AT142)-AT160,1)</f>
        <v>0</v>
      </c>
      <c r="AU143" s="47" t="n">
        <f aca="false">ROUND(N(AU129)+N(AU130)+N(AU132)+N(AU133)+N(AU139)+N(AU140)+N(AU141)+N(AU142)-AU160,1)</f>
        <v>0</v>
      </c>
      <c r="AV143" s="47" t="n">
        <f aca="false">ROUND(N(AV129)+N(AV130)+N(AV132)+N(AV133)+N(AV139)+N(AV140)+N(AV141)+N(AV142)-AV160,1)</f>
        <v>0</v>
      </c>
      <c r="AW143" s="47" t="n">
        <f aca="false">ROUND(N(AW129)+N(AW130)+N(AW132)+N(AW133)+N(AW139)+N(AW140)+N(AW141)+N(AW142)-AW160,1)</f>
        <v>0</v>
      </c>
      <c r="AX143" s="47" t="n">
        <f aca="false">ROUND(N(AX129)+N(AX130)+N(AX132)+N(AX133)+N(AX139)+N(AX140)+N(AX141)+N(AX142)-AX160,1)</f>
        <v>0</v>
      </c>
      <c r="AY143" s="47" t="n">
        <f aca="false">ROUND(N(AY129)+N(AY130)+N(AY132)+N(AY133)+N(AY139)+N(AY140)+N(AY141)+N(AY142)-AY160,1)</f>
        <v>0</v>
      </c>
      <c r="AZ143" s="47" t="n">
        <f aca="false">ROUND(N(AZ129)+N(AZ130)+N(AZ132)+N(AZ133)+N(AZ139)+N(AZ140)+N(AZ141)+N(AZ142)-AZ160,1)</f>
        <v>0</v>
      </c>
      <c r="BA143" s="47" t="n">
        <f aca="false">ROUND(N(BA129)+N(BA130)+N(BA132)+N(BA133)+N(BA139)+N(BA140)+N(BA141)+N(BA142)-BA160,1)</f>
        <v>0</v>
      </c>
      <c r="BB143" s="47" t="n">
        <f aca="false">ROUND(N(BB129)+N(BB130)+N(BB132)+N(BB133)+N(BB139)+N(BB140)+N(BB141)+N(BB142)-BB160,1)</f>
        <v>0</v>
      </c>
      <c r="BC143" s="47" t="n">
        <f aca="false">ROUND(N(BC129)+N(BC130)+N(BC132)+N(BC133)+N(BC139)+N(BC140)+N(BC141)+N(BC142)-BC160,1)</f>
        <v>0</v>
      </c>
      <c r="BD143" s="47" t="n">
        <f aca="false">ROUND(N(BD129)+N(BD130)+N(BD132)+N(BD133)+N(BD139)+N(BD140)+N(BD141)+N(BD142)-BD160,1)</f>
        <v>0</v>
      </c>
      <c r="BE143" s="47" t="n">
        <f aca="false">ROUND(N(BE129)+N(BE130)+N(BE132)+N(BE133)+N(BE139)+N(BE140)+N(BE141)+N(BE142)-BE160,1)</f>
        <v>0</v>
      </c>
      <c r="BF143" s="47" t="n">
        <f aca="false">ROUND(N(BF129)+N(BF130)+N(BF132)+N(BF133)+N(BF139)+N(BF140)+N(BF141)+N(BF142)-BF160,1)</f>
        <v>0</v>
      </c>
      <c r="BG143" s="47" t="n">
        <f aca="false">ROUND(N(BG129)+N(BG130)+N(BG132)+N(BG133)+N(BG139)+N(BG140)+N(BG141)+N(BG142)-BG160,1)</f>
        <v>0</v>
      </c>
      <c r="BH143" s="47" t="n">
        <f aca="false">ROUND(N(BH129)+N(BH130)+N(BH132)+N(BH133)+N(BH139)+N(BH140)+N(BH141)+N(BH142)-BH160,1)</f>
        <v>0</v>
      </c>
      <c r="BI143" s="47" t="n">
        <f aca="false">ROUND(N(BI129)+N(BI130)+N(BI132)+N(BI133)+N(BI139)+N(BI140)+N(BI141)+N(BI142)-BI160,1)</f>
        <v>0</v>
      </c>
      <c r="BJ143" s="47" t="n">
        <f aca="false">ROUND(N(BJ129)+N(BJ130)+N(BJ132)+N(BJ133)+N(BJ139)+N(BJ140)+N(BJ141)+N(BJ142)-BJ160,1)</f>
        <v>0</v>
      </c>
      <c r="BK143" s="47" t="n">
        <f aca="false">ROUND(N(BK129)+N(BK130)+N(BK132)+N(BK133)+N(BK139)+N(BK140)+N(BK141)+N(BK142)-BK160,1)</f>
        <v>0</v>
      </c>
      <c r="BL143" s="47" t="n">
        <f aca="false">ROUND(N(BL129)+N(BL130)+N(BL132)+N(BL133)+N(BL139)+N(BL140)+N(BL141)+N(BL142)-BL160,1)</f>
        <v>0</v>
      </c>
      <c r="BM143" s="47" t="n">
        <f aca="false">ROUND(N(BM129)+N(BM130)+N(BM132)+N(BM133)+N(BM139)+N(BM140)+N(BM141)+N(BM142)-BM160,1)</f>
        <v>0</v>
      </c>
      <c r="BN143" s="47" t="n">
        <f aca="false">ROUND(N(BN129)+N(BN130)+N(BN132)+N(BN133)+N(BN139)+N(BN140)+N(BN141)+N(BN142)-BN160,1)</f>
        <v>0</v>
      </c>
      <c r="BO143" s="47" t="n">
        <f aca="false">ROUND(N(BO129)+N(BO130)+N(BO132)+N(BO133)+N(BO139)+N(BO140)+N(BO141)+N(BO142)-BO160,1)</f>
        <v>0</v>
      </c>
      <c r="BP143" s="47" t="n">
        <f aca="false">ROUND(N(BP129)+N(BP130)+N(BP132)+N(BP133)+N(BP139)+N(BP140)+N(BP141)+N(BP142)-BP160,1)</f>
        <v>0</v>
      </c>
      <c r="BQ143" s="47" t="n">
        <f aca="false">ROUND(N(BQ129)+N(BQ130)+N(BQ132)+N(BQ133)+N(BQ139)+N(BQ140)+N(BQ141)+N(BQ142)-BQ160,1)</f>
        <v>0</v>
      </c>
      <c r="BR143" s="47" t="n">
        <f aca="false">ROUND(N(BR129)+N(BR130)+N(BR132)+N(BR133)+N(BR139)+N(BR140)+N(BR141)+N(BR142)-BR160,1)</f>
        <v>0</v>
      </c>
      <c r="BS143" s="47" t="n">
        <f aca="false">ROUND(N(BS129)+N(BS130)+N(BS132)+N(BS133)+N(BS139)+N(BS140)+N(BS141)+N(BS142)-BS160,1)</f>
        <v>0</v>
      </c>
      <c r="BT143" s="47" t="n">
        <f aca="false">ROUND(N(BT129)+N(BT130)+N(BT132)+N(BT133)+N(BT139)+N(BT140)+N(BT141)+N(BT142)-BT160,1)</f>
        <v>0</v>
      </c>
      <c r="BU143" s="47" t="n">
        <f aca="false">ROUND(N(BU129)+N(BU130)+N(BU132)+N(BU133)+N(BU139)+N(BU140)+N(BU141)+N(BU142)-BU160,1)</f>
        <v>0</v>
      </c>
      <c r="BV143" s="47" t="n">
        <f aca="false">ROUND(N(BV129)+N(BV130)+N(BV132)+N(BV133)+N(BV139)+N(BV140)+N(BV141)+N(BV142)-BV160,1)</f>
        <v>0</v>
      </c>
      <c r="BW143" s="47" t="n">
        <f aca="false">ROUND(N(BW129)+N(BW130)+N(BW132)+N(BW133)+N(BW139)+N(BW140)+N(BW141)+N(BW142)-BW160,1)</f>
        <v>0</v>
      </c>
      <c r="BX143" s="47" t="n">
        <f aca="false">ROUND(N(BX129)+N(BX130)+N(BX132)+N(BX133)+N(BX139)+N(BX140)+N(BX141)+N(BX142)-BX160,1)</f>
        <v>0</v>
      </c>
      <c r="BY143" s="6"/>
      <c r="BZ143" s="6"/>
      <c r="CA143" s="6"/>
      <c r="CB143" s="6"/>
      <c r="CC143" s="6"/>
      <c r="CD143" s="6"/>
      <c r="CE143" s="6"/>
      <c r="CF143" s="6"/>
    </row>
    <row r="144" customFormat="false" ht="15" hidden="false" customHeight="true" outlineLevel="0" collapsed="false"/>
    <row r="145" customFormat="false" ht="15" hidden="false" customHeight="true" outlineLevel="0" collapsed="false">
      <c r="B145" s="15" t="s">
        <v>291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6" t="s">
        <v>292</v>
      </c>
    </row>
    <row r="146" customFormat="false" ht="15" hidden="false" customHeight="true" outlineLevel="0" collapsed="false">
      <c r="B146" s="26" t="s">
        <v>293</v>
      </c>
      <c r="C146" s="47" t="n">
        <f aca="false">C176</f>
        <v>141.429</v>
      </c>
      <c r="D146" s="47" t="n">
        <f aca="false">D176</f>
        <v>150.338</v>
      </c>
      <c r="E146" s="47" t="n">
        <f aca="false">E176</f>
        <v>171.129</v>
      </c>
      <c r="F146" s="47" t="n">
        <f aca="false">F176</f>
        <v>179.391</v>
      </c>
      <c r="G146" s="47" t="n">
        <f aca="false">G176</f>
        <v>181.537</v>
      </c>
      <c r="H146" s="47" t="n">
        <f aca="false">H176</f>
        <v>173.407</v>
      </c>
      <c r="I146" s="47" t="n">
        <f aca="false">I176</f>
        <v>177.211</v>
      </c>
      <c r="J146" s="47" t="n">
        <f aca="false">J176</f>
        <v>43.043</v>
      </c>
      <c r="K146" s="47" t="n">
        <f aca="false">K176</f>
        <v>42.949</v>
      </c>
      <c r="L146" s="47" t="n">
        <f aca="false">L176</f>
        <v>44.105</v>
      </c>
      <c r="M146" s="47" t="n">
        <f aca="false">M176</f>
        <v>43.664</v>
      </c>
      <c r="N146" s="47" t="n">
        <f aca="false">N176</f>
        <v>173.761</v>
      </c>
      <c r="O146" s="47" t="n">
        <f aca="false">O176</f>
        <v>42.466</v>
      </c>
      <c r="P146" s="47" t="n">
        <f aca="false">P176</f>
        <v>43.681</v>
      </c>
      <c r="Q146" s="47" t="n">
        <f aca="false">Q176</f>
        <v>67.932</v>
      </c>
      <c r="R146" s="47" t="n">
        <f aca="false">R176</f>
        <v>68.667</v>
      </c>
      <c r="S146" s="47" t="n">
        <f aca="false">S176</f>
        <v>222.746</v>
      </c>
      <c r="T146" s="47" t="n">
        <f aca="false">T176</f>
        <v>67.268</v>
      </c>
      <c r="U146" s="47" t="n">
        <f aca="false">U176</f>
        <v>67.69</v>
      </c>
      <c r="V146" s="47" t="n">
        <f aca="false">V176</f>
        <v>64.977</v>
      </c>
      <c r="W146" s="47" t="n">
        <f aca="false">W176</f>
        <v>63.652</v>
      </c>
      <c r="X146" s="47" t="n">
        <f aca="false">X176</f>
        <v>263.587</v>
      </c>
      <c r="Y146" s="47" t="n">
        <f aca="false">Y176</f>
        <v>68.41</v>
      </c>
      <c r="Z146" s="47" t="n">
        <f aca="false">Z176</f>
        <v>71.207</v>
      </c>
      <c r="AA146" s="47" t="n">
        <f aca="false">AA176</f>
        <v>72.38</v>
      </c>
      <c r="AB146" s="47" t="n">
        <f aca="false">AB176</f>
        <v>73.256</v>
      </c>
      <c r="AC146" s="47" t="n">
        <f aca="false">AC176</f>
        <v>285.253</v>
      </c>
      <c r="AD146" s="47" t="n">
        <f aca="false">AD176</f>
        <v>70.376</v>
      </c>
      <c r="AE146" s="47" t="n">
        <f aca="false">AE176</f>
        <v>75.726</v>
      </c>
      <c r="AF146" s="47" t="n">
        <f aca="false">AF176</f>
        <v>75.316</v>
      </c>
      <c r="AG146" s="47" t="n">
        <f aca="false">AG176</f>
        <v>75.744</v>
      </c>
      <c r="AH146" s="47" t="n">
        <f aca="false">AH176</f>
        <v>297.162</v>
      </c>
      <c r="AI146" s="47" t="n">
        <f aca="false">AI176</f>
        <v>76.821</v>
      </c>
      <c r="AJ146" s="47" t="n">
        <f aca="false">AJ176</f>
        <v>86.724</v>
      </c>
      <c r="AK146" s="47" t="n">
        <f aca="false">AK176</f>
        <v>89.655</v>
      </c>
      <c r="AL146" s="47" t="n">
        <f aca="false">AL176</f>
        <v>90.833</v>
      </c>
      <c r="AM146" s="47" t="n">
        <f aca="false">AM176</f>
        <v>344.033</v>
      </c>
      <c r="AN146" s="47" t="n">
        <f aca="false">AN176</f>
        <v>89.211</v>
      </c>
      <c r="AO146" s="47" t="n">
        <f aca="false">AO176</f>
        <v>92.775</v>
      </c>
      <c r="AP146" s="47" t="n">
        <f aca="false">AP176</f>
        <v>94.988</v>
      </c>
      <c r="AQ146" s="47" t="n">
        <f aca="false">AQ176</f>
        <v>94.526</v>
      </c>
      <c r="AR146" s="47" t="n">
        <f aca="false">AR176</f>
        <v>371.5</v>
      </c>
      <c r="AS146" s="47" t="n">
        <f aca="false">AS176</f>
        <v>95</v>
      </c>
      <c r="AT146" s="47" t="n">
        <f aca="false">AT176</f>
        <v>98.4</v>
      </c>
      <c r="AU146" s="47" t="n">
        <f aca="false">AU176</f>
        <v>98.8</v>
      </c>
      <c r="AV146" s="47" t="n">
        <f aca="false">AV176</f>
        <v>101.3</v>
      </c>
      <c r="AW146" s="47" t="n">
        <f aca="false">AW176</f>
        <v>393.5</v>
      </c>
      <c r="AX146" s="47" t="n">
        <f aca="false">AX176</f>
        <v>98.6</v>
      </c>
      <c r="AY146" s="47" t="n">
        <f aca="false">AY176</f>
        <v>107.9</v>
      </c>
      <c r="AZ146" s="47" t="n">
        <f aca="false">AZ176</f>
        <v>113.5</v>
      </c>
      <c r="BA146" s="47" t="n">
        <f aca="false">BA176</f>
        <v>131.7</v>
      </c>
      <c r="BB146" s="47" t="n">
        <f aca="false">BB176</f>
        <v>451.7</v>
      </c>
      <c r="BC146" s="47" t="n">
        <f aca="false">BC176</f>
        <v>128.2</v>
      </c>
      <c r="BD146" s="47" t="n">
        <f aca="false">BD176</f>
        <v>128.4</v>
      </c>
      <c r="BE146" s="47" t="n">
        <f aca="false">BE176</f>
        <v>123.7</v>
      </c>
      <c r="BF146" s="47" t="n">
        <f aca="false">BF176</f>
        <v>125.7</v>
      </c>
      <c r="BG146" s="47" t="n">
        <f aca="false">BG176</f>
        <v>506</v>
      </c>
      <c r="BH146" s="47" t="n">
        <f aca="false">BH176</f>
        <v>123.6</v>
      </c>
      <c r="BI146" s="47" t="n">
        <f aca="false">BI176</f>
        <v>129.5</v>
      </c>
      <c r="BJ146" s="47" t="n">
        <f aca="false">BJ176</f>
        <v>131.5</v>
      </c>
      <c r="BK146" s="47" t="n">
        <f aca="false">BK176</f>
        <v>128.6</v>
      </c>
      <c r="BL146" s="47" t="n">
        <f aca="false">BL176</f>
        <v>513.2</v>
      </c>
      <c r="BM146" s="47" t="n">
        <f aca="false">BM176</f>
        <v>130</v>
      </c>
      <c r="BN146" s="47" t="n">
        <f aca="false">BN176</f>
        <v>142</v>
      </c>
      <c r="BO146" s="47" t="n">
        <f aca="false">BO176</f>
        <v>152</v>
      </c>
      <c r="BP146" s="47" t="n">
        <f aca="false">BP176</f>
        <v>149</v>
      </c>
      <c r="BQ146" s="47" t="n">
        <f aca="false">BQ176</f>
        <v>573</v>
      </c>
      <c r="BR146" s="47" t="n">
        <f aca="false">BR176</f>
        <v>154</v>
      </c>
      <c r="BS146" s="47" t="n">
        <f aca="false">BS176</f>
        <v>167</v>
      </c>
      <c r="BT146" s="47" t="n">
        <f aca="false">BT176</f>
        <v>159</v>
      </c>
      <c r="BU146" s="47" t="n">
        <f aca="false">BU176</f>
        <v>157</v>
      </c>
      <c r="BV146" s="47" t="n">
        <f aca="false">BV176</f>
        <v>637</v>
      </c>
      <c r="BW146" s="47" t="n">
        <f aca="false">BW176</f>
        <v>167</v>
      </c>
      <c r="BX146" s="47" t="n">
        <f aca="false">BX176</f>
        <v>204</v>
      </c>
      <c r="BY146" s="37" t="n">
        <f aca="false">($CP$18-$BW$196-$BX$196)/2</f>
        <v>216.5</v>
      </c>
      <c r="BZ146" s="37" t="n">
        <f aca="false">($CP$18-$BW$196-$BX$196)/2</f>
        <v>216.5</v>
      </c>
      <c r="CA146" s="37" t="n">
        <f aca="false">SUM(BW146,BX146,BY146,BZ146)</f>
        <v>804</v>
      </c>
      <c r="CB146" s="37" t="n">
        <f aca="false">(CB152-N(CB68)-N(CB96))*CB147</f>
        <v>867.649303851403</v>
      </c>
      <c r="CC146" s="37" t="n">
        <f aca="false">(CC152-N(CC68)-N(CC96))*CC147</f>
        <v>934.296410442783</v>
      </c>
      <c r="CD146" s="37" t="n">
        <f aca="false">(CD152-N(CD68)-N(CD96))*CD147</f>
        <v>998.461829534622</v>
      </c>
      <c r="CE146" s="37" t="n">
        <f aca="false">(CE152-N(CE68)-N(CE96))*CE147</f>
        <v>1067.28240530912</v>
      </c>
      <c r="CF146" s="20" t="s">
        <v>294</v>
      </c>
    </row>
    <row r="147" customFormat="false" ht="15" hidden="false" customHeight="true" outlineLevel="0" collapsed="false">
      <c r="B147" s="26" t="s">
        <v>295</v>
      </c>
      <c r="C147" s="38" t="n">
        <f aca="false">IF(AND(ISNUMBER(C176),ISNUMBER(C152)),IFERROR(C176/C152,""),"")</f>
        <v>0.0640994379985497</v>
      </c>
      <c r="D147" s="38" t="n">
        <f aca="false">IF(AND(ISNUMBER(D176),ISNUMBER(D152)),IFERROR(D176/D152,""),"")</f>
        <v>0.0681156268406506</v>
      </c>
      <c r="E147" s="38" t="n">
        <f aca="false">IF(AND(ISNUMBER(E176),ISNUMBER(E152)),IFERROR(E176/E152,""),"")</f>
        <v>0.0807174189896703</v>
      </c>
      <c r="F147" s="38" t="n">
        <f aca="false">IF(AND(ISNUMBER(F176),ISNUMBER(F152)),IFERROR(F176/F152,""),"")</f>
        <v>0.105362974274639</v>
      </c>
      <c r="G147" s="38" t="n">
        <f aca="false">IF(AND(ISNUMBER(G176),ISNUMBER(G152)),IFERROR(G176/G152,""),"")</f>
        <v>0.101821190195748</v>
      </c>
      <c r="H147" s="38" t="n">
        <f aca="false">IF(AND(ISNUMBER(H176),ISNUMBER(H152)),IFERROR(H176/H152,""),"")</f>
        <v>0.101176848124161</v>
      </c>
      <c r="I147" s="38" t="n">
        <f aca="false">IF(AND(ISNUMBER(I176),ISNUMBER(I152)),IFERROR(I176/I152,""),"")</f>
        <v>0.0869704554377699</v>
      </c>
      <c r="J147" s="38" t="n">
        <f aca="false">IF(AND(ISNUMBER(J176),ISNUMBER(J152)),IFERROR(J176/J152,""),"")</f>
        <v>0.1118</v>
      </c>
      <c r="K147" s="38" t="n">
        <f aca="false">IF(AND(ISNUMBER(K176),ISNUMBER(K152)),IFERROR(K176/K152,""),"")</f>
        <v>0.0763266394170962</v>
      </c>
      <c r="L147" s="38" t="n">
        <f aca="false">IF(AND(ISNUMBER(L176),ISNUMBER(L152)),IFERROR(L176/L152,""),"")</f>
        <v>0.0662934014730197</v>
      </c>
      <c r="M147" s="38" t="n">
        <f aca="false">IF(AND(ISNUMBER(M176),ISNUMBER(M152)),IFERROR(M176/M152,""),"")</f>
        <v>0.0801174311926605</v>
      </c>
      <c r="N147" s="38" t="n">
        <f aca="false">IF(AND(ISNUMBER(N176),ISNUMBER(N152)),IFERROR(N176/N152,""),"")</f>
        <v>0.0806128508466713</v>
      </c>
      <c r="O147" s="38" t="n">
        <f aca="false">IF(AND(ISNUMBER(O176),ISNUMBER(O152)),IFERROR(O176/O152,""),"")</f>
        <v>0.0990576160485188</v>
      </c>
      <c r="P147" s="38" t="n">
        <f aca="false">IF(AND(ISNUMBER(P176),ISNUMBER(P152)),IFERROR(P176/P152,""),"")</f>
        <v>0.0652734608487747</v>
      </c>
      <c r="Q147" s="38" t="n">
        <f aca="false">IF(AND(ISNUMBER(Q176),ISNUMBER(Q152)),IFERROR(Q176/Q152,""),"")</f>
        <v>0.067681578160805</v>
      </c>
      <c r="R147" s="38" t="n">
        <f aca="false">IF(AND(ISNUMBER(R176),ISNUMBER(R152)),IFERROR(R176/R152,""),"")</f>
        <v>0.0801903538479505</v>
      </c>
      <c r="S147" s="38" t="n">
        <f aca="false">IF(AND(ISNUMBER(S176),ISNUMBER(S152)),IFERROR(S176/S152,""),"")</f>
        <v>0.0753029073698445</v>
      </c>
      <c r="T147" s="38" t="n">
        <f aca="false">IF(AND(ISNUMBER(T176),ISNUMBER(T152)),IFERROR(T176/T152,""),"")</f>
        <v>0.0972924501012439</v>
      </c>
      <c r="U147" s="38" t="n">
        <f aca="false">IF(AND(ISNUMBER(U176),ISNUMBER(U152)),IFERROR(U176/U152,""),"")</f>
        <v>0.0734642934664641</v>
      </c>
      <c r="V147" s="38" t="n">
        <f aca="false">IF(AND(ISNUMBER(V176),ISNUMBER(V152)),IFERROR(V176/V152,""),"")</f>
        <v>0.0600415819626686</v>
      </c>
      <c r="W147" s="38" t="n">
        <f aca="false">IF(AND(ISNUMBER(W176),ISNUMBER(W152)),IFERROR(W176/W152,""),"")</f>
        <v>0.0753634856736917</v>
      </c>
      <c r="X147" s="38" t="n">
        <f aca="false">IF(AND(ISNUMBER(X176),ISNUMBER(X152)),IFERROR(X176/X152,""),"")</f>
        <v>0.0744680189851961</v>
      </c>
      <c r="Y147" s="38" t="n">
        <f aca="false">IF(AND(ISNUMBER(Y176),ISNUMBER(Y152)),IFERROR(Y176/Y152,""),"")</f>
        <v>0.0867266734279919</v>
      </c>
      <c r="Z147" s="38" t="n">
        <f aca="false">IF(AND(ISNUMBER(Z176),ISNUMBER(Z152)),IFERROR(Z176/Z152,""),"")</f>
        <v>0.0728609434155326</v>
      </c>
      <c r="AA147" s="38" t="n">
        <f aca="false">IF(AND(ISNUMBER(AA176),ISNUMBER(AA152)),IFERROR(AA176/AA152,""),"")</f>
        <v>0.065567533291059</v>
      </c>
      <c r="AB147" s="38" t="n">
        <f aca="false">IF(AND(ISNUMBER(AB176),ISNUMBER(AB152)),IFERROR(AB176/AB152,""),"")</f>
        <v>0.0772091062394603</v>
      </c>
      <c r="AC147" s="38" t="n">
        <f aca="false">IF(AND(ISNUMBER(AC176),ISNUMBER(AC152)),IFERROR(AC176/AC152,""),"")</f>
        <v>0.074697025243532</v>
      </c>
      <c r="AD147" s="38" t="n">
        <f aca="false">IF(AND(ISNUMBER(AD176),ISNUMBER(AD152)),IFERROR(AD176/AD152,""),"")</f>
        <v>0.0833937670340088</v>
      </c>
      <c r="AE147" s="38" t="n">
        <f aca="false">IF(AND(ISNUMBER(AE176),ISNUMBER(AE152)),IFERROR(AE176/AE152,""),"")</f>
        <v>0.0712045133991537</v>
      </c>
      <c r="AF147" s="38" t="n">
        <f aca="false">IF(AND(ISNUMBER(AF176),ISNUMBER(AF152)),IFERROR(AF176/AF152,""),"")</f>
        <v>0.0692433575434403</v>
      </c>
      <c r="AG147" s="38" t="n">
        <f aca="false">IF(AND(ISNUMBER(AG176),ISNUMBER(AG152)),IFERROR(AG176/AG152,""),"")</f>
        <v>0.0780463678516229</v>
      </c>
      <c r="AH147" s="38" t="n">
        <f aca="false">IF(AND(ISNUMBER(AH176),ISNUMBER(AH152)),IFERROR(AH176/AH152,""),"")</f>
        <v>0.0749349404881985</v>
      </c>
      <c r="AI147" s="38" t="n">
        <f aca="false">IF(AND(ISNUMBER(AI176),ISNUMBER(AI152)),IFERROR(AI176/AI152,""),"")</f>
        <v>0.095786783042394</v>
      </c>
      <c r="AJ147" s="38" t="n">
        <f aca="false">IF(AND(ISNUMBER(AJ176),ISNUMBER(AJ152)),IFERROR(AJ176/AJ152,""),"")</f>
        <v>0.0721255685489807</v>
      </c>
      <c r="AK147" s="38" t="n">
        <f aca="false">IF(AND(ISNUMBER(AK176),ISNUMBER(AK152)),IFERROR(AK176/AK152,""),"")</f>
        <v>0.0735093962152766</v>
      </c>
      <c r="AL147" s="38" t="n">
        <f aca="false">IF(AND(ISNUMBER(AL176),ISNUMBER(AL152)),IFERROR(AL176/AL152,""),"")</f>
        <v>0.0890329321772406</v>
      </c>
      <c r="AM147" s="38" t="n">
        <f aca="false">IF(AND(ISNUMBER(AM176),ISNUMBER(AM152)),IFERROR(AM176/AM152,""),"")</f>
        <v>0.0810583222301152</v>
      </c>
      <c r="AN147" s="38" t="n">
        <f aca="false">IF(AND(ISNUMBER(AN176),ISNUMBER(AN152)),IFERROR(AN176/AN152,""),"")</f>
        <v>0.0950109430164385</v>
      </c>
      <c r="AO147" s="38" t="n">
        <f aca="false">IF(AND(ISNUMBER(AO176),ISNUMBER(AO152)),IFERROR(AO176/AO152,""),"")</f>
        <v>0.0725106059706065</v>
      </c>
      <c r="AP147" s="38" t="n">
        <f aca="false">IF(AND(ISNUMBER(AP176),ISNUMBER(AP152)),IFERROR(AP176/AP152,""),"")</f>
        <v>0.0668813712554022</v>
      </c>
      <c r="AQ147" s="38" t="n">
        <f aca="false">IF(AND(ISNUMBER(AQ176),ISNUMBER(AQ152)),IFERROR(AQ176/AQ152,""),"")</f>
        <v>0.0858991485146715</v>
      </c>
      <c r="AR147" s="38" t="n">
        <f aca="false">IF(AND(ISNUMBER(AR176),ISNUMBER(AR152)),IFERROR(AR176/AR152,""),"")</f>
        <v>0.0783904447639614</v>
      </c>
      <c r="AS147" s="38" t="n">
        <f aca="false">IF(AND(ISNUMBER(AS176),ISNUMBER(AS152)),IFERROR(AS176/AS152,""),"")</f>
        <v>0.0991442287622626</v>
      </c>
      <c r="AT147" s="38" t="n">
        <f aca="false">IF(AND(ISNUMBER(AT176),ISNUMBER(AT152)),IFERROR(AT176/AT152,""),"")</f>
        <v>0.0774437273728947</v>
      </c>
      <c r="AU147" s="38" t="n">
        <f aca="false">IF(AND(ISNUMBER(AU176),ISNUMBER(AU152)),IFERROR(AU176/AU152,""),"")</f>
        <v>0.0747691841985773</v>
      </c>
      <c r="AV147" s="38" t="n">
        <f aca="false">IF(AND(ISNUMBER(AV176),ISNUMBER(AV152)),IFERROR(AV176/AV152,""),"")</f>
        <v>0.0858765683282469</v>
      </c>
      <c r="AW147" s="38" t="n">
        <f aca="false">IF(AND(ISNUMBER(AW176),ISNUMBER(AW152)),IFERROR(AW176/AW152,""),"")</f>
        <v>0.0831941478678196</v>
      </c>
      <c r="AX147" s="38" t="n">
        <f aca="false">IF(AND(ISNUMBER(AX176),ISNUMBER(AX152)),IFERROR(AX176/AX152,""),"")</f>
        <v>0.100366449511401</v>
      </c>
      <c r="AY147" s="38" t="n">
        <f aca="false">IF(AND(ISNUMBER(AY176),ISNUMBER(AY152)),IFERROR(AY176/AY152,""),"")</f>
        <v>0.0783075694898033</v>
      </c>
      <c r="AZ147" s="38" t="n">
        <f aca="false">IF(AND(ISNUMBER(AZ176),ISNUMBER(AZ152)),IFERROR(AZ176/AZ152,""),"")</f>
        <v>0.0728825531368394</v>
      </c>
      <c r="BA147" s="38" t="n">
        <f aca="false">IF(AND(ISNUMBER(BA176),ISNUMBER(BA152)),IFERROR(BA176/BA152,""),"")</f>
        <v>0.0880112269446672</v>
      </c>
      <c r="BB147" s="38" t="n">
        <f aca="false">IF(AND(ISNUMBER(BB176),ISNUMBER(BB152)),IFERROR(BB176/BB152,""),"")</f>
        <v>0.0834318433690432</v>
      </c>
      <c r="BC147" s="38" t="n">
        <f aca="false">IF(AND(ISNUMBER(BC176),ISNUMBER(BC152)),IFERROR(BC176/BC152,""),"")</f>
        <v>0.1041598960026</v>
      </c>
      <c r="BD147" s="38" t="n">
        <f aca="false">IF(AND(ISNUMBER(BD176),ISNUMBER(BD152)),IFERROR(BD176/BD152,""),"")</f>
        <v>0.0782116099165499</v>
      </c>
      <c r="BE147" s="38" t="n">
        <f aca="false">IF(AND(ISNUMBER(BE176),ISNUMBER(BE152)),IFERROR(BE176/BE152,""),"")</f>
        <v>0.0682784125407076</v>
      </c>
      <c r="BF147" s="38" t="n">
        <f aca="false">IF(AND(ISNUMBER(BF176),ISNUMBER(BF152)),IFERROR(BF176/BF152,""),"")</f>
        <v>0.0851337622756519</v>
      </c>
      <c r="BG147" s="38" t="n">
        <f aca="false">IF(AND(ISNUMBER(BG176),ISNUMBER(BG152)),IFERROR(BG176/BG152,""),"")</f>
        <v>0.0821335237878813</v>
      </c>
      <c r="BH147" s="38" t="n">
        <f aca="false">IF(AND(ISNUMBER(BH176),ISNUMBER(BH152)),IFERROR(BH176/BH152,""),"")</f>
        <v>0.0912783398567314</v>
      </c>
      <c r="BI147" s="38" t="n">
        <f aca="false">IF(AND(ISNUMBER(BI176),ISNUMBER(BI152)),IFERROR(BI176/BI152,""),"")</f>
        <v>0.0711225834797891</v>
      </c>
      <c r="BJ147" s="38" t="n">
        <f aca="false">IF(AND(ISNUMBER(BJ176),ISNUMBER(BJ152)),IFERROR(BJ176/BJ152,""),"")</f>
        <v>0.0659445363823279</v>
      </c>
      <c r="BK147" s="38" t="n">
        <f aca="false">IF(AND(ISNUMBER(BK176),ISNUMBER(BK152)),IFERROR(BK176/BK152,""),"")</f>
        <v>0.0799651784603905</v>
      </c>
      <c r="BL147" s="38" t="n">
        <f aca="false">IF(AND(ISNUMBER(BL176),ISNUMBER(BL152)),IFERROR(BL176/BL152,""),"")</f>
        <v>0.0757244879891401</v>
      </c>
      <c r="BM147" s="38" t="n">
        <f aca="false">IF(AND(ISNUMBER(BM176),ISNUMBER(BM152)),IFERROR(BM176/BM152,""),"")</f>
        <v>0.103916866506795</v>
      </c>
      <c r="BN147" s="38" t="n">
        <f aca="false">IF(AND(ISNUMBER(BN176),ISNUMBER(BN152)),IFERROR(BN176/BN152,""),"")</f>
        <v>0.0804988662131519</v>
      </c>
      <c r="BO147" s="38" t="n">
        <f aca="false">IF(AND(ISNUMBER(BO176),ISNUMBER(BO152)),IFERROR(BO176/BO152,""),"")</f>
        <v>0.0804658549497088</v>
      </c>
      <c r="BP147" s="38" t="n">
        <f aca="false">IF(AND(ISNUMBER(BP176),ISNUMBER(BP152)),IFERROR(BP176/BP152,""),"")</f>
        <v>0.0912990196078431</v>
      </c>
      <c r="BQ147" s="38" t="n">
        <f aca="false">IF(AND(ISNUMBER(BQ176),ISNUMBER(BQ152)),IFERROR(BQ176/BQ152,""),"")</f>
        <v>0.0876682986536108</v>
      </c>
      <c r="BR147" s="38" t="n">
        <f aca="false">IF(AND(ISNUMBER(BR176),ISNUMBER(BR152)),IFERROR(BR176/BR152,""),"")</f>
        <v>0.132530120481928</v>
      </c>
      <c r="BS147" s="38" t="n">
        <f aca="false">IF(AND(ISNUMBER(BS176),ISNUMBER(BS152)),IFERROR(BS176/BS152,""),"")</f>
        <v>0.103791174642635</v>
      </c>
      <c r="BT147" s="38" t="n">
        <f aca="false">IF(AND(ISNUMBER(BT176),ISNUMBER(BT152)),IFERROR(BT176/BT152,""),"")</f>
        <v>0.0861321776814735</v>
      </c>
      <c r="BU147" s="38" t="n">
        <f aca="false">IF(AND(ISNUMBER(BU176),ISNUMBER(BU152)),IFERROR(BU176/BU152,""),"")</f>
        <v>0.102346805736636</v>
      </c>
      <c r="BV147" s="38" t="n">
        <f aca="false">IF(AND(ISNUMBER(BV176),ISNUMBER(BV152)),IFERROR(BV176/BV152,""),"")</f>
        <v>0.103577235772358</v>
      </c>
      <c r="BW147" s="38" t="n">
        <f aca="false">IF(AND(ISNUMBER(BW176),ISNUMBER(BW152)),IFERROR(BW176/BW152,""),"")</f>
        <v>0.122613803230543</v>
      </c>
      <c r="BX147" s="38" t="n">
        <f aca="false">IF(AND(ISNUMBER(BX176),ISNUMBER(BX152)),IFERROR(BX176/BX152,""),"")</f>
        <v>0.104776579352851</v>
      </c>
      <c r="BY147" s="25" t="n">
        <f aca="false">IFERROR(BY146/(BY152-N(BY68)),"")</f>
        <v>0.0992934455136836</v>
      </c>
      <c r="BZ147" s="25" t="n">
        <f aca="false">IFERROR(BZ146/(BZ152-N(BZ68)),"")</f>
        <v>0.119574002049083</v>
      </c>
      <c r="CA147" s="25" t="n">
        <f aca="false">IFERROR(CA146/(CA152-N(CA68)),"")</f>
        <v>0.11013698630137</v>
      </c>
      <c r="CB147" s="49" t="n">
        <v>0.11</v>
      </c>
      <c r="CC147" s="49" t="n">
        <v>0.11</v>
      </c>
      <c r="CD147" s="49" t="n">
        <v>0.11</v>
      </c>
      <c r="CE147" s="49" t="n">
        <v>0.11</v>
      </c>
      <c r="CF147" s="20" t="s">
        <v>296</v>
      </c>
      <c r="CH147" s="39" t="n">
        <f aca="false">IFERROR(AVERAGE(CA147,CB147,CC147,CD147,CE147),"n/m")</f>
        <v>0.110027397260274</v>
      </c>
      <c r="CI147" s="39" t="n">
        <f aca="false">IFERROR(AVERAGE(BB147,BG147,BL147,BQ147,BV147),"n/m")</f>
        <v>0.0865070779144066</v>
      </c>
      <c r="CJ147" s="39" t="n">
        <f aca="false">IFERROR(AVERAGE(AC147,AH147,AM147,AR147,AW147,BB147,BG147,BL147,BQ147,BV147),"n/m")</f>
        <v>0.082481027016566</v>
      </c>
      <c r="CK147" s="39" t="n">
        <f aca="false">IFERROR(AVERAGE(C147,D147,E147,F147,G147,H147,I147,N147,S147,X147,AC147,AH147,AM147,AR147,AW147,BB147,BG147,BL147,BQ147,BV147),"n/m")</f>
        <v>0.083172899961428</v>
      </c>
    </row>
    <row r="148" customFormat="false" ht="15" hidden="false" customHeight="true" outlineLevel="0" collapsed="false">
      <c r="B148" s="26" t="s">
        <v>297</v>
      </c>
      <c r="C148" s="38" t="n">
        <f aca="false">IF(AND(ISNUMBER(C157),ISNUMBER(C152)),IFERROR(C157/C152,""),"")</f>
        <v>0.0668056562726613</v>
      </c>
      <c r="D148" s="38" t="n">
        <f aca="false">IF(AND(ISNUMBER(D157),ISNUMBER(D152)),IFERROR(D157/D152,""),"")</f>
        <v>0.0707262924199175</v>
      </c>
      <c r="E148" s="38" t="n">
        <f aca="false">IF(AND(ISNUMBER(E157),ISNUMBER(E152)),IFERROR(E157/E152,""),"")</f>
        <v>0.0716475637941607</v>
      </c>
      <c r="F148" s="38" t="n">
        <f aca="false">IF(AND(ISNUMBER(F157),ISNUMBER(F152)),IFERROR(F157/F152,""),"")</f>
        <v>0.0821097145542112</v>
      </c>
      <c r="G148" s="38" t="n">
        <f aca="false">IF(AND(ISNUMBER(G157),ISNUMBER(G152)),IFERROR(G157/G152,""),"")</f>
        <v>0.0748219193448875</v>
      </c>
      <c r="H148" s="38" t="n">
        <f aca="false">IF(AND(ISNUMBER(H157),ISNUMBER(H152)),IFERROR(H157/H152,""),"")</f>
        <v>0.0724079584573196</v>
      </c>
      <c r="I148" s="38" t="n">
        <f aca="false">IF(AND(ISNUMBER(I157),ISNUMBER(I152)),IFERROR(I157/I152,""),"")</f>
        <v>0.0679230467216333</v>
      </c>
      <c r="J148" s="38" t="n">
        <f aca="false">IF(AND(ISNUMBER(J157),ISNUMBER(J152)),IFERROR(J157/J152,""),"")</f>
        <v>0.0976623376623377</v>
      </c>
      <c r="K148" s="38" t="n">
        <f aca="false">IF(AND(ISNUMBER(K157),ISNUMBER(K152)),IFERROR(K157/K152,""),"")</f>
        <v>0.0671761151590545</v>
      </c>
      <c r="L148" s="38" t="n">
        <f aca="false">IF(AND(ISNUMBER(L157),ISNUMBER(L152)),IFERROR(L157/L152,""),"")</f>
        <v>0.0557643168495416</v>
      </c>
      <c r="M148" s="38" t="n">
        <f aca="false">IF(AND(ISNUMBER(M157),ISNUMBER(M152)),IFERROR(M157/M152,""),"")</f>
        <v>0.0688073394495413</v>
      </c>
      <c r="N148" s="38" t="n">
        <f aca="false">IF(AND(ISNUMBER(N157),ISNUMBER(N152)),IFERROR(N157/N152,""),"")</f>
        <v>0.0696358153560659</v>
      </c>
      <c r="O148" s="38" t="n">
        <f aca="false">IF(AND(ISNUMBER(O157),ISNUMBER(O152)),IFERROR(O157/O152,""),"")</f>
        <v>0.0797760671798461</v>
      </c>
      <c r="P148" s="38" t="n">
        <f aca="false">IF(AND(ISNUMBER(P157),ISNUMBER(P152)),IFERROR(P157/P152,""),"")</f>
        <v>0.0546921697549313</v>
      </c>
      <c r="Q148" s="38" t="n">
        <f aca="false">IF(AND(ISNUMBER(Q157),ISNUMBER(Q152)),IFERROR(Q157/Q152,""),"")</f>
        <v>0.0482215801534323</v>
      </c>
      <c r="R148" s="38" t="n">
        <f aca="false">IF(AND(ISNUMBER(R157),ISNUMBER(R152)),IFERROR(R157/R152,""),"")</f>
        <v>0.0583907509050566</v>
      </c>
      <c r="S148" s="38" t="n">
        <f aca="false">IF(AND(ISNUMBER(S157),ISNUMBER(S152)),IFERROR(S157/S152,""),"")</f>
        <v>0.0572008113590264</v>
      </c>
      <c r="T148" s="38" t="n">
        <f aca="false">IF(AND(ISNUMBER(T157),ISNUMBER(T152)),IFERROR(T157/T152,""),"")</f>
        <v>0.0715938675151866</v>
      </c>
      <c r="U148" s="38" t="n">
        <f aca="false">IF(AND(ISNUMBER(U157),ISNUMBER(U152)),IFERROR(U157/U152,""),"")</f>
        <v>0.0616453223355763</v>
      </c>
      <c r="V148" s="38" t="n">
        <f aca="false">IF(AND(ISNUMBER(V157),ISNUMBER(V152)),IFERROR(V157/V152,""),"")</f>
        <v>0.0507299944557383</v>
      </c>
      <c r="W148" s="38" t="n">
        <f aca="false">IF(AND(ISNUMBER(W157),ISNUMBER(W152)),IFERROR(W157/W152,""),"")</f>
        <v>0.0676059673218091</v>
      </c>
      <c r="X148" s="38" t="n">
        <f aca="false">IF(AND(ISNUMBER(X157),ISNUMBER(X152)),IFERROR(X157/X152,""),"")</f>
        <v>0.0616453836591705</v>
      </c>
      <c r="Y148" s="38" t="n">
        <f aca="false">IF(AND(ISNUMBER(Y157),ISNUMBER(Y152)),IFERROR(Y157/Y152,""),"")</f>
        <v>0.0759381338742394</v>
      </c>
      <c r="Z148" s="38" t="n">
        <f aca="false">IF(AND(ISNUMBER(Z157),ISNUMBER(Z152)),IFERROR(Z157/Z152,""),"")</f>
        <v>0.0629284764146117</v>
      </c>
      <c r="AA148" s="38" t="n">
        <f aca="false">IF(AND(ISNUMBER(AA157),ISNUMBER(AA152)),IFERROR(AA157/AA152,""),"")</f>
        <v>0.0510009964670713</v>
      </c>
      <c r="AB148" s="38" t="n">
        <f aca="false">IF(AND(ISNUMBER(AB157),ISNUMBER(AB152)),IFERROR(AB157/AB152,""),"")</f>
        <v>0.0740935919055649</v>
      </c>
      <c r="AC148" s="38" t="n">
        <f aca="false">IF(AND(ISNUMBER(AC157),ISNUMBER(AC152)),IFERROR(AC157/AC152,""),"")</f>
        <v>0.0649418665549387</v>
      </c>
      <c r="AD148" s="38" t="n">
        <f aca="false">IF(AND(ISNUMBER(AD157),ISNUMBER(AD152)),IFERROR(AD157/AD152,""),"")</f>
        <v>0.0823557293518189</v>
      </c>
      <c r="AE148" s="38" t="n">
        <f aca="false">IF(AND(ISNUMBER(AE157),ISNUMBER(AE152)),IFERROR(AE157/AE152,""),"")</f>
        <v>0.0643159379407616</v>
      </c>
      <c r="AF148" s="38" t="n">
        <f aca="false">IF(AND(ISNUMBER(AF157),ISNUMBER(AF152)),IFERROR(AF157/AF152,""),"")</f>
        <v>0.0525880297876253</v>
      </c>
      <c r="AG148" s="38" t="n">
        <f aca="false">IF(AND(ISNUMBER(AG157),ISNUMBER(AG152)),IFERROR(AG157/AG152,""),"")</f>
        <v>0.0690365790829469</v>
      </c>
      <c r="AH148" s="38" t="n">
        <f aca="false">IF(AND(ISNUMBER(AH157),ISNUMBER(AH152)),IFERROR(AH157/AH152,""),"")</f>
        <v>0.0660934032681057</v>
      </c>
      <c r="AI148" s="38" t="n">
        <f aca="false">IF(AND(ISNUMBER(AI157),ISNUMBER(AI152)),IFERROR(AI157/AI152,""),"")</f>
        <v>0.0874064837905237</v>
      </c>
      <c r="AJ148" s="38" t="n">
        <f aca="false">IF(AND(ISNUMBER(AJ157),ISNUMBER(AJ152)),IFERROR(AJ157/AJ152,""),"")</f>
        <v>0.0591066389554916</v>
      </c>
      <c r="AK148" s="38" t="n">
        <f aca="false">IF(AND(ISNUMBER(AK157),ISNUMBER(AK152)),IFERROR(AK157/AK152,""),"")</f>
        <v>0.0561157390705454</v>
      </c>
      <c r="AL148" s="38" t="n">
        <f aca="false">IF(AND(ISNUMBER(AL157),ISNUMBER(AL152)),IFERROR(AL157/AL152,""),"")</f>
        <v>0.0695165150977536</v>
      </c>
      <c r="AM148" s="38" t="n">
        <f aca="false">IF(AND(ISNUMBER(AM157),ISNUMBER(AM152)),IFERROR(AM157/AM152,""),"")</f>
        <v>0.0661019045700492</v>
      </c>
      <c r="AN148" s="38" t="n">
        <f aca="false">IF(AND(ISNUMBER(AN157),ISNUMBER(AN152)),IFERROR(AN157/AN152,""),"")</f>
        <v>0.0833820577130959</v>
      </c>
      <c r="AO148" s="38" t="n">
        <f aca="false">IF(AND(ISNUMBER(AO157),ISNUMBER(AO152)),IFERROR(AO157/AO152,""),"")</f>
        <v>0.0565719502168089</v>
      </c>
      <c r="AP148" s="38" t="n">
        <f aca="false">IF(AND(ISNUMBER(AP157),ISNUMBER(AP152)),IFERROR(AP157/AP152,""),"")</f>
        <v>0.0551179161919836</v>
      </c>
      <c r="AQ148" s="38" t="n">
        <f aca="false">IF(AND(ISNUMBER(AQ157),ISNUMBER(AQ152)),IFERROR(AQ157/AQ152,""),"")</f>
        <v>0.066975636796525</v>
      </c>
      <c r="AR148" s="38" t="n">
        <f aca="false">IF(AND(ISNUMBER(AR157),ISNUMBER(AR152)),IFERROR(AR157/AR152,""),"")</f>
        <v>0.0638638407561945</v>
      </c>
      <c r="AS148" s="38" t="n">
        <f aca="false">IF(AND(ISNUMBER(AS157),ISNUMBER(AS152)),IFERROR(AS157/AS152,""),"")</f>
        <v>0.0821331663535796</v>
      </c>
      <c r="AT148" s="38" t="n">
        <f aca="false">IF(AND(ISNUMBER(AT157),ISNUMBER(AT152)),IFERROR(AT157/AT152,""),"")</f>
        <v>0.0560365181803872</v>
      </c>
      <c r="AU148" s="38" t="n">
        <f aca="false">IF(AND(ISNUMBER(AU157),ISNUMBER(AU152)),IFERROR(AU157/AU152,""),"")</f>
        <v>0.0538065687906765</v>
      </c>
      <c r="AV148" s="38" t="n">
        <f aca="false">IF(AND(ISNUMBER(AV157),ISNUMBER(AV152)),IFERROR(AV157/AV152,""),"")</f>
        <v>0.0719735503560529</v>
      </c>
      <c r="AW148" s="38" t="n">
        <f aca="false">IF(AND(ISNUMBER(AW157),ISNUMBER(AW152)),IFERROR(AW157/AW152,""),"")</f>
        <v>0.0646736717478171</v>
      </c>
      <c r="AX148" s="38" t="n">
        <f aca="false">IF(AND(ISNUMBER(AX157),ISNUMBER(AX152)),IFERROR(AX157/AX152,""),"")</f>
        <v>0.0812296416938111</v>
      </c>
      <c r="AY148" s="38" t="n">
        <f aca="false">IF(AND(ISNUMBER(AY157),ISNUMBER(AY152)),IFERROR(AY157/AY152,""),"")</f>
        <v>0.0598011466724726</v>
      </c>
      <c r="AZ148" s="38" t="n">
        <f aca="false">IF(AND(ISNUMBER(AZ157),ISNUMBER(AZ152)),IFERROR(AZ157/AZ152,""),"")</f>
        <v>0.0552237847556669</v>
      </c>
      <c r="BA148" s="38" t="n">
        <f aca="false">IF(AND(ISNUMBER(BA157),ISNUMBER(BA152)),IFERROR(BA157/BA152,""),"")</f>
        <v>0.0687650360866079</v>
      </c>
      <c r="BB148" s="38" t="n">
        <f aca="false">IF(AND(ISNUMBER(BB157),ISNUMBER(BB152)),IFERROR(BB157/BB152,""),"")</f>
        <v>0.06483191725157</v>
      </c>
      <c r="BC148" s="38" t="n">
        <f aca="false">IF(AND(ISNUMBER(BC157),ISNUMBER(BC152)),IFERROR(BC157/BC152,""),"")</f>
        <v>0.0788917777055574</v>
      </c>
      <c r="BD148" s="38" t="n">
        <f aca="false">IF(AND(ISNUMBER(BD157),ISNUMBER(BD152)),IFERROR(BD157/BD152,""),"")</f>
        <v>0.0634098800024365</v>
      </c>
      <c r="BE148" s="38" t="n">
        <f aca="false">IF(AND(ISNUMBER(BE157),ISNUMBER(BE152)),IFERROR(BE157/BE152,""),"")</f>
        <v>0.0523817409063311</v>
      </c>
      <c r="BF148" s="38" t="n">
        <f aca="false">IF(AND(ISNUMBER(BF157),ISNUMBER(BF152)),IFERROR(BF157/BF152,""),"")</f>
        <v>0.0682018286488317</v>
      </c>
      <c r="BG148" s="38" t="n">
        <f aca="false">IF(AND(ISNUMBER(BG157),ISNUMBER(BG152)),IFERROR(BG157/BG152,""),"")</f>
        <v>0.064392033372831</v>
      </c>
      <c r="BH148" s="38" t="n">
        <f aca="false">IF(AND(ISNUMBER(BH157),ISNUMBER(BH152)),IFERROR(BH157/BH152,""),"")</f>
        <v>0.0770253304778081</v>
      </c>
      <c r="BI148" s="38" t="n">
        <f aca="false">IF(AND(ISNUMBER(BI157),ISNUMBER(BI152)),IFERROR(BI157/BI152,""),"")</f>
        <v>0.0612917398945519</v>
      </c>
      <c r="BJ148" s="38" t="n">
        <f aca="false">IF(AND(ISNUMBER(BJ157),ISNUMBER(BJ152)),IFERROR(BJ157/BJ152,""),"")</f>
        <v>0.0542099192618224</v>
      </c>
      <c r="BK148" s="38" t="n">
        <f aca="false">IF(AND(ISNUMBER(BK157),ISNUMBER(BK152)),IFERROR(BK157/BK152,""),"")</f>
        <v>0.0738092277079965</v>
      </c>
      <c r="BL148" s="38" t="n">
        <f aca="false">IF(AND(ISNUMBER(BL157),ISNUMBER(BL152)),IFERROR(BL157/BL152,""),"")</f>
        <v>0.0653367172283539</v>
      </c>
      <c r="BM148" s="38" t="n">
        <f aca="false">IF(AND(ISNUMBER(BM157),ISNUMBER(BM152)),IFERROR(BM157/BM152,""),"")</f>
        <v>0.0943245403677058</v>
      </c>
      <c r="BN148" s="38" t="n">
        <f aca="false">IF(AND(ISNUMBER(BN157),ISNUMBER(BN152)),IFERROR(BN157/BN152,""),"")</f>
        <v>0.0663265306122449</v>
      </c>
      <c r="BO148" s="38" t="n">
        <f aca="false">IF(AND(ISNUMBER(BO157),ISNUMBER(BO152)),IFERROR(BO157/BO152,""),"")</f>
        <v>0.0555849655902594</v>
      </c>
      <c r="BP148" s="38" t="n">
        <f aca="false">IF(AND(ISNUMBER(BP157),ISNUMBER(BP152)),IFERROR(BP157/BP152,""),"")</f>
        <v>0.0643382352941176</v>
      </c>
      <c r="BQ148" s="38" t="n">
        <f aca="false">IF(AND(ISNUMBER(BQ157),ISNUMBER(BQ152)),IFERROR(BQ157/BQ152,""),"")</f>
        <v>0.068390452876377</v>
      </c>
      <c r="BR148" s="38" t="n">
        <f aca="false">IF(AND(ISNUMBER(BR157),ISNUMBER(BR152)),IFERROR(BR157/BR152,""),"")</f>
        <v>0.107573149741824</v>
      </c>
      <c r="BS148" s="38" t="n">
        <f aca="false">IF(AND(ISNUMBER(BS157),ISNUMBER(BS152)),IFERROR(BS157/BS152,""),"")</f>
        <v>0.0646364201367309</v>
      </c>
      <c r="BT148" s="38" t="n">
        <f aca="false">IF(AND(ISNUMBER(BT157),ISNUMBER(BT152)),IFERROR(BT157/BT152,""),"")</f>
        <v>0.0595882990249187</v>
      </c>
      <c r="BU148" s="38" t="n">
        <f aca="false">IF(AND(ISNUMBER(BU157),ISNUMBER(BU152)),IFERROR(BU157/BU152,""),"")</f>
        <v>0.0671447196870926</v>
      </c>
      <c r="BV148" s="38" t="n">
        <f aca="false">IF(AND(ISNUMBER(BV157),ISNUMBER(BV152)),IFERROR(BV157/BV152,""),"")</f>
        <v>0.0720325203252033</v>
      </c>
      <c r="BW148" s="38" t="n">
        <f aca="false">IF(AND(ISNUMBER(BW157),ISNUMBER(BW152)),IFERROR(BW157/BW152,""),"")</f>
        <v>0.0976505139500734</v>
      </c>
      <c r="BX148" s="38" t="n">
        <f aca="false">IF(AND(ISNUMBER(BX157),ISNUMBER(BX152)),IFERROR(BX157/BX152,""),"")</f>
        <v>0.0595788392398562</v>
      </c>
      <c r="BY148" s="25" t="n">
        <f aca="false">IFERROR((BY157-BY79)/(BY152-N(BY68)),"")</f>
        <v>0.0548553803083956</v>
      </c>
      <c r="BZ148" s="25" t="n">
        <f aca="false">IFERROR((BZ157-BZ79)/(BZ152-N(BZ68)),"")</f>
        <v>0.0618557324354876</v>
      </c>
      <c r="CA148" s="25" t="n">
        <f aca="false">IFERROR((CA157-CA79)/(CA152-N(CA68)),"")</f>
        <v>0.0658359753544296</v>
      </c>
      <c r="CB148" s="49" t="n">
        <v>0.07</v>
      </c>
      <c r="CC148" s="49" t="n">
        <v>0.07</v>
      </c>
      <c r="CD148" s="49" t="n">
        <v>0.07</v>
      </c>
      <c r="CE148" s="49" t="n">
        <v>0.07</v>
      </c>
      <c r="CF148" s="20" t="s">
        <v>298</v>
      </c>
      <c r="CH148" s="39" t="n">
        <f aca="false">IFERROR(AVERAGE(CA148,CB148,CC148,CD148,CE148),"n/m")</f>
        <v>0.0691671950708859</v>
      </c>
      <c r="CI148" s="39" t="n">
        <f aca="false">IFERROR(AVERAGE(BB148,BG148,BL148,BQ148,BV148),"n/m")</f>
        <v>0.066996728210867</v>
      </c>
      <c r="CJ148" s="39" t="n">
        <f aca="false">IFERROR(AVERAGE(AC148,AH148,AM148,AR148,AW148,BB148,BG148,BL148,BQ148,BV148),"n/m")</f>
        <v>0.066065832795144</v>
      </c>
      <c r="CK148" s="39" t="n">
        <f aca="false">IFERROR(AVERAGE(C148,D148,E148,F148,G148,H148,I148,N148,S148,X148,AC148,AH148,AM148,AR148,AW148,BB148,BG148,BL148,BQ148,BV148),"n/m")</f>
        <v>0.0677791244945247</v>
      </c>
    </row>
    <row r="149" customFormat="false" ht="15" hidden="false" customHeight="true" outlineLevel="0" collapsed="false">
      <c r="B149" s="26" t="s">
        <v>299</v>
      </c>
      <c r="C149" s="38" t="n">
        <f aca="false">IF(AND(ISNUMBER(C177),ISNUMBER(C152)),IFERROR(C177/C152,""),"")</f>
        <v>0.0060904641044235</v>
      </c>
      <c r="D149" s="38" t="n">
        <f aca="false">IF(AND(ISNUMBER(D177),ISNUMBER(D152)),IFERROR(D177/D152,""),"")</f>
        <v>0.00891984957636718</v>
      </c>
      <c r="E149" s="38" t="n">
        <f aca="false">IF(AND(ISNUMBER(E177),ISNUMBER(E152)),IFERROR(E177/E152,""),"")</f>
        <v>0.0103131927739258</v>
      </c>
      <c r="F149" s="38" t="n">
        <f aca="false">IF(AND(ISNUMBER(F177),ISNUMBER(F152)),IFERROR(F177/F152,""),"")</f>
        <v>0.0120709503112886</v>
      </c>
      <c r="G149" s="38" t="n">
        <f aca="false">IF(AND(ISNUMBER(G177),ISNUMBER(G152)),IFERROR(G177/G152,""),"")</f>
        <v>0.00823097201189074</v>
      </c>
      <c r="H149" s="38" t="n">
        <f aca="false">IF(AND(ISNUMBER(H177),ISNUMBER(H152)),IFERROR(H177/H152,""),"")</f>
        <v>0.00672267926950231</v>
      </c>
      <c r="I149" s="38" t="n">
        <f aca="false">IF(AND(ISNUMBER(I177),ISNUMBER(I152)),IFERROR(I177/I152,""),"")</f>
        <v>0.00381870828425599</v>
      </c>
      <c r="J149" s="38" t="n">
        <f aca="false">IF(AND(ISNUMBER(J177),ISNUMBER(J152)),IFERROR(J177/J152,""),"")</f>
        <v>0.00323376623376623</v>
      </c>
      <c r="K149" s="38" t="n">
        <f aca="false">IF(AND(ISNUMBER(K177),ISNUMBER(K152)),IFERROR(K177/K152,""),"")</f>
        <v>0.0048622711924649</v>
      </c>
      <c r="L149" s="38" t="n">
        <f aca="false">IF(AND(ISNUMBER(L177),ISNUMBER(L152)),IFERROR(L177/L152,""),"")</f>
        <v>0.00214489703892981</v>
      </c>
      <c r="M149" s="38" t="n">
        <f aca="false">IF(AND(ISNUMBER(M177),ISNUMBER(M152)),IFERROR(M177/M152,""),"")</f>
        <v>0.00293577981651376</v>
      </c>
      <c r="N149" s="38" t="n">
        <f aca="false">IF(AND(ISNUMBER(N177),ISNUMBER(N152)),IFERROR(N177/N152,""),"")</f>
        <v>0.00325121781489214</v>
      </c>
      <c r="O149" s="38" t="n">
        <f aca="false">IF(AND(ISNUMBER(O177),ISNUMBER(O152)),IFERROR(O177/O152,""),"")</f>
        <v>0.00328668066246793</v>
      </c>
      <c r="P149" s="38" t="n">
        <f aca="false">IF(AND(ISNUMBER(P177),ISNUMBER(P152)),IFERROR(P177/P152,""),"")</f>
        <v>0.00442468619246862</v>
      </c>
      <c r="Q149" s="38" t="n">
        <f aca="false">IF(AND(ISNUMBER(Q177),ISNUMBER(Q152)),IFERROR(Q177/Q152,""),"")</f>
        <v>0.00200358672910232</v>
      </c>
      <c r="R149" s="38" t="n">
        <f aca="false">IF(AND(ISNUMBER(R177),ISNUMBER(R152)),IFERROR(R177/R152,""),"")</f>
        <v>0.00305033282728016</v>
      </c>
      <c r="S149" s="38" t="n">
        <f aca="false">IF(AND(ISNUMBER(S177),ISNUMBER(S152)),IFERROR(S177/S152,""),"")</f>
        <v>0.00304022988505747</v>
      </c>
      <c r="T149" s="38" t="n">
        <f aca="false">IF(AND(ISNUMBER(T177),ISNUMBER(T152)),IFERROR(T177/T152,""),"")</f>
        <v>0.00420451258316459</v>
      </c>
      <c r="U149" s="38" t="n">
        <f aca="false">IF(AND(ISNUMBER(U177),ISNUMBER(U152)),IFERROR(U177/U152,""),"")</f>
        <v>0.00501085304970697</v>
      </c>
      <c r="V149" s="38" t="n">
        <f aca="false">IF(AND(ISNUMBER(V177),ISNUMBER(V152)),IFERROR(V177/V152,""),"")</f>
        <v>0.00295509148031787</v>
      </c>
      <c r="W149" s="38" t="n">
        <f aca="false">IF(AND(ISNUMBER(W177),ISNUMBER(W152)),IFERROR(W177/W152,""),"")</f>
        <v>0.00339450627515984</v>
      </c>
      <c r="X149" s="38" t="n">
        <f aca="false">IF(AND(ISNUMBER(X177),ISNUMBER(X152)),IFERROR(X177/X152,""),"")</f>
        <v>0.00383913436546502</v>
      </c>
      <c r="Y149" s="38" t="n">
        <f aca="false">IF(AND(ISNUMBER(Y177),ISNUMBER(Y152)),IFERROR(Y177/Y152,""),"")</f>
        <v>0.0091632860040568</v>
      </c>
      <c r="Z149" s="38" t="n">
        <f aca="false">IF(AND(ISNUMBER(Z177),ISNUMBER(Z152)),IFERROR(Z177/Z152,""),"")</f>
        <v>0.00570244551314847</v>
      </c>
      <c r="AA149" s="38" t="n">
        <f aca="false">IF(AND(ISNUMBER(AA177),ISNUMBER(AA152)),IFERROR(AA177/AA152,""),"")</f>
        <v>0.00395506839387626</v>
      </c>
      <c r="AB149" s="38" t="n">
        <f aca="false">IF(AND(ISNUMBER(AB177),ISNUMBER(AB152)),IFERROR(AB177/AB152,""),"")</f>
        <v>0.00349283305227656</v>
      </c>
      <c r="AC149" s="38" t="n">
        <f aca="false">IF(AND(ISNUMBER(AC177),ISNUMBER(AC152)),IFERROR(AC177/AC152,""),"")</f>
        <v>0.0053632031004504</v>
      </c>
      <c r="AD149" s="38" t="n">
        <f aca="false">IF(AND(ISNUMBER(AD177),ISNUMBER(AD152)),IFERROR(AD177/AD152,""),"")</f>
        <v>0.0121756132243157</v>
      </c>
      <c r="AE149" s="38" t="n">
        <f aca="false">IF(AND(ISNUMBER(AE177),ISNUMBER(AE152)),IFERROR(AE177/AE152,""),"")</f>
        <v>0.00700705218617772</v>
      </c>
      <c r="AF149" s="38" t="n">
        <f aca="false">IF(AND(ISNUMBER(AF177),ISNUMBER(AF152)),IFERROR(AF177/AF152,""),"")</f>
        <v>0.00548956513744599</v>
      </c>
      <c r="AG149" s="38" t="n">
        <f aca="false">IF(AND(ISNUMBER(AG177),ISNUMBER(AG152)),IFERROR(AG177/AG152,""),"")</f>
        <v>0.00696754250386399</v>
      </c>
      <c r="AH149" s="38" t="n">
        <f aca="false">IF(AND(ISNUMBER(AH177),ISNUMBER(AH152)),IFERROR(AH177/AH152,""),"")</f>
        <v>0.00768105709098245</v>
      </c>
      <c r="AI149" s="38" t="n">
        <f aca="false">IF(AND(ISNUMBER(AI177),ISNUMBER(AI152)),IFERROR(AI177/AI152,""),"")</f>
        <v>0.0121695760598504</v>
      </c>
      <c r="AJ149" s="38" t="n">
        <f aca="false">IF(AND(ISNUMBER(AJ177),ISNUMBER(AJ152)),IFERROR(AJ177/AJ152,""),"")</f>
        <v>0.00610277918468267</v>
      </c>
      <c r="AK149" s="38" t="n">
        <f aca="false">IF(AND(ISNUMBER(AK177),ISNUMBER(AK152)),IFERROR(AK177/AK152,""),"")</f>
        <v>0.00490800564100882</v>
      </c>
      <c r="AL149" s="38" t="n">
        <f aca="false">IF(AND(ISNUMBER(AL177),ISNUMBER(AL152)),IFERROR(AL177/AL152,""),"")</f>
        <v>0.00604674687174702</v>
      </c>
      <c r="AM149" s="38" t="n">
        <f aca="false">IF(AND(ISNUMBER(AM177),ISNUMBER(AM152)),IFERROR(AM177/AM152,""),"")</f>
        <v>0.00689235945446385</v>
      </c>
      <c r="AN149" s="38" t="n">
        <f aca="false">IF(AND(ISNUMBER(AN177),ISNUMBER(AN152)),IFERROR(AN177/AN152,""),"")</f>
        <v>0.0144330665473851</v>
      </c>
      <c r="AO149" s="38" t="n">
        <f aca="false">IF(AND(ISNUMBER(AO177),ISNUMBER(AO152)),IFERROR(AO177/AO152,""),"")</f>
        <v>0.00679813797609632</v>
      </c>
      <c r="AP149" s="38" t="n">
        <f aca="false">IF(AND(ISNUMBER(AP177),ISNUMBER(AP152)),IFERROR(AP177/AP152,""),"")</f>
        <v>0.00434009319512254</v>
      </c>
      <c r="AQ149" s="38" t="n">
        <f aca="false">IF(AND(ISNUMBER(AQ177),ISNUMBER(AQ152)),IFERROR(AQ177/AQ152,""),"")</f>
        <v>0.00516707105404251</v>
      </c>
      <c r="AR149" s="38" t="n">
        <f aca="false">IF(AND(ISNUMBER(AR177),ISNUMBER(AR152)),IFERROR(AR177/AR152,""),"")</f>
        <v>0.0071954620900433</v>
      </c>
      <c r="AS149" s="38" t="n">
        <f aca="false">IF(AND(ISNUMBER(AS177),ISNUMBER(AS152)),IFERROR(AS177/AS152,""),"")</f>
        <v>0.0130452932581924</v>
      </c>
      <c r="AT149" s="38" t="n">
        <f aca="false">IF(AND(ISNUMBER(AT177),ISNUMBER(AT152)),IFERROR(AT177/AT152,""),"")</f>
        <v>0.00566661419801669</v>
      </c>
      <c r="AU149" s="38" t="n">
        <f aca="false">IF(AND(ISNUMBER(AU177),ISNUMBER(AU152)),IFERROR(AU177/AU152,""),"")</f>
        <v>0.00204328742243075</v>
      </c>
      <c r="AV149" s="38" t="n">
        <f aca="false">IF(AND(ISNUMBER(AV177),ISNUMBER(AV152)),IFERROR(AV177/AV152,""),"")</f>
        <v>0.00644286198711428</v>
      </c>
      <c r="AW149" s="38" t="n">
        <f aca="false">IF(AND(ISNUMBER(AW177),ISNUMBER(AW152)),IFERROR(AW177/AW152,""),"")</f>
        <v>0.00634262880822005</v>
      </c>
      <c r="AX149" s="38" t="n">
        <f aca="false">IF(AND(ISNUMBER(AX177),ISNUMBER(AX152)),IFERROR(AX177/AX152,""),"")</f>
        <v>0.0110952768729642</v>
      </c>
      <c r="AY149" s="38" t="n">
        <f aca="false">IF(AND(ISNUMBER(AY177),ISNUMBER(AY152)),IFERROR(AY177/AY152,""),"")</f>
        <v>0.00718484650555193</v>
      </c>
      <c r="AZ149" s="38" t="n">
        <f aca="false">IF(AND(ISNUMBER(AZ177),ISNUMBER(AZ152)),IFERROR(AZ177/AZ152,""),"")</f>
        <v>0.00783407179092018</v>
      </c>
      <c r="BA149" s="38" t="n">
        <f aca="false">IF(AND(ISNUMBER(BA177),ISNUMBER(BA152)),IFERROR(BA177/BA152,""),"")</f>
        <v>0.00668270515904838</v>
      </c>
      <c r="BB149" s="38" t="n">
        <f aca="false">IF(AND(ISNUMBER(BB177),ISNUMBER(BB152)),IFERROR(BB177/BB152,""),"")</f>
        <v>0.00794237162910972</v>
      </c>
      <c r="BC149" s="38" t="n">
        <f aca="false">IF(AND(ISNUMBER(BC177),ISNUMBER(BC152)),IFERROR(BC177/BC152,""),"")</f>
        <v>0.0097497562560936</v>
      </c>
      <c r="BD149" s="38" t="n">
        <f aca="false">IF(AND(ISNUMBER(BD177),ISNUMBER(BD152)),IFERROR(BD177/BD152,""),"")</f>
        <v>0.00761405859779497</v>
      </c>
      <c r="BE149" s="38" t="n">
        <f aca="false">IF(AND(ISNUMBER(BE177),ISNUMBER(BE152)),IFERROR(BE177/BE152,""),"")</f>
        <v>0.00540928409780869</v>
      </c>
      <c r="BF149" s="38" t="n">
        <f aca="false">IF(AND(ISNUMBER(BF177),ISNUMBER(BF152)),IFERROR(BF177/BF152,""),"")</f>
        <v>0.00568912969861159</v>
      </c>
      <c r="BG149" s="38" t="n">
        <f aca="false">IF(AND(ISNUMBER(BG177),ISNUMBER(BG152)),IFERROR(BG177/BG152,""),"")</f>
        <v>0.00693103056470856</v>
      </c>
      <c r="BH149" s="38" t="n">
        <f aca="false">IF(AND(ISNUMBER(BH177),ISNUMBER(BH152)),IFERROR(BH177/BH152,""),"")</f>
        <v>0.0101174211653497</v>
      </c>
      <c r="BI149" s="38" t="n">
        <f aca="false">IF(AND(ISNUMBER(BI177),ISNUMBER(BI152)),IFERROR(BI177/BI152,""),"")</f>
        <v>0.00768892794376098</v>
      </c>
      <c r="BJ149" s="38" t="n">
        <f aca="false">IF(AND(ISNUMBER(BJ177),ISNUMBER(BJ152)),IFERROR(BJ177/BJ152,""),"")</f>
        <v>0.00566671681460308</v>
      </c>
      <c r="BK149" s="38" t="n">
        <f aca="false">IF(AND(ISNUMBER(BK177),ISNUMBER(BK152)),IFERROR(BK177/BK152,""),"")</f>
        <v>0.00683994528043776</v>
      </c>
      <c r="BL149" s="38" t="n">
        <f aca="false">IF(AND(ISNUMBER(BL177),ISNUMBER(BL152)),IFERROR(BL177/BL152,""),"")</f>
        <v>0.00737767809714927</v>
      </c>
      <c r="BM149" s="38" t="n">
        <f aca="false">IF(AND(ISNUMBER(BM177),ISNUMBER(BM152)),IFERROR(BM177/BM152,""),"")</f>
        <v>0.0119904076738609</v>
      </c>
      <c r="BN149" s="38" t="n">
        <f aca="false">IF(AND(ISNUMBER(BN177),ISNUMBER(BN152)),IFERROR(BN177/BN152,""),"")</f>
        <v>0.0102040816326531</v>
      </c>
      <c r="BO149" s="38" t="n">
        <f aca="false">IF(AND(ISNUMBER(BO177),ISNUMBER(BO152)),IFERROR(BO177/BO152,""),"")</f>
        <v>0.00794070937003706</v>
      </c>
      <c r="BP149" s="38" t="n">
        <f aca="false">IF(AND(ISNUMBER(BP177),ISNUMBER(BP152)),IFERROR(BP177/BP152,""),"")</f>
        <v>0.00612745098039216</v>
      </c>
      <c r="BQ149" s="38" t="n">
        <f aca="false">IF(AND(ISNUMBER(BQ177),ISNUMBER(BQ152)),IFERROR(BQ177/BQ152,""),"")</f>
        <v>0.00887392900856793</v>
      </c>
      <c r="BR149" s="38" t="n">
        <f aca="false">IF(AND(ISNUMBER(BR177),ISNUMBER(BR152)),IFERROR(BR177/BR152,""),"")</f>
        <v>0.0266781411359725</v>
      </c>
      <c r="BS149" s="38" t="n">
        <f aca="false">IF(AND(ISNUMBER(BS177),ISNUMBER(BS152)),IFERROR(BS177/BS152,""),"")</f>
        <v>0.00372902423865755</v>
      </c>
      <c r="BT149" s="38" t="n">
        <f aca="false">IF(AND(ISNUMBER(BT177),ISNUMBER(BT152)),IFERROR(BT177/BT152,""),"")</f>
        <v>0.00270855904658722</v>
      </c>
      <c r="BU149" s="38" t="n">
        <f aca="false">IF(AND(ISNUMBER(BU177),ISNUMBER(BU152)),IFERROR(BU177/BU152,""),"")</f>
        <v>0.00260756192959583</v>
      </c>
      <c r="BV149" s="38" t="n">
        <f aca="false">IF(AND(ISNUMBER(BV177),ISNUMBER(BV152)),IFERROR(BV177/BV152,""),"")</f>
        <v>0.00747967479674797</v>
      </c>
      <c r="BW149" s="38" t="n">
        <f aca="false">IF(AND(ISNUMBER(BW177),ISNUMBER(BW152)),IFERROR(BW177/BW152,""),"")</f>
        <v>0.0227606461086637</v>
      </c>
      <c r="BX149" s="38" t="n">
        <f aca="false">IF(AND(ISNUMBER(BX177),ISNUMBER(BX152)),IFERROR(BX177/BX152,""),"")</f>
        <v>0.00513610683102209</v>
      </c>
      <c r="BY149" s="25" t="n">
        <f aca="false">(BW177+BX177)/(BW152+BX152)</f>
        <v>0.0123904502870958</v>
      </c>
      <c r="BZ149" s="25" t="n">
        <f aca="false">(BW177+BX177)/(BW152+BX152)</f>
        <v>0.0123904502870958</v>
      </c>
      <c r="CA149" s="25" t="n">
        <f aca="false">IFERROR(CA177/CA152,"")</f>
        <v>0.0123904502870958</v>
      </c>
      <c r="CB149" s="49" t="n">
        <v>0.007</v>
      </c>
      <c r="CC149" s="49" t="n">
        <v>0.007</v>
      </c>
      <c r="CD149" s="49" t="n">
        <v>0.007</v>
      </c>
      <c r="CE149" s="49" t="n">
        <v>0.007</v>
      </c>
      <c r="CF149" s="6"/>
    </row>
    <row r="150" customFormat="false" ht="15" hidden="false" customHeight="true" outlineLevel="0" collapsed="false"/>
    <row r="151" customFormat="false" ht="15" hidden="false" customHeight="true" outlineLevel="0" collapsed="false">
      <c r="B151" s="11" t="s">
        <v>300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 t="s">
        <v>301</v>
      </c>
    </row>
    <row r="152" customFormat="false" ht="15" hidden="false" customHeight="true" outlineLevel="0" collapsed="false">
      <c r="B152" s="59" t="s">
        <v>302</v>
      </c>
      <c r="C152" s="62" t="n">
        <v>2206.4</v>
      </c>
      <c r="D152" s="62" t="n">
        <v>2207.1</v>
      </c>
      <c r="E152" s="62" t="n">
        <v>2120.1</v>
      </c>
      <c r="F152" s="62" t="n">
        <v>1702.6</v>
      </c>
      <c r="G152" s="62" t="n">
        <v>1782.9</v>
      </c>
      <c r="H152" s="62" t="n">
        <v>1713.9</v>
      </c>
      <c r="I152" s="62" t="n">
        <v>2037.6</v>
      </c>
      <c r="J152" s="62" t="n">
        <v>385</v>
      </c>
      <c r="K152" s="62" t="n">
        <v>562.7</v>
      </c>
      <c r="L152" s="62" t="n">
        <v>665.3</v>
      </c>
      <c r="M152" s="62" t="n">
        <v>545</v>
      </c>
      <c r="N152" s="62" t="n">
        <v>2155.5</v>
      </c>
      <c r="O152" s="62" t="n">
        <v>428.7</v>
      </c>
      <c r="P152" s="62" t="n">
        <v>669.2</v>
      </c>
      <c r="Q152" s="62" t="n">
        <v>1003.7</v>
      </c>
      <c r="R152" s="62" t="n">
        <v>856.3</v>
      </c>
      <c r="S152" s="62" t="n">
        <v>2958</v>
      </c>
      <c r="T152" s="62" t="n">
        <v>691.4</v>
      </c>
      <c r="U152" s="62" t="n">
        <v>921.4</v>
      </c>
      <c r="V152" s="62" t="n">
        <v>1082.2</v>
      </c>
      <c r="W152" s="62" t="n">
        <v>844.6</v>
      </c>
      <c r="X152" s="62" t="n">
        <v>3539.6</v>
      </c>
      <c r="Y152" s="62" t="n">
        <v>788.8</v>
      </c>
      <c r="Z152" s="62" t="n">
        <v>977.3</v>
      </c>
      <c r="AA152" s="62" t="n">
        <v>1103.9</v>
      </c>
      <c r="AB152" s="62" t="n">
        <v>948.8</v>
      </c>
      <c r="AC152" s="62" t="n">
        <v>3818.8</v>
      </c>
      <c r="AD152" s="62" t="n">
        <v>843.9</v>
      </c>
      <c r="AE152" s="62" t="n">
        <v>1063.5</v>
      </c>
      <c r="AF152" s="62" t="n">
        <v>1087.7</v>
      </c>
      <c r="AG152" s="62" t="n">
        <v>970.5</v>
      </c>
      <c r="AH152" s="62" t="n">
        <v>3965.6</v>
      </c>
      <c r="AI152" s="62" t="n">
        <v>802</v>
      </c>
      <c r="AJ152" s="62" t="n">
        <v>1202.403</v>
      </c>
      <c r="AK152" s="62" t="n">
        <v>1219.64</v>
      </c>
      <c r="AL152" s="62" t="n">
        <v>1020.218</v>
      </c>
      <c r="AM152" s="62" t="n">
        <v>4244.265</v>
      </c>
      <c r="AN152" s="62" t="n">
        <v>938.955</v>
      </c>
      <c r="AO152" s="62" t="n">
        <v>1279.468</v>
      </c>
      <c r="AP152" s="62" t="n">
        <v>1420.246</v>
      </c>
      <c r="AQ152" s="62" t="n">
        <v>1100.43</v>
      </c>
      <c r="AR152" s="62" t="n">
        <v>4739.098</v>
      </c>
      <c r="AS152" s="62" t="n">
        <v>958.2</v>
      </c>
      <c r="AT152" s="62" t="n">
        <v>1270.6</v>
      </c>
      <c r="AU152" s="62" t="n">
        <v>1321.4</v>
      </c>
      <c r="AV152" s="62" t="n">
        <v>1179.6</v>
      </c>
      <c r="AW152" s="62" t="n">
        <v>4729.9</v>
      </c>
      <c r="AX152" s="62" t="n">
        <v>982.4</v>
      </c>
      <c r="AY152" s="62" t="n">
        <v>1377.9</v>
      </c>
      <c r="AZ152" s="62" t="n">
        <v>1557.3</v>
      </c>
      <c r="BA152" s="62" t="n">
        <v>1496.4</v>
      </c>
      <c r="BB152" s="62" t="n">
        <v>5414</v>
      </c>
      <c r="BC152" s="62" t="n">
        <v>1230.8</v>
      </c>
      <c r="BD152" s="62" t="n">
        <v>1641.7</v>
      </c>
      <c r="BE152" s="62" t="n">
        <v>1811.7</v>
      </c>
      <c r="BF152" s="62" t="n">
        <v>1476.5</v>
      </c>
      <c r="BG152" s="62" t="n">
        <v>6160.7</v>
      </c>
      <c r="BH152" s="62" t="n">
        <v>1354.1</v>
      </c>
      <c r="BI152" s="62" t="n">
        <v>1820.8</v>
      </c>
      <c r="BJ152" s="62" t="n">
        <v>1994.1</v>
      </c>
      <c r="BK152" s="62" t="n">
        <v>1608.2</v>
      </c>
      <c r="BL152" s="62" t="n">
        <v>6777.2</v>
      </c>
      <c r="BM152" s="62" t="n">
        <v>1251</v>
      </c>
      <c r="BN152" s="62" t="n">
        <v>1764</v>
      </c>
      <c r="BO152" s="62" t="n">
        <v>1889</v>
      </c>
      <c r="BP152" s="62" t="n">
        <v>1632</v>
      </c>
      <c r="BQ152" s="62" t="n">
        <v>6536</v>
      </c>
      <c r="BR152" s="62" t="n">
        <v>1162</v>
      </c>
      <c r="BS152" s="62" t="n">
        <v>1609</v>
      </c>
      <c r="BT152" s="62" t="n">
        <v>1846</v>
      </c>
      <c r="BU152" s="62" t="n">
        <v>1534</v>
      </c>
      <c r="BV152" s="62" t="n">
        <v>6150</v>
      </c>
      <c r="BW152" s="62" t="n">
        <v>1362</v>
      </c>
      <c r="BX152" s="62" t="n">
        <v>1947</v>
      </c>
      <c r="BY152" s="60" t="n">
        <f aca="false">BY108</f>
        <v>2386.7802418679</v>
      </c>
      <c r="BZ152" s="60" t="n">
        <f aca="false">BZ108</f>
        <v>2273.67846047467</v>
      </c>
      <c r="CA152" s="60" t="n">
        <f aca="false">CA108</f>
        <v>7969.45870234257</v>
      </c>
      <c r="CB152" s="60" t="n">
        <f aca="false">CB108</f>
        <v>9816.81904690659</v>
      </c>
      <c r="CC152" s="60" t="n">
        <f aca="false">CC108</f>
        <v>10602.4900725744</v>
      </c>
      <c r="CD152" s="60" t="n">
        <f aca="false">CD108</f>
        <v>11493.6286163425</v>
      </c>
      <c r="CE152" s="60" t="n">
        <f aca="false">CE108</f>
        <v>12485.771844491</v>
      </c>
      <c r="CF152" s="20" t="s">
        <v>303</v>
      </c>
      <c r="CH152" s="21" t="n">
        <f aca="false">IFERROR((CE152/BV152)^(1/5)-1,"n/m")</f>
        <v>0.152147430960566</v>
      </c>
      <c r="CI152" s="21" t="n">
        <f aca="false">IFERROR((BV152/AW152)^(1/5)-1,"n/m")</f>
        <v>0.0539126840575725</v>
      </c>
      <c r="CJ152" s="21" t="n">
        <f aca="false">IFERROR((BV152/X152)^(1/10)-1,"n/m")</f>
        <v>0.0567982682388555</v>
      </c>
      <c r="CK152" s="21" t="n">
        <f aca="false">IFERROR((BV152/C152)^(1/19)-1,"n/m")</f>
        <v>0.0554340430849662</v>
      </c>
    </row>
    <row r="153" customFormat="false" ht="15" hidden="false" customHeight="true" outlineLevel="0" collapsed="false">
      <c r="B153" s="42" t="s">
        <v>304</v>
      </c>
      <c r="C153" s="36" t="n">
        <v>1942.9</v>
      </c>
      <c r="D153" s="36" t="n">
        <v>1967.6</v>
      </c>
      <c r="E153" s="36" t="n">
        <v>1863.3</v>
      </c>
      <c r="F153" s="36" t="n">
        <v>1496.6</v>
      </c>
      <c r="G153" s="36" t="n">
        <v>1550.9</v>
      </c>
      <c r="H153" s="36" t="n">
        <v>1520</v>
      </c>
      <c r="I153" s="36" t="n">
        <v>1838.7</v>
      </c>
      <c r="J153" s="36" t="n">
        <v>345.2</v>
      </c>
      <c r="K153" s="36" t="n">
        <v>508.7</v>
      </c>
      <c r="L153" s="36" t="n">
        <v>600.5</v>
      </c>
      <c r="M153" s="36" t="n">
        <v>491.4</v>
      </c>
      <c r="N153" s="36" t="n">
        <v>1943.2</v>
      </c>
      <c r="O153" s="36" t="n">
        <v>379.7</v>
      </c>
      <c r="P153" s="36" t="n">
        <v>601.9</v>
      </c>
      <c r="Q153" s="36" t="n">
        <v>917.9</v>
      </c>
      <c r="R153" s="36" t="n">
        <v>779.5</v>
      </c>
      <c r="S153" s="36" t="n">
        <v>2679.1</v>
      </c>
      <c r="T153" s="36" t="n">
        <v>631.9</v>
      </c>
      <c r="U153" s="36" t="n">
        <v>850.2</v>
      </c>
      <c r="V153" s="36" t="n">
        <v>1005.2</v>
      </c>
      <c r="W153" s="36" t="n">
        <v>780.8</v>
      </c>
      <c r="X153" s="36" t="n">
        <v>3268.1</v>
      </c>
      <c r="Y153" s="36" t="n">
        <v>734</v>
      </c>
      <c r="Z153" s="36" t="n">
        <v>915.4</v>
      </c>
      <c r="AA153" s="36" t="n">
        <v>1038.3</v>
      </c>
      <c r="AB153" s="36" t="n">
        <v>889</v>
      </c>
      <c r="AC153" s="36" t="n">
        <v>3576.8</v>
      </c>
      <c r="AD153" s="36" t="n">
        <v>791.7</v>
      </c>
      <c r="AE153" s="36" t="n">
        <v>996.3</v>
      </c>
      <c r="AF153" s="36" t="n">
        <v>1022.1</v>
      </c>
      <c r="AG153" s="36" t="n">
        <v>911.3</v>
      </c>
      <c r="AH153" s="36" t="n">
        <v>3721.4</v>
      </c>
      <c r="AI153" s="36" t="n">
        <v>753.3</v>
      </c>
      <c r="AJ153" s="36" t="n">
        <v>1128.777</v>
      </c>
      <c r="AK153" s="36" t="n">
        <v>1142.218</v>
      </c>
      <c r="AL153" s="36" t="n">
        <v>956.051</v>
      </c>
      <c r="AM153" s="36" t="n">
        <v>3980.351</v>
      </c>
      <c r="AN153" s="36" t="n">
        <v>878.305</v>
      </c>
      <c r="AO153" s="36" t="n">
        <v>1196.135</v>
      </c>
      <c r="AP153" s="36" t="n">
        <v>1323.16</v>
      </c>
      <c r="AQ153" s="36" t="n">
        <v>1024.719</v>
      </c>
      <c r="AR153" s="36" t="n">
        <v>4422.318</v>
      </c>
      <c r="AS153" s="36" t="n">
        <v>891</v>
      </c>
      <c r="AT153" s="36" t="n">
        <v>1189.5</v>
      </c>
      <c r="AU153" s="36" t="n">
        <v>1240.7</v>
      </c>
      <c r="AV153" s="36" t="n">
        <v>1110.9</v>
      </c>
      <c r="AW153" s="36" t="n">
        <v>4432.1</v>
      </c>
      <c r="AX153" s="36" t="n">
        <v>921.9</v>
      </c>
      <c r="AY153" s="36" t="n">
        <v>1295.3</v>
      </c>
      <c r="AZ153" s="36" t="n">
        <v>1462.7</v>
      </c>
      <c r="BA153" s="36" t="n">
        <v>1404.9</v>
      </c>
      <c r="BB153" s="36" t="n">
        <v>5084.7</v>
      </c>
      <c r="BC153" s="36" t="n">
        <v>1147.8</v>
      </c>
      <c r="BD153" s="36" t="n">
        <v>1523.8</v>
      </c>
      <c r="BE153" s="36" t="n">
        <v>1680.5</v>
      </c>
      <c r="BF153" s="36" t="n">
        <v>1378.4</v>
      </c>
      <c r="BG153" s="36" t="n">
        <v>5730.5</v>
      </c>
      <c r="BY153" s="6"/>
      <c r="BZ153" s="6"/>
      <c r="CA153" s="6"/>
      <c r="CB153" s="6"/>
      <c r="CC153" s="6"/>
      <c r="CD153" s="6"/>
      <c r="CE153" s="6"/>
      <c r="CF153" s="6"/>
    </row>
    <row r="154" customFormat="false" ht="15" hidden="false" customHeight="true" outlineLevel="0" collapsed="false">
      <c r="B154" s="42" t="s">
        <v>305</v>
      </c>
      <c r="C154" s="36" t="n">
        <v>263.5</v>
      </c>
      <c r="D154" s="36" t="n">
        <v>239.5</v>
      </c>
      <c r="E154" s="36" t="n">
        <v>256.8</v>
      </c>
      <c r="F154" s="36" t="n">
        <v>206</v>
      </c>
      <c r="G154" s="36" t="n">
        <v>232</v>
      </c>
      <c r="H154" s="36" t="n">
        <v>193.9</v>
      </c>
      <c r="I154" s="36" t="n">
        <v>198.9</v>
      </c>
      <c r="J154" s="36" t="n">
        <v>39.8</v>
      </c>
      <c r="K154" s="36" t="n">
        <v>54</v>
      </c>
      <c r="L154" s="36" t="n">
        <v>64.8</v>
      </c>
      <c r="M154" s="36" t="n">
        <v>53.6</v>
      </c>
      <c r="N154" s="36" t="n">
        <v>212.3</v>
      </c>
      <c r="O154" s="36" t="n">
        <v>49</v>
      </c>
      <c r="P154" s="36" t="n">
        <v>67.3</v>
      </c>
      <c r="Q154" s="36" t="n">
        <v>85.8</v>
      </c>
      <c r="R154" s="36" t="n">
        <v>76.8</v>
      </c>
      <c r="S154" s="36" t="n">
        <v>278.9</v>
      </c>
      <c r="T154" s="36" t="n">
        <v>59.5</v>
      </c>
      <c r="U154" s="36" t="n">
        <v>71.2</v>
      </c>
      <c r="V154" s="36" t="n">
        <v>77</v>
      </c>
      <c r="W154" s="36" t="n">
        <v>63.8</v>
      </c>
      <c r="X154" s="36" t="n">
        <v>271.5</v>
      </c>
      <c r="Y154" s="36" t="n">
        <v>54.8</v>
      </c>
      <c r="Z154" s="36" t="n">
        <v>61.9</v>
      </c>
      <c r="AA154" s="36" t="n">
        <v>65.6</v>
      </c>
      <c r="AB154" s="36" t="n">
        <v>59.8</v>
      </c>
      <c r="AC154" s="36" t="n">
        <v>242</v>
      </c>
      <c r="AD154" s="36" t="n">
        <v>52.2</v>
      </c>
      <c r="AE154" s="36" t="n">
        <v>67.2</v>
      </c>
      <c r="AF154" s="36" t="n">
        <v>65.6</v>
      </c>
      <c r="AG154" s="36" t="n">
        <v>59.2</v>
      </c>
      <c r="AH154" s="36" t="n">
        <v>244.2</v>
      </c>
      <c r="AI154" s="36" t="n">
        <v>48.7</v>
      </c>
      <c r="AJ154" s="36" t="n">
        <v>73.626</v>
      </c>
      <c r="AK154" s="36" t="n">
        <v>77.422</v>
      </c>
      <c r="AL154" s="36" t="n">
        <v>64.167</v>
      </c>
      <c r="AM154" s="36" t="n">
        <v>263.914</v>
      </c>
      <c r="AN154" s="36" t="n">
        <v>60.65</v>
      </c>
      <c r="AO154" s="36" t="n">
        <v>83.333</v>
      </c>
      <c r="AP154" s="36" t="n">
        <v>97.086</v>
      </c>
      <c r="AQ154" s="36" t="n">
        <v>75.711</v>
      </c>
      <c r="AR154" s="36" t="n">
        <v>316.78</v>
      </c>
      <c r="AS154" s="36" t="n">
        <v>67.2</v>
      </c>
      <c r="AT154" s="36" t="n">
        <v>81.1</v>
      </c>
      <c r="AU154" s="36" t="n">
        <v>80.7</v>
      </c>
      <c r="AV154" s="36" t="n">
        <v>68.7</v>
      </c>
      <c r="AW154" s="36" t="n">
        <v>297.8</v>
      </c>
      <c r="AX154" s="36" t="n">
        <v>60.5</v>
      </c>
      <c r="AY154" s="36" t="n">
        <v>82.6</v>
      </c>
      <c r="AZ154" s="36" t="n">
        <v>94.6</v>
      </c>
      <c r="BA154" s="36" t="n">
        <v>91.5</v>
      </c>
      <c r="BB154" s="36" t="n">
        <v>329.3</v>
      </c>
      <c r="BC154" s="36" t="n">
        <v>83</v>
      </c>
      <c r="BD154" s="36" t="n">
        <v>117.9</v>
      </c>
      <c r="BE154" s="36" t="n">
        <v>131.2</v>
      </c>
      <c r="BF154" s="36" t="n">
        <v>98.1</v>
      </c>
      <c r="BG154" s="36" t="n">
        <v>430.2</v>
      </c>
      <c r="BY154" s="6"/>
      <c r="BZ154" s="6"/>
      <c r="CA154" s="6"/>
      <c r="CB154" s="6"/>
      <c r="CC154" s="6"/>
      <c r="CD154" s="6"/>
      <c r="CE154" s="6"/>
      <c r="CF154" s="6"/>
    </row>
    <row r="155" customFormat="false" ht="15" hidden="false" customHeight="true" outlineLevel="0" collapsed="false">
      <c r="B155" s="26" t="s">
        <v>306</v>
      </c>
      <c r="C155" s="36" t="n">
        <v>1683.9</v>
      </c>
      <c r="D155" s="36" t="n">
        <v>1636.1</v>
      </c>
      <c r="E155" s="36" t="n">
        <v>1649.7</v>
      </c>
      <c r="F155" s="36" t="n">
        <v>1364.9</v>
      </c>
      <c r="G155" s="36" t="n">
        <v>1460.9</v>
      </c>
      <c r="H155" s="36" t="n">
        <v>1411.9</v>
      </c>
      <c r="I155" s="36" t="n">
        <v>1711.7</v>
      </c>
      <c r="J155" s="36" t="n">
        <v>372.4</v>
      </c>
      <c r="K155" s="36" t="n">
        <v>455.9</v>
      </c>
      <c r="L155" s="36" t="n">
        <v>522.2</v>
      </c>
      <c r="M155" s="36" t="n">
        <v>444</v>
      </c>
      <c r="N155" s="36" t="n">
        <v>1791.5</v>
      </c>
      <c r="O155" s="36" t="n">
        <v>402.9</v>
      </c>
      <c r="P155" s="36" t="n">
        <v>533.6</v>
      </c>
      <c r="Q155" s="36" t="n">
        <v>808.1</v>
      </c>
      <c r="R155" s="36" t="n">
        <v>691</v>
      </c>
      <c r="S155" s="36" t="n">
        <v>2435.6</v>
      </c>
      <c r="T155" s="36" t="n">
        <v>617.1</v>
      </c>
      <c r="U155" s="36" t="n">
        <v>721.2</v>
      </c>
      <c r="V155" s="36" t="n">
        <v>819.7</v>
      </c>
      <c r="W155" s="36" t="n">
        <v>659.8</v>
      </c>
      <c r="X155" s="36" t="n">
        <v>2817.8</v>
      </c>
      <c r="Y155" s="36" t="n">
        <v>644.2</v>
      </c>
      <c r="Z155" s="36" t="n">
        <v>730.6</v>
      </c>
      <c r="AA155" s="36" t="n">
        <v>811.3</v>
      </c>
      <c r="AB155" s="36" t="n">
        <v>723.7</v>
      </c>
      <c r="AC155" s="36" t="n">
        <v>2909.8</v>
      </c>
      <c r="AD155" s="36" t="n">
        <v>696.8</v>
      </c>
      <c r="AE155" s="36" t="n">
        <v>789.4</v>
      </c>
      <c r="AF155" s="36" t="n">
        <v>796</v>
      </c>
      <c r="AG155" s="36" t="n">
        <v>711.4</v>
      </c>
      <c r="AH155" s="36" t="n">
        <v>2993.7</v>
      </c>
      <c r="AI155" s="36" t="n">
        <v>691.6</v>
      </c>
      <c r="AJ155" s="36" t="n">
        <v>886.486</v>
      </c>
      <c r="AK155" s="36" t="n">
        <v>906.656</v>
      </c>
      <c r="AL155" s="36" t="n">
        <v>792.934</v>
      </c>
      <c r="AM155" s="36" t="n">
        <v>3277.688</v>
      </c>
      <c r="AN155" s="36" t="n">
        <v>796.048</v>
      </c>
      <c r="AO155" s="36" t="n">
        <v>922.601</v>
      </c>
      <c r="AP155" s="36" t="n">
        <v>999.601</v>
      </c>
      <c r="AQ155" s="36" t="n">
        <v>841.841</v>
      </c>
      <c r="AR155" s="36" t="n">
        <v>3560.091</v>
      </c>
      <c r="AS155" s="36" t="n">
        <v>815.8</v>
      </c>
      <c r="AT155" s="36" t="n">
        <v>890.1</v>
      </c>
      <c r="AU155" s="36" t="n">
        <v>916.9</v>
      </c>
      <c r="AV155" s="36" t="n">
        <v>854.2</v>
      </c>
      <c r="AW155" s="36" t="n">
        <v>3477.1</v>
      </c>
      <c r="AX155" s="36" t="n">
        <v>807.7</v>
      </c>
      <c r="AY155" s="36" t="n">
        <v>992.8</v>
      </c>
      <c r="AZ155" s="36" t="n">
        <v>1115.4</v>
      </c>
      <c r="BA155" s="36" t="n">
        <v>1149.7</v>
      </c>
      <c r="BB155" s="36" t="n">
        <v>4065.6</v>
      </c>
      <c r="BC155" s="36" t="n">
        <v>1074.7</v>
      </c>
      <c r="BD155" s="36" t="n">
        <v>1216.5</v>
      </c>
      <c r="BE155" s="36" t="n">
        <v>1323.9</v>
      </c>
      <c r="BF155" s="36" t="n">
        <v>1122.3</v>
      </c>
      <c r="BG155" s="36" t="n">
        <v>4737.4</v>
      </c>
      <c r="BH155" s="36" t="n">
        <v>1051.3</v>
      </c>
      <c r="BI155" s="36" t="n">
        <v>1260.4</v>
      </c>
      <c r="BJ155" s="36" t="n">
        <v>1318.1</v>
      </c>
      <c r="BK155" s="36" t="n">
        <v>1124.7</v>
      </c>
      <c r="BL155" s="36" t="n">
        <v>4754.6</v>
      </c>
      <c r="BM155" s="36" t="n">
        <v>979</v>
      </c>
      <c r="BN155" s="36" t="n">
        <v>1247</v>
      </c>
      <c r="BO155" s="36" t="n">
        <v>1290</v>
      </c>
      <c r="BP155" s="36" t="n">
        <v>1143</v>
      </c>
      <c r="BQ155" s="36" t="n">
        <v>4658</v>
      </c>
      <c r="BR155" s="36" t="n">
        <v>847</v>
      </c>
      <c r="BS155" s="36" t="n">
        <v>1113</v>
      </c>
      <c r="BT155" s="36" t="n">
        <v>1235</v>
      </c>
      <c r="BU155" s="36" t="n">
        <v>1066</v>
      </c>
      <c r="BV155" s="36" t="n">
        <v>4261</v>
      </c>
      <c r="BW155" s="36" t="n">
        <v>1052</v>
      </c>
      <c r="BX155" s="36" t="n">
        <v>1452</v>
      </c>
      <c r="BY155" s="37" t="n">
        <f aca="false">BY152-BY109</f>
        <v>1672.91634160623</v>
      </c>
      <c r="BZ155" s="37" t="n">
        <f aca="false">BZ152-BZ109</f>
        <v>1661.71697476218</v>
      </c>
      <c r="CA155" s="37" t="n">
        <f aca="false">SUM(BW155,BX155,BY155,BZ155)</f>
        <v>5838.63331636841</v>
      </c>
      <c r="CB155" s="37" t="n">
        <f aca="false">CB152-CB109</f>
        <v>6868.18115049366</v>
      </c>
      <c r="CC155" s="37" t="n">
        <f aca="false">CC152-CC109</f>
        <v>7262.48520495756</v>
      </c>
      <c r="CD155" s="37" t="n">
        <f aca="false">CD152-CD109</f>
        <v>7779.94929487434</v>
      </c>
      <c r="CE155" s="37" t="n">
        <f aca="false">CE152-CE109</f>
        <v>8406.63169352319</v>
      </c>
      <c r="CF155" s="20" t="s">
        <v>307</v>
      </c>
    </row>
    <row r="156" customFormat="false" ht="15" hidden="false" customHeight="true" outlineLevel="0" collapsed="false">
      <c r="B156" s="17" t="s">
        <v>308</v>
      </c>
      <c r="C156" s="46" t="n">
        <f aca="false">C152-C155</f>
        <v>522.5</v>
      </c>
      <c r="D156" s="46" t="n">
        <f aca="false">D152-D155</f>
        <v>571</v>
      </c>
      <c r="E156" s="46" t="n">
        <f aca="false">E152-E155</f>
        <v>470.4</v>
      </c>
      <c r="F156" s="46" t="n">
        <f aca="false">F152-F155</f>
        <v>337.7</v>
      </c>
      <c r="G156" s="46" t="n">
        <f aca="false">G152-G155</f>
        <v>322</v>
      </c>
      <c r="H156" s="46" t="n">
        <f aca="false">H152-H155</f>
        <v>302</v>
      </c>
      <c r="I156" s="46" t="n">
        <f aca="false">I152-I155</f>
        <v>325.9</v>
      </c>
      <c r="J156" s="46" t="n">
        <f aca="false">J152-J155</f>
        <v>12.6</v>
      </c>
      <c r="K156" s="46" t="n">
        <f aca="false">K152-K155</f>
        <v>106.8</v>
      </c>
      <c r="L156" s="46" t="n">
        <f aca="false">L152-L155</f>
        <v>143.1</v>
      </c>
      <c r="M156" s="46" t="n">
        <f aca="false">M152-M155</f>
        <v>101</v>
      </c>
      <c r="N156" s="46" t="n">
        <f aca="false">N152-N155</f>
        <v>364</v>
      </c>
      <c r="O156" s="46" t="n">
        <f aca="false">O152-O155</f>
        <v>25.8</v>
      </c>
      <c r="P156" s="46" t="n">
        <f aca="false">P152-P155</f>
        <v>135.6</v>
      </c>
      <c r="Q156" s="46" t="n">
        <f aca="false">Q152-Q155</f>
        <v>195.6</v>
      </c>
      <c r="R156" s="46" t="n">
        <f aca="false">R152-R155</f>
        <v>165.3</v>
      </c>
      <c r="S156" s="46" t="n">
        <f aca="false">S152-S155</f>
        <v>522.4</v>
      </c>
      <c r="T156" s="46" t="n">
        <f aca="false">T152-T155</f>
        <v>74.3</v>
      </c>
      <c r="U156" s="46" t="n">
        <f aca="false">U152-U155</f>
        <v>200.2</v>
      </c>
      <c r="V156" s="46" t="n">
        <f aca="false">V152-V155</f>
        <v>262.5</v>
      </c>
      <c r="W156" s="46" t="n">
        <f aca="false">W152-W155</f>
        <v>184.8</v>
      </c>
      <c r="X156" s="46" t="n">
        <f aca="false">X152-X155</f>
        <v>721.8</v>
      </c>
      <c r="Y156" s="46" t="n">
        <f aca="false">Y152-Y155</f>
        <v>144.6</v>
      </c>
      <c r="Z156" s="46" t="n">
        <f aca="false">Z152-Z155</f>
        <v>246.7</v>
      </c>
      <c r="AA156" s="46" t="n">
        <f aca="false">AA152-AA155</f>
        <v>292.6</v>
      </c>
      <c r="AB156" s="46" t="n">
        <f aca="false">AB152-AB155</f>
        <v>225.1</v>
      </c>
      <c r="AC156" s="46" t="n">
        <f aca="false">AC152-AC155</f>
        <v>909</v>
      </c>
      <c r="AD156" s="46" t="n">
        <f aca="false">AD152-AD155</f>
        <v>147.1</v>
      </c>
      <c r="AE156" s="46" t="n">
        <f aca="false">AE152-AE155</f>
        <v>274.1</v>
      </c>
      <c r="AF156" s="46" t="n">
        <f aca="false">AF152-AF155</f>
        <v>291.7</v>
      </c>
      <c r="AG156" s="46" t="n">
        <f aca="false">AG152-AG155</f>
        <v>259.1</v>
      </c>
      <c r="AH156" s="46" t="n">
        <f aca="false">AH152-AH155</f>
        <v>971.9</v>
      </c>
      <c r="AI156" s="46" t="n">
        <f aca="false">AI152-AI155</f>
        <v>110.4</v>
      </c>
      <c r="AJ156" s="46" t="n">
        <f aca="false">AJ152-AJ155</f>
        <v>315.917</v>
      </c>
      <c r="AK156" s="46" t="n">
        <f aca="false">AK152-AK155</f>
        <v>312.984</v>
      </c>
      <c r="AL156" s="46" t="n">
        <f aca="false">AL152-AL155</f>
        <v>227.284</v>
      </c>
      <c r="AM156" s="46" t="n">
        <f aca="false">AM152-AM155</f>
        <v>966.577</v>
      </c>
      <c r="AN156" s="46" t="n">
        <f aca="false">AN152-AN155</f>
        <v>142.907</v>
      </c>
      <c r="AO156" s="46" t="n">
        <f aca="false">AO152-AO155</f>
        <v>356.867</v>
      </c>
      <c r="AP156" s="46" t="n">
        <f aca="false">AP152-AP155</f>
        <v>420.645</v>
      </c>
      <c r="AQ156" s="46" t="n">
        <f aca="false">AQ152-AQ155</f>
        <v>258.589</v>
      </c>
      <c r="AR156" s="46" t="n">
        <f aca="false">AR152-AR155</f>
        <v>1179.007</v>
      </c>
      <c r="AS156" s="46" t="n">
        <f aca="false">AS152-AS155</f>
        <v>142.4</v>
      </c>
      <c r="AT156" s="46" t="n">
        <f aca="false">AT152-AT155</f>
        <v>380.5</v>
      </c>
      <c r="AU156" s="46" t="n">
        <f aca="false">AU152-AU155</f>
        <v>404.5</v>
      </c>
      <c r="AV156" s="46" t="n">
        <f aca="false">AV152-AV155</f>
        <v>325.4</v>
      </c>
      <c r="AW156" s="46" t="n">
        <f aca="false">AW152-AW155</f>
        <v>1252.8</v>
      </c>
      <c r="AX156" s="46" t="n">
        <f aca="false">AX152-AX155</f>
        <v>174.7</v>
      </c>
      <c r="AY156" s="46" t="n">
        <f aca="false">AY152-AY155</f>
        <v>385.1</v>
      </c>
      <c r="AZ156" s="46" t="n">
        <f aca="false">AZ152-AZ155</f>
        <v>441.9</v>
      </c>
      <c r="BA156" s="46" t="n">
        <f aca="false">BA152-BA155</f>
        <v>346.7</v>
      </c>
      <c r="BB156" s="46" t="n">
        <f aca="false">BB152-BB155</f>
        <v>1348.4</v>
      </c>
      <c r="BC156" s="46" t="n">
        <f aca="false">BC152-BC155</f>
        <v>156.1</v>
      </c>
      <c r="BD156" s="46" t="n">
        <f aca="false">BD152-BD155</f>
        <v>425.2</v>
      </c>
      <c r="BE156" s="46" t="n">
        <f aca="false">BE152-BE155</f>
        <v>487.8</v>
      </c>
      <c r="BF156" s="46" t="n">
        <f aca="false">BF152-BF155</f>
        <v>354.2</v>
      </c>
      <c r="BG156" s="46" t="n">
        <f aca="false">BG152-BG155</f>
        <v>1423.3</v>
      </c>
      <c r="BH156" s="46" t="n">
        <f aca="false">BH152-BH155</f>
        <v>302.8</v>
      </c>
      <c r="BI156" s="46" t="n">
        <f aca="false">BI152-BI155</f>
        <v>560.4</v>
      </c>
      <c r="BJ156" s="46" t="n">
        <f aca="false">BJ152-BJ155</f>
        <v>676</v>
      </c>
      <c r="BK156" s="46" t="n">
        <f aca="false">BK152-BK155</f>
        <v>483.5</v>
      </c>
      <c r="BL156" s="46" t="n">
        <f aca="false">BL152-BL155</f>
        <v>2022.6</v>
      </c>
      <c r="BM156" s="46" t="n">
        <f aca="false">BM152-BM155</f>
        <v>272</v>
      </c>
      <c r="BN156" s="46" t="n">
        <f aca="false">BN152-BN155</f>
        <v>517</v>
      </c>
      <c r="BO156" s="46" t="n">
        <f aca="false">BO152-BO155</f>
        <v>599</v>
      </c>
      <c r="BP156" s="46" t="n">
        <f aca="false">BP152-BP155</f>
        <v>489</v>
      </c>
      <c r="BQ156" s="46" t="n">
        <f aca="false">BQ152-BQ155</f>
        <v>1878</v>
      </c>
      <c r="BR156" s="46" t="n">
        <f aca="false">BR152-BR155</f>
        <v>315</v>
      </c>
      <c r="BS156" s="46" t="n">
        <f aca="false">BS152-BS155</f>
        <v>496</v>
      </c>
      <c r="BT156" s="46" t="n">
        <f aca="false">BT152-BT155</f>
        <v>611</v>
      </c>
      <c r="BU156" s="46" t="n">
        <f aca="false">BU152-BU155</f>
        <v>468</v>
      </c>
      <c r="BV156" s="46" t="n">
        <f aca="false">BV152-BV155</f>
        <v>1889</v>
      </c>
      <c r="BW156" s="46" t="n">
        <f aca="false">BW152-BW155</f>
        <v>310</v>
      </c>
      <c r="BX156" s="46" t="n">
        <f aca="false">BX152-BX155</f>
        <v>495</v>
      </c>
      <c r="BY156" s="34" t="n">
        <f aca="false">BY152-BY155</f>
        <v>713.86390026167</v>
      </c>
      <c r="BZ156" s="34" t="n">
        <f aca="false">BZ152-BZ155</f>
        <v>611.961485712487</v>
      </c>
      <c r="CA156" s="34" t="n">
        <f aca="false">CA152-CA155</f>
        <v>2130.82538597416</v>
      </c>
      <c r="CB156" s="34" t="n">
        <f aca="false">CB152-CB155</f>
        <v>2948.63789641293</v>
      </c>
      <c r="CC156" s="34" t="n">
        <f aca="false">CC152-CC155</f>
        <v>3340.00486761687</v>
      </c>
      <c r="CD156" s="34" t="n">
        <f aca="false">CD152-CD155</f>
        <v>3713.67932146819</v>
      </c>
      <c r="CE156" s="34" t="n">
        <f aca="false">CE152-CE155</f>
        <v>4079.14015096781</v>
      </c>
      <c r="CF156" s="6"/>
      <c r="CH156" s="21" t="n">
        <f aca="false">IFERROR((CE156/BV156)^(1/5)-1,"n/m")</f>
        <v>0.166453240146447</v>
      </c>
      <c r="CI156" s="21" t="n">
        <f aca="false">IFERROR((BV156/AW156)^(1/5)-1,"n/m")</f>
        <v>0.0856005199096752</v>
      </c>
      <c r="CJ156" s="21" t="n">
        <f aca="false">IFERROR((BV156/X156)^(1/10)-1,"n/m")</f>
        <v>0.100985268485958</v>
      </c>
      <c r="CK156" s="21" t="n">
        <f aca="false">IFERROR((BV156/C156)^(1/19)-1,"n/m")</f>
        <v>0.0699810534333392</v>
      </c>
    </row>
    <row r="157" customFormat="false" ht="15" hidden="false" customHeight="true" outlineLevel="0" collapsed="false">
      <c r="B157" s="26" t="s">
        <v>309</v>
      </c>
      <c r="C157" s="36" t="n">
        <v>147.4</v>
      </c>
      <c r="D157" s="36" t="n">
        <v>156.1</v>
      </c>
      <c r="E157" s="36" t="n">
        <v>151.9</v>
      </c>
      <c r="F157" s="36" t="n">
        <v>139.8</v>
      </c>
      <c r="G157" s="36" t="n">
        <v>133.4</v>
      </c>
      <c r="H157" s="36" t="n">
        <v>124.1</v>
      </c>
      <c r="I157" s="36" t="n">
        <v>138.4</v>
      </c>
      <c r="J157" s="36" t="n">
        <v>37.6</v>
      </c>
      <c r="K157" s="36" t="n">
        <v>37.8</v>
      </c>
      <c r="L157" s="36" t="n">
        <v>37.1</v>
      </c>
      <c r="M157" s="36" t="n">
        <v>37.5</v>
      </c>
      <c r="N157" s="36" t="n">
        <v>150.1</v>
      </c>
      <c r="O157" s="36" t="n">
        <v>34.2</v>
      </c>
      <c r="P157" s="36" t="n">
        <v>36.6</v>
      </c>
      <c r="Q157" s="36" t="n">
        <v>48.4</v>
      </c>
      <c r="R157" s="36" t="n">
        <v>50</v>
      </c>
      <c r="S157" s="36" t="n">
        <v>169.2</v>
      </c>
      <c r="T157" s="36" t="n">
        <v>49.5</v>
      </c>
      <c r="U157" s="36" t="n">
        <v>56.8</v>
      </c>
      <c r="V157" s="36" t="n">
        <v>54.9</v>
      </c>
      <c r="W157" s="36" t="n">
        <v>57.1</v>
      </c>
      <c r="X157" s="36" t="n">
        <v>218.2</v>
      </c>
      <c r="Y157" s="36" t="n">
        <v>59.9</v>
      </c>
      <c r="Z157" s="36" t="n">
        <v>61.5</v>
      </c>
      <c r="AA157" s="36" t="n">
        <v>56.3</v>
      </c>
      <c r="AB157" s="36" t="n">
        <v>70.3</v>
      </c>
      <c r="AC157" s="36" t="n">
        <v>248</v>
      </c>
      <c r="AD157" s="36" t="n">
        <v>69.5</v>
      </c>
      <c r="AE157" s="36" t="n">
        <v>68.4</v>
      </c>
      <c r="AF157" s="36" t="n">
        <v>57.2</v>
      </c>
      <c r="AG157" s="36" t="n">
        <v>67</v>
      </c>
      <c r="AH157" s="36" t="n">
        <v>262.1</v>
      </c>
      <c r="AI157" s="36" t="n">
        <v>70.1</v>
      </c>
      <c r="AJ157" s="36" t="n">
        <v>71.07</v>
      </c>
      <c r="AK157" s="36" t="n">
        <v>68.441</v>
      </c>
      <c r="AL157" s="36" t="n">
        <v>70.922</v>
      </c>
      <c r="AM157" s="36" t="n">
        <v>280.554</v>
      </c>
      <c r="AN157" s="36" t="n">
        <v>78.292</v>
      </c>
      <c r="AO157" s="36" t="n">
        <v>72.382</v>
      </c>
      <c r="AP157" s="36" t="n">
        <v>78.281</v>
      </c>
      <c r="AQ157" s="36" t="n">
        <v>73.702</v>
      </c>
      <c r="AR157" s="36" t="n">
        <v>302.657</v>
      </c>
      <c r="AS157" s="36" t="n">
        <v>78.7</v>
      </c>
      <c r="AT157" s="36" t="n">
        <v>71.2</v>
      </c>
      <c r="AU157" s="36" t="n">
        <v>71.1</v>
      </c>
      <c r="AV157" s="36" t="n">
        <v>84.9</v>
      </c>
      <c r="AW157" s="36" t="n">
        <v>305.9</v>
      </c>
      <c r="AX157" s="36" t="n">
        <v>79.8</v>
      </c>
      <c r="AY157" s="36" t="n">
        <v>82.4</v>
      </c>
      <c r="AZ157" s="36" t="n">
        <v>86</v>
      </c>
      <c r="BA157" s="36" t="n">
        <v>102.9</v>
      </c>
      <c r="BB157" s="36" t="n">
        <v>351</v>
      </c>
      <c r="BC157" s="36" t="n">
        <v>97.1</v>
      </c>
      <c r="BD157" s="36" t="n">
        <v>104.1</v>
      </c>
      <c r="BE157" s="36" t="n">
        <v>94.9</v>
      </c>
      <c r="BF157" s="36" t="n">
        <v>100.7</v>
      </c>
      <c r="BG157" s="36" t="n">
        <v>396.7</v>
      </c>
      <c r="BH157" s="36" t="n">
        <v>104.3</v>
      </c>
      <c r="BI157" s="36" t="n">
        <v>111.6</v>
      </c>
      <c r="BJ157" s="36" t="n">
        <v>108.1</v>
      </c>
      <c r="BK157" s="36" t="n">
        <v>118.7</v>
      </c>
      <c r="BL157" s="36" t="n">
        <v>442.8</v>
      </c>
      <c r="BM157" s="36" t="n">
        <v>118</v>
      </c>
      <c r="BN157" s="36" t="n">
        <v>117</v>
      </c>
      <c r="BO157" s="36" t="n">
        <v>105</v>
      </c>
      <c r="BP157" s="36" t="n">
        <v>105</v>
      </c>
      <c r="BQ157" s="36" t="n">
        <v>447</v>
      </c>
      <c r="BR157" s="36" t="n">
        <v>125</v>
      </c>
      <c r="BS157" s="36" t="n">
        <v>104</v>
      </c>
      <c r="BT157" s="36" t="n">
        <v>110</v>
      </c>
      <c r="BU157" s="36" t="n">
        <v>103</v>
      </c>
      <c r="BV157" s="36" t="n">
        <v>443</v>
      </c>
      <c r="BW157" s="36" t="n">
        <v>133</v>
      </c>
      <c r="BX157" s="36" t="n">
        <v>116</v>
      </c>
      <c r="BY157" s="37" t="n">
        <f aca="false">BT157*(BW157+BX157)/(BR157+BS157)+BY79</f>
        <v>137.767941772135</v>
      </c>
      <c r="BZ157" s="37" t="n">
        <f aca="false">BU157*(BW157+BX157)/(BR157+BS157)+BZ79</f>
        <v>152.747044121348</v>
      </c>
      <c r="CA157" s="37" t="n">
        <f aca="false">SUM(BW157,BX157,BY157,BZ157)</f>
        <v>539.514985893482</v>
      </c>
      <c r="CB157" s="37" t="n">
        <f aca="false">(CB152-N(CB68))*CB148+CB79</f>
        <v>721.901099133914</v>
      </c>
      <c r="CC157" s="37" t="n">
        <f aca="false">(CC152-N(CC68))*CC148+CC79</f>
        <v>778.634259223186</v>
      </c>
      <c r="CD157" s="37" t="n">
        <f aca="false">(CD152-N(CD68))*CD148+CD79</f>
        <v>842.654655223387</v>
      </c>
      <c r="CE157" s="37" t="n">
        <f aca="false">(CE152-N(CE68))*CE148+CE79</f>
        <v>913.819210537353</v>
      </c>
      <c r="CF157" s="20" t="s">
        <v>310</v>
      </c>
    </row>
    <row r="158" customFormat="false" ht="15" hidden="false" customHeight="true" outlineLevel="0" collapsed="false">
      <c r="B158" s="26" t="s">
        <v>311</v>
      </c>
      <c r="C158" s="36" t="n">
        <v>0</v>
      </c>
      <c r="D158" s="36" t="n">
        <v>0</v>
      </c>
      <c r="E158" s="36" t="n">
        <v>0</v>
      </c>
      <c r="F158" s="36" t="n">
        <v>0</v>
      </c>
      <c r="G158" s="36" t="n">
        <v>0</v>
      </c>
      <c r="H158" s="36" t="n">
        <v>18.6</v>
      </c>
      <c r="I158" s="36" t="n">
        <v>35.1</v>
      </c>
      <c r="J158" s="36" t="n">
        <v>0.3</v>
      </c>
      <c r="K158" s="36" t="n">
        <v>0.3</v>
      </c>
      <c r="L158" s="36" t="n">
        <v>0.1</v>
      </c>
      <c r="M158" s="36" t="n">
        <v>0</v>
      </c>
      <c r="N158" s="36" t="n">
        <v>0.7</v>
      </c>
      <c r="O158" s="36" t="n">
        <v>9.5</v>
      </c>
      <c r="P158" s="36" t="n">
        <v>5.3</v>
      </c>
      <c r="Q158" s="36" t="n">
        <v>26.1</v>
      </c>
      <c r="R158" s="36" t="n">
        <v>1.7</v>
      </c>
      <c r="S158" s="36" t="n">
        <v>42.9</v>
      </c>
      <c r="T158" s="36" t="n">
        <v>1.6</v>
      </c>
      <c r="U158" s="36" t="n">
        <v>2.1</v>
      </c>
      <c r="V158" s="36" t="n">
        <v>2.1</v>
      </c>
      <c r="W158" s="36" t="n">
        <v>2.7</v>
      </c>
      <c r="X158" s="36" t="n">
        <v>8.5</v>
      </c>
      <c r="Y158" s="36" t="n">
        <v>0.4</v>
      </c>
      <c r="Z158" s="36" t="n">
        <v>0.9</v>
      </c>
      <c r="AA158" s="36" t="n">
        <v>0.3</v>
      </c>
      <c r="AB158" s="36" t="n">
        <v>0</v>
      </c>
      <c r="AC158" s="36" t="n">
        <v>1.7</v>
      </c>
      <c r="AD158" s="36" t="n">
        <v>0</v>
      </c>
      <c r="AE158" s="36" t="n">
        <v>2</v>
      </c>
      <c r="AF158" s="36" t="n">
        <v>1.3</v>
      </c>
      <c r="AG158" s="36" t="n">
        <v>5.3</v>
      </c>
      <c r="AH158" s="36" t="n">
        <v>8.6</v>
      </c>
      <c r="AI158" s="36" t="n">
        <v>0.7</v>
      </c>
      <c r="AJ158" s="36" t="n">
        <v>12.126</v>
      </c>
      <c r="AK158" s="36" t="n">
        <v>0.089</v>
      </c>
      <c r="AL158" s="36" t="n">
        <v>0.554</v>
      </c>
      <c r="AM158" s="36" t="n">
        <v>13.479</v>
      </c>
      <c r="AN158" s="36" t="n">
        <v>0.144</v>
      </c>
      <c r="AO158" s="36" t="n">
        <v>0.047</v>
      </c>
      <c r="AP158" s="36" t="n">
        <v>0</v>
      </c>
      <c r="AQ158" s="36" t="n">
        <v>0.277</v>
      </c>
      <c r="AR158" s="36" t="n">
        <v>0.467</v>
      </c>
      <c r="AS158" s="36" t="n">
        <v>0.3</v>
      </c>
      <c r="AT158" s="36" t="n">
        <v>0.5</v>
      </c>
      <c r="AU158" s="36" t="n">
        <v>0.4</v>
      </c>
      <c r="AV158" s="36" t="n">
        <v>0.2</v>
      </c>
      <c r="AW158" s="36" t="n">
        <v>1.3</v>
      </c>
      <c r="AX158" s="36" t="n">
        <v>1.2</v>
      </c>
      <c r="AY158" s="36" t="n">
        <v>9.3</v>
      </c>
      <c r="AZ158" s="36" t="n">
        <v>7.4</v>
      </c>
      <c r="BA158" s="36" t="n">
        <v>39.8</v>
      </c>
      <c r="BB158" s="36" t="n">
        <v>57.9</v>
      </c>
      <c r="BC158" s="36" t="n">
        <v>1.4</v>
      </c>
      <c r="BD158" s="36" t="n">
        <v>2.9</v>
      </c>
      <c r="BE158" s="36" t="n">
        <v>1.8</v>
      </c>
      <c r="BF158" s="36" t="n">
        <v>3</v>
      </c>
      <c r="BG158" s="36" t="n">
        <v>9.1</v>
      </c>
      <c r="BH158" s="36" t="n">
        <v>0.8</v>
      </c>
      <c r="BI158" s="36" t="n">
        <v>0.4</v>
      </c>
      <c r="BJ158" s="36" t="n">
        <v>3.3</v>
      </c>
      <c r="BK158" s="36" t="n">
        <v>7.6</v>
      </c>
      <c r="BL158" s="36" t="n">
        <v>12.2</v>
      </c>
      <c r="BM158" s="36" t="n">
        <v>20</v>
      </c>
      <c r="BN158" s="36" t="n">
        <v>21</v>
      </c>
      <c r="BO158" s="36" t="n">
        <v>4</v>
      </c>
      <c r="BP158" s="36" t="n">
        <v>5</v>
      </c>
      <c r="BQ158" s="36" t="n">
        <v>50</v>
      </c>
      <c r="BR158" s="36" t="n">
        <v>2</v>
      </c>
      <c r="BS158" s="36" t="n">
        <v>2</v>
      </c>
      <c r="BT158" s="36" t="n">
        <v>5</v>
      </c>
      <c r="BU158" s="36" t="n">
        <v>6</v>
      </c>
      <c r="BV158" s="36" t="n">
        <v>15</v>
      </c>
      <c r="BW158" s="36" t="n">
        <v>5</v>
      </c>
      <c r="BX158" s="36" t="n">
        <v>18</v>
      </c>
      <c r="BY158" s="52" t="n">
        <v>60</v>
      </c>
      <c r="BZ158" s="52" t="n">
        <v>23</v>
      </c>
      <c r="CA158" s="37" t="n">
        <f aca="false">SUM(BW158,BX158,BY158,BZ158)</f>
        <v>106</v>
      </c>
      <c r="CB158" s="52" t="n">
        <v>25</v>
      </c>
      <c r="CC158" s="52" t="n">
        <v>10</v>
      </c>
      <c r="CD158" s="52" t="n">
        <v>10</v>
      </c>
      <c r="CE158" s="52" t="n">
        <v>10</v>
      </c>
      <c r="CF158" s="20" t="s">
        <v>312</v>
      </c>
    </row>
    <row r="159" customFormat="false" ht="15" hidden="false" customHeight="true" outlineLevel="0" collapsed="false">
      <c r="B159" s="26" t="s">
        <v>313</v>
      </c>
      <c r="C159" s="36" t="n">
        <v>-12.9</v>
      </c>
      <c r="D159" s="36" t="n">
        <v>-18.1</v>
      </c>
      <c r="E159" s="36" t="n">
        <v>-4.8</v>
      </c>
      <c r="F159" s="36" t="n">
        <v>10.3</v>
      </c>
      <c r="G159" s="36" t="n">
        <v>-7.8</v>
      </c>
      <c r="H159" s="36" t="n">
        <v>-1.7</v>
      </c>
      <c r="I159" s="36" t="n">
        <v>-2.6</v>
      </c>
      <c r="J159" s="36" t="n">
        <v>-1.7</v>
      </c>
      <c r="K159" s="36" t="n">
        <v>-0.7</v>
      </c>
      <c r="L159" s="36" t="n">
        <v>-2.9</v>
      </c>
      <c r="M159" s="36" t="n">
        <v>0.7</v>
      </c>
      <c r="N159" s="36" t="n">
        <v>-4.8</v>
      </c>
      <c r="O159" s="36" t="n">
        <v>-2</v>
      </c>
      <c r="P159" s="36" t="n">
        <v>-2.5</v>
      </c>
      <c r="Q159" s="36" t="n">
        <v>5.1</v>
      </c>
      <c r="R159" s="36" t="n">
        <v>-5</v>
      </c>
      <c r="S159" s="36" t="n">
        <v>-4.6</v>
      </c>
      <c r="T159" s="36" t="n">
        <v>-2.4</v>
      </c>
      <c r="U159" s="36" t="n">
        <v>4.3</v>
      </c>
      <c r="V159" s="36" t="n">
        <v>26</v>
      </c>
      <c r="W159" s="36" t="n">
        <v>-12.4</v>
      </c>
      <c r="X159" s="36" t="n">
        <v>15.7</v>
      </c>
      <c r="Y159" s="36" t="n">
        <v>0.5</v>
      </c>
      <c r="Z159" s="36" t="n">
        <v>-3.4</v>
      </c>
      <c r="AA159" s="36" t="n">
        <v>-4.4</v>
      </c>
      <c r="AB159" s="36" t="n">
        <v>-0.7</v>
      </c>
      <c r="AC159" s="36" t="n">
        <v>-8</v>
      </c>
      <c r="AD159" s="36" t="n">
        <v>0.4</v>
      </c>
      <c r="AE159" s="36" t="n">
        <v>-9.2</v>
      </c>
      <c r="AF159" s="36" t="n">
        <v>6.2</v>
      </c>
      <c r="AG159" s="36" t="n">
        <v>3.4</v>
      </c>
      <c r="AH159" s="36" t="n">
        <v>0.8</v>
      </c>
      <c r="AI159" s="36" t="n">
        <v>0.5</v>
      </c>
      <c r="AJ159" s="36" t="n">
        <v>-31.232</v>
      </c>
      <c r="AK159" s="36" t="n">
        <v>3.792</v>
      </c>
      <c r="AL159" s="36" t="n">
        <v>8.767</v>
      </c>
      <c r="AM159" s="36" t="n">
        <v>-18.193</v>
      </c>
      <c r="AN159" s="36" t="n">
        <v>-4.75</v>
      </c>
      <c r="AO159" s="36" t="n">
        <v>-1.444</v>
      </c>
      <c r="AP159" s="36" t="n">
        <v>-2.899</v>
      </c>
      <c r="AQ159" s="36" t="n">
        <v>0.041</v>
      </c>
      <c r="AR159" s="36" t="n">
        <v>-9.051</v>
      </c>
      <c r="AS159" s="36" t="n">
        <v>5.6</v>
      </c>
      <c r="AT159" s="36" t="n">
        <v>2.4</v>
      </c>
      <c r="AU159" s="36" t="n">
        <v>-67.6</v>
      </c>
      <c r="AV159" s="36" t="n">
        <v>-0.3</v>
      </c>
      <c r="AW159" s="36" t="n">
        <v>-59.8</v>
      </c>
      <c r="AX159" s="36" t="n">
        <v>-5.6</v>
      </c>
      <c r="AY159" s="36" t="n">
        <v>-14.1</v>
      </c>
      <c r="AZ159" s="36" t="n">
        <v>-8.4</v>
      </c>
      <c r="BA159" s="36" t="n">
        <v>-6</v>
      </c>
      <c r="BB159" s="36" t="n">
        <v>-34.3</v>
      </c>
      <c r="BC159" s="36" t="n">
        <v>-2.3</v>
      </c>
      <c r="BD159" s="36" t="n">
        <v>-160.4</v>
      </c>
      <c r="BE159" s="36" t="n">
        <v>-14.8</v>
      </c>
      <c r="BF159" s="36" t="n">
        <v>-11.8</v>
      </c>
      <c r="BG159" s="36" t="n">
        <v>-189.2</v>
      </c>
      <c r="BH159" s="36" t="n">
        <v>1.6</v>
      </c>
      <c r="BI159" s="36" t="n">
        <v>-14.9</v>
      </c>
      <c r="BJ159" s="36" t="n">
        <v>-2</v>
      </c>
      <c r="BK159" s="36" t="n">
        <v>-13</v>
      </c>
      <c r="BL159" s="36" t="n">
        <v>-28.4</v>
      </c>
      <c r="BM159" s="36" t="n">
        <v>-1287</v>
      </c>
      <c r="BN159" s="36" t="n">
        <v>-19</v>
      </c>
      <c r="BO159" s="36" t="n">
        <v>1</v>
      </c>
      <c r="BP159" s="36" t="n">
        <v>-20</v>
      </c>
      <c r="BQ159" s="36" t="n">
        <v>-1326</v>
      </c>
      <c r="BR159" s="36" t="n">
        <v>9</v>
      </c>
      <c r="BS159" s="36" t="n">
        <v>-23</v>
      </c>
      <c r="BT159" s="36" t="n">
        <v>-9</v>
      </c>
      <c r="BU159" s="36" t="n">
        <v>18</v>
      </c>
      <c r="BV159" s="36" t="n">
        <v>-6</v>
      </c>
      <c r="BW159" s="36" t="n">
        <v>10</v>
      </c>
      <c r="BX159" s="36" t="n">
        <v>-11</v>
      </c>
      <c r="BY159" s="37" t="n">
        <f aca="false">(BW159+BX159)/2</f>
        <v>-0.5</v>
      </c>
      <c r="BZ159" s="37" t="n">
        <f aca="false">(BW159+BX159)/2</f>
        <v>-0.5</v>
      </c>
      <c r="CA159" s="37" t="n">
        <f aca="false">SUM(BW159,BX159,BY159,BZ159)</f>
        <v>-2</v>
      </c>
      <c r="CB159" s="52" t="n">
        <v>-20</v>
      </c>
      <c r="CC159" s="52" t="n">
        <v>-20</v>
      </c>
      <c r="CD159" s="52" t="n">
        <v>-20</v>
      </c>
      <c r="CE159" s="52" t="n">
        <v>-20</v>
      </c>
      <c r="CF159" s="20" t="s">
        <v>314</v>
      </c>
    </row>
    <row r="160" customFormat="false" ht="15" hidden="false" customHeight="true" outlineLevel="0" collapsed="false">
      <c r="B160" s="59" t="s">
        <v>315</v>
      </c>
      <c r="C160" s="60" t="n">
        <f aca="false">C156-C157-C158-C159</f>
        <v>388</v>
      </c>
      <c r="D160" s="60" t="n">
        <f aca="false">D156-D157-D158-D159</f>
        <v>433</v>
      </c>
      <c r="E160" s="60" t="n">
        <f aca="false">E156-E157-E158-E159</f>
        <v>323.3</v>
      </c>
      <c r="F160" s="60" t="n">
        <f aca="false">F156-F157-F158-F159</f>
        <v>187.6</v>
      </c>
      <c r="G160" s="60" t="n">
        <f aca="false">G156-G157-G158-G159</f>
        <v>196.4</v>
      </c>
      <c r="H160" s="60" t="n">
        <f aca="false">H156-H157-H158-H159</f>
        <v>161</v>
      </c>
      <c r="I160" s="60" t="n">
        <f aca="false">I156-I157-I158-I159</f>
        <v>155</v>
      </c>
      <c r="J160" s="60" t="n">
        <f aca="false">J156-J157-J158-J159</f>
        <v>-23.6</v>
      </c>
      <c r="K160" s="60" t="n">
        <f aca="false">K156-K157-K158-K159</f>
        <v>69.4000000000001</v>
      </c>
      <c r="L160" s="60" t="n">
        <f aca="false">L156-L157-L158-L159</f>
        <v>108.8</v>
      </c>
      <c r="M160" s="60" t="n">
        <f aca="false">M156-M157-M158-M159</f>
        <v>62.8</v>
      </c>
      <c r="N160" s="60" t="n">
        <f aca="false">N156-N157-N158-N159</f>
        <v>218</v>
      </c>
      <c r="O160" s="60" t="n">
        <f aca="false">O156-O157-O158-O159</f>
        <v>-15.9</v>
      </c>
      <c r="P160" s="60" t="n">
        <f aca="false">P156-P157-P158-P159</f>
        <v>96.2</v>
      </c>
      <c r="Q160" s="60" t="n">
        <f aca="false">Q156-Q157-Q158-Q159</f>
        <v>116</v>
      </c>
      <c r="R160" s="60" t="n">
        <f aca="false">R156-R157-R158-R159</f>
        <v>118.6</v>
      </c>
      <c r="S160" s="60" t="n">
        <f aca="false">S156-S157-S158-S159</f>
        <v>314.9</v>
      </c>
      <c r="T160" s="60" t="n">
        <f aca="false">T156-T157-T158-T159</f>
        <v>25.6</v>
      </c>
      <c r="U160" s="60" t="n">
        <f aca="false">U156-U157-U158-U159</f>
        <v>137</v>
      </c>
      <c r="V160" s="60" t="n">
        <f aca="false">V156-V157-V158-V159</f>
        <v>179.5</v>
      </c>
      <c r="W160" s="60" t="n">
        <f aca="false">W156-W157-W158-W159</f>
        <v>137.4</v>
      </c>
      <c r="X160" s="60" t="n">
        <f aca="false">X156-X157-X158-X159</f>
        <v>479.4</v>
      </c>
      <c r="Y160" s="60" t="n">
        <f aca="false">Y156-Y157-Y158-Y159</f>
        <v>83.7999999999999</v>
      </c>
      <c r="Z160" s="60" t="n">
        <f aca="false">Z156-Z157-Z158-Z159</f>
        <v>187.7</v>
      </c>
      <c r="AA160" s="60" t="n">
        <f aca="false">AA156-AA157-AA158-AA159</f>
        <v>240.4</v>
      </c>
      <c r="AB160" s="60" t="n">
        <f aca="false">AB156-AB157-AB158-AB159</f>
        <v>155.5</v>
      </c>
      <c r="AC160" s="60" t="n">
        <f aca="false">AC156-AC157-AC158-AC159</f>
        <v>667.3</v>
      </c>
      <c r="AD160" s="60" t="n">
        <f aca="false">AD156-AD157-AD158-AD159</f>
        <v>77.2</v>
      </c>
      <c r="AE160" s="60" t="n">
        <f aca="false">AE156-AE157-AE158-AE159</f>
        <v>212.9</v>
      </c>
      <c r="AF160" s="60" t="n">
        <f aca="false">AF156-AF157-AF158-AF159</f>
        <v>227</v>
      </c>
      <c r="AG160" s="60" t="n">
        <f aca="false">AG156-AG157-AG158-AG159</f>
        <v>183.4</v>
      </c>
      <c r="AH160" s="60" t="n">
        <f aca="false">AH156-AH157-AH158-AH159</f>
        <v>700.4</v>
      </c>
      <c r="AI160" s="60" t="n">
        <f aca="false">AI156-AI157-AI158-AI159</f>
        <v>39.1</v>
      </c>
      <c r="AJ160" s="60" t="n">
        <f aca="false">AJ156-AJ157-AJ158-AJ159</f>
        <v>263.953</v>
      </c>
      <c r="AK160" s="60" t="n">
        <f aca="false">AK156-AK157-AK158-AK159</f>
        <v>240.662</v>
      </c>
      <c r="AL160" s="60" t="n">
        <f aca="false">AL156-AL157-AL158-AL159</f>
        <v>147.041</v>
      </c>
      <c r="AM160" s="60" t="n">
        <f aca="false">AM156-AM157-AM158-AM159</f>
        <v>690.737</v>
      </c>
      <c r="AN160" s="60" t="n">
        <f aca="false">AN156-AN157-AN158-AN159</f>
        <v>69.221</v>
      </c>
      <c r="AO160" s="60" t="n">
        <f aca="false">AO156-AO157-AO158-AO159</f>
        <v>285.882</v>
      </c>
      <c r="AP160" s="60" t="n">
        <f aca="false">AP156-AP157-AP158-AP159</f>
        <v>345.263</v>
      </c>
      <c r="AQ160" s="60" t="n">
        <f aca="false">AQ156-AQ157-AQ158-AQ159</f>
        <v>184.569</v>
      </c>
      <c r="AR160" s="60" t="n">
        <f aca="false">AR156-AR157-AR158-AR159</f>
        <v>884.934</v>
      </c>
      <c r="AS160" s="60" t="n">
        <f aca="false">AS156-AS157-AS158-AS159</f>
        <v>57.8000000000001</v>
      </c>
      <c r="AT160" s="60" t="n">
        <f aca="false">AT156-AT157-AT158-AT159</f>
        <v>306.4</v>
      </c>
      <c r="AU160" s="60" t="n">
        <f aca="false">AU156-AU157-AU158-AU159</f>
        <v>400.6</v>
      </c>
      <c r="AV160" s="60" t="n">
        <f aca="false">AV156-AV157-AV158-AV159</f>
        <v>240.6</v>
      </c>
      <c r="AW160" s="60" t="n">
        <f aca="false">AW156-AW157-AW158-AW159</f>
        <v>1005.4</v>
      </c>
      <c r="AX160" s="60" t="n">
        <f aca="false">AX156-AX157-AX158-AX159</f>
        <v>99.2999999999999</v>
      </c>
      <c r="AY160" s="60" t="n">
        <f aca="false">AY156-AY157-AY158-AY159</f>
        <v>307.5</v>
      </c>
      <c r="AZ160" s="60" t="n">
        <f aca="false">AZ156-AZ157-AZ158-AZ159</f>
        <v>356.9</v>
      </c>
      <c r="BA160" s="60" t="n">
        <f aca="false">BA156-BA157-BA158-BA159</f>
        <v>210</v>
      </c>
      <c r="BB160" s="60" t="n">
        <f aca="false">BB156-BB157-BB158-BB159</f>
        <v>973.8</v>
      </c>
      <c r="BC160" s="60" t="n">
        <f aca="false">BC156-BC157-BC158-BC159</f>
        <v>59.8999999999999</v>
      </c>
      <c r="BD160" s="60" t="n">
        <f aca="false">BD156-BD157-BD158-BD159</f>
        <v>478.6</v>
      </c>
      <c r="BE160" s="60" t="n">
        <f aca="false">BE156-BE157-BE158-BE159</f>
        <v>405.9</v>
      </c>
      <c r="BF160" s="60" t="n">
        <f aca="false">BF156-BF157-BF158-BF159</f>
        <v>262.3</v>
      </c>
      <c r="BG160" s="60" t="n">
        <f aca="false">BG156-BG157-BG158-BG159</f>
        <v>1206.7</v>
      </c>
      <c r="BH160" s="60" t="n">
        <f aca="false">BH156-BH157-BH158-BH159</f>
        <v>196.1</v>
      </c>
      <c r="BI160" s="60" t="n">
        <f aca="false">BI156-BI157-BI158-BI159</f>
        <v>463.3</v>
      </c>
      <c r="BJ160" s="60" t="n">
        <f aca="false">BJ156-BJ157-BJ158-BJ159</f>
        <v>566.6</v>
      </c>
      <c r="BK160" s="60" t="n">
        <f aca="false">BK156-BK157-BK158-BK159</f>
        <v>370.2</v>
      </c>
      <c r="BL160" s="60" t="n">
        <f aca="false">BL156-BL157-BL158-BL159</f>
        <v>1596</v>
      </c>
      <c r="BM160" s="60" t="n">
        <f aca="false">BM156-BM157-BM158-BM159</f>
        <v>1421</v>
      </c>
      <c r="BN160" s="60" t="n">
        <f aca="false">BN156-BN157-BN158-BN159</f>
        <v>398</v>
      </c>
      <c r="BO160" s="60" t="n">
        <f aca="false">BO156-BO157-BO158-BO159</f>
        <v>489</v>
      </c>
      <c r="BP160" s="60" t="n">
        <f aca="false">BP156-BP157-BP158-BP159</f>
        <v>399</v>
      </c>
      <c r="BQ160" s="60" t="n">
        <f aca="false">BQ156-BQ157-BQ158-BQ159</f>
        <v>2707</v>
      </c>
      <c r="BR160" s="60" t="n">
        <f aca="false">BR156-BR157-BR158-BR159</f>
        <v>179</v>
      </c>
      <c r="BS160" s="60" t="n">
        <f aca="false">BS156-BS157-BS158-BS159</f>
        <v>413</v>
      </c>
      <c r="BT160" s="60" t="n">
        <f aca="false">BT156-BT157-BT158-BT159</f>
        <v>505</v>
      </c>
      <c r="BU160" s="60" t="n">
        <f aca="false">BU156-BU157-BU158-BU159</f>
        <v>341</v>
      </c>
      <c r="BV160" s="60" t="n">
        <f aca="false">BV156-BV157-BV158-BV159</f>
        <v>1437</v>
      </c>
      <c r="BW160" s="60" t="n">
        <f aca="false">BW156-BW157-BW158-BW159</f>
        <v>162</v>
      </c>
      <c r="BX160" s="60" t="n">
        <f aca="false">BX156-BX157-BX158-BX159</f>
        <v>372</v>
      </c>
      <c r="BY160" s="60" t="n">
        <f aca="false">BY156-BY157-BY158-BY159</f>
        <v>516.595958489535</v>
      </c>
      <c r="BZ160" s="60" t="n">
        <f aca="false">BZ156-BZ157-BZ158-BZ159</f>
        <v>436.714441591139</v>
      </c>
      <c r="CA160" s="60" t="n">
        <f aca="false">CA156-CA157-CA158-CA159</f>
        <v>1487.31040008068</v>
      </c>
      <c r="CB160" s="60" t="n">
        <f aca="false">CB156-CB157-CB158-CB159</f>
        <v>2221.73679727902</v>
      </c>
      <c r="CC160" s="60" t="n">
        <f aca="false">CC156-CC157-CC158-CC159</f>
        <v>2571.37060839369</v>
      </c>
      <c r="CD160" s="60" t="n">
        <f aca="false">CD156-CD157-CD158-CD159</f>
        <v>2881.02466624481</v>
      </c>
      <c r="CE160" s="60" t="n">
        <f aca="false">CE156-CE157-CE158-CE159</f>
        <v>3175.32094043046</v>
      </c>
      <c r="CF160" s="6"/>
      <c r="CH160" s="21" t="n">
        <f aca="false">IFERROR((CE160/BV160)^(1/5)-1,"n/m")</f>
        <v>0.171834208410622</v>
      </c>
      <c r="CI160" s="21" t="n">
        <f aca="false">IFERROR((BV160/AW160)^(1/5)-1,"n/m")</f>
        <v>0.0740477198224765</v>
      </c>
      <c r="CJ160" s="21" t="n">
        <f aca="false">IFERROR((BV160/X160)^(1/10)-1,"n/m")</f>
        <v>0.116030012376362</v>
      </c>
      <c r="CK160" s="21" t="n">
        <f aca="false">IFERROR((BV160/C160)^(1/19)-1,"n/m")</f>
        <v>0.071340773608962</v>
      </c>
    </row>
    <row r="161" customFormat="false" ht="15" hidden="false" customHeight="true" outlineLevel="0" collapsed="false">
      <c r="B161" s="26" t="s">
        <v>316</v>
      </c>
      <c r="C161" s="36" t="n">
        <v>40.4</v>
      </c>
      <c r="D161" s="36" t="n">
        <v>60.9</v>
      </c>
      <c r="E161" s="36" t="n">
        <v>74.3</v>
      </c>
      <c r="F161" s="36" t="n">
        <v>73.5</v>
      </c>
      <c r="G161" s="36" t="n">
        <v>68.5</v>
      </c>
      <c r="H161" s="36" t="n">
        <v>58.6</v>
      </c>
      <c r="I161" s="36" t="n">
        <v>53.3</v>
      </c>
      <c r="J161" s="36" t="n">
        <v>13.5</v>
      </c>
      <c r="K161" s="36" t="n">
        <v>13.6</v>
      </c>
      <c r="L161" s="36" t="n">
        <v>13.5</v>
      </c>
      <c r="M161" s="36" t="n">
        <v>12.8</v>
      </c>
      <c r="N161" s="36" t="n">
        <v>53.5</v>
      </c>
      <c r="O161" s="36" t="n">
        <v>12.2</v>
      </c>
      <c r="P161" s="36" t="n">
        <v>12.9</v>
      </c>
      <c r="Q161" s="36" t="n">
        <v>19.8</v>
      </c>
      <c r="R161" s="36" t="n">
        <v>21.1</v>
      </c>
      <c r="S161" s="36" t="n">
        <v>66.1</v>
      </c>
      <c r="T161" s="36" t="n">
        <v>19.3</v>
      </c>
      <c r="U161" s="36" t="n">
        <v>19.1</v>
      </c>
      <c r="V161" s="36" t="n">
        <v>18.9</v>
      </c>
      <c r="W161" s="36" t="n">
        <v>18.9</v>
      </c>
      <c r="X161" s="36" t="n">
        <v>76.3</v>
      </c>
      <c r="Y161" s="36" t="n">
        <v>20</v>
      </c>
      <c r="Z161" s="36" t="n">
        <v>20.3</v>
      </c>
      <c r="AA161" s="36" t="n">
        <v>20.6</v>
      </c>
      <c r="AB161" s="36" t="n">
        <v>20.8</v>
      </c>
      <c r="AC161" s="36" t="n">
        <v>81.7</v>
      </c>
      <c r="AD161" s="36" t="n">
        <v>20.9</v>
      </c>
      <c r="AE161" s="36" t="n">
        <v>24</v>
      </c>
      <c r="AF161" s="36" t="n">
        <v>23.1</v>
      </c>
      <c r="AG161" s="36" t="n">
        <v>23.4</v>
      </c>
      <c r="AH161" s="36" t="n">
        <v>91.5</v>
      </c>
      <c r="AI161" s="36" t="n">
        <v>35.1</v>
      </c>
      <c r="AJ161" s="36" t="n">
        <v>32.971</v>
      </c>
      <c r="AK161" s="36" t="n">
        <v>35.468</v>
      </c>
      <c r="AL161" s="36" t="n">
        <v>33.542</v>
      </c>
      <c r="AM161" s="36" t="n">
        <v>137.069</v>
      </c>
      <c r="AN161" s="36" t="n">
        <v>32.948</v>
      </c>
      <c r="AO161" s="36" t="n">
        <v>33.297</v>
      </c>
      <c r="AP161" s="36" t="n">
        <v>32.436</v>
      </c>
      <c r="AQ161" s="36" t="n">
        <v>30.665</v>
      </c>
      <c r="AR161" s="36" t="n">
        <v>129.345</v>
      </c>
      <c r="AS161" s="36" t="n">
        <v>29.8</v>
      </c>
      <c r="AT161" s="36" t="n">
        <v>31.2</v>
      </c>
      <c r="AU161" s="36" t="n">
        <v>28.7</v>
      </c>
      <c r="AV161" s="36" t="n">
        <v>28.4</v>
      </c>
      <c r="AW161" s="36" t="n">
        <v>118.1</v>
      </c>
      <c r="AX161" s="36" t="n">
        <v>27.4</v>
      </c>
      <c r="AY161" s="36" t="n">
        <v>28.1</v>
      </c>
      <c r="AZ161" s="36" t="n">
        <v>44.3</v>
      </c>
      <c r="BA161" s="36" t="n">
        <v>42.8</v>
      </c>
      <c r="BB161" s="36" t="n">
        <v>142.7</v>
      </c>
      <c r="BC161" s="36" t="n">
        <v>40.5</v>
      </c>
      <c r="BD161" s="36" t="n">
        <v>43.1</v>
      </c>
      <c r="BE161" s="36" t="n">
        <v>42.8</v>
      </c>
      <c r="BF161" s="36" t="n">
        <v>42.6</v>
      </c>
      <c r="BG161" s="36" t="n">
        <v>169</v>
      </c>
      <c r="BH161" s="36" t="n">
        <v>42.2</v>
      </c>
      <c r="BI161" s="36" t="n">
        <v>42.2</v>
      </c>
      <c r="BJ161" s="36" t="n">
        <v>40.8</v>
      </c>
      <c r="BK161" s="36" t="n">
        <v>40.2</v>
      </c>
      <c r="BL161" s="36" t="n">
        <v>165.3</v>
      </c>
      <c r="BM161" s="36" t="n">
        <v>40</v>
      </c>
      <c r="BN161" s="36" t="n">
        <v>40</v>
      </c>
      <c r="BO161" s="36" t="n">
        <v>38</v>
      </c>
      <c r="BP161" s="36" t="n">
        <v>50</v>
      </c>
      <c r="BQ161" s="36" t="n">
        <v>169</v>
      </c>
      <c r="BR161" s="36" t="n">
        <v>56</v>
      </c>
      <c r="BS161" s="36" t="n">
        <v>57</v>
      </c>
      <c r="BT161" s="36" t="n">
        <v>59</v>
      </c>
      <c r="BU161" s="36" t="n">
        <v>57</v>
      </c>
      <c r="BV161" s="36" t="n">
        <v>230</v>
      </c>
      <c r="BW161" s="36" t="n">
        <v>56</v>
      </c>
      <c r="BX161" s="36" t="n">
        <v>59</v>
      </c>
      <c r="BY161" s="37" t="n">
        <f aca="false">$BX$161+($CA$376*$CA$377+$CA$378*$CA$379)*BY65/365</f>
        <v>101.516438356164</v>
      </c>
      <c r="BZ161" s="37" t="n">
        <f aca="false">$BX$161+($CA$376*$CA$377+$CA$378*$CA$379)*BZ65/365</f>
        <v>154.402739726027</v>
      </c>
      <c r="CA161" s="37" t="n">
        <f aca="false">SUM(BW161,BX161,BY161,BZ161)</f>
        <v>370.919178082192</v>
      </c>
      <c r="CB161" s="37" t="n">
        <f aca="false">CA375*CB384+CA382*CB385</f>
        <v>588.9005989231</v>
      </c>
      <c r="CC161" s="37" t="n">
        <f aca="false">CB375*CC384+CB382*CC385</f>
        <v>526.381519496425</v>
      </c>
      <c r="CD161" s="37" t="n">
        <f aca="false">CC375*CD384+CC382*CD385</f>
        <v>518.208</v>
      </c>
      <c r="CE161" s="37" t="n">
        <f aca="false">CD375*CE384+CD382*CE385</f>
        <v>523.606</v>
      </c>
      <c r="CF161" s="20" t="s">
        <v>317</v>
      </c>
    </row>
    <row r="162" customFormat="false" ht="15" hidden="false" customHeight="true" outlineLevel="0" collapsed="false">
      <c r="B162" s="42" t="s">
        <v>318</v>
      </c>
      <c r="AS162" s="47" t="n">
        <f aca="false">AS161-AS194</f>
        <v>0.199999999999999</v>
      </c>
      <c r="AT162" s="47" t="n">
        <f aca="false">AT161-AT194</f>
        <v>0.199999999999999</v>
      </c>
      <c r="AU162" s="47" t="n">
        <f aca="false">AU161-AU194</f>
        <v>0.0999999999999979</v>
      </c>
      <c r="AV162" s="47" t="n">
        <f aca="false">AV161-AV194</f>
        <v>0</v>
      </c>
      <c r="AW162" s="47" t="n">
        <f aca="false">AW161-AW194</f>
        <v>0.5</v>
      </c>
      <c r="AX162" s="47" t="n">
        <f aca="false">AX161-AX194</f>
        <v>0.0999999999999979</v>
      </c>
      <c r="AY162" s="47" t="n">
        <f aca="false">AY161-AY194</f>
        <v>-0.0999999999999979</v>
      </c>
      <c r="AZ162" s="47" t="n">
        <f aca="false">AZ161-AZ194</f>
        <v>0.0999999999999943</v>
      </c>
      <c r="BA162" s="47" t="n">
        <f aca="false">BA161-BA194</f>
        <v>0</v>
      </c>
      <c r="BB162" s="47" t="n">
        <f aca="false">BB161-BB194</f>
        <v>0.299999999999983</v>
      </c>
      <c r="BC162" s="47" t="n">
        <f aca="false">BC161-BC194</f>
        <v>0</v>
      </c>
      <c r="BD162" s="47" t="n">
        <f aca="false">BD161-BD194</f>
        <v>0.899999999999999</v>
      </c>
      <c r="BE162" s="47" t="n">
        <f aca="false">BE161-BE194</f>
        <v>4</v>
      </c>
      <c r="BF162" s="47" t="n">
        <f aca="false">BF161-BF194</f>
        <v>8.7</v>
      </c>
      <c r="BG162" s="47" t="n">
        <f aca="false">BG161-BG194</f>
        <v>13.6</v>
      </c>
      <c r="BH162" s="47" t="n">
        <f aca="false">BH161-BH194</f>
        <v>10.6</v>
      </c>
      <c r="BI162" s="47" t="n">
        <f aca="false">BI161-BI194</f>
        <v>12.6</v>
      </c>
      <c r="BJ162" s="47" t="n">
        <f aca="false">BJ161-BJ194</f>
        <v>8.9</v>
      </c>
      <c r="BK162" s="47" t="n">
        <f aca="false">BK161-BK194</f>
        <v>14.5</v>
      </c>
      <c r="BL162" s="47" t="n">
        <f aca="false">BL161-BL194</f>
        <v>46.7</v>
      </c>
      <c r="BM162" s="47" t="n">
        <f aca="false">BM161-BM194</f>
        <v>26</v>
      </c>
      <c r="BN162" s="47" t="n">
        <f aca="false">BN161-BN194</f>
        <v>7</v>
      </c>
      <c r="BO162" s="47" t="n">
        <f aca="false">BO161-BO194</f>
        <v>0</v>
      </c>
      <c r="BP162" s="47" t="n">
        <f aca="false">BP161-BP194</f>
        <v>7</v>
      </c>
      <c r="BQ162" s="47" t="n">
        <f aca="false">BQ161-BQ194</f>
        <v>41</v>
      </c>
      <c r="BR162" s="47" t="n">
        <f aca="false">BR161-BR194</f>
        <v>5</v>
      </c>
      <c r="BS162" s="47" t="n">
        <f aca="false">BS161-BS194</f>
        <v>1</v>
      </c>
      <c r="BT162" s="47" t="n">
        <f aca="false">BT161-BT194</f>
        <v>3</v>
      </c>
      <c r="BU162" s="47" t="n">
        <f aca="false">BU161-BU194</f>
        <v>0</v>
      </c>
      <c r="BV162" s="47" t="n">
        <f aca="false">BV161-BV194</f>
        <v>10</v>
      </c>
      <c r="BW162" s="47" t="n">
        <f aca="false">BW161-BW194</f>
        <v>2</v>
      </c>
      <c r="BX162" s="47" t="n">
        <f aca="false">BX161-BX194</f>
        <v>1</v>
      </c>
      <c r="BY162" s="37" t="n">
        <f aca="false">$BX$162</f>
        <v>1</v>
      </c>
      <c r="BZ162" s="37" t="n">
        <f aca="false">$BX$162</f>
        <v>1</v>
      </c>
      <c r="CA162" s="37" t="n">
        <f aca="false">SUM(BW162,BX162,BY162,BZ162)</f>
        <v>5</v>
      </c>
      <c r="CB162" s="37" t="n">
        <f aca="false">CA294*CB386</f>
        <v>4.26</v>
      </c>
      <c r="CC162" s="37" t="n">
        <f aca="false">CB294*CC386</f>
        <v>4.26</v>
      </c>
      <c r="CD162" s="37" t="n">
        <f aca="false">CC294*CD386</f>
        <v>32.8169152426328</v>
      </c>
      <c r="CE162" s="37" t="n">
        <f aca="false">CD294*CE386</f>
        <v>26.103431387084</v>
      </c>
      <c r="CF162" s="6"/>
    </row>
    <row r="163" customFormat="false" ht="15" hidden="false" customHeight="true" outlineLevel="0" collapsed="false">
      <c r="B163" s="42" t="s">
        <v>319</v>
      </c>
      <c r="C163" s="47" t="n">
        <f aca="false">C164+N(C162)</f>
        <v>-2.8</v>
      </c>
      <c r="D163" s="47" t="n">
        <f aca="false">D164+N(D162)</f>
        <v>-6.5</v>
      </c>
      <c r="E163" s="47" t="n">
        <f aca="false">E164+N(E162)</f>
        <v>5.7</v>
      </c>
      <c r="F163" s="47" t="n">
        <f aca="false">F164+N(F162)</f>
        <v>-1.2</v>
      </c>
      <c r="G163" s="47" t="n">
        <f aca="false">G164+N(G162)</f>
        <v>0.2</v>
      </c>
      <c r="H163" s="47" t="n">
        <f aca="false">H164+N(H162)</f>
        <v>1.8</v>
      </c>
      <c r="I163" s="47" t="n">
        <f aca="false">I164+N(I162)</f>
        <v>-1.2</v>
      </c>
      <c r="J163" s="47" t="n">
        <f aca="false">J164+N(J162)</f>
        <v>0.6</v>
      </c>
      <c r="K163" s="47" t="n">
        <f aca="false">K164+N(K162)</f>
        <v>-0.5</v>
      </c>
      <c r="L163" s="47" t="n">
        <f aca="false">L164+N(L162)</f>
        <v>0.1</v>
      </c>
      <c r="M163" s="47" t="n">
        <f aca="false">M164+N(M162)</f>
        <v>0.1</v>
      </c>
      <c r="N163" s="47" t="n">
        <f aca="false">N164+N(N162)</f>
        <v>0.3</v>
      </c>
      <c r="O163" s="47" t="n">
        <f aca="false">O164+N(O162)</f>
        <v>3.5</v>
      </c>
      <c r="P163" s="47" t="n">
        <f aca="false">P164+N(P162)</f>
        <v>-0.3</v>
      </c>
      <c r="Q163" s="47" t="n">
        <f aca="false">Q164+N(Q162)</f>
        <v>-1.8</v>
      </c>
      <c r="R163" s="47" t="n">
        <f aca="false">R164+N(R162)</f>
        <v>-1.7</v>
      </c>
      <c r="S163" s="47" t="n">
        <f aca="false">S164+N(S162)</f>
        <v>-0.4</v>
      </c>
      <c r="T163" s="47" t="n">
        <f aca="false">T164+N(T162)</f>
        <v>0.9</v>
      </c>
      <c r="U163" s="47" t="n">
        <f aca="false">U164+N(U162)</f>
        <v>-3</v>
      </c>
      <c r="V163" s="47" t="n">
        <f aca="false">V164+N(V162)</f>
        <v>-4.5</v>
      </c>
      <c r="W163" s="47" t="n">
        <f aca="false">W164+N(W162)</f>
        <v>-4</v>
      </c>
      <c r="X163" s="47" t="n">
        <f aca="false">X164+N(X162)</f>
        <v>-10.7</v>
      </c>
      <c r="Y163" s="47" t="n">
        <f aca="false">Y164+N(Y162)</f>
        <v>-1</v>
      </c>
      <c r="Z163" s="47" t="n">
        <f aca="false">Z164+N(Z162)</f>
        <v>-8.1</v>
      </c>
      <c r="AA163" s="47" t="n">
        <f aca="false">AA164+N(AA162)</f>
        <v>-10.6</v>
      </c>
      <c r="AB163" s="47" t="n">
        <f aca="false">AB164+N(AB162)</f>
        <v>-1.7</v>
      </c>
      <c r="AC163" s="47" t="n">
        <f aca="false">AC164+N(AC162)</f>
        <v>-21.4</v>
      </c>
      <c r="AD163" s="47" t="n">
        <f aca="false">AD164+N(AD162)</f>
        <v>-0.5</v>
      </c>
      <c r="AE163" s="47" t="n">
        <f aca="false">AE164+N(AE162)</f>
        <v>-5.4</v>
      </c>
      <c r="AF163" s="47" t="n">
        <f aca="false">AF164+N(AF162)</f>
        <v>-0.4</v>
      </c>
      <c r="AG163" s="47" t="n">
        <f aca="false">AG164+N(AG162)</f>
        <v>-3.6</v>
      </c>
      <c r="AH163" s="47" t="n">
        <f aca="false">AH164+N(AH162)</f>
        <v>-10</v>
      </c>
      <c r="AI163" s="47" t="n">
        <f aca="false">AI164+N(AI162)</f>
        <v>-8.5</v>
      </c>
      <c r="AJ163" s="47" t="n">
        <f aca="false">AJ164+N(AJ162)</f>
        <v>-7.122</v>
      </c>
      <c r="AK163" s="47" t="n">
        <f aca="false">AK164+N(AK162)</f>
        <v>-4.248</v>
      </c>
      <c r="AL163" s="47" t="n">
        <f aca="false">AL164+N(AL162)</f>
        <v>-2.539</v>
      </c>
      <c r="AM163" s="47" t="n">
        <f aca="false">AM164+N(AM162)</f>
        <v>-22.413</v>
      </c>
      <c r="AN163" s="47" t="n">
        <f aca="false">AN164+N(AN162)</f>
        <v>-1.562</v>
      </c>
      <c r="AO163" s="47" t="n">
        <f aca="false">AO164+N(AO162)</f>
        <v>13.226</v>
      </c>
      <c r="AP163" s="47" t="n">
        <f aca="false">AP164+N(AP162)</f>
        <v>-1.973</v>
      </c>
      <c r="AQ163" s="47" t="n">
        <f aca="false">AQ164+N(AQ162)</f>
        <v>-2.437</v>
      </c>
      <c r="AR163" s="47" t="n">
        <f aca="false">AR164+N(AR162)</f>
        <v>7.253</v>
      </c>
      <c r="AS163" s="47" t="n">
        <f aca="false">AS164+N(AS162)</f>
        <v>2.2</v>
      </c>
      <c r="AT163" s="47" t="n">
        <f aca="false">AT164+N(AT162)</f>
        <v>-3.6</v>
      </c>
      <c r="AU163" s="47" t="n">
        <f aca="false">AU164+N(AU162)</f>
        <v>-3.9</v>
      </c>
      <c r="AV163" s="47" t="n">
        <f aca="false">AV164+N(AV162)</f>
        <v>3.9</v>
      </c>
      <c r="AW163" s="47" t="n">
        <f aca="false">AW164+N(AW162)</f>
        <v>-1.5</v>
      </c>
      <c r="AX163" s="47" t="n">
        <f aca="false">AX164+N(AX162)</f>
        <v>-9.4</v>
      </c>
      <c r="AY163" s="47" t="n">
        <f aca="false">AY164+N(AY162)</f>
        <v>-8.8</v>
      </c>
      <c r="AZ163" s="47" t="n">
        <f aca="false">AZ164+N(AZ162)</f>
        <v>-5.50000000000001</v>
      </c>
      <c r="BA163" s="47" t="n">
        <f aca="false">BA164+N(BA162)</f>
        <v>-0.7</v>
      </c>
      <c r="BB163" s="47" t="n">
        <f aca="false">BB164+N(BB162)</f>
        <v>-24.1</v>
      </c>
      <c r="BC163" s="47" t="n">
        <f aca="false">BC164+N(BC162)</f>
        <v>-10.8</v>
      </c>
      <c r="BD163" s="47" t="n">
        <f aca="false">BD164+N(BD162)</f>
        <v>-21.1</v>
      </c>
      <c r="BE163" s="47" t="n">
        <f aca="false">BE164+N(BE162)</f>
        <v>-3.3</v>
      </c>
      <c r="BF163" s="47" t="n">
        <f aca="false">BF164+N(BF162)</f>
        <v>-4.6</v>
      </c>
      <c r="BG163" s="47" t="n">
        <f aca="false">BG164+N(BG162)</f>
        <v>-39.8</v>
      </c>
      <c r="BH163" s="47" t="n">
        <f aca="false">BH164+N(BH162)</f>
        <v>-5.5</v>
      </c>
      <c r="BI163" s="47" t="n">
        <f aca="false">BI164+N(BI162)</f>
        <v>-6.1</v>
      </c>
      <c r="BJ163" s="47" t="n">
        <f aca="false">BJ164+N(BJ162)</f>
        <v>-5.4</v>
      </c>
      <c r="BK163" s="47" t="n">
        <f aca="false">BK164+N(BK162)</f>
        <v>1.6</v>
      </c>
      <c r="BL163" s="47" t="n">
        <f aca="false">BL164+N(BL162)</f>
        <v>-15.4</v>
      </c>
      <c r="BM163" s="47" t="n">
        <f aca="false">BM164+N(BM162)</f>
        <v>-7</v>
      </c>
      <c r="BN163" s="47" t="n">
        <f aca="false">BN164+N(BN162)</f>
        <v>-7</v>
      </c>
      <c r="BO163" s="47" t="n">
        <f aca="false">BO164+N(BO162)</f>
        <v>-7</v>
      </c>
      <c r="BP163" s="47" t="n">
        <f aca="false">BP164+N(BP162)</f>
        <v>3</v>
      </c>
      <c r="BQ163" s="47" t="n">
        <f aca="false">BQ164+N(BQ162)</f>
        <v>-17</v>
      </c>
      <c r="BR163" s="47" t="n">
        <f aca="false">BR164+N(BR162)</f>
        <v>-4</v>
      </c>
      <c r="BS163" s="47" t="n">
        <f aca="false">BS164+N(BS162)</f>
        <v>-8</v>
      </c>
      <c r="BT163" s="47" t="n">
        <f aca="false">BT164+N(BT162)</f>
        <v>-1</v>
      </c>
      <c r="BU163" s="47" t="n">
        <f aca="false">BU164+N(BU162)</f>
        <v>5</v>
      </c>
      <c r="BV163" s="47" t="n">
        <f aca="false">BV164+N(BV162)</f>
        <v>-9</v>
      </c>
      <c r="BW163" s="47" t="n">
        <f aca="false">BW164+N(BW162)</f>
        <v>-9</v>
      </c>
      <c r="BX163" s="47" t="n">
        <f aca="false">BX164+N(BX162)</f>
        <v>-6</v>
      </c>
      <c r="BY163" s="37" t="n">
        <f aca="false">$BX$163</f>
        <v>-6</v>
      </c>
      <c r="BZ163" s="37" t="n">
        <f aca="false">$BX$163</f>
        <v>-6</v>
      </c>
      <c r="CA163" s="37" t="n">
        <f aca="false">SUM(BW163,BX163,BY163,BZ163)</f>
        <v>-27</v>
      </c>
      <c r="CB163" s="52" t="n">
        <v>-15</v>
      </c>
      <c r="CC163" s="52" t="n">
        <v>-15</v>
      </c>
      <c r="CD163" s="52" t="n">
        <v>-15</v>
      </c>
      <c r="CE163" s="52" t="n">
        <v>-15</v>
      </c>
      <c r="CF163" s="20" t="s">
        <v>320</v>
      </c>
    </row>
    <row r="164" customFormat="false" ht="15" hidden="false" customHeight="true" outlineLevel="0" collapsed="false">
      <c r="B164" s="26" t="s">
        <v>321</v>
      </c>
      <c r="C164" s="36" t="n">
        <v>-2.8</v>
      </c>
      <c r="D164" s="36" t="n">
        <v>-6.5</v>
      </c>
      <c r="E164" s="36" t="n">
        <v>5.7</v>
      </c>
      <c r="F164" s="36" t="n">
        <v>-1.2</v>
      </c>
      <c r="G164" s="36" t="n">
        <v>0.2</v>
      </c>
      <c r="H164" s="36" t="n">
        <v>1.8</v>
      </c>
      <c r="I164" s="36" t="n">
        <v>-1.2</v>
      </c>
      <c r="J164" s="36" t="n">
        <v>0.6</v>
      </c>
      <c r="K164" s="36" t="n">
        <v>-0.5</v>
      </c>
      <c r="L164" s="36" t="n">
        <v>0.1</v>
      </c>
      <c r="M164" s="36" t="n">
        <v>0.1</v>
      </c>
      <c r="N164" s="36" t="n">
        <v>0.3</v>
      </c>
      <c r="O164" s="36" t="n">
        <v>3.5</v>
      </c>
      <c r="P164" s="36" t="n">
        <v>-0.3</v>
      </c>
      <c r="Q164" s="36" t="n">
        <v>-1.8</v>
      </c>
      <c r="R164" s="36" t="n">
        <v>-1.7</v>
      </c>
      <c r="S164" s="36" t="n">
        <v>-0.4</v>
      </c>
      <c r="T164" s="36" t="n">
        <v>0.9</v>
      </c>
      <c r="U164" s="36" t="n">
        <v>-3</v>
      </c>
      <c r="V164" s="36" t="n">
        <v>-4.5</v>
      </c>
      <c r="W164" s="36" t="n">
        <v>-4</v>
      </c>
      <c r="X164" s="36" t="n">
        <v>-10.7</v>
      </c>
      <c r="Y164" s="36" t="n">
        <v>-1</v>
      </c>
      <c r="Z164" s="36" t="n">
        <v>-8.1</v>
      </c>
      <c r="AA164" s="36" t="n">
        <v>-10.6</v>
      </c>
      <c r="AB164" s="36" t="n">
        <v>-1.7</v>
      </c>
      <c r="AC164" s="36" t="n">
        <v>-21.4</v>
      </c>
      <c r="AD164" s="36" t="n">
        <v>-0.5</v>
      </c>
      <c r="AE164" s="36" t="n">
        <v>-5.4</v>
      </c>
      <c r="AF164" s="36" t="n">
        <v>-0.4</v>
      </c>
      <c r="AG164" s="36" t="n">
        <v>-3.6</v>
      </c>
      <c r="AH164" s="36" t="n">
        <v>-10</v>
      </c>
      <c r="AI164" s="36" t="n">
        <v>-8.5</v>
      </c>
      <c r="AJ164" s="36" t="n">
        <v>-7.122</v>
      </c>
      <c r="AK164" s="36" t="n">
        <v>-4.248</v>
      </c>
      <c r="AL164" s="36" t="n">
        <v>-2.539</v>
      </c>
      <c r="AM164" s="36" t="n">
        <v>-22.413</v>
      </c>
      <c r="AN164" s="36" t="n">
        <v>-1.562</v>
      </c>
      <c r="AO164" s="36" t="n">
        <v>13.226</v>
      </c>
      <c r="AP164" s="36" t="n">
        <v>-1.973</v>
      </c>
      <c r="AQ164" s="36" t="n">
        <v>-2.437</v>
      </c>
      <c r="AR164" s="36" t="n">
        <v>7.253</v>
      </c>
      <c r="AS164" s="36" t="n">
        <v>2</v>
      </c>
      <c r="AT164" s="36" t="n">
        <v>-3.8</v>
      </c>
      <c r="AU164" s="36" t="n">
        <v>-4</v>
      </c>
      <c r="AV164" s="36" t="n">
        <v>3.9</v>
      </c>
      <c r="AW164" s="36" t="n">
        <v>-2</v>
      </c>
      <c r="AX164" s="36" t="n">
        <v>-9.5</v>
      </c>
      <c r="AY164" s="36" t="n">
        <v>-8.7</v>
      </c>
      <c r="AZ164" s="36" t="n">
        <v>-5.6</v>
      </c>
      <c r="BA164" s="36" t="n">
        <v>-0.7</v>
      </c>
      <c r="BB164" s="36" t="n">
        <v>-24.4</v>
      </c>
      <c r="BC164" s="36" t="n">
        <v>-10.8</v>
      </c>
      <c r="BD164" s="36" t="n">
        <v>-22</v>
      </c>
      <c r="BE164" s="36" t="n">
        <v>-7.3</v>
      </c>
      <c r="BF164" s="36" t="n">
        <v>-13.3</v>
      </c>
      <c r="BG164" s="36" t="n">
        <v>-53.4</v>
      </c>
      <c r="BH164" s="36" t="n">
        <v>-16.1</v>
      </c>
      <c r="BI164" s="36" t="n">
        <v>-18.7</v>
      </c>
      <c r="BJ164" s="36" t="n">
        <v>-14.3</v>
      </c>
      <c r="BK164" s="36" t="n">
        <v>-12.9</v>
      </c>
      <c r="BL164" s="36" t="n">
        <v>-62.1</v>
      </c>
      <c r="BM164" s="36" t="n">
        <v>-33</v>
      </c>
      <c r="BN164" s="36" t="n">
        <v>-14</v>
      </c>
      <c r="BO164" s="36" t="n">
        <v>-7</v>
      </c>
      <c r="BP164" s="36" t="n">
        <v>-4</v>
      </c>
      <c r="BQ164" s="36" t="n">
        <v>-58</v>
      </c>
      <c r="BR164" s="36" t="n">
        <v>-9</v>
      </c>
      <c r="BS164" s="36" t="n">
        <v>-9</v>
      </c>
      <c r="BT164" s="36" t="n">
        <v>-4</v>
      </c>
      <c r="BU164" s="36" t="n">
        <v>5</v>
      </c>
      <c r="BV164" s="36" t="n">
        <v>-19</v>
      </c>
      <c r="BW164" s="36" t="n">
        <v>-11</v>
      </c>
      <c r="BX164" s="36" t="n">
        <v>-7</v>
      </c>
      <c r="BY164" s="37" t="n">
        <f aca="false">BY163-BY162</f>
        <v>-7</v>
      </c>
      <c r="BZ164" s="37" t="n">
        <f aca="false">BZ163-BZ162</f>
        <v>-7</v>
      </c>
      <c r="CA164" s="37" t="n">
        <f aca="false">SUM(BW164,BX164,BY164,BZ164)</f>
        <v>-32</v>
      </c>
      <c r="CB164" s="37" t="n">
        <f aca="false">CB163-CB162</f>
        <v>-19.26</v>
      </c>
      <c r="CC164" s="37" t="n">
        <f aca="false">CC163-CC162</f>
        <v>-19.26</v>
      </c>
      <c r="CD164" s="37" t="n">
        <f aca="false">CD163-CD162</f>
        <v>-47.8169152426328</v>
      </c>
      <c r="CE164" s="37" t="n">
        <f aca="false">CE163-CE162</f>
        <v>-41.103431387084</v>
      </c>
      <c r="CF164" s="6"/>
    </row>
    <row r="165" customFormat="false" ht="15" hidden="false" customHeight="true" outlineLevel="0" collapsed="false">
      <c r="B165" s="17" t="s">
        <v>322</v>
      </c>
      <c r="C165" s="46" t="n">
        <f aca="false">C160-C161-C164</f>
        <v>350.4</v>
      </c>
      <c r="D165" s="46" t="n">
        <f aca="false">D160-D161-D164</f>
        <v>378.6</v>
      </c>
      <c r="E165" s="46" t="n">
        <f aca="false">E160-E161-E164</f>
        <v>243.3</v>
      </c>
      <c r="F165" s="46" t="n">
        <f aca="false">F160-F161-F164</f>
        <v>115.3</v>
      </c>
      <c r="G165" s="46" t="n">
        <f aca="false">G160-G161-G164</f>
        <v>127.7</v>
      </c>
      <c r="H165" s="46" t="n">
        <f aca="false">H160-H161-H164</f>
        <v>100.6</v>
      </c>
      <c r="I165" s="46" t="n">
        <f aca="false">I160-I161-I164</f>
        <v>102.9</v>
      </c>
      <c r="J165" s="46" t="n">
        <f aca="false">J160-J161-J164</f>
        <v>-37.7</v>
      </c>
      <c r="K165" s="46" t="n">
        <f aca="false">K160-K161-K164</f>
        <v>56.3000000000001</v>
      </c>
      <c r="L165" s="46" t="n">
        <f aca="false">L160-L161-L164</f>
        <v>95.1999999999999</v>
      </c>
      <c r="M165" s="46" t="n">
        <f aca="false">M160-M161-M164</f>
        <v>49.9</v>
      </c>
      <c r="N165" s="46" t="n">
        <f aca="false">N160-N161-N164</f>
        <v>164.2</v>
      </c>
      <c r="O165" s="46" t="n">
        <f aca="false">O160-O161-O164</f>
        <v>-31.6</v>
      </c>
      <c r="P165" s="46" t="n">
        <f aca="false">P160-P161-P164</f>
        <v>83.6</v>
      </c>
      <c r="Q165" s="46" t="n">
        <f aca="false">Q160-Q161-Q164</f>
        <v>98</v>
      </c>
      <c r="R165" s="46" t="n">
        <f aca="false">R160-R161-R164</f>
        <v>99.2</v>
      </c>
      <c r="S165" s="46" t="n">
        <f aca="false">S160-S161-S164</f>
        <v>249.2</v>
      </c>
      <c r="T165" s="46" t="n">
        <f aca="false">T160-T161-T164</f>
        <v>5.39999999999995</v>
      </c>
      <c r="U165" s="46" t="n">
        <f aca="false">U160-U161-U164</f>
        <v>120.9</v>
      </c>
      <c r="V165" s="46" t="n">
        <f aca="false">V160-V161-V164</f>
        <v>165.1</v>
      </c>
      <c r="W165" s="46" t="n">
        <f aca="false">W160-W161-W164</f>
        <v>122.5</v>
      </c>
      <c r="X165" s="46" t="n">
        <f aca="false">X160-X161-X164</f>
        <v>413.8</v>
      </c>
      <c r="Y165" s="46" t="n">
        <f aca="false">Y160-Y161-Y164</f>
        <v>64.7999999999999</v>
      </c>
      <c r="Z165" s="46" t="n">
        <f aca="false">Z160-Z161-Z164</f>
        <v>175.5</v>
      </c>
      <c r="AA165" s="46" t="n">
        <f aca="false">AA160-AA161-AA164</f>
        <v>230.4</v>
      </c>
      <c r="AB165" s="46" t="n">
        <f aca="false">AB160-AB161-AB164</f>
        <v>136.4</v>
      </c>
      <c r="AC165" s="46" t="n">
        <f aca="false">AC160-AC161-AC164</f>
        <v>607</v>
      </c>
      <c r="AD165" s="46" t="n">
        <f aca="false">AD160-AD161-AD164</f>
        <v>56.8</v>
      </c>
      <c r="AE165" s="46" t="n">
        <f aca="false">AE160-AE161-AE164</f>
        <v>194.3</v>
      </c>
      <c r="AF165" s="46" t="n">
        <f aca="false">AF160-AF161-AF164</f>
        <v>204.3</v>
      </c>
      <c r="AG165" s="46" t="n">
        <f aca="false">AG160-AG161-AG164</f>
        <v>163.6</v>
      </c>
      <c r="AH165" s="46" t="n">
        <f aca="false">AH160-AH161-AH164</f>
        <v>618.9</v>
      </c>
      <c r="AI165" s="46" t="n">
        <f aca="false">AI160-AI161-AI164</f>
        <v>12.5</v>
      </c>
      <c r="AJ165" s="46" t="n">
        <f aca="false">AJ160-AJ161-AJ164</f>
        <v>238.104</v>
      </c>
      <c r="AK165" s="46" t="n">
        <f aca="false">AK160-AK161-AK164</f>
        <v>209.442</v>
      </c>
      <c r="AL165" s="46" t="n">
        <f aca="false">AL160-AL161-AL164</f>
        <v>116.038</v>
      </c>
      <c r="AM165" s="46" t="n">
        <f aca="false">AM160-AM161-AM164</f>
        <v>576.081</v>
      </c>
      <c r="AN165" s="46" t="n">
        <f aca="false">AN160-AN161-AN164</f>
        <v>37.835</v>
      </c>
      <c r="AO165" s="46" t="n">
        <f aca="false">AO160-AO161-AO164</f>
        <v>239.359</v>
      </c>
      <c r="AP165" s="46" t="n">
        <f aca="false">AP160-AP161-AP164</f>
        <v>314.8</v>
      </c>
      <c r="AQ165" s="46" t="n">
        <f aca="false">AQ160-AQ161-AQ164</f>
        <v>156.341</v>
      </c>
      <c r="AR165" s="46" t="n">
        <f aca="false">AR160-AR161-AR164</f>
        <v>748.336</v>
      </c>
      <c r="AS165" s="46" t="n">
        <f aca="false">AS160-AS161-AS164</f>
        <v>26.0000000000001</v>
      </c>
      <c r="AT165" s="46" t="n">
        <f aca="false">AT160-AT161-AT164</f>
        <v>279</v>
      </c>
      <c r="AU165" s="46" t="n">
        <f aca="false">AU160-AU161-AU164</f>
        <v>375.9</v>
      </c>
      <c r="AV165" s="46" t="n">
        <f aca="false">AV160-AV161-AV164</f>
        <v>208.3</v>
      </c>
      <c r="AW165" s="46" t="n">
        <f aca="false">AW160-AW161-AW164</f>
        <v>889.3</v>
      </c>
      <c r="AX165" s="46" t="n">
        <f aca="false">AX160-AX161-AX164</f>
        <v>81.3999999999999</v>
      </c>
      <c r="AY165" s="46" t="n">
        <f aca="false">AY160-AY161-AY164</f>
        <v>288.1</v>
      </c>
      <c r="AZ165" s="46" t="n">
        <f aca="false">AZ160-AZ161-AZ164</f>
        <v>318.2</v>
      </c>
      <c r="BA165" s="46" t="n">
        <f aca="false">BA160-BA161-BA164</f>
        <v>167.9</v>
      </c>
      <c r="BB165" s="46" t="n">
        <f aca="false">BB160-BB161-BB164</f>
        <v>855.5</v>
      </c>
      <c r="BC165" s="46" t="n">
        <f aca="false">BC160-BC161-BC164</f>
        <v>30.1999999999999</v>
      </c>
      <c r="BD165" s="46" t="n">
        <f aca="false">BD160-BD161-BD164</f>
        <v>457.5</v>
      </c>
      <c r="BE165" s="46" t="n">
        <f aca="false">BE160-BE161-BE164</f>
        <v>370.4</v>
      </c>
      <c r="BF165" s="46" t="n">
        <f aca="false">BF160-BF161-BF164</f>
        <v>233</v>
      </c>
      <c r="BG165" s="46" t="n">
        <f aca="false">BG160-BG161-BG164</f>
        <v>1091.1</v>
      </c>
      <c r="BH165" s="46" t="n">
        <f aca="false">BH160-BH161-BH164</f>
        <v>170</v>
      </c>
      <c r="BI165" s="46" t="n">
        <f aca="false">BI160-BI161-BI164</f>
        <v>439.8</v>
      </c>
      <c r="BJ165" s="46" t="n">
        <f aca="false">BJ160-BJ161-BJ164</f>
        <v>540.1</v>
      </c>
      <c r="BK165" s="46" t="n">
        <f aca="false">BK160-BK161-BK164</f>
        <v>342.9</v>
      </c>
      <c r="BL165" s="46" t="n">
        <f aca="false">BL160-BL161-BL164</f>
        <v>1492.8</v>
      </c>
      <c r="BM165" s="46" t="n">
        <f aca="false">BM160-BM161-BM164</f>
        <v>1414</v>
      </c>
      <c r="BN165" s="46" t="n">
        <f aca="false">BN160-BN161-BN164</f>
        <v>372</v>
      </c>
      <c r="BO165" s="46" t="n">
        <f aca="false">BO160-BO161-BO164</f>
        <v>458</v>
      </c>
      <c r="BP165" s="46" t="n">
        <f aca="false">BP160-BP161-BP164</f>
        <v>353</v>
      </c>
      <c r="BQ165" s="46" t="n">
        <f aca="false">BQ160-BQ161-BQ164</f>
        <v>2596</v>
      </c>
      <c r="BR165" s="46" t="n">
        <f aca="false">BR160-BR161-BR164</f>
        <v>132</v>
      </c>
      <c r="BS165" s="46" t="n">
        <f aca="false">BS160-BS161-BS164</f>
        <v>365</v>
      </c>
      <c r="BT165" s="46" t="n">
        <f aca="false">BT160-BT161-BT164</f>
        <v>450</v>
      </c>
      <c r="BU165" s="46" t="n">
        <f aca="false">BU160-BU161-BU164</f>
        <v>279</v>
      </c>
      <c r="BV165" s="46" t="n">
        <f aca="false">BV160-BV161-BV164</f>
        <v>1226</v>
      </c>
      <c r="BW165" s="46" t="n">
        <f aca="false">BW160-BW161-BW164</f>
        <v>117</v>
      </c>
      <c r="BX165" s="46" t="n">
        <f aca="false">BX160-BX161-BX164</f>
        <v>320</v>
      </c>
      <c r="BY165" s="34" t="n">
        <f aca="false">BY160-BY161-BY164</f>
        <v>422.079520133371</v>
      </c>
      <c r="BZ165" s="34" t="n">
        <f aca="false">BZ160-BZ161-BZ164</f>
        <v>289.311701865112</v>
      </c>
      <c r="CA165" s="34" t="n">
        <f aca="false">CA160-CA161-CA164</f>
        <v>1148.39122199848</v>
      </c>
      <c r="CB165" s="34" t="n">
        <f aca="false">CB160-CB161-CB164</f>
        <v>1652.09619835592</v>
      </c>
      <c r="CC165" s="34" t="n">
        <f aca="false">CC160-CC161-CC164</f>
        <v>2064.24908889726</v>
      </c>
      <c r="CD165" s="34" t="n">
        <f aca="false">CD160-CD161-CD164</f>
        <v>2410.63358148744</v>
      </c>
      <c r="CE165" s="34" t="n">
        <f aca="false">CE160-CE161-CE164</f>
        <v>2692.81837181754</v>
      </c>
      <c r="CF165" s="6"/>
      <c r="CH165" s="21" t="n">
        <f aca="false">IFERROR((CE165/BV165)^(1/5)-1,"n/m")</f>
        <v>0.170424268698932</v>
      </c>
      <c r="CI165" s="21" t="n">
        <f aca="false">IFERROR((BV165/AW165)^(1/5)-1,"n/m")</f>
        <v>0.0663221621840406</v>
      </c>
      <c r="CJ165" s="21" t="n">
        <f aca="false">IFERROR((BV165/X165)^(1/10)-1,"n/m")</f>
        <v>0.114730793684029</v>
      </c>
      <c r="CK165" s="21" t="n">
        <f aca="false">IFERROR((BV165/C165)^(1/19)-1,"n/m")</f>
        <v>0.0681388314407194</v>
      </c>
    </row>
    <row r="166" customFormat="false" ht="15" hidden="false" customHeight="true" outlineLevel="0" collapsed="false">
      <c r="B166" s="26" t="s">
        <v>323</v>
      </c>
      <c r="C166" s="36" t="n">
        <v>106.6</v>
      </c>
      <c r="D166" s="36" t="n">
        <v>116.1</v>
      </c>
      <c r="E166" s="36" t="n">
        <v>71.8</v>
      </c>
      <c r="F166" s="36" t="n">
        <v>27.4</v>
      </c>
      <c r="G166" s="36" t="n">
        <v>29.2</v>
      </c>
      <c r="H166" s="36" t="n">
        <v>21</v>
      </c>
      <c r="I166" s="36" t="n">
        <v>16.9</v>
      </c>
      <c r="J166" s="36" t="n">
        <v>-8.5</v>
      </c>
      <c r="K166" s="36" t="n">
        <v>15</v>
      </c>
      <c r="L166" s="36" t="n">
        <v>22.9</v>
      </c>
      <c r="M166" s="36" t="n">
        <v>14.4</v>
      </c>
      <c r="N166" s="36" t="n">
        <v>44</v>
      </c>
      <c r="O166" s="36" t="n">
        <v>-8.5</v>
      </c>
      <c r="P166" s="36" t="n">
        <v>23.9</v>
      </c>
      <c r="Q166" s="36" t="n">
        <v>44.1</v>
      </c>
      <c r="R166" s="36" t="n">
        <v>35.3</v>
      </c>
      <c r="S166" s="36" t="n">
        <v>94.9</v>
      </c>
      <c r="T166" s="36" t="n">
        <v>-0.8</v>
      </c>
      <c r="U166" s="36" t="n">
        <v>38.9</v>
      </c>
      <c r="V166" s="36" t="n">
        <v>47.5</v>
      </c>
      <c r="W166" s="36" t="n">
        <v>39.3</v>
      </c>
      <c r="X166" s="36" t="n">
        <v>124.9</v>
      </c>
      <c r="Y166" s="36" t="n">
        <v>19.7</v>
      </c>
      <c r="Z166" s="36" t="n">
        <v>53.4</v>
      </c>
      <c r="AA166" s="36" t="n">
        <v>70.9</v>
      </c>
      <c r="AB166" s="36" t="n">
        <v>37.6</v>
      </c>
      <c r="AC166" s="36" t="n">
        <v>181.6</v>
      </c>
      <c r="AD166" s="36" t="n">
        <v>14.5</v>
      </c>
      <c r="AE166" s="36" t="n">
        <v>52</v>
      </c>
      <c r="AF166" s="36" t="n">
        <v>52.8</v>
      </c>
      <c r="AG166" s="36" t="n">
        <v>-213.7</v>
      </c>
      <c r="AH166" s="36" t="n">
        <v>-94.5</v>
      </c>
      <c r="AI166" s="36" t="n">
        <v>2.5</v>
      </c>
      <c r="AJ166" s="36" t="n">
        <v>52.601</v>
      </c>
      <c r="AK166" s="36" t="n">
        <v>29.089</v>
      </c>
      <c r="AL166" s="36" t="n">
        <v>21.557</v>
      </c>
      <c r="AM166" s="36" t="n">
        <v>105.705</v>
      </c>
      <c r="AN166" s="36" t="n">
        <v>-4.991</v>
      </c>
      <c r="AO166" s="36" t="n">
        <v>49.89</v>
      </c>
      <c r="AP166" s="36" t="n">
        <v>66.178</v>
      </c>
      <c r="AQ166" s="36" t="n">
        <v>25.272</v>
      </c>
      <c r="AR166" s="36" t="n">
        <v>136.349</v>
      </c>
      <c r="AS166" s="36" t="n">
        <v>0.1</v>
      </c>
      <c r="AT166" s="36" t="n">
        <v>61.4</v>
      </c>
      <c r="AU166" s="36" t="n">
        <v>81.5</v>
      </c>
      <c r="AV166" s="36" t="n">
        <v>25.3</v>
      </c>
      <c r="AW166" s="36" t="n">
        <v>168.2</v>
      </c>
      <c r="AX166" s="36" t="n">
        <v>15.9</v>
      </c>
      <c r="AY166" s="36" t="n">
        <v>62.3</v>
      </c>
      <c r="AZ166" s="36" t="n">
        <v>63.6</v>
      </c>
      <c r="BA166" s="36" t="n">
        <v>11.6</v>
      </c>
      <c r="BB166" s="36" t="n">
        <v>153.2</v>
      </c>
      <c r="BC166" s="36" t="n">
        <v>5.8</v>
      </c>
      <c r="BD166" s="36" t="n">
        <v>104.4</v>
      </c>
      <c r="BE166" s="36" t="n">
        <v>79.2</v>
      </c>
      <c r="BF166" s="36" t="n">
        <v>45.4</v>
      </c>
      <c r="BG166" s="36" t="n">
        <v>234.8</v>
      </c>
      <c r="BH166" s="36" t="n">
        <v>35.5</v>
      </c>
      <c r="BI166" s="36" t="n">
        <v>91.9</v>
      </c>
      <c r="BJ166" s="36" t="n">
        <v>109.9</v>
      </c>
      <c r="BK166" s="36" t="n">
        <v>55.1</v>
      </c>
      <c r="BL166" s="36" t="n">
        <v>292.5</v>
      </c>
      <c r="BM166" s="36" t="n">
        <v>368</v>
      </c>
      <c r="BN166" s="36" t="n">
        <v>78</v>
      </c>
      <c r="BO166" s="36" t="n">
        <v>95</v>
      </c>
      <c r="BP166" s="36" t="n">
        <v>59</v>
      </c>
      <c r="BQ166" s="36" t="n">
        <v>600</v>
      </c>
      <c r="BR166" s="36" t="n">
        <v>28</v>
      </c>
      <c r="BS166" s="36" t="n">
        <v>73</v>
      </c>
      <c r="BT166" s="36" t="n">
        <v>89</v>
      </c>
      <c r="BU166" s="36" t="n">
        <v>46</v>
      </c>
      <c r="BV166" s="36" t="n">
        <v>236</v>
      </c>
      <c r="BW166" s="36" t="n">
        <v>38</v>
      </c>
      <c r="BX166" s="36" t="n">
        <v>64</v>
      </c>
      <c r="BY166" s="37" t="n">
        <f aca="false">BY165*BY167</f>
        <v>89.0772966090851</v>
      </c>
      <c r="BZ166" s="37" t="n">
        <f aca="false">BZ165*BZ167</f>
        <v>61.0574620426371</v>
      </c>
      <c r="CA166" s="37" t="n">
        <f aca="false">SUM(BW166,BX166,BY166,BZ166)</f>
        <v>252.134758651722</v>
      </c>
      <c r="CB166" s="37" t="n">
        <f aca="false">CB165*CB167</f>
        <v>363.461163638302</v>
      </c>
      <c r="CC166" s="37" t="n">
        <f aca="false">CC165*CC167</f>
        <v>454.134799557397</v>
      </c>
      <c r="CD166" s="37" t="n">
        <f aca="false">CD165*CD167</f>
        <v>530.339387927236</v>
      </c>
      <c r="CE166" s="37" t="n">
        <f aca="false">CE165*CE167</f>
        <v>592.42004179986</v>
      </c>
      <c r="CF166" s="20" t="s">
        <v>324</v>
      </c>
    </row>
    <row r="167" customFormat="false" ht="15" hidden="false" customHeight="true" outlineLevel="0" collapsed="false">
      <c r="B167" s="26" t="s">
        <v>325</v>
      </c>
      <c r="C167" s="38" t="n">
        <f aca="false">IF(AND(ISNUMBER(C166),ISNUMBER(C165)),IFERROR(C166/C165,""),"")</f>
        <v>0.304223744292237</v>
      </c>
      <c r="D167" s="38" t="n">
        <f aca="false">IF(AND(ISNUMBER(D166),ISNUMBER(D165)),IFERROR(D166/D165,""),"")</f>
        <v>0.306656101426307</v>
      </c>
      <c r="E167" s="38" t="n">
        <f aca="false">IF(AND(ISNUMBER(E166),ISNUMBER(E165)),IFERROR(E166/E165,""),"")</f>
        <v>0.295108919030004</v>
      </c>
      <c r="F167" s="38" t="n">
        <f aca="false">IF(AND(ISNUMBER(F166),ISNUMBER(F165)),IFERROR(F166/F165,""),"")</f>
        <v>0.237640936686904</v>
      </c>
      <c r="G167" s="38" t="n">
        <f aca="false">IF(AND(ISNUMBER(G166),ISNUMBER(G165)),IFERROR(G166/G165,""),"")</f>
        <v>0.22866092404072</v>
      </c>
      <c r="H167" s="38" t="n">
        <f aca="false">IF(AND(ISNUMBER(H166),ISNUMBER(H165)),IFERROR(H166/H165,""),"")</f>
        <v>0.208747514910537</v>
      </c>
      <c r="I167" s="38" t="n">
        <f aca="false">IF(AND(ISNUMBER(I166),ISNUMBER(I165)),IFERROR(I166/I165,""),"")</f>
        <v>0.164237123420797</v>
      </c>
      <c r="J167" s="38" t="n">
        <f aca="false">IF(AND(ISNUMBER(J166),ISNUMBER(J165)),IFERROR(J166/J165,""),"")</f>
        <v>0.225464190981432</v>
      </c>
      <c r="K167" s="38" t="n">
        <f aca="false">IF(AND(ISNUMBER(K166),ISNUMBER(K165)),IFERROR(K166/K165,""),"")</f>
        <v>0.266429840142096</v>
      </c>
      <c r="L167" s="38" t="n">
        <f aca="false">IF(AND(ISNUMBER(L166),ISNUMBER(L165)),IFERROR(L166/L165,""),"")</f>
        <v>0.240546218487395</v>
      </c>
      <c r="M167" s="38" t="n">
        <f aca="false">IF(AND(ISNUMBER(M166),ISNUMBER(M165)),IFERROR(M166/M165,""),"")</f>
        <v>0.288577154308617</v>
      </c>
      <c r="N167" s="38" t="n">
        <f aca="false">IF(AND(ISNUMBER(N166),ISNUMBER(N165)),IFERROR(N166/N165,""),"")</f>
        <v>0.267965895249695</v>
      </c>
      <c r="O167" s="38" t="n">
        <f aca="false">IF(AND(ISNUMBER(O166),ISNUMBER(O165)),IFERROR(O166/O165,""),"")</f>
        <v>0.268987341772152</v>
      </c>
      <c r="P167" s="38" t="n">
        <f aca="false">IF(AND(ISNUMBER(P166),ISNUMBER(P165)),IFERROR(P166/P165,""),"")</f>
        <v>0.285885167464115</v>
      </c>
      <c r="Q167" s="38" t="n">
        <f aca="false">IF(AND(ISNUMBER(Q166),ISNUMBER(Q165)),IFERROR(Q166/Q165,""),"")</f>
        <v>0.45</v>
      </c>
      <c r="R167" s="38" t="n">
        <f aca="false">IF(AND(ISNUMBER(R166),ISNUMBER(R165)),IFERROR(R166/R165,""),"")</f>
        <v>0.355846774193549</v>
      </c>
      <c r="S167" s="38" t="n">
        <f aca="false">IF(AND(ISNUMBER(S166),ISNUMBER(S165)),IFERROR(S166/S165,""),"")</f>
        <v>0.380818619582664</v>
      </c>
      <c r="T167" s="38" t="n">
        <f aca="false">IF(AND(ISNUMBER(T166),ISNUMBER(T165)),IFERROR(T166/T165,""),"")</f>
        <v>-0.14814814814815</v>
      </c>
      <c r="U167" s="38" t="n">
        <f aca="false">IF(AND(ISNUMBER(U166),ISNUMBER(U165)),IFERROR(U166/U165,""),"")</f>
        <v>0.321753515301903</v>
      </c>
      <c r="V167" s="38" t="n">
        <f aca="false">IF(AND(ISNUMBER(V166),ISNUMBER(V165)),IFERROR(V166/V165,""),"")</f>
        <v>0.287704421562689</v>
      </c>
      <c r="W167" s="38" t="n">
        <f aca="false">IF(AND(ISNUMBER(W166),ISNUMBER(W165)),IFERROR(W166/W165,""),"")</f>
        <v>0.320816326530612</v>
      </c>
      <c r="X167" s="38" t="n">
        <f aca="false">IF(AND(ISNUMBER(X166),ISNUMBER(X165)),IFERROR(X166/X165,""),"")</f>
        <v>0.301836636056066</v>
      </c>
      <c r="Y167" s="38" t="n">
        <f aca="false">IF(AND(ISNUMBER(Y166),ISNUMBER(Y165)),IFERROR(Y166/Y165,""),"")</f>
        <v>0.304012345679013</v>
      </c>
      <c r="Z167" s="38" t="n">
        <f aca="false">IF(AND(ISNUMBER(Z166),ISNUMBER(Z165)),IFERROR(Z166/Z165,""),"")</f>
        <v>0.304273504273504</v>
      </c>
      <c r="AA167" s="38" t="n">
        <f aca="false">IF(AND(ISNUMBER(AA166),ISNUMBER(AA165)),IFERROR(AA166/AA165,""),"")</f>
        <v>0.307725694444444</v>
      </c>
      <c r="AB167" s="38" t="n">
        <f aca="false">IF(AND(ISNUMBER(AB166),ISNUMBER(AB165)),IFERROR(AB166/AB165,""),"")</f>
        <v>0.275659824046921</v>
      </c>
      <c r="AC167" s="38" t="n">
        <f aca="false">IF(AND(ISNUMBER(AC166),ISNUMBER(AC165)),IFERROR(AC166/AC165,""),"")</f>
        <v>0.299176276771005</v>
      </c>
      <c r="AD167" s="38" t="n">
        <f aca="false">IF(AND(ISNUMBER(AD166),ISNUMBER(AD165)),IFERROR(AD166/AD165,""),"")</f>
        <v>0.255281690140845</v>
      </c>
      <c r="AE167" s="38" t="n">
        <f aca="false">IF(AND(ISNUMBER(AE166),ISNUMBER(AE165)),IFERROR(AE166/AE165,""),"")</f>
        <v>0.267627380339681</v>
      </c>
      <c r="AF167" s="38" t="n">
        <f aca="false">IF(AND(ISNUMBER(AF166),ISNUMBER(AF165)),IFERROR(AF166/AF165,""),"")</f>
        <v>0.258443465491924</v>
      </c>
      <c r="AG167" s="38" t="n">
        <f aca="false">IF(AND(ISNUMBER(AG166),ISNUMBER(AG165)),IFERROR(AG166/AG165,""),"")</f>
        <v>-1.30623471882641</v>
      </c>
      <c r="AH167" s="38" t="n">
        <f aca="false">IF(AND(ISNUMBER(AH166),ISNUMBER(AH165)),IFERROR(AH166/AH165,""),"")</f>
        <v>-0.152690256907416</v>
      </c>
      <c r="AI167" s="38" t="n">
        <f aca="false">IF(AND(ISNUMBER(AI166),ISNUMBER(AI165)),IFERROR(AI166/AI165,""),"")</f>
        <v>0.2</v>
      </c>
      <c r="AJ167" s="38" t="n">
        <f aca="false">IF(AND(ISNUMBER(AJ166),ISNUMBER(AJ165)),IFERROR(AJ166/AJ165,""),"")</f>
        <v>0.220916070288613</v>
      </c>
      <c r="AK167" s="38" t="n">
        <f aca="false">IF(AND(ISNUMBER(AK166),ISNUMBER(AK165)),IFERROR(AK166/AK165,""),"")</f>
        <v>0.138888093123633</v>
      </c>
      <c r="AL167" s="38" t="n">
        <f aca="false">IF(AND(ISNUMBER(AL166),ISNUMBER(AL165)),IFERROR(AL166/AL165,""),"")</f>
        <v>0.185775349454489</v>
      </c>
      <c r="AM167" s="38" t="n">
        <f aca="false">IF(AND(ISNUMBER(AM166),ISNUMBER(AM165)),IFERROR(AM166/AM165,""),"")</f>
        <v>0.183489821743817</v>
      </c>
      <c r="AN167" s="38" t="n">
        <f aca="false">IF(AND(ISNUMBER(AN166),ISNUMBER(AN165)),IFERROR(AN166/AN165,""),"")</f>
        <v>-0.131914893617021</v>
      </c>
      <c r="AO167" s="38" t="n">
        <f aca="false">IF(AND(ISNUMBER(AO166),ISNUMBER(AO165)),IFERROR(AO166/AO165,""),"")</f>
        <v>0.208431686295481</v>
      </c>
      <c r="AP167" s="38" t="n">
        <f aca="false">IF(AND(ISNUMBER(AP166),ISNUMBER(AP165)),IFERROR(AP166/AP165,""),"")</f>
        <v>0.210222363405337</v>
      </c>
      <c r="AQ167" s="38" t="n">
        <f aca="false">IF(AND(ISNUMBER(AQ166),ISNUMBER(AQ165)),IFERROR(AQ166/AQ165,""),"")</f>
        <v>0.161646656986971</v>
      </c>
      <c r="AR167" s="38" t="n">
        <f aca="false">IF(AND(ISNUMBER(AR166),ISNUMBER(AR165)),IFERROR(AR166/AR165,""),"")</f>
        <v>0.182202914198969</v>
      </c>
      <c r="AS167" s="38" t="n">
        <f aca="false">IF(AND(ISNUMBER(AS166),ISNUMBER(AS165)),IFERROR(AS166/AS165,""),"")</f>
        <v>0.00384615384615383</v>
      </c>
      <c r="AT167" s="38" t="n">
        <f aca="false">IF(AND(ISNUMBER(AT166),ISNUMBER(AT165)),IFERROR(AT166/AT165,""),"")</f>
        <v>0.220071684587814</v>
      </c>
      <c r="AU167" s="38" t="n">
        <f aca="false">IF(AND(ISNUMBER(AU166),ISNUMBER(AU165)),IFERROR(AU166/AU165,""),"")</f>
        <v>0.216812982176111</v>
      </c>
      <c r="AV167" s="38" t="n">
        <f aca="false">IF(AND(ISNUMBER(AV166),ISNUMBER(AV165)),IFERROR(AV166/AV165,""),"")</f>
        <v>0.121459433509362</v>
      </c>
      <c r="AW167" s="38" t="n">
        <f aca="false">IF(AND(ISNUMBER(AW166),ISNUMBER(AW165)),IFERROR(AW166/AW165,""),"")</f>
        <v>0.189137523895199</v>
      </c>
      <c r="AX167" s="38" t="n">
        <f aca="false">IF(AND(ISNUMBER(AX166),ISNUMBER(AX165)),IFERROR(AX166/AX165,""),"")</f>
        <v>0.195331695331696</v>
      </c>
      <c r="AY167" s="38" t="n">
        <f aca="false">IF(AND(ISNUMBER(AY166),ISNUMBER(AY165)),IFERROR(AY166/AY165,""),"")</f>
        <v>0.216244359597362</v>
      </c>
      <c r="AZ167" s="38" t="n">
        <f aca="false">IF(AND(ISNUMBER(AZ166),ISNUMBER(AZ165)),IFERROR(AZ166/AZ165,""),"")</f>
        <v>0.199874292897549</v>
      </c>
      <c r="BA167" s="38" t="n">
        <f aca="false">IF(AND(ISNUMBER(BA166),ISNUMBER(BA165)),IFERROR(BA166/BA165,""),"")</f>
        <v>0.0690887432995831</v>
      </c>
      <c r="BB167" s="38" t="n">
        <f aca="false">IF(AND(ISNUMBER(BB166),ISNUMBER(BB165)),IFERROR(BB166/BB165,""),"")</f>
        <v>0.179076563413209</v>
      </c>
      <c r="BC167" s="38" t="n">
        <f aca="false">IF(AND(ISNUMBER(BC166),ISNUMBER(BC165)),IFERROR(BC166/BC165,""),"")</f>
        <v>0.192052980132451</v>
      </c>
      <c r="BD167" s="38" t="n">
        <f aca="false">IF(AND(ISNUMBER(BD166),ISNUMBER(BD165)),IFERROR(BD166/BD165,""),"")</f>
        <v>0.228196721311475</v>
      </c>
      <c r="BE167" s="38" t="n">
        <f aca="false">IF(AND(ISNUMBER(BE166),ISNUMBER(BE165)),IFERROR(BE166/BE165,""),"")</f>
        <v>0.213822894168467</v>
      </c>
      <c r="BF167" s="38" t="n">
        <f aca="false">IF(AND(ISNUMBER(BF166),ISNUMBER(BF165)),IFERROR(BF166/BF165,""),"")</f>
        <v>0.194849785407725</v>
      </c>
      <c r="BG167" s="38" t="n">
        <f aca="false">IF(AND(ISNUMBER(BG166),ISNUMBER(BG165)),IFERROR(BG166/BG165,""),"")</f>
        <v>0.215195674090368</v>
      </c>
      <c r="BH167" s="38" t="n">
        <f aca="false">IF(AND(ISNUMBER(BH166),ISNUMBER(BH165)),IFERROR(BH166/BH165,""),"")</f>
        <v>0.208823529411765</v>
      </c>
      <c r="BI167" s="38" t="n">
        <f aca="false">IF(AND(ISNUMBER(BI166),ISNUMBER(BI165)),IFERROR(BI166/BI165,""),"")</f>
        <v>0.208958617553433</v>
      </c>
      <c r="BJ167" s="38" t="n">
        <f aca="false">IF(AND(ISNUMBER(BJ166),ISNUMBER(BJ165)),IFERROR(BJ166/BJ165,""),"")</f>
        <v>0.203480836882059</v>
      </c>
      <c r="BK167" s="38" t="n">
        <f aca="false">IF(AND(ISNUMBER(BK166),ISNUMBER(BK165)),IFERROR(BK166/BK165,""),"")</f>
        <v>0.160688247302421</v>
      </c>
      <c r="BL167" s="38" t="n">
        <f aca="false">IF(AND(ISNUMBER(BL166),ISNUMBER(BL165)),IFERROR(BL166/BL165,""),"")</f>
        <v>0.195940514469453</v>
      </c>
      <c r="BM167" s="38" t="n">
        <f aca="false">IF(AND(ISNUMBER(BM166),ISNUMBER(BM165)),IFERROR(BM166/BM165,""),"")</f>
        <v>0.26025459688826</v>
      </c>
      <c r="BN167" s="38" t="n">
        <f aca="false">IF(AND(ISNUMBER(BN166),ISNUMBER(BN165)),IFERROR(BN166/BN165,""),"")</f>
        <v>0.209677419354839</v>
      </c>
      <c r="BO167" s="38" t="n">
        <f aca="false">IF(AND(ISNUMBER(BO166),ISNUMBER(BO165)),IFERROR(BO166/BO165,""),"")</f>
        <v>0.207423580786026</v>
      </c>
      <c r="BP167" s="38" t="n">
        <f aca="false">IF(AND(ISNUMBER(BP166),ISNUMBER(BP165)),IFERROR(BP166/BP165,""),"")</f>
        <v>0.1671388101983</v>
      </c>
      <c r="BQ167" s="38" t="n">
        <f aca="false">IF(AND(ISNUMBER(BQ166),ISNUMBER(BQ165)),IFERROR(BQ166/BQ165,""),"")</f>
        <v>0.231124807395994</v>
      </c>
      <c r="BR167" s="38" t="n">
        <f aca="false">IF(AND(ISNUMBER(BR166),ISNUMBER(BR165)),IFERROR(BR166/BR165,""),"")</f>
        <v>0.212121212121212</v>
      </c>
      <c r="BS167" s="38" t="n">
        <f aca="false">IF(AND(ISNUMBER(BS166),ISNUMBER(BS165)),IFERROR(BS166/BS165,""),"")</f>
        <v>0.2</v>
      </c>
      <c r="BT167" s="38" t="n">
        <f aca="false">IF(AND(ISNUMBER(BT166),ISNUMBER(BT165)),IFERROR(BT166/BT165,""),"")</f>
        <v>0.197777777777778</v>
      </c>
      <c r="BU167" s="38" t="n">
        <f aca="false">IF(AND(ISNUMBER(BU166),ISNUMBER(BU165)),IFERROR(BU166/BU165,""),"")</f>
        <v>0.164874551971326</v>
      </c>
      <c r="BV167" s="38" t="n">
        <f aca="false">IF(AND(ISNUMBER(BV166),ISNUMBER(BV165)),IFERROR(BV166/BV165,""),"")</f>
        <v>0.192495921696574</v>
      </c>
      <c r="BW167" s="38" t="n">
        <f aca="false">IF(AND(ISNUMBER(BW166),ISNUMBER(BW165)),IFERROR(BW166/BW165,""),"")</f>
        <v>0.324786324786325</v>
      </c>
      <c r="BX167" s="38" t="n">
        <f aca="false">IF(AND(ISNUMBER(BX166),ISNUMBER(BX165)),IFERROR(BX166/BX165,""),"")</f>
        <v>0.2</v>
      </c>
      <c r="BY167" s="25" t="n">
        <f aca="false">$CP$17</f>
        <v>0.211043872919818</v>
      </c>
      <c r="BZ167" s="25" t="n">
        <f aca="false">$CP$17</f>
        <v>0.211043872919818</v>
      </c>
      <c r="CA167" s="25" t="n">
        <f aca="false">IFERROR(CA166/CA165,"")</f>
        <v>0.219554759581796</v>
      </c>
      <c r="CB167" s="49" t="n">
        <v>0.22</v>
      </c>
      <c r="CC167" s="49" t="n">
        <v>0.22</v>
      </c>
      <c r="CD167" s="49" t="n">
        <v>0.22</v>
      </c>
      <c r="CE167" s="49" t="n">
        <v>0.22</v>
      </c>
      <c r="CF167" s="20" t="s">
        <v>326</v>
      </c>
      <c r="CH167" s="39" t="n">
        <f aca="false">IFERROR(AVERAGE(CA167,CB167,CC167,CD167,CE167),"n/m")</f>
        <v>0.219910951916359</v>
      </c>
      <c r="CI167" s="39" t="n">
        <f aca="false">IFERROR(AVERAGE(BB167,BG167,BL167,BQ167,BV167),"n/m")</f>
        <v>0.20276669621312</v>
      </c>
      <c r="CJ167" s="39" t="n">
        <f aca="false">IFERROR(AVERAGE(AC167,AH167,AM167,AR167,AW167,BB167,BG167,BL167,BQ167,BV167),"n/m")</f>
        <v>0.171514976076717</v>
      </c>
      <c r="CK167" s="39" t="n">
        <f aca="false">IFERROR(AVERAGE(C167,D167,E167,F167,G167,H167,I167,N167,S167,X167,AC167,AH167,AM167,AR167,AW167,BB167,BG167,BL167,BQ167,BV167),"n/m")</f>
        <v>0.220552308773155</v>
      </c>
    </row>
    <row r="168" customFormat="false" ht="15" hidden="false" customHeight="true" outlineLevel="0" collapsed="false">
      <c r="B168" s="17" t="s">
        <v>327</v>
      </c>
      <c r="C168" s="46" t="n">
        <f aca="false">C165-C166</f>
        <v>243.8</v>
      </c>
      <c r="D168" s="46" t="n">
        <f aca="false">D165-D166</f>
        <v>262.5</v>
      </c>
      <c r="E168" s="46" t="n">
        <f aca="false">E165-E166</f>
        <v>171.5</v>
      </c>
      <c r="F168" s="46" t="n">
        <f aca="false">F165-F166</f>
        <v>87.8999999999998</v>
      </c>
      <c r="G168" s="46" t="n">
        <f aca="false">G165-G166</f>
        <v>98.5</v>
      </c>
      <c r="H168" s="46" t="n">
        <f aca="false">H165-H166</f>
        <v>79.6</v>
      </c>
      <c r="I168" s="46" t="n">
        <f aca="false">I165-I166</f>
        <v>85.9999999999999</v>
      </c>
      <c r="J168" s="46" t="n">
        <f aca="false">J165-J166</f>
        <v>-29.2</v>
      </c>
      <c r="K168" s="46" t="n">
        <f aca="false">K165-K166</f>
        <v>41.3000000000001</v>
      </c>
      <c r="L168" s="46" t="n">
        <f aca="false">L165-L166</f>
        <v>72.2999999999999</v>
      </c>
      <c r="M168" s="46" t="n">
        <f aca="false">M165-M166</f>
        <v>35.5</v>
      </c>
      <c r="N168" s="46" t="n">
        <f aca="false">N165-N166</f>
        <v>120.2</v>
      </c>
      <c r="O168" s="46" t="n">
        <f aca="false">O165-O166</f>
        <v>-23.1</v>
      </c>
      <c r="P168" s="46" t="n">
        <f aca="false">P165-P166</f>
        <v>59.7</v>
      </c>
      <c r="Q168" s="46" t="n">
        <f aca="false">Q165-Q166</f>
        <v>53.9</v>
      </c>
      <c r="R168" s="46" t="n">
        <f aca="false">R165-R166</f>
        <v>63.9</v>
      </c>
      <c r="S168" s="46" t="n">
        <f aca="false">S165-S166</f>
        <v>154.3</v>
      </c>
      <c r="T168" s="46" t="n">
        <f aca="false">T165-T166</f>
        <v>6.19999999999995</v>
      </c>
      <c r="U168" s="46" t="n">
        <f aca="false">U165-U166</f>
        <v>81.9999999999999</v>
      </c>
      <c r="V168" s="46" t="n">
        <f aca="false">V165-V166</f>
        <v>117.6</v>
      </c>
      <c r="W168" s="46" t="n">
        <f aca="false">W165-W166</f>
        <v>83.2000000000001</v>
      </c>
      <c r="X168" s="46" t="n">
        <f aca="false">X165-X166</f>
        <v>288.9</v>
      </c>
      <c r="Y168" s="46" t="n">
        <f aca="false">Y165-Y166</f>
        <v>45.0999999999999</v>
      </c>
      <c r="Z168" s="46" t="n">
        <f aca="false">Z165-Z166</f>
        <v>122.1</v>
      </c>
      <c r="AA168" s="46" t="n">
        <f aca="false">AA165-AA166</f>
        <v>159.5</v>
      </c>
      <c r="AB168" s="46" t="n">
        <f aca="false">AB165-AB166</f>
        <v>98.7999999999999</v>
      </c>
      <c r="AC168" s="46" t="n">
        <f aca="false">AC165-AC166</f>
        <v>425.4</v>
      </c>
      <c r="AD168" s="46" t="n">
        <f aca="false">AD165-AD166</f>
        <v>42.3</v>
      </c>
      <c r="AE168" s="46" t="n">
        <f aca="false">AE165-AE166</f>
        <v>142.3</v>
      </c>
      <c r="AF168" s="46" t="n">
        <f aca="false">AF165-AF166</f>
        <v>151.5</v>
      </c>
      <c r="AG168" s="46" t="n">
        <f aca="false">AG165-AG166</f>
        <v>377.3</v>
      </c>
      <c r="AH168" s="46" t="n">
        <f aca="false">AH165-AH166</f>
        <v>713.4</v>
      </c>
      <c r="AI168" s="46" t="n">
        <f aca="false">AI165-AI166</f>
        <v>9.99999999999998</v>
      </c>
      <c r="AJ168" s="46" t="n">
        <f aca="false">AJ165-AJ166</f>
        <v>185.503</v>
      </c>
      <c r="AK168" s="46" t="n">
        <f aca="false">AK165-AK166</f>
        <v>180.353</v>
      </c>
      <c r="AL168" s="46" t="n">
        <f aca="false">AL165-AL166</f>
        <v>94.481</v>
      </c>
      <c r="AM168" s="46" t="n">
        <f aca="false">AM165-AM166</f>
        <v>470.376</v>
      </c>
      <c r="AN168" s="46" t="n">
        <f aca="false">AN165-AN166</f>
        <v>42.826</v>
      </c>
      <c r="AO168" s="46" t="n">
        <f aca="false">AO165-AO166</f>
        <v>189.469</v>
      </c>
      <c r="AP168" s="46" t="n">
        <f aca="false">AP165-AP166</f>
        <v>248.622</v>
      </c>
      <c r="AQ168" s="46" t="n">
        <f aca="false">AQ165-AQ166</f>
        <v>131.069</v>
      </c>
      <c r="AR168" s="46" t="n">
        <f aca="false">AR165-AR166</f>
        <v>611.987</v>
      </c>
      <c r="AS168" s="46" t="n">
        <f aca="false">AS165-AS166</f>
        <v>25.9000000000001</v>
      </c>
      <c r="AT168" s="46" t="n">
        <f aca="false">AT165-AT166</f>
        <v>217.6</v>
      </c>
      <c r="AU168" s="46" t="n">
        <f aca="false">AU165-AU166</f>
        <v>294.4</v>
      </c>
      <c r="AV168" s="46" t="n">
        <f aca="false">AV165-AV166</f>
        <v>183</v>
      </c>
      <c r="AW168" s="46" t="n">
        <f aca="false">AW165-AW166</f>
        <v>721.1</v>
      </c>
      <c r="AX168" s="46" t="n">
        <f aca="false">AX165-AX166</f>
        <v>65.4999999999999</v>
      </c>
      <c r="AY168" s="46" t="n">
        <f aca="false">AY165-AY166</f>
        <v>225.8</v>
      </c>
      <c r="AZ168" s="46" t="n">
        <f aca="false">AZ165-AZ166</f>
        <v>254.6</v>
      </c>
      <c r="BA168" s="46" t="n">
        <f aca="false">BA165-BA166</f>
        <v>156.3</v>
      </c>
      <c r="BB168" s="46" t="n">
        <f aca="false">BB165-BB166</f>
        <v>702.3</v>
      </c>
      <c r="BC168" s="46" t="n">
        <f aca="false">BC165-BC166</f>
        <v>24.3999999999999</v>
      </c>
      <c r="BD168" s="46" t="n">
        <f aca="false">BD165-BD166</f>
        <v>353.1</v>
      </c>
      <c r="BE168" s="46" t="n">
        <f aca="false">BE165-BE166</f>
        <v>291.2</v>
      </c>
      <c r="BF168" s="46" t="n">
        <f aca="false">BF165-BF166</f>
        <v>187.6</v>
      </c>
      <c r="BG168" s="46" t="n">
        <f aca="false">BG165-BG166</f>
        <v>856.3</v>
      </c>
      <c r="BH168" s="46" t="n">
        <f aca="false">BH165-BH166</f>
        <v>134.5</v>
      </c>
      <c r="BI168" s="46" t="n">
        <f aca="false">BI165-BI166</f>
        <v>347.9</v>
      </c>
      <c r="BJ168" s="46" t="n">
        <f aca="false">BJ165-BJ166</f>
        <v>430.2</v>
      </c>
      <c r="BK168" s="46" t="n">
        <f aca="false">BK165-BK166</f>
        <v>287.8</v>
      </c>
      <c r="BL168" s="46" t="n">
        <f aca="false">BL165-BL166</f>
        <v>1200.3</v>
      </c>
      <c r="BM168" s="46" t="n">
        <f aca="false">BM165-BM166</f>
        <v>1046</v>
      </c>
      <c r="BN168" s="46" t="n">
        <f aca="false">BN165-BN166</f>
        <v>294</v>
      </c>
      <c r="BO168" s="46" t="n">
        <f aca="false">BO165-BO166</f>
        <v>363</v>
      </c>
      <c r="BP168" s="46" t="n">
        <f aca="false">BP165-BP166</f>
        <v>294</v>
      </c>
      <c r="BQ168" s="46" t="n">
        <f aca="false">BQ165-BQ166</f>
        <v>1996</v>
      </c>
      <c r="BR168" s="46" t="n">
        <f aca="false">BR165-BR166</f>
        <v>104</v>
      </c>
      <c r="BS168" s="46" t="n">
        <f aca="false">BS165-BS166</f>
        <v>292</v>
      </c>
      <c r="BT168" s="46" t="n">
        <f aca="false">BT165-BT166</f>
        <v>361</v>
      </c>
      <c r="BU168" s="46" t="n">
        <f aca="false">BU165-BU166</f>
        <v>233</v>
      </c>
      <c r="BV168" s="46" t="n">
        <f aca="false">BV165-BV166</f>
        <v>990</v>
      </c>
      <c r="BW168" s="46" t="n">
        <f aca="false">BW165-BW166</f>
        <v>79</v>
      </c>
      <c r="BX168" s="46" t="n">
        <f aca="false">BX165-BX166</f>
        <v>256</v>
      </c>
      <c r="BY168" s="34" t="n">
        <f aca="false">BY165-BY166</f>
        <v>333.002223524286</v>
      </c>
      <c r="BZ168" s="34" t="n">
        <f aca="false">BZ165-BZ166</f>
        <v>228.254239822475</v>
      </c>
      <c r="CA168" s="34" t="n">
        <f aca="false">CA165-CA166</f>
        <v>896.256463346761</v>
      </c>
      <c r="CB168" s="34" t="n">
        <f aca="false">CB165-CB166</f>
        <v>1288.63503471762</v>
      </c>
      <c r="CC168" s="34" t="n">
        <f aca="false">CC165-CC166</f>
        <v>1610.11428933986</v>
      </c>
      <c r="CD168" s="34" t="n">
        <f aca="false">CD165-CD166</f>
        <v>1880.2941935602</v>
      </c>
      <c r="CE168" s="34" t="n">
        <f aca="false">CE165-CE166</f>
        <v>2100.39833001768</v>
      </c>
      <c r="CF168" s="6"/>
      <c r="CH168" s="21" t="n">
        <f aca="false">IFERROR((CE168/BV168)^(1/5)-1,"n/m")</f>
        <v>0.162340295365761</v>
      </c>
      <c r="CI168" s="21" t="n">
        <f aca="false">IFERROR((BV168/AW168)^(1/5)-1,"n/m")</f>
        <v>0.0654374050824977</v>
      </c>
      <c r="CJ168" s="21" t="n">
        <f aca="false">IFERROR((BV168/X168)^(1/10)-1,"n/m")</f>
        <v>0.131068129456126</v>
      </c>
      <c r="CK168" s="21" t="n">
        <f aca="false">IFERROR((BV168/C168)^(1/19)-1,"n/m")</f>
        <v>0.0765436845457432</v>
      </c>
    </row>
    <row r="169" customFormat="false" ht="15" hidden="false" customHeight="true" outlineLevel="0" collapsed="false">
      <c r="B169" s="26" t="s">
        <v>328</v>
      </c>
      <c r="C169" s="36" t="n">
        <v>1.6</v>
      </c>
      <c r="D169" s="36" t="n">
        <v>0.2</v>
      </c>
      <c r="E169" s="36" t="n">
        <v>4.8</v>
      </c>
      <c r="F169" s="36" t="n">
        <v>0.3</v>
      </c>
      <c r="G169" s="36" t="n">
        <v>0.2</v>
      </c>
      <c r="H169" s="36" t="n">
        <v>4</v>
      </c>
      <c r="I169" s="36" t="n">
        <v>-0.5</v>
      </c>
      <c r="J169" s="36" t="n">
        <v>-0.1</v>
      </c>
      <c r="K169" s="36" t="n">
        <v>0.3</v>
      </c>
      <c r="L169" s="36" t="n">
        <v>-0.3</v>
      </c>
      <c r="M169" s="36" t="n">
        <v>-0.3</v>
      </c>
      <c r="N169" s="36" t="n">
        <v>-0.8</v>
      </c>
      <c r="O169" s="36" t="n">
        <v>0</v>
      </c>
      <c r="P169" s="36" t="n">
        <v>-0.1</v>
      </c>
      <c r="Q169" s="36" t="n">
        <v>-0.1</v>
      </c>
      <c r="R169" s="36" t="n">
        <v>0.1</v>
      </c>
      <c r="S169" s="36" t="n">
        <v>0</v>
      </c>
      <c r="T169" s="36" t="n">
        <v>0</v>
      </c>
      <c r="U169" s="36" t="n">
        <v>0</v>
      </c>
      <c r="V169" s="36" t="n">
        <v>0</v>
      </c>
      <c r="W169" s="36" t="n">
        <v>0</v>
      </c>
      <c r="X169" s="36" t="n">
        <v>0</v>
      </c>
      <c r="Y169" s="36" t="n">
        <v>0</v>
      </c>
      <c r="Z169" s="36" t="n">
        <v>0</v>
      </c>
      <c r="AA169" s="36" t="n">
        <v>0</v>
      </c>
      <c r="AB169" s="36" t="n">
        <v>0</v>
      </c>
      <c r="AC169" s="36" t="n">
        <v>0</v>
      </c>
      <c r="AD169" s="36" t="n">
        <v>0</v>
      </c>
      <c r="AE169" s="36" t="n">
        <v>0</v>
      </c>
      <c r="AF169" s="36" t="n">
        <v>0</v>
      </c>
      <c r="AG169" s="36" t="n">
        <v>0</v>
      </c>
      <c r="AH169" s="36" t="n">
        <v>0</v>
      </c>
      <c r="AI169" s="36" t="n">
        <v>0</v>
      </c>
      <c r="AJ169" s="36" t="n">
        <v>0</v>
      </c>
      <c r="AK169" s="36" t="n">
        <v>0</v>
      </c>
      <c r="AL169" s="36" t="n">
        <v>0</v>
      </c>
      <c r="AM169" s="36" t="n">
        <v>0</v>
      </c>
      <c r="AN169" s="36" t="n">
        <v>0</v>
      </c>
      <c r="AO169" s="36" t="n">
        <v>0</v>
      </c>
      <c r="AP169" s="36" t="n">
        <v>0</v>
      </c>
      <c r="AQ169" s="36" t="n">
        <v>0</v>
      </c>
      <c r="AR169" s="36" t="n">
        <v>0</v>
      </c>
      <c r="AS169" s="36" t="n">
        <v>0</v>
      </c>
      <c r="AT169" s="36" t="n">
        <v>0</v>
      </c>
      <c r="AU169" s="36" t="n">
        <v>0</v>
      </c>
      <c r="AV169" s="36" t="n">
        <v>0</v>
      </c>
      <c r="AW169" s="36" t="n">
        <v>0</v>
      </c>
      <c r="AX169" s="36" t="n">
        <v>0</v>
      </c>
      <c r="AY169" s="36" t="n">
        <v>0</v>
      </c>
      <c r="AZ169" s="36" t="n">
        <v>0</v>
      </c>
      <c r="BA169" s="36" t="n">
        <v>0.5</v>
      </c>
      <c r="BB169" s="36" t="n">
        <v>0.5</v>
      </c>
      <c r="BC169" s="36" t="n">
        <v>-3.1</v>
      </c>
      <c r="BD169" s="36" t="n">
        <v>13.3</v>
      </c>
      <c r="BE169" s="36" t="n">
        <v>4.1</v>
      </c>
      <c r="BF169" s="36" t="n">
        <v>-3.8</v>
      </c>
      <c r="BG169" s="36" t="n">
        <v>10.5</v>
      </c>
      <c r="BH169" s="36" t="n">
        <v>-12.9</v>
      </c>
      <c r="BI169" s="36" t="n">
        <v>0.7</v>
      </c>
      <c r="BJ169" s="36" t="n">
        <v>-13.6</v>
      </c>
      <c r="BK169" s="36" t="n">
        <v>-5.2</v>
      </c>
      <c r="BL169" s="36" t="n">
        <v>-30.9</v>
      </c>
      <c r="BM169" s="36" t="n">
        <v>0</v>
      </c>
      <c r="BN169" s="36" t="n">
        <v>0</v>
      </c>
      <c r="BO169" s="36" t="n">
        <v>0</v>
      </c>
      <c r="BP169" s="36" t="n">
        <v>0</v>
      </c>
      <c r="BQ169" s="36" t="n">
        <v>0</v>
      </c>
      <c r="BR169" s="36" t="n">
        <v>12</v>
      </c>
      <c r="BS169" s="36" t="n">
        <v>36</v>
      </c>
      <c r="BT169" s="36" t="n">
        <v>53</v>
      </c>
      <c r="BU169" s="36" t="n">
        <v>46</v>
      </c>
      <c r="BV169" s="36" t="n">
        <v>147</v>
      </c>
      <c r="BW169" s="36" t="n">
        <v>1434</v>
      </c>
      <c r="BX169" s="36" t="n">
        <v>-5</v>
      </c>
      <c r="BY169" s="52" t="n">
        <v>0</v>
      </c>
      <c r="BZ169" s="52" t="n">
        <v>0</v>
      </c>
      <c r="CA169" s="37" t="n">
        <f aca="false">SUM(BW169,BX169,BY169,BZ169)</f>
        <v>1429</v>
      </c>
      <c r="CB169" s="52" t="n">
        <v>0</v>
      </c>
      <c r="CC169" s="52" t="n">
        <v>0</v>
      </c>
      <c r="CD169" s="52" t="n">
        <v>0</v>
      </c>
      <c r="CE169" s="52" t="n">
        <v>0</v>
      </c>
      <c r="CF169" s="20" t="s">
        <v>329</v>
      </c>
    </row>
    <row r="170" customFormat="false" ht="15" hidden="false" customHeight="true" outlineLevel="0" collapsed="false">
      <c r="B170" s="26" t="s">
        <v>330</v>
      </c>
      <c r="C170" s="47" t="n">
        <f aca="false">C168+C169</f>
        <v>245.4</v>
      </c>
      <c r="D170" s="47" t="n">
        <f aca="false">D168+D169</f>
        <v>262.7</v>
      </c>
      <c r="E170" s="47" t="n">
        <f aca="false">E168+E169</f>
        <v>176.3</v>
      </c>
      <c r="F170" s="47" t="n">
        <f aca="false">F168+F169</f>
        <v>88.1999999999998</v>
      </c>
      <c r="G170" s="47" t="n">
        <f aca="false">G168+G169</f>
        <v>98.7</v>
      </c>
      <c r="H170" s="47" t="n">
        <f aca="false">H168+H169</f>
        <v>83.6</v>
      </c>
      <c r="I170" s="47" t="n">
        <f aca="false">I168+I169</f>
        <v>85.4999999999999</v>
      </c>
      <c r="J170" s="47" t="n">
        <f aca="false">J168+J169</f>
        <v>-29.3</v>
      </c>
      <c r="K170" s="47" t="n">
        <f aca="false">K168+K169</f>
        <v>41.6000000000001</v>
      </c>
      <c r="L170" s="47" t="n">
        <f aca="false">L168+L169</f>
        <v>71.9999999999999</v>
      </c>
      <c r="M170" s="47" t="n">
        <f aca="false">M168+M169</f>
        <v>35.2</v>
      </c>
      <c r="N170" s="47" t="n">
        <f aca="false">N168+N169</f>
        <v>119.4</v>
      </c>
      <c r="O170" s="47" t="n">
        <f aca="false">O168+O169</f>
        <v>-23.1</v>
      </c>
      <c r="P170" s="47" t="n">
        <f aca="false">P168+P169</f>
        <v>59.6</v>
      </c>
      <c r="Q170" s="47" t="n">
        <f aca="false">Q168+Q169</f>
        <v>53.8</v>
      </c>
      <c r="R170" s="47" t="n">
        <f aca="false">R168+R169</f>
        <v>64</v>
      </c>
      <c r="S170" s="47" t="n">
        <f aca="false">S168+S169</f>
        <v>154.3</v>
      </c>
      <c r="T170" s="47" t="n">
        <f aca="false">T168+T169</f>
        <v>6.19999999999995</v>
      </c>
      <c r="U170" s="47" t="n">
        <f aca="false">U168+U169</f>
        <v>81.9999999999999</v>
      </c>
      <c r="V170" s="47" t="n">
        <f aca="false">V168+V169</f>
        <v>117.6</v>
      </c>
      <c r="W170" s="47" t="n">
        <f aca="false">W168+W169</f>
        <v>83.2000000000001</v>
      </c>
      <c r="X170" s="47" t="n">
        <f aca="false">X168+X169</f>
        <v>288.9</v>
      </c>
      <c r="Y170" s="47" t="n">
        <f aca="false">Y168+Y169</f>
        <v>45.0999999999999</v>
      </c>
      <c r="Z170" s="47" t="n">
        <f aca="false">Z168+Z169</f>
        <v>122.1</v>
      </c>
      <c r="AA170" s="47" t="n">
        <f aca="false">AA168+AA169</f>
        <v>159.5</v>
      </c>
      <c r="AB170" s="47" t="n">
        <f aca="false">AB168+AB169</f>
        <v>98.7999999999999</v>
      </c>
      <c r="AC170" s="47" t="n">
        <f aca="false">AC168+AC169</f>
        <v>425.4</v>
      </c>
      <c r="AD170" s="47" t="n">
        <f aca="false">AD168+AD169</f>
        <v>42.3</v>
      </c>
      <c r="AE170" s="47" t="n">
        <f aca="false">AE168+AE169</f>
        <v>142.3</v>
      </c>
      <c r="AF170" s="47" t="n">
        <f aca="false">AF168+AF169</f>
        <v>151.5</v>
      </c>
      <c r="AG170" s="47" t="n">
        <f aca="false">AG168+AG169</f>
        <v>377.3</v>
      </c>
      <c r="AH170" s="47" t="n">
        <f aca="false">AH168+AH169</f>
        <v>713.4</v>
      </c>
      <c r="AI170" s="47" t="n">
        <f aca="false">AI168+AI169</f>
        <v>9.99999999999998</v>
      </c>
      <c r="AJ170" s="47" t="n">
        <f aca="false">AJ168+AJ169</f>
        <v>185.503</v>
      </c>
      <c r="AK170" s="47" t="n">
        <f aca="false">AK168+AK169</f>
        <v>180.353</v>
      </c>
      <c r="AL170" s="47" t="n">
        <f aca="false">AL168+AL169</f>
        <v>94.481</v>
      </c>
      <c r="AM170" s="47" t="n">
        <f aca="false">AM168+AM169</f>
        <v>470.376</v>
      </c>
      <c r="AN170" s="47" t="n">
        <f aca="false">AN168+AN169</f>
        <v>42.826</v>
      </c>
      <c r="AO170" s="47" t="n">
        <f aca="false">AO168+AO169</f>
        <v>189.469</v>
      </c>
      <c r="AP170" s="47" t="n">
        <f aca="false">AP168+AP169</f>
        <v>248.622</v>
      </c>
      <c r="AQ170" s="47" t="n">
        <f aca="false">AQ168+AQ169</f>
        <v>131.069</v>
      </c>
      <c r="AR170" s="47" t="n">
        <f aca="false">AR168+AR169</f>
        <v>611.987</v>
      </c>
      <c r="AS170" s="47" t="n">
        <f aca="false">AS168+AS169</f>
        <v>25.9000000000001</v>
      </c>
      <c r="AT170" s="47" t="n">
        <f aca="false">AT168+AT169</f>
        <v>217.6</v>
      </c>
      <c r="AU170" s="47" t="n">
        <f aca="false">AU168+AU169</f>
        <v>294.4</v>
      </c>
      <c r="AV170" s="47" t="n">
        <f aca="false">AV168+AV169</f>
        <v>183</v>
      </c>
      <c r="AW170" s="47" t="n">
        <f aca="false">AW168+AW169</f>
        <v>721.1</v>
      </c>
      <c r="AX170" s="47" t="n">
        <f aca="false">AX168+AX169</f>
        <v>65.4999999999999</v>
      </c>
      <c r="AY170" s="47" t="n">
        <f aca="false">AY168+AY169</f>
        <v>225.8</v>
      </c>
      <c r="AZ170" s="47" t="n">
        <f aca="false">AZ168+AZ169</f>
        <v>254.6</v>
      </c>
      <c r="BA170" s="47" t="n">
        <f aca="false">BA168+BA169</f>
        <v>156.8</v>
      </c>
      <c r="BB170" s="47" t="n">
        <f aca="false">BB168+BB169</f>
        <v>702.8</v>
      </c>
      <c r="BC170" s="47" t="n">
        <f aca="false">BC168+BC169</f>
        <v>21.2999999999999</v>
      </c>
      <c r="BD170" s="47" t="n">
        <f aca="false">BD168+BD169</f>
        <v>366.4</v>
      </c>
      <c r="BE170" s="47" t="n">
        <f aca="false">BE168+BE169</f>
        <v>295.3</v>
      </c>
      <c r="BF170" s="47" t="n">
        <f aca="false">BF168+BF169</f>
        <v>183.8</v>
      </c>
      <c r="BG170" s="47" t="n">
        <f aca="false">BG168+BG169</f>
        <v>866.8</v>
      </c>
      <c r="BH170" s="47" t="n">
        <f aca="false">BH168+BH169</f>
        <v>121.6</v>
      </c>
      <c r="BI170" s="47" t="n">
        <f aca="false">BI168+BI169</f>
        <v>348.6</v>
      </c>
      <c r="BJ170" s="47" t="n">
        <f aca="false">BJ168+BJ169</f>
        <v>416.6</v>
      </c>
      <c r="BK170" s="47" t="n">
        <f aca="false">BK168+BK169</f>
        <v>282.6</v>
      </c>
      <c r="BL170" s="47" t="n">
        <f aca="false">BL168+BL169</f>
        <v>1169.4</v>
      </c>
      <c r="BM170" s="47" t="n">
        <f aca="false">BM168+BM169</f>
        <v>1046</v>
      </c>
      <c r="BN170" s="47" t="n">
        <f aca="false">BN168+BN169</f>
        <v>294</v>
      </c>
      <c r="BO170" s="47" t="n">
        <f aca="false">BO168+BO169</f>
        <v>363</v>
      </c>
      <c r="BP170" s="47" t="n">
        <f aca="false">BP168+BP169</f>
        <v>294</v>
      </c>
      <c r="BQ170" s="47" t="n">
        <f aca="false">BQ168+BQ169</f>
        <v>1996</v>
      </c>
      <c r="BR170" s="47" t="n">
        <f aca="false">BR168+BR169</f>
        <v>116</v>
      </c>
      <c r="BS170" s="47" t="n">
        <f aca="false">BS168+BS169</f>
        <v>328</v>
      </c>
      <c r="BT170" s="47" t="n">
        <f aca="false">BT168+BT169</f>
        <v>414</v>
      </c>
      <c r="BU170" s="47" t="n">
        <f aca="false">BU168+BU169</f>
        <v>279</v>
      </c>
      <c r="BV170" s="47" t="n">
        <f aca="false">BV168+BV169</f>
        <v>1137</v>
      </c>
      <c r="BW170" s="47" t="n">
        <f aca="false">BW168+BW169</f>
        <v>1513</v>
      </c>
      <c r="BX170" s="47" t="n">
        <f aca="false">BX168+BX169</f>
        <v>251</v>
      </c>
      <c r="BY170" s="37" t="n">
        <f aca="false">BY168+BY169</f>
        <v>333.002223524286</v>
      </c>
      <c r="BZ170" s="37" t="n">
        <f aca="false">BZ168+BZ169</f>
        <v>228.254239822475</v>
      </c>
      <c r="CA170" s="37" t="n">
        <f aca="false">CA168+CA169</f>
        <v>2325.25646334676</v>
      </c>
      <c r="CB170" s="37" t="n">
        <f aca="false">CB168+CB169</f>
        <v>1288.63503471762</v>
      </c>
      <c r="CC170" s="37" t="n">
        <f aca="false">CC168+CC169</f>
        <v>1610.11428933986</v>
      </c>
      <c r="CD170" s="37" t="n">
        <f aca="false">CD168+CD169</f>
        <v>1880.2941935602</v>
      </c>
      <c r="CE170" s="37" t="n">
        <f aca="false">CE168+CE169</f>
        <v>2100.39833001768</v>
      </c>
      <c r="CF170" s="6"/>
    </row>
    <row r="171" customFormat="false" ht="15" hidden="false" customHeight="true" outlineLevel="0" collapsed="false">
      <c r="B171" s="26" t="s">
        <v>331</v>
      </c>
      <c r="C171" s="36" t="n">
        <v>0</v>
      </c>
      <c r="D171" s="36" t="n">
        <v>0</v>
      </c>
      <c r="E171" s="36" t="n">
        <v>0</v>
      </c>
      <c r="F171" s="36" t="n">
        <v>2.7</v>
      </c>
      <c r="G171" s="36" t="n">
        <v>1.7</v>
      </c>
      <c r="H171" s="36" t="n">
        <v>1.2</v>
      </c>
      <c r="I171" s="36" t="n">
        <v>1</v>
      </c>
      <c r="J171" s="36" t="n">
        <v>-1.5</v>
      </c>
      <c r="K171" s="36" t="n">
        <v>0.3</v>
      </c>
      <c r="L171" s="36" t="n">
        <v>0.2</v>
      </c>
      <c r="M171" s="36" t="n">
        <v>-0.8</v>
      </c>
      <c r="N171" s="36" t="n">
        <v>-1.9</v>
      </c>
      <c r="O171" s="36" t="n">
        <v>-1.5</v>
      </c>
      <c r="P171" s="36" t="n">
        <v>0.1</v>
      </c>
      <c r="Q171" s="36" t="n">
        <v>0.1</v>
      </c>
      <c r="R171" s="36" t="n">
        <v>0</v>
      </c>
      <c r="S171" s="36" t="n">
        <v>-1.3</v>
      </c>
      <c r="T171" s="36" t="n">
        <v>0.1</v>
      </c>
      <c r="U171" s="36" t="n">
        <v>0.1</v>
      </c>
      <c r="V171" s="36" t="n">
        <v>0.1</v>
      </c>
      <c r="W171" s="36" t="n">
        <v>0</v>
      </c>
      <c r="X171" s="36" t="n">
        <v>0.1</v>
      </c>
      <c r="Y171" s="36" t="n">
        <v>0.1</v>
      </c>
      <c r="Z171" s="36" t="n">
        <v>0</v>
      </c>
      <c r="AA171" s="36" t="n">
        <v>0</v>
      </c>
      <c r="AB171" s="36" t="n">
        <v>-0.1</v>
      </c>
      <c r="AC171" s="36" t="n">
        <v>0</v>
      </c>
      <c r="AD171" s="36" t="n">
        <v>0</v>
      </c>
      <c r="AE171" s="36" t="n">
        <v>0</v>
      </c>
      <c r="AF171" s="36" t="n">
        <v>0</v>
      </c>
      <c r="AG171" s="36" t="n">
        <v>0.1</v>
      </c>
      <c r="AH171" s="36" t="n">
        <v>0.1</v>
      </c>
      <c r="AI171" s="36" t="n">
        <v>0</v>
      </c>
      <c r="AJ171" s="36" t="n">
        <v>0.126</v>
      </c>
      <c r="AK171" s="36" t="n">
        <v>0.132</v>
      </c>
      <c r="AL171" s="36" t="n">
        <v>0.103</v>
      </c>
      <c r="AM171" s="36" t="n">
        <v>0.378</v>
      </c>
      <c r="AN171" s="36" t="n">
        <v>0</v>
      </c>
      <c r="AO171" s="36" t="n">
        <v>0</v>
      </c>
      <c r="AP171" s="36" t="n">
        <v>0</v>
      </c>
      <c r="AQ171" s="36" t="n">
        <v>0.055</v>
      </c>
      <c r="AR171" s="36" t="n">
        <v>0.072</v>
      </c>
      <c r="AS171" s="36" t="n">
        <v>0</v>
      </c>
      <c r="AT171" s="36" t="n">
        <v>0</v>
      </c>
      <c r="AU171" s="36" t="n">
        <v>0</v>
      </c>
      <c r="AV171" s="36" t="n">
        <v>0</v>
      </c>
      <c r="AW171" s="36" t="n">
        <v>0.1</v>
      </c>
      <c r="AX171" s="36" t="n">
        <v>0.2</v>
      </c>
      <c r="AY171" s="36" t="n">
        <v>0</v>
      </c>
      <c r="AZ171" s="36" t="n">
        <v>0</v>
      </c>
      <c r="BA171" s="36" t="n">
        <v>0</v>
      </c>
      <c r="BB171" s="36" t="n">
        <v>0.3</v>
      </c>
      <c r="BC171" s="36" t="n">
        <v>-0.1</v>
      </c>
      <c r="BD171" s="36" t="n">
        <v>-0.1</v>
      </c>
      <c r="BE171" s="36" t="n">
        <v>0</v>
      </c>
      <c r="BF171" s="36" t="n">
        <v>0.2</v>
      </c>
      <c r="BG171" s="36" t="n">
        <v>0</v>
      </c>
      <c r="BH171" s="36" t="n">
        <v>0.2</v>
      </c>
      <c r="BI171" s="36" t="n">
        <v>0.3</v>
      </c>
      <c r="BJ171" s="36" t="n">
        <v>-0.1</v>
      </c>
      <c r="BK171" s="36" t="n">
        <v>0.1</v>
      </c>
      <c r="BL171" s="36" t="n">
        <v>0.5</v>
      </c>
      <c r="BM171" s="36" t="n">
        <v>1</v>
      </c>
      <c r="BN171" s="36" t="n">
        <v>0</v>
      </c>
      <c r="BO171" s="36" t="n">
        <v>0</v>
      </c>
      <c r="BP171" s="36" t="n">
        <v>0</v>
      </c>
      <c r="BQ171" s="36" t="n">
        <v>1</v>
      </c>
      <c r="BR171" s="36" t="n">
        <v>0</v>
      </c>
      <c r="BS171" s="36" t="n">
        <v>0</v>
      </c>
      <c r="BT171" s="36" t="n">
        <v>0</v>
      </c>
      <c r="BU171" s="36" t="n">
        <v>0</v>
      </c>
      <c r="BV171" s="36" t="n">
        <v>0</v>
      </c>
      <c r="BW171" s="36" t="n">
        <v>0</v>
      </c>
      <c r="BX171" s="36" t="n">
        <v>0</v>
      </c>
      <c r="BY171" s="52" t="n">
        <v>0</v>
      </c>
      <c r="BZ171" s="52" t="n">
        <v>0</v>
      </c>
      <c r="CA171" s="37" t="n">
        <f aca="false">SUM(BW171,BX171,BY171,BZ171)</f>
        <v>0</v>
      </c>
      <c r="CB171" s="52" t="n">
        <v>0</v>
      </c>
      <c r="CC171" s="52" t="n">
        <v>0</v>
      </c>
      <c r="CD171" s="52" t="n">
        <v>0</v>
      </c>
      <c r="CE171" s="52" t="n">
        <v>0</v>
      </c>
      <c r="CF171" s="6"/>
    </row>
    <row r="172" customFormat="false" ht="15" hidden="false" customHeight="true" outlineLevel="0" collapsed="false">
      <c r="B172" s="59" t="s">
        <v>332</v>
      </c>
      <c r="C172" s="60" t="n">
        <f aca="false">C170-C171</f>
        <v>245.4</v>
      </c>
      <c r="D172" s="60" t="n">
        <f aca="false">D170-D171</f>
        <v>262.7</v>
      </c>
      <c r="E172" s="60" t="n">
        <f aca="false">E170-E171</f>
        <v>176.3</v>
      </c>
      <c r="F172" s="60" t="n">
        <f aca="false">F170-F171</f>
        <v>85.4999999999998</v>
      </c>
      <c r="G172" s="60" t="n">
        <f aca="false">G170-G171</f>
        <v>97</v>
      </c>
      <c r="H172" s="60" t="n">
        <f aca="false">H170-H171</f>
        <v>82.4</v>
      </c>
      <c r="I172" s="60" t="n">
        <f aca="false">I170-I171</f>
        <v>84.4999999999999</v>
      </c>
      <c r="J172" s="60" t="n">
        <f aca="false">J170-J171</f>
        <v>-27.8</v>
      </c>
      <c r="K172" s="60" t="n">
        <f aca="false">K170-K171</f>
        <v>41.3000000000001</v>
      </c>
      <c r="L172" s="60" t="n">
        <f aca="false">L170-L171</f>
        <v>71.7999999999999</v>
      </c>
      <c r="M172" s="60" t="n">
        <f aca="false">M170-M171</f>
        <v>36</v>
      </c>
      <c r="N172" s="60" t="n">
        <f aca="false">N170-N171</f>
        <v>121.3</v>
      </c>
      <c r="O172" s="60" t="n">
        <f aca="false">O170-O171</f>
        <v>-21.6</v>
      </c>
      <c r="P172" s="60" t="n">
        <f aca="false">P170-P171</f>
        <v>59.5</v>
      </c>
      <c r="Q172" s="60" t="n">
        <f aca="false">Q170-Q171</f>
        <v>53.7</v>
      </c>
      <c r="R172" s="60" t="n">
        <f aca="false">R170-R171</f>
        <v>64</v>
      </c>
      <c r="S172" s="60" t="n">
        <f aca="false">S170-S171</f>
        <v>155.6</v>
      </c>
      <c r="T172" s="60" t="n">
        <f aca="false">T170-T171</f>
        <v>6.09999999999995</v>
      </c>
      <c r="U172" s="60" t="n">
        <f aca="false">U170-U171</f>
        <v>81.8999999999999</v>
      </c>
      <c r="V172" s="60" t="n">
        <f aca="false">V170-V171</f>
        <v>117.5</v>
      </c>
      <c r="W172" s="60" t="n">
        <f aca="false">W170-W171</f>
        <v>83.2000000000001</v>
      </c>
      <c r="X172" s="60" t="n">
        <f aca="false">X170-X171</f>
        <v>288.8</v>
      </c>
      <c r="Y172" s="60" t="n">
        <f aca="false">Y170-Y171</f>
        <v>44.9999999999999</v>
      </c>
      <c r="Z172" s="60" t="n">
        <f aca="false">Z170-Z171</f>
        <v>122.1</v>
      </c>
      <c r="AA172" s="60" t="n">
        <f aca="false">AA170-AA171</f>
        <v>159.5</v>
      </c>
      <c r="AB172" s="60" t="n">
        <f aca="false">AB170-AB171</f>
        <v>98.8999999999999</v>
      </c>
      <c r="AC172" s="60" t="n">
        <f aca="false">AC170-AC171</f>
        <v>425.4</v>
      </c>
      <c r="AD172" s="60" t="n">
        <f aca="false">AD170-AD171</f>
        <v>42.3</v>
      </c>
      <c r="AE172" s="60" t="n">
        <f aca="false">AE170-AE171</f>
        <v>142.3</v>
      </c>
      <c r="AF172" s="60" t="n">
        <f aca="false">AF170-AF171</f>
        <v>151.5</v>
      </c>
      <c r="AG172" s="60" t="n">
        <f aca="false">AG170-AG171</f>
        <v>377.2</v>
      </c>
      <c r="AH172" s="60" t="n">
        <f aca="false">AH170-AH171</f>
        <v>713.3</v>
      </c>
      <c r="AI172" s="60" t="n">
        <f aca="false">AI170-AI171</f>
        <v>9.99999999999998</v>
      </c>
      <c r="AJ172" s="60" t="n">
        <f aca="false">AJ170-AJ171</f>
        <v>185.377</v>
      </c>
      <c r="AK172" s="60" t="n">
        <f aca="false">AK170-AK171</f>
        <v>180.221</v>
      </c>
      <c r="AL172" s="60" t="n">
        <f aca="false">AL170-AL171</f>
        <v>94.378</v>
      </c>
      <c r="AM172" s="60" t="n">
        <f aca="false">AM170-AM171</f>
        <v>469.998</v>
      </c>
      <c r="AN172" s="60" t="n">
        <f aca="false">AN170-AN171</f>
        <v>42.826</v>
      </c>
      <c r="AO172" s="60" t="n">
        <f aca="false">AO170-AO171</f>
        <v>189.469</v>
      </c>
      <c r="AP172" s="60" t="n">
        <f aca="false">AP170-AP171</f>
        <v>248.622</v>
      </c>
      <c r="AQ172" s="60" t="n">
        <f aca="false">AQ170-AQ171</f>
        <v>131.014</v>
      </c>
      <c r="AR172" s="60" t="n">
        <f aca="false">AR170-AR171</f>
        <v>611.915</v>
      </c>
      <c r="AS172" s="60" t="n">
        <f aca="false">AS170-AS171</f>
        <v>25.9000000000001</v>
      </c>
      <c r="AT172" s="60" t="n">
        <f aca="false">AT170-AT171</f>
        <v>217.6</v>
      </c>
      <c r="AU172" s="60" t="n">
        <f aca="false">AU170-AU171</f>
        <v>294.4</v>
      </c>
      <c r="AV172" s="60" t="n">
        <f aca="false">AV170-AV171</f>
        <v>183</v>
      </c>
      <c r="AW172" s="60" t="n">
        <f aca="false">AW170-AW171</f>
        <v>721</v>
      </c>
      <c r="AX172" s="60" t="n">
        <f aca="false">AX170-AX171</f>
        <v>65.2999999999999</v>
      </c>
      <c r="AY172" s="60" t="n">
        <f aca="false">AY170-AY171</f>
        <v>225.8</v>
      </c>
      <c r="AZ172" s="60" t="n">
        <f aca="false">AZ170-AZ171</f>
        <v>254.6</v>
      </c>
      <c r="BA172" s="60" t="n">
        <f aca="false">BA170-BA171</f>
        <v>156.8</v>
      </c>
      <c r="BB172" s="60" t="n">
        <f aca="false">BB170-BB171</f>
        <v>702.5</v>
      </c>
      <c r="BC172" s="60" t="n">
        <f aca="false">BC170-BC171</f>
        <v>21.3999999999999</v>
      </c>
      <c r="BD172" s="60" t="n">
        <f aca="false">BD170-BD171</f>
        <v>366.5</v>
      </c>
      <c r="BE172" s="60" t="n">
        <f aca="false">BE170-BE171</f>
        <v>295.3</v>
      </c>
      <c r="BF172" s="60" t="n">
        <f aca="false">BF170-BF171</f>
        <v>183.6</v>
      </c>
      <c r="BG172" s="60" t="n">
        <f aca="false">BG170-BG171</f>
        <v>866.8</v>
      </c>
      <c r="BH172" s="60" t="n">
        <f aca="false">BH170-BH171</f>
        <v>121.4</v>
      </c>
      <c r="BI172" s="60" t="n">
        <f aca="false">BI170-BI171</f>
        <v>348.3</v>
      </c>
      <c r="BJ172" s="60" t="n">
        <f aca="false">BJ170-BJ171</f>
        <v>416.7</v>
      </c>
      <c r="BK172" s="60" t="n">
        <f aca="false">BK170-BK171</f>
        <v>282.5</v>
      </c>
      <c r="BL172" s="60" t="n">
        <f aca="false">BL170-BL171</f>
        <v>1168.9</v>
      </c>
      <c r="BM172" s="60" t="n">
        <f aca="false">BM170-BM171</f>
        <v>1045</v>
      </c>
      <c r="BN172" s="60" t="n">
        <f aca="false">BN170-BN171</f>
        <v>294</v>
      </c>
      <c r="BO172" s="60" t="n">
        <f aca="false">BO170-BO171</f>
        <v>363</v>
      </c>
      <c r="BP172" s="60" t="n">
        <f aca="false">BP170-BP171</f>
        <v>294</v>
      </c>
      <c r="BQ172" s="60" t="n">
        <f aca="false">BQ170-BQ171</f>
        <v>1995</v>
      </c>
      <c r="BR172" s="60" t="n">
        <f aca="false">BR170-BR171</f>
        <v>116</v>
      </c>
      <c r="BS172" s="60" t="n">
        <f aca="false">BS170-BS171</f>
        <v>328</v>
      </c>
      <c r="BT172" s="60" t="n">
        <f aca="false">BT170-BT171</f>
        <v>414</v>
      </c>
      <c r="BU172" s="60" t="n">
        <f aca="false">BU170-BU171</f>
        <v>279</v>
      </c>
      <c r="BV172" s="60" t="n">
        <f aca="false">BV170-BV171</f>
        <v>1137</v>
      </c>
      <c r="BW172" s="60" t="n">
        <f aca="false">BW170-BW171</f>
        <v>1513</v>
      </c>
      <c r="BX172" s="60" t="n">
        <f aca="false">BX170-BX171</f>
        <v>251</v>
      </c>
      <c r="BY172" s="60" t="n">
        <f aca="false">BY170-BY171</f>
        <v>333.002223524286</v>
      </c>
      <c r="BZ172" s="60" t="n">
        <f aca="false">BZ170-BZ171</f>
        <v>228.254239822475</v>
      </c>
      <c r="CA172" s="60" t="n">
        <f aca="false">CA170-CA171</f>
        <v>2325.25646334676</v>
      </c>
      <c r="CB172" s="60" t="n">
        <f aca="false">CB170-CB171</f>
        <v>1288.63503471762</v>
      </c>
      <c r="CC172" s="60" t="n">
        <f aca="false">CC170-CC171</f>
        <v>1610.11428933986</v>
      </c>
      <c r="CD172" s="60" t="n">
        <f aca="false">CD170-CD171</f>
        <v>1880.2941935602</v>
      </c>
      <c r="CE172" s="60" t="n">
        <f aca="false">CE170-CE171</f>
        <v>2100.39833001768</v>
      </c>
      <c r="CF172" s="6"/>
      <c r="CH172" s="21" t="n">
        <f aca="false">IFERROR((CE172/BV172)^(1/5)-1,"n/m")</f>
        <v>0.130598070438137</v>
      </c>
      <c r="CI172" s="21" t="n">
        <f aca="false">IFERROR((BV172/AW172)^(1/5)-1,"n/m")</f>
        <v>0.0953805874117553</v>
      </c>
      <c r="CJ172" s="21" t="n">
        <f aca="false">IFERROR((BV172/X172)^(1/10)-1,"n/m")</f>
        <v>0.146875638135636</v>
      </c>
      <c r="CK172" s="21" t="n">
        <f aca="false">IFERROR((BV172/C172)^(1/19)-1,"n/m")</f>
        <v>0.0840432926376438</v>
      </c>
    </row>
    <row r="173" customFormat="false" ht="15" hidden="false" customHeight="true" outlineLevel="0" collapsed="false">
      <c r="B173" s="61" t="s">
        <v>333</v>
      </c>
      <c r="C173" s="47" t="n">
        <f aca="false">IF(ISNUMBER(C174),IF(ABS(C172-C174)&lt;=0.15,0,ROUND(C172-C174,1)),"")</f>
        <v>0</v>
      </c>
      <c r="D173" s="47" t="n">
        <f aca="false">IF(ISNUMBER(D174),IF(ABS(D172-D174)&lt;=0.15,0,ROUND(D172-D174,1)),"")</f>
        <v>0</v>
      </c>
      <c r="E173" s="47" t="n">
        <f aca="false">IF(ISNUMBER(E174),IF(ABS(E172-E174)&lt;=0.15,0,ROUND(E172-E174,1)),"")</f>
        <v>0</v>
      </c>
      <c r="F173" s="47" t="n">
        <f aca="false">IF(ISNUMBER(F174),IF(ABS(F172-F174)&lt;=0.15,0,ROUND(F172-F174,1)),"")</f>
        <v>0</v>
      </c>
      <c r="G173" s="47" t="n">
        <f aca="false">IF(ISNUMBER(G174),IF(ABS(G172-G174)&lt;=0.15,0,ROUND(G172-G174,1)),"")</f>
        <v>0</v>
      </c>
      <c r="H173" s="47" t="n">
        <f aca="false">IF(ISNUMBER(H174),IF(ABS(H172-H174)&lt;=0.15,0,ROUND(H172-H174,1)),"")</f>
        <v>0</v>
      </c>
      <c r="I173" s="47" t="n">
        <f aca="false">IF(ISNUMBER(I174),IF(ABS(I172-I174)&lt;=0.15,0,ROUND(I172-I174,1)),"")</f>
        <v>0</v>
      </c>
      <c r="J173" s="47" t="n">
        <f aca="false">IF(ISNUMBER(J174),IF(ABS(J172-J174)&lt;=0.15,0,ROUND(J172-J174,1)),"")</f>
        <v>0</v>
      </c>
      <c r="K173" s="47" t="n">
        <f aca="false">IF(ISNUMBER(K174),IF(ABS(K172-K174)&lt;=0.15,0,ROUND(K172-K174,1)),"")</f>
        <v>0</v>
      </c>
      <c r="L173" s="47" t="n">
        <f aca="false">IF(ISNUMBER(L174),IF(ABS(L172-L174)&lt;=0.15,0,ROUND(L172-L174,1)),"")</f>
        <v>0</v>
      </c>
      <c r="M173" s="47" t="n">
        <f aca="false">IF(ISNUMBER(M174),IF(ABS(M172-M174)&lt;=0.15,0,ROUND(M172-M174,1)),"")</f>
        <v>0</v>
      </c>
      <c r="N173" s="47" t="n">
        <f aca="false">IF(ISNUMBER(N174),IF(ABS(N172-N174)&lt;=0.15,0,ROUND(N172-N174,1)),"")</f>
        <v>0</v>
      </c>
      <c r="O173" s="47" t="n">
        <f aca="false">IF(ISNUMBER(O174),IF(ABS(O172-O174)&lt;=0.15,0,ROUND(O172-O174,1)),"")</f>
        <v>0</v>
      </c>
      <c r="P173" s="47" t="n">
        <f aca="false">IF(ISNUMBER(P174),IF(ABS(P172-P174)&lt;=0.15,0,ROUND(P172-P174,1)),"")</f>
        <v>0</v>
      </c>
      <c r="Q173" s="47" t="n">
        <f aca="false">IF(ISNUMBER(Q174),IF(ABS(Q172-Q174)&lt;=0.15,0,ROUND(Q172-Q174,1)),"")</f>
        <v>0</v>
      </c>
      <c r="R173" s="47" t="n">
        <f aca="false">IF(ISNUMBER(R174),IF(ABS(R172-R174)&lt;=0.15,0,ROUND(R172-R174,1)),"")</f>
        <v>0</v>
      </c>
      <c r="S173" s="47" t="n">
        <f aca="false">IF(ISNUMBER(S174),IF(ABS(S172-S174)&lt;=0.15,0,ROUND(S172-S174,1)),"")</f>
        <v>0</v>
      </c>
      <c r="T173" s="47" t="n">
        <f aca="false">IF(ISNUMBER(T174),IF(ABS(T172-T174)&lt;=0.15,0,ROUND(T172-T174,1)),"")</f>
        <v>0</v>
      </c>
      <c r="U173" s="47" t="n">
        <f aca="false">IF(ISNUMBER(U174),IF(ABS(U172-U174)&lt;=0.15,0,ROUND(U172-U174,1)),"")</f>
        <v>0</v>
      </c>
      <c r="V173" s="47" t="n">
        <f aca="false">IF(ISNUMBER(V174),IF(ABS(V172-V174)&lt;=0.15,0,ROUND(V172-V174,1)),"")</f>
        <v>0</v>
      </c>
      <c r="W173" s="47" t="n">
        <f aca="false">IF(ISNUMBER(W174),IF(ABS(W172-W174)&lt;=0.15,0,ROUND(W172-W174,1)),"")</f>
        <v>0</v>
      </c>
      <c r="X173" s="47" t="n">
        <f aca="false">IF(ISNUMBER(X174),IF(ABS(X172-X174)&lt;=0.15,0,ROUND(X172-X174,1)),"")</f>
        <v>0</v>
      </c>
      <c r="Y173" s="47" t="n">
        <f aca="false">IF(ISNUMBER(Y174),IF(ABS(Y172-Y174)&lt;=0.15,0,ROUND(Y172-Y174,1)),"")</f>
        <v>0</v>
      </c>
      <c r="Z173" s="47" t="n">
        <f aca="false">IF(ISNUMBER(Z174),IF(ABS(Z172-Z174)&lt;=0.15,0,ROUND(Z172-Z174,1)),"")</f>
        <v>0</v>
      </c>
      <c r="AA173" s="47" t="n">
        <f aca="false">IF(ISNUMBER(AA174),IF(ABS(AA172-AA174)&lt;=0.15,0,ROUND(AA172-AA174,1)),"")</f>
        <v>0</v>
      </c>
      <c r="AB173" s="47" t="n">
        <f aca="false">IF(ISNUMBER(AB174),IF(ABS(AB172-AB174)&lt;=0.15,0,ROUND(AB172-AB174,1)),"")</f>
        <v>0</v>
      </c>
      <c r="AC173" s="47" t="n">
        <f aca="false">IF(ISNUMBER(AC174),IF(ABS(AC172-AC174)&lt;=0.15,0,ROUND(AC172-AC174,1)),"")</f>
        <v>0</v>
      </c>
      <c r="AD173" s="47" t="n">
        <f aca="false">IF(ISNUMBER(AD174),IF(ABS(AD172-AD174)&lt;=0.15,0,ROUND(AD172-AD174,1)),"")</f>
        <v>0</v>
      </c>
      <c r="AE173" s="47" t="n">
        <f aca="false">IF(ISNUMBER(AE174),IF(ABS(AE172-AE174)&lt;=0.15,0,ROUND(AE172-AE174,1)),"")</f>
        <v>0</v>
      </c>
      <c r="AF173" s="47" t="n">
        <f aca="false">IF(ISNUMBER(AF174),IF(ABS(AF172-AF174)&lt;=0.15,0,ROUND(AF172-AF174,1)),"")</f>
        <v>0</v>
      </c>
      <c r="AG173" s="47" t="n">
        <f aca="false">IF(ISNUMBER(AG174),IF(ABS(AG172-AG174)&lt;=0.15,0,ROUND(AG172-AG174,1)),"")</f>
        <v>0</v>
      </c>
      <c r="AH173" s="47" t="n">
        <f aca="false">IF(ISNUMBER(AH174),IF(ABS(AH172-AH174)&lt;=0.15,0,ROUND(AH172-AH174,1)),"")</f>
        <v>0</v>
      </c>
      <c r="AI173" s="47" t="n">
        <f aca="false">IF(ISNUMBER(AI174),IF(ABS(AI172-AI174)&lt;=0.15,0,ROUND(AI172-AI174,1)),"")</f>
        <v>0</v>
      </c>
      <c r="AJ173" s="47" t="n">
        <f aca="false">IF(ISNUMBER(AJ174),IF(ABS(AJ172-AJ174)&lt;=0.15,0,ROUND(AJ172-AJ174,1)),"")</f>
        <v>0</v>
      </c>
      <c r="AK173" s="47" t="n">
        <f aca="false">IF(ISNUMBER(AK174),IF(ABS(AK172-AK174)&lt;=0.15,0,ROUND(AK172-AK174,1)),"")</f>
        <v>0</v>
      </c>
      <c r="AL173" s="47" t="n">
        <f aca="false">IF(ISNUMBER(AL174),IF(ABS(AL172-AL174)&lt;=0.15,0,ROUND(AL172-AL174,1)),"")</f>
        <v>0</v>
      </c>
      <c r="AM173" s="47" t="n">
        <f aca="false">IF(ISNUMBER(AM174),IF(ABS(AM172-AM174)&lt;=0.15,0,ROUND(AM172-AM174,1)),"")</f>
        <v>0</v>
      </c>
      <c r="AN173" s="47" t="n">
        <f aca="false">IF(ISNUMBER(AN174),IF(ABS(AN172-AN174)&lt;=0.15,0,ROUND(AN172-AN174,1)),"")</f>
        <v>0</v>
      </c>
      <c r="AO173" s="47" t="n">
        <f aca="false">IF(ISNUMBER(AO174),IF(ABS(AO172-AO174)&lt;=0.15,0,ROUND(AO172-AO174,1)),"")</f>
        <v>0</v>
      </c>
      <c r="AP173" s="47" t="n">
        <f aca="false">IF(ISNUMBER(AP174),IF(ABS(AP172-AP174)&lt;=0.15,0,ROUND(AP172-AP174,1)),"")</f>
        <v>0</v>
      </c>
      <c r="AQ173" s="47" t="n">
        <f aca="false">IF(ISNUMBER(AQ174),IF(ABS(AQ172-AQ174)&lt;=0.15,0,ROUND(AQ172-AQ174,1)),"")</f>
        <v>0</v>
      </c>
      <c r="AR173" s="47" t="n">
        <f aca="false">IF(ISNUMBER(AR174),IF(ABS(AR172-AR174)&lt;=0.15,0,ROUND(AR172-AR174,1)),"")</f>
        <v>0</v>
      </c>
      <c r="AS173" s="47" t="n">
        <f aca="false">IF(ISNUMBER(AS174),IF(ABS(AS172-AS174)&lt;=0.15,0,ROUND(AS172-AS174,1)),"")</f>
        <v>0</v>
      </c>
      <c r="AT173" s="47" t="n">
        <f aca="false">IF(ISNUMBER(AT174),IF(ABS(AT172-AT174)&lt;=0.15,0,ROUND(AT172-AT174,1)),"")</f>
        <v>0</v>
      </c>
      <c r="AU173" s="47" t="n">
        <f aca="false">IF(ISNUMBER(AU174),IF(ABS(AU172-AU174)&lt;=0.15,0,ROUND(AU172-AU174,1)),"")</f>
        <v>0</v>
      </c>
      <c r="AV173" s="47" t="n">
        <f aca="false">IF(ISNUMBER(AV174),IF(ABS(AV172-AV174)&lt;=0.15,0,ROUND(AV172-AV174,1)),"")</f>
        <v>0</v>
      </c>
      <c r="AW173" s="47" t="n">
        <f aca="false">IF(ISNUMBER(AW174),IF(ABS(AW172-AW174)&lt;=0.15,0,ROUND(AW172-AW174,1)),"")</f>
        <v>0</v>
      </c>
      <c r="AX173" s="47" t="n">
        <f aca="false">IF(ISNUMBER(AX174),IF(ABS(AX172-AX174)&lt;=0.15,0,ROUND(AX172-AX174,1)),"")</f>
        <v>0</v>
      </c>
      <c r="AY173" s="47" t="n">
        <f aca="false">IF(ISNUMBER(AY174),IF(ABS(AY172-AY174)&lt;=0.15,0,ROUND(AY172-AY174,1)),"")</f>
        <v>0</v>
      </c>
      <c r="AZ173" s="47" t="n">
        <f aca="false">IF(ISNUMBER(AZ174),IF(ABS(AZ172-AZ174)&lt;=0.15,0,ROUND(AZ172-AZ174,1)),"")</f>
        <v>0</v>
      </c>
      <c r="BA173" s="47" t="n">
        <f aca="false">IF(ISNUMBER(BA174),IF(ABS(BA172-BA174)&lt;=0.15,0,ROUND(BA172-BA174,1)),"")</f>
        <v>0</v>
      </c>
      <c r="BB173" s="47" t="n">
        <f aca="false">IF(ISNUMBER(BB174),IF(ABS(BB172-BB174)&lt;=0.15,0,ROUND(BB172-BB174,1)),"")</f>
        <v>0</v>
      </c>
      <c r="BC173" s="47" t="n">
        <f aca="false">IF(ISNUMBER(BC174),IF(ABS(BC172-BC174)&lt;=0.15,0,ROUND(BC172-BC174,1)),"")</f>
        <v>0</v>
      </c>
      <c r="BD173" s="47" t="n">
        <f aca="false">IF(ISNUMBER(BD174),IF(ABS(BD172-BD174)&lt;=0.15,0,ROUND(BD172-BD174,1)),"")</f>
        <v>0</v>
      </c>
      <c r="BE173" s="47" t="n">
        <f aca="false">IF(ISNUMBER(BE174),IF(ABS(BE172-BE174)&lt;=0.15,0,ROUND(BE172-BE174,1)),"")</f>
        <v>0</v>
      </c>
      <c r="BF173" s="47" t="n">
        <f aca="false">IF(ISNUMBER(BF174),IF(ABS(BF172-BF174)&lt;=0.15,0,ROUND(BF172-BF174,1)),"")</f>
        <v>0</v>
      </c>
      <c r="BG173" s="47" t="n">
        <f aca="false">IF(ISNUMBER(BG174),IF(ABS(BG172-BG174)&lt;=0.15,0,ROUND(BG172-BG174,1)),"")</f>
        <v>0</v>
      </c>
      <c r="BH173" s="47" t="n">
        <f aca="false">IF(ISNUMBER(BH174),IF(ABS(BH172-BH174)&lt;=0.15,0,ROUND(BH172-BH174,1)),"")</f>
        <v>0</v>
      </c>
      <c r="BI173" s="47" t="n">
        <f aca="false">IF(ISNUMBER(BI174),IF(ABS(BI172-BI174)&lt;=0.15,0,ROUND(BI172-BI174,1)),"")</f>
        <v>0</v>
      </c>
      <c r="BJ173" s="47" t="n">
        <f aca="false">IF(ISNUMBER(BJ174),IF(ABS(BJ172-BJ174)&lt;=0.15,0,ROUND(BJ172-BJ174,1)),"")</f>
        <v>0</v>
      </c>
      <c r="BK173" s="47" t="n">
        <f aca="false">IF(ISNUMBER(BK174),IF(ABS(BK172-BK174)&lt;=0.15,0,ROUND(BK172-BK174,1)),"")</f>
        <v>0</v>
      </c>
      <c r="BL173" s="47" t="n">
        <f aca="false">IF(ISNUMBER(BL174),IF(ABS(BL172-BL174)&lt;=0.15,0,ROUND(BL172-BL174,1)),"")</f>
        <v>0</v>
      </c>
      <c r="BM173" s="47" t="n">
        <f aca="false">IF(ISNUMBER(BM174),IF(ABS(BM172-BM174)&lt;=0.15,0,ROUND(BM172-BM174,1)),"")</f>
        <v>0</v>
      </c>
      <c r="BN173" s="47" t="n">
        <f aca="false">IF(ISNUMBER(BN174),IF(ABS(BN172-BN174)&lt;=0.15,0,ROUND(BN172-BN174,1)),"")</f>
        <v>0</v>
      </c>
      <c r="BO173" s="47" t="n">
        <f aca="false">IF(ISNUMBER(BO174),IF(ABS(BO172-BO174)&lt;=0.15,0,ROUND(BO172-BO174,1)),"")</f>
        <v>0</v>
      </c>
      <c r="BP173" s="47" t="n">
        <f aca="false">IF(ISNUMBER(BP174),IF(ABS(BP172-BP174)&lt;=0.15,0,ROUND(BP172-BP174,1)),"")</f>
        <v>0</v>
      </c>
      <c r="BQ173" s="47" t="n">
        <f aca="false">IF(ISNUMBER(BQ174),IF(ABS(BQ172-BQ174)&lt;=0.15,0,ROUND(BQ172-BQ174,1)),"")</f>
        <v>0</v>
      </c>
      <c r="BR173" s="47" t="n">
        <f aca="false">IF(ISNUMBER(BR174),IF(ABS(BR172-BR174)&lt;=0.15,0,ROUND(BR172-BR174,1)),"")</f>
        <v>0</v>
      </c>
      <c r="BS173" s="47" t="n">
        <f aca="false">IF(ISNUMBER(BS174),IF(ABS(BS172-BS174)&lt;=0.15,0,ROUND(BS172-BS174,1)),"")</f>
        <v>0</v>
      </c>
      <c r="BT173" s="47" t="n">
        <f aca="false">IF(ISNUMBER(BT174),IF(ABS(BT172-BT174)&lt;=0.15,0,ROUND(BT172-BT174,1)),"")</f>
        <v>0</v>
      </c>
      <c r="BU173" s="47" t="n">
        <f aca="false">IF(ISNUMBER(BU174),IF(ABS(BU172-BU174)&lt;=0.15,0,ROUND(BU172-BU174,1)),"")</f>
        <v>0</v>
      </c>
      <c r="BV173" s="47" t="n">
        <f aca="false">IF(ISNUMBER(BV174),IF(ABS(BV172-BV174)&lt;=0.15,0,ROUND(BV172-BV174,1)),"")</f>
        <v>0</v>
      </c>
      <c r="BW173" s="47" t="n">
        <f aca="false">IF(ISNUMBER(BW174),IF(ABS(BW172-BW174)&lt;=0.15,0,ROUND(BW172-BW174,1)),"")</f>
        <v>0</v>
      </c>
      <c r="BX173" s="47" t="n">
        <f aca="false">IF(ISNUMBER(BX174),IF(ABS(BX172-BX174)&lt;=0.15,0,ROUND(BX172-BX174,1)),"")</f>
        <v>0</v>
      </c>
      <c r="BY173" s="6"/>
      <c r="BZ173" s="6"/>
      <c r="CA173" s="6"/>
      <c r="CB173" s="6"/>
      <c r="CC173" s="6"/>
      <c r="CD173" s="6"/>
      <c r="CE173" s="6"/>
      <c r="CF173" s="6"/>
    </row>
    <row r="174" customFormat="false" ht="15" hidden="false" customHeight="true" outlineLevel="0" collapsed="false">
      <c r="B174" s="42" t="s">
        <v>334</v>
      </c>
      <c r="C174" s="36" t="n">
        <v>245.4</v>
      </c>
      <c r="D174" s="36" t="n">
        <v>262.7</v>
      </c>
      <c r="E174" s="36" t="n">
        <v>176.3</v>
      </c>
      <c r="F174" s="36" t="n">
        <v>85.5</v>
      </c>
      <c r="G174" s="36" t="n">
        <v>97</v>
      </c>
      <c r="H174" s="36" t="n">
        <v>82.4</v>
      </c>
      <c r="I174" s="36" t="n">
        <v>84.5</v>
      </c>
      <c r="J174" s="36" t="n">
        <v>-27.8</v>
      </c>
      <c r="K174" s="36" t="n">
        <v>41.3</v>
      </c>
      <c r="L174" s="36" t="n">
        <v>71.8</v>
      </c>
      <c r="M174" s="36" t="n">
        <v>36</v>
      </c>
      <c r="N174" s="36" t="n">
        <v>121.3</v>
      </c>
      <c r="O174" s="36" t="n">
        <v>-21.6</v>
      </c>
      <c r="P174" s="36" t="n">
        <v>59.5</v>
      </c>
      <c r="Q174" s="36" t="n">
        <v>53.7</v>
      </c>
      <c r="R174" s="36" t="n">
        <v>64</v>
      </c>
      <c r="S174" s="36" t="n">
        <v>155.6</v>
      </c>
      <c r="T174" s="36" t="n">
        <v>6.1</v>
      </c>
      <c r="U174" s="36" t="n">
        <v>81.9</v>
      </c>
      <c r="V174" s="36" t="n">
        <v>117.5</v>
      </c>
      <c r="W174" s="36" t="n">
        <v>83.2</v>
      </c>
      <c r="X174" s="36" t="n">
        <v>288.8</v>
      </c>
      <c r="Y174" s="36" t="n">
        <v>45</v>
      </c>
      <c r="Z174" s="36" t="n">
        <v>122.1</v>
      </c>
      <c r="AA174" s="36" t="n">
        <v>159.5</v>
      </c>
      <c r="AB174" s="36" t="n">
        <v>98.9</v>
      </c>
      <c r="AC174" s="36" t="n">
        <v>425.4</v>
      </c>
      <c r="AD174" s="36" t="n">
        <v>42.3</v>
      </c>
      <c r="AE174" s="36" t="n">
        <v>142.3</v>
      </c>
      <c r="AF174" s="36" t="n">
        <v>151.5</v>
      </c>
      <c r="AG174" s="36" t="n">
        <v>377.2</v>
      </c>
      <c r="AH174" s="36" t="n">
        <v>713.3</v>
      </c>
      <c r="AI174" s="36" t="n">
        <v>10</v>
      </c>
      <c r="AJ174" s="36" t="n">
        <v>185.377</v>
      </c>
      <c r="AK174" s="36" t="n">
        <v>180.221</v>
      </c>
      <c r="AL174" s="36" t="n">
        <v>94.378</v>
      </c>
      <c r="AM174" s="36" t="n">
        <v>469.998</v>
      </c>
      <c r="AN174" s="36" t="n">
        <v>42.853</v>
      </c>
      <c r="AO174" s="36" t="n">
        <v>189.475</v>
      </c>
      <c r="AP174" s="36" t="n">
        <v>248.573</v>
      </c>
      <c r="AQ174" s="36" t="n">
        <v>131.014</v>
      </c>
      <c r="AR174" s="36" t="n">
        <v>611.915</v>
      </c>
      <c r="AS174" s="36" t="n">
        <v>25.9</v>
      </c>
      <c r="AT174" s="36" t="n">
        <v>217.6</v>
      </c>
      <c r="AU174" s="36" t="n">
        <v>294.4</v>
      </c>
      <c r="AV174" s="36" t="n">
        <v>183</v>
      </c>
      <c r="AW174" s="36" t="n">
        <v>721</v>
      </c>
      <c r="AX174" s="36" t="n">
        <v>65.3</v>
      </c>
      <c r="AY174" s="36" t="n">
        <v>225.8</v>
      </c>
      <c r="AZ174" s="36" t="n">
        <v>254.6</v>
      </c>
      <c r="BA174" s="36" t="n">
        <v>156.8</v>
      </c>
      <c r="BB174" s="36" t="n">
        <v>702.5</v>
      </c>
      <c r="BC174" s="36" t="n">
        <v>21.4</v>
      </c>
      <c r="BD174" s="36" t="n">
        <v>366.5</v>
      </c>
      <c r="BE174" s="36" t="n">
        <v>295.3</v>
      </c>
      <c r="BF174" s="36" t="n">
        <v>183.6</v>
      </c>
      <c r="BG174" s="36" t="n">
        <v>866.8</v>
      </c>
      <c r="BH174" s="36" t="n">
        <v>121.4</v>
      </c>
      <c r="BI174" s="36" t="n">
        <v>348.3</v>
      </c>
      <c r="BJ174" s="36" t="n">
        <v>416.7</v>
      </c>
      <c r="BK174" s="36" t="n">
        <v>282.5</v>
      </c>
      <c r="BL174" s="36" t="n">
        <v>1168.9</v>
      </c>
      <c r="BM174" s="36" t="n">
        <v>1045</v>
      </c>
      <c r="BN174" s="36" t="n">
        <v>294</v>
      </c>
      <c r="BO174" s="36" t="n">
        <v>363</v>
      </c>
      <c r="BP174" s="36" t="n">
        <v>294</v>
      </c>
      <c r="BQ174" s="36" t="n">
        <v>1995</v>
      </c>
      <c r="BR174" s="36" t="n">
        <v>116</v>
      </c>
      <c r="BS174" s="36" t="n">
        <v>328</v>
      </c>
      <c r="BT174" s="36" t="n">
        <v>414</v>
      </c>
      <c r="BU174" s="36" t="n">
        <v>279</v>
      </c>
      <c r="BV174" s="36" t="n">
        <v>1137</v>
      </c>
      <c r="BW174" s="36" t="n">
        <v>1513</v>
      </c>
      <c r="BX174" s="36" t="n">
        <v>251</v>
      </c>
      <c r="BY174" s="6"/>
      <c r="BZ174" s="6"/>
      <c r="CA174" s="6"/>
      <c r="CB174" s="6"/>
      <c r="CC174" s="6"/>
      <c r="CD174" s="6"/>
      <c r="CE174" s="6"/>
      <c r="CF174" s="6"/>
    </row>
    <row r="175" customFormat="false" ht="15" hidden="false" customHeight="true" outlineLevel="0" collapsed="false">
      <c r="B175" s="42" t="s">
        <v>335</v>
      </c>
      <c r="C175" s="47" t="n">
        <f aca="false">C168-C171</f>
        <v>243.8</v>
      </c>
      <c r="D175" s="47" t="n">
        <f aca="false">D168-D171</f>
        <v>262.5</v>
      </c>
      <c r="E175" s="47" t="n">
        <f aca="false">E168-E171</f>
        <v>171.5</v>
      </c>
      <c r="F175" s="47" t="n">
        <f aca="false">F168-F171</f>
        <v>85.1999999999998</v>
      </c>
      <c r="G175" s="47" t="n">
        <f aca="false">G168-G171</f>
        <v>96.8</v>
      </c>
      <c r="H175" s="47" t="n">
        <f aca="false">H168-H171</f>
        <v>78.4</v>
      </c>
      <c r="I175" s="47" t="n">
        <f aca="false">I168-I171</f>
        <v>84.9999999999999</v>
      </c>
      <c r="J175" s="47" t="n">
        <f aca="false">J168-J171</f>
        <v>-27.7</v>
      </c>
      <c r="K175" s="47" t="n">
        <f aca="false">K168-K171</f>
        <v>41.0000000000001</v>
      </c>
      <c r="L175" s="47" t="n">
        <f aca="false">L168-L171</f>
        <v>72.0999999999999</v>
      </c>
      <c r="M175" s="47" t="n">
        <f aca="false">M168-M171</f>
        <v>36.3</v>
      </c>
      <c r="N175" s="47" t="n">
        <f aca="false">N168-N171</f>
        <v>122.1</v>
      </c>
      <c r="O175" s="47" t="n">
        <f aca="false">O168-O171</f>
        <v>-21.6</v>
      </c>
      <c r="P175" s="47" t="n">
        <f aca="false">P168-P171</f>
        <v>59.6</v>
      </c>
      <c r="Q175" s="47" t="n">
        <f aca="false">Q168-Q171</f>
        <v>53.8</v>
      </c>
      <c r="R175" s="47" t="n">
        <f aca="false">R168-R171</f>
        <v>63.9</v>
      </c>
      <c r="S175" s="47" t="n">
        <f aca="false">S168-S171</f>
        <v>155.6</v>
      </c>
      <c r="T175" s="47" t="n">
        <f aca="false">T168-T171</f>
        <v>6.09999999999995</v>
      </c>
      <c r="U175" s="47" t="n">
        <f aca="false">U168-U171</f>
        <v>81.8999999999999</v>
      </c>
      <c r="V175" s="47" t="n">
        <f aca="false">V168-V171</f>
        <v>117.5</v>
      </c>
      <c r="W175" s="47" t="n">
        <f aca="false">W168-W171</f>
        <v>83.2000000000001</v>
      </c>
      <c r="X175" s="47" t="n">
        <f aca="false">X168-X171</f>
        <v>288.8</v>
      </c>
      <c r="Y175" s="47" t="n">
        <f aca="false">Y168-Y171</f>
        <v>44.9999999999999</v>
      </c>
      <c r="Z175" s="47" t="n">
        <f aca="false">Z168-Z171</f>
        <v>122.1</v>
      </c>
      <c r="AA175" s="47" t="n">
        <f aca="false">AA168-AA171</f>
        <v>159.5</v>
      </c>
      <c r="AB175" s="47" t="n">
        <f aca="false">AB168-AB171</f>
        <v>98.8999999999999</v>
      </c>
      <c r="AC175" s="47" t="n">
        <f aca="false">AC168-AC171</f>
        <v>425.4</v>
      </c>
      <c r="AD175" s="47" t="n">
        <f aca="false">AD168-AD171</f>
        <v>42.3</v>
      </c>
      <c r="AE175" s="47" t="n">
        <f aca="false">AE168-AE171</f>
        <v>142.3</v>
      </c>
      <c r="AF175" s="47" t="n">
        <f aca="false">AF168-AF171</f>
        <v>151.5</v>
      </c>
      <c r="AG175" s="47" t="n">
        <f aca="false">AG168-AG171</f>
        <v>377.2</v>
      </c>
      <c r="AH175" s="47" t="n">
        <f aca="false">AH168-AH171</f>
        <v>713.3</v>
      </c>
      <c r="AI175" s="47" t="n">
        <f aca="false">AI168-AI171</f>
        <v>9.99999999999998</v>
      </c>
      <c r="AJ175" s="47" t="n">
        <f aca="false">AJ168-AJ171</f>
        <v>185.377</v>
      </c>
      <c r="AK175" s="47" t="n">
        <f aca="false">AK168-AK171</f>
        <v>180.221</v>
      </c>
      <c r="AL175" s="47" t="n">
        <f aca="false">AL168-AL171</f>
        <v>94.378</v>
      </c>
      <c r="AM175" s="47" t="n">
        <f aca="false">AM168-AM171</f>
        <v>469.998</v>
      </c>
      <c r="AN175" s="47" t="n">
        <f aca="false">AN168-AN171</f>
        <v>42.826</v>
      </c>
      <c r="AO175" s="47" t="n">
        <f aca="false">AO168-AO171</f>
        <v>189.469</v>
      </c>
      <c r="AP175" s="47" t="n">
        <f aca="false">AP168-AP171</f>
        <v>248.622</v>
      </c>
      <c r="AQ175" s="47" t="n">
        <f aca="false">AQ168-AQ171</f>
        <v>131.014</v>
      </c>
      <c r="AR175" s="47" t="n">
        <f aca="false">AR168-AR171</f>
        <v>611.915</v>
      </c>
      <c r="AS175" s="47" t="n">
        <f aca="false">AS168-AS171</f>
        <v>25.9000000000001</v>
      </c>
      <c r="AT175" s="47" t="n">
        <f aca="false">AT168-AT171</f>
        <v>217.6</v>
      </c>
      <c r="AU175" s="47" t="n">
        <f aca="false">AU168-AU171</f>
        <v>294.4</v>
      </c>
      <c r="AV175" s="47" t="n">
        <f aca="false">AV168-AV171</f>
        <v>183</v>
      </c>
      <c r="AW175" s="47" t="n">
        <f aca="false">AW168-AW171</f>
        <v>721</v>
      </c>
      <c r="AX175" s="47" t="n">
        <f aca="false">AX168-AX171</f>
        <v>65.2999999999999</v>
      </c>
      <c r="AY175" s="47" t="n">
        <f aca="false">AY168-AY171</f>
        <v>225.8</v>
      </c>
      <c r="AZ175" s="47" t="n">
        <f aca="false">AZ168-AZ171</f>
        <v>254.6</v>
      </c>
      <c r="BA175" s="47" t="n">
        <f aca="false">BA168-BA171</f>
        <v>156.3</v>
      </c>
      <c r="BB175" s="47" t="n">
        <f aca="false">BB168-BB171</f>
        <v>702</v>
      </c>
      <c r="BC175" s="47" t="n">
        <f aca="false">BC168-BC171</f>
        <v>24.4999999999999</v>
      </c>
      <c r="BD175" s="47" t="n">
        <f aca="false">BD168-BD171</f>
        <v>353.2</v>
      </c>
      <c r="BE175" s="47" t="n">
        <f aca="false">BE168-BE171</f>
        <v>291.2</v>
      </c>
      <c r="BF175" s="47" t="n">
        <f aca="false">BF168-BF171</f>
        <v>187.4</v>
      </c>
      <c r="BG175" s="47" t="n">
        <f aca="false">BG168-BG171</f>
        <v>856.3</v>
      </c>
      <c r="BH175" s="47" t="n">
        <f aca="false">BH168-BH171</f>
        <v>134.3</v>
      </c>
      <c r="BI175" s="47" t="n">
        <f aca="false">BI168-BI171</f>
        <v>347.6</v>
      </c>
      <c r="BJ175" s="47" t="n">
        <f aca="false">BJ168-BJ171</f>
        <v>430.3</v>
      </c>
      <c r="BK175" s="47" t="n">
        <f aca="false">BK168-BK171</f>
        <v>287.7</v>
      </c>
      <c r="BL175" s="47" t="n">
        <f aca="false">BL168-BL171</f>
        <v>1199.8</v>
      </c>
      <c r="BM175" s="47" t="n">
        <f aca="false">BM168-BM171</f>
        <v>1045</v>
      </c>
      <c r="BN175" s="47" t="n">
        <f aca="false">BN168-BN171</f>
        <v>294</v>
      </c>
      <c r="BO175" s="47" t="n">
        <f aca="false">BO168-BO171</f>
        <v>363</v>
      </c>
      <c r="BP175" s="47" t="n">
        <f aca="false">BP168-BP171</f>
        <v>294</v>
      </c>
      <c r="BQ175" s="47" t="n">
        <f aca="false">BQ168-BQ171</f>
        <v>1995</v>
      </c>
      <c r="BR175" s="47" t="n">
        <f aca="false">BR168-BR171</f>
        <v>104</v>
      </c>
      <c r="BS175" s="47" t="n">
        <f aca="false">BS168-BS171</f>
        <v>292</v>
      </c>
      <c r="BT175" s="47" t="n">
        <f aca="false">BT168-BT171</f>
        <v>361</v>
      </c>
      <c r="BU175" s="47" t="n">
        <f aca="false">BU168-BU171</f>
        <v>233</v>
      </c>
      <c r="BV175" s="47" t="n">
        <f aca="false">BV168-BV171</f>
        <v>990</v>
      </c>
      <c r="BW175" s="47" t="n">
        <f aca="false">BW168-BW171</f>
        <v>79</v>
      </c>
      <c r="BX175" s="47" t="n">
        <f aca="false">BX168-BX171</f>
        <v>256</v>
      </c>
      <c r="BY175" s="37" t="n">
        <f aca="false">BY168-BY171</f>
        <v>333.002223524286</v>
      </c>
      <c r="BZ175" s="37" t="n">
        <f aca="false">BZ168-BZ171</f>
        <v>228.254239822475</v>
      </c>
      <c r="CA175" s="37" t="n">
        <f aca="false">CA168-CA171</f>
        <v>896.256463346761</v>
      </c>
      <c r="CB175" s="37" t="n">
        <f aca="false">CB168-CB171</f>
        <v>1288.63503471762</v>
      </c>
      <c r="CC175" s="37" t="n">
        <f aca="false">CC168-CC171</f>
        <v>1610.11428933986</v>
      </c>
      <c r="CD175" s="37" t="n">
        <f aca="false">CD168-CD171</f>
        <v>1880.2941935602</v>
      </c>
      <c r="CE175" s="37" t="n">
        <f aca="false">CE168-CE171</f>
        <v>2100.39833001768</v>
      </c>
      <c r="CF175" s="6"/>
    </row>
    <row r="176" customFormat="false" ht="15" hidden="false" customHeight="true" outlineLevel="0" collapsed="false">
      <c r="B176" s="42" t="s">
        <v>336</v>
      </c>
      <c r="C176" s="36" t="n">
        <v>141.429</v>
      </c>
      <c r="D176" s="36" t="n">
        <v>150.338</v>
      </c>
      <c r="E176" s="36" t="n">
        <v>171.129</v>
      </c>
      <c r="F176" s="36" t="n">
        <v>179.391</v>
      </c>
      <c r="G176" s="36" t="n">
        <v>181.537</v>
      </c>
      <c r="H176" s="36" t="n">
        <v>173.407</v>
      </c>
      <c r="I176" s="36" t="n">
        <v>177.211</v>
      </c>
      <c r="J176" s="36" t="n">
        <v>43.043</v>
      </c>
      <c r="K176" s="36" t="n">
        <v>42.949</v>
      </c>
      <c r="L176" s="36" t="n">
        <v>44.105</v>
      </c>
      <c r="M176" s="36" t="n">
        <v>43.664</v>
      </c>
      <c r="N176" s="36" t="n">
        <v>173.761</v>
      </c>
      <c r="O176" s="36" t="n">
        <v>42.466</v>
      </c>
      <c r="P176" s="36" t="n">
        <v>43.681</v>
      </c>
      <c r="Q176" s="36" t="n">
        <v>67.932</v>
      </c>
      <c r="R176" s="36" t="n">
        <v>68.667</v>
      </c>
      <c r="S176" s="36" t="n">
        <v>222.746</v>
      </c>
      <c r="T176" s="36" t="n">
        <v>67.268</v>
      </c>
      <c r="U176" s="36" t="n">
        <v>67.69</v>
      </c>
      <c r="V176" s="36" t="n">
        <v>64.977</v>
      </c>
      <c r="W176" s="36" t="n">
        <v>63.652</v>
      </c>
      <c r="X176" s="36" t="n">
        <v>263.587</v>
      </c>
      <c r="Y176" s="36" t="n">
        <v>68.41</v>
      </c>
      <c r="Z176" s="36" t="n">
        <v>71.207</v>
      </c>
      <c r="AA176" s="36" t="n">
        <v>72.38</v>
      </c>
      <c r="AB176" s="36" t="n">
        <v>73.256</v>
      </c>
      <c r="AC176" s="36" t="n">
        <v>285.253</v>
      </c>
      <c r="AD176" s="36" t="n">
        <v>70.376</v>
      </c>
      <c r="AE176" s="36" t="n">
        <v>75.726</v>
      </c>
      <c r="AF176" s="36" t="n">
        <v>75.316</v>
      </c>
      <c r="AG176" s="36" t="n">
        <v>75.744</v>
      </c>
      <c r="AH176" s="36" t="n">
        <v>297.162</v>
      </c>
      <c r="AI176" s="36" t="n">
        <v>76.821</v>
      </c>
      <c r="AJ176" s="36" t="n">
        <v>86.724</v>
      </c>
      <c r="AK176" s="36" t="n">
        <v>89.655</v>
      </c>
      <c r="AL176" s="36" t="n">
        <v>90.833</v>
      </c>
      <c r="AM176" s="36" t="n">
        <v>344.033</v>
      </c>
      <c r="AN176" s="36" t="n">
        <v>89.211</v>
      </c>
      <c r="AO176" s="36" t="n">
        <v>92.775</v>
      </c>
      <c r="AP176" s="36" t="n">
        <v>94.988</v>
      </c>
      <c r="AQ176" s="36" t="n">
        <v>94.526</v>
      </c>
      <c r="AR176" s="36" t="n">
        <v>371.5</v>
      </c>
      <c r="AS176" s="36" t="n">
        <v>95</v>
      </c>
      <c r="AT176" s="36" t="n">
        <v>98.4</v>
      </c>
      <c r="AU176" s="36" t="n">
        <v>98.8</v>
      </c>
      <c r="AV176" s="36" t="n">
        <v>101.3</v>
      </c>
      <c r="AW176" s="36" t="n">
        <v>393.5</v>
      </c>
      <c r="AX176" s="36" t="n">
        <v>98.6</v>
      </c>
      <c r="AY176" s="36" t="n">
        <v>107.9</v>
      </c>
      <c r="AZ176" s="36" t="n">
        <v>113.5</v>
      </c>
      <c r="BA176" s="36" t="n">
        <v>131.7</v>
      </c>
      <c r="BB176" s="36" t="n">
        <v>451.7</v>
      </c>
      <c r="BC176" s="36" t="n">
        <v>128.2</v>
      </c>
      <c r="BD176" s="36" t="n">
        <v>128.4</v>
      </c>
      <c r="BE176" s="36" t="n">
        <v>123.7</v>
      </c>
      <c r="BF176" s="36" t="n">
        <v>125.7</v>
      </c>
      <c r="BG176" s="36" t="n">
        <v>506</v>
      </c>
      <c r="BH176" s="36" t="n">
        <v>123.6</v>
      </c>
      <c r="BI176" s="36" t="n">
        <v>129.5</v>
      </c>
      <c r="BJ176" s="36" t="n">
        <v>131.5</v>
      </c>
      <c r="BK176" s="36" t="n">
        <v>128.6</v>
      </c>
      <c r="BL176" s="36" t="n">
        <v>513.2</v>
      </c>
      <c r="BM176" s="36" t="n">
        <v>130</v>
      </c>
      <c r="BN176" s="36" t="n">
        <v>142</v>
      </c>
      <c r="BO176" s="36" t="n">
        <v>152</v>
      </c>
      <c r="BP176" s="36" t="n">
        <v>149</v>
      </c>
      <c r="BQ176" s="36" t="n">
        <v>573</v>
      </c>
      <c r="BR176" s="36" t="n">
        <v>154</v>
      </c>
      <c r="BS176" s="36" t="n">
        <v>167</v>
      </c>
      <c r="BT176" s="36" t="n">
        <v>159</v>
      </c>
      <c r="BU176" s="36" t="n">
        <v>157</v>
      </c>
      <c r="BV176" s="36" t="n">
        <v>637</v>
      </c>
      <c r="BW176" s="36" t="n">
        <v>167</v>
      </c>
      <c r="BX176" s="36" t="n">
        <v>204</v>
      </c>
      <c r="BY176" s="37" t="n">
        <f aca="false">BY146+N(BY77)+N(BY71)+N(BY100)</f>
        <v>268.059034455947</v>
      </c>
      <c r="BZ176" s="37" t="n">
        <f aca="false">BZ146+N(BZ77)+N(BZ71)+N(BZ100)</f>
        <v>332.193443169441</v>
      </c>
      <c r="CA176" s="37" t="n">
        <f aca="false">SUM(BW176,BX176,BY176,BZ176)</f>
        <v>971.252477625388</v>
      </c>
      <c r="CB176" s="37" t="n">
        <f aca="false">CB146+N(CB77)+N(CB71)+N(CB100)</f>
        <v>1330.60052227193</v>
      </c>
      <c r="CC176" s="37" t="n">
        <f aca="false">CC146+N(CC77)+N(CC71)+N(CC100)</f>
        <v>1411.39518978434</v>
      </c>
      <c r="CD176" s="37" t="n">
        <f aca="false">CD146+N(CD77)+N(CD71)+N(CD100)</f>
        <v>1505.48005394654</v>
      </c>
      <c r="CE176" s="37" t="n">
        <f aca="false">CE146+N(CE77)+N(CE71)+N(CE100)</f>
        <v>1610.94644981958</v>
      </c>
      <c r="CF176" s="20" t="s">
        <v>337</v>
      </c>
    </row>
    <row r="177" customFormat="false" ht="15" hidden="false" customHeight="true" outlineLevel="0" collapsed="false">
      <c r="B177" s="42" t="s">
        <v>338</v>
      </c>
      <c r="C177" s="36" t="n">
        <v>13.438</v>
      </c>
      <c r="D177" s="36" t="n">
        <v>19.687</v>
      </c>
      <c r="E177" s="36" t="n">
        <v>21.865</v>
      </c>
      <c r="F177" s="36" t="n">
        <v>20.552</v>
      </c>
      <c r="G177" s="36" t="n">
        <v>14.675</v>
      </c>
      <c r="H177" s="36" t="n">
        <v>11.522</v>
      </c>
      <c r="I177" s="36" t="n">
        <v>7.781</v>
      </c>
      <c r="J177" s="36" t="n">
        <v>1.245</v>
      </c>
      <c r="K177" s="36" t="n">
        <v>2.736</v>
      </c>
      <c r="L177" s="36" t="n">
        <v>1.427</v>
      </c>
      <c r="M177" s="36" t="n">
        <v>1.6</v>
      </c>
      <c r="N177" s="36" t="n">
        <v>7.008</v>
      </c>
      <c r="O177" s="36" t="n">
        <v>1.409</v>
      </c>
      <c r="P177" s="36" t="n">
        <v>2.961</v>
      </c>
      <c r="Q177" s="36" t="n">
        <v>2.011</v>
      </c>
      <c r="R177" s="36" t="n">
        <v>2.612</v>
      </c>
      <c r="S177" s="36" t="n">
        <v>8.993</v>
      </c>
      <c r="T177" s="36" t="n">
        <v>2.907</v>
      </c>
      <c r="U177" s="36" t="n">
        <v>4.617</v>
      </c>
      <c r="V177" s="36" t="n">
        <v>3.198</v>
      </c>
      <c r="W177" s="36" t="n">
        <v>2.867</v>
      </c>
      <c r="X177" s="36" t="n">
        <v>13.589</v>
      </c>
      <c r="Y177" s="36" t="n">
        <v>7.228</v>
      </c>
      <c r="Z177" s="36" t="n">
        <v>5.573</v>
      </c>
      <c r="AA177" s="36" t="n">
        <v>4.366</v>
      </c>
      <c r="AB177" s="36" t="n">
        <v>3.314</v>
      </c>
      <c r="AC177" s="36" t="n">
        <v>20.481</v>
      </c>
      <c r="AD177" s="36" t="n">
        <v>10.275</v>
      </c>
      <c r="AE177" s="36" t="n">
        <v>7.452</v>
      </c>
      <c r="AF177" s="36" t="n">
        <v>5.971</v>
      </c>
      <c r="AG177" s="36" t="n">
        <v>6.762</v>
      </c>
      <c r="AH177" s="36" t="n">
        <v>30.46</v>
      </c>
      <c r="AI177" s="36" t="n">
        <v>9.76</v>
      </c>
      <c r="AJ177" s="36" t="n">
        <v>7.338</v>
      </c>
      <c r="AK177" s="36" t="n">
        <v>5.986</v>
      </c>
      <c r="AL177" s="36" t="n">
        <v>6.169</v>
      </c>
      <c r="AM177" s="36" t="n">
        <v>29.253</v>
      </c>
      <c r="AN177" s="36" t="n">
        <v>13.552</v>
      </c>
      <c r="AO177" s="36" t="n">
        <v>8.698</v>
      </c>
      <c r="AP177" s="36" t="n">
        <v>6.164</v>
      </c>
      <c r="AQ177" s="36" t="n">
        <v>5.686</v>
      </c>
      <c r="AR177" s="36" t="n">
        <v>34.1</v>
      </c>
      <c r="AS177" s="36" t="n">
        <v>12.5</v>
      </c>
      <c r="AT177" s="36" t="n">
        <v>7.2</v>
      </c>
      <c r="AU177" s="36" t="n">
        <v>2.7</v>
      </c>
      <c r="AV177" s="36" t="n">
        <v>7.6</v>
      </c>
      <c r="AW177" s="36" t="n">
        <v>30</v>
      </c>
      <c r="AX177" s="36" t="n">
        <v>10.9</v>
      </c>
      <c r="AY177" s="36" t="n">
        <v>9.9</v>
      </c>
      <c r="AZ177" s="36" t="n">
        <v>12.2</v>
      </c>
      <c r="BA177" s="36" t="n">
        <v>10</v>
      </c>
      <c r="BB177" s="36" t="n">
        <v>43</v>
      </c>
      <c r="BC177" s="36" t="n">
        <v>12</v>
      </c>
      <c r="BD177" s="36" t="n">
        <v>12.5</v>
      </c>
      <c r="BE177" s="36" t="n">
        <v>9.8</v>
      </c>
      <c r="BF177" s="36" t="n">
        <v>8.40000000000001</v>
      </c>
      <c r="BG177" s="36" t="n">
        <v>42.7</v>
      </c>
      <c r="BH177" s="36" t="n">
        <v>13.7</v>
      </c>
      <c r="BI177" s="36" t="n">
        <v>14</v>
      </c>
      <c r="BJ177" s="36" t="n">
        <v>11.3</v>
      </c>
      <c r="BK177" s="36" t="n">
        <v>11</v>
      </c>
      <c r="BL177" s="36" t="n">
        <v>50</v>
      </c>
      <c r="BM177" s="36" t="n">
        <v>15</v>
      </c>
      <c r="BN177" s="36" t="n">
        <v>18</v>
      </c>
      <c r="BO177" s="36" t="n">
        <v>15</v>
      </c>
      <c r="BP177" s="36" t="n">
        <v>10</v>
      </c>
      <c r="BQ177" s="36" t="n">
        <v>58</v>
      </c>
      <c r="BR177" s="36" t="n">
        <v>31</v>
      </c>
      <c r="BS177" s="36" t="n">
        <v>6</v>
      </c>
      <c r="BT177" s="36" t="n">
        <v>5</v>
      </c>
      <c r="BU177" s="36" t="n">
        <v>4</v>
      </c>
      <c r="BV177" s="36" t="n">
        <v>46</v>
      </c>
      <c r="BW177" s="36" t="n">
        <v>31</v>
      </c>
      <c r="BX177" s="36" t="n">
        <v>10</v>
      </c>
      <c r="BY177" s="37" t="n">
        <f aca="false">BY152*BY149</f>
        <v>29.5732819330867</v>
      </c>
      <c r="BZ177" s="37" t="n">
        <f aca="false">BZ152*BZ149</f>
        <v>28.1718999333519</v>
      </c>
      <c r="CA177" s="37" t="n">
        <f aca="false">SUM(BW177,BX177,BY177,BZ177)</f>
        <v>98.7451818664386</v>
      </c>
      <c r="CB177" s="37" t="n">
        <f aca="false">CB152*CB149</f>
        <v>68.7177333283461</v>
      </c>
      <c r="CC177" s="37" t="n">
        <f aca="false">CC152*CC149</f>
        <v>74.217430508021</v>
      </c>
      <c r="CD177" s="37" t="n">
        <f aca="false">CD152*CD149</f>
        <v>80.4554003143977</v>
      </c>
      <c r="CE177" s="37" t="n">
        <f aca="false">CE152*CE149</f>
        <v>87.400402911437</v>
      </c>
      <c r="CF177" s="6"/>
    </row>
    <row r="178" customFormat="false" ht="15" hidden="false" customHeight="true" outlineLevel="0" collapsed="false">
      <c r="B178" s="26" t="s">
        <v>339</v>
      </c>
      <c r="CF178" s="6"/>
    </row>
    <row r="179" customFormat="false" ht="15" hidden="false" customHeight="true" outlineLevel="0" collapsed="false">
      <c r="B179" s="26" t="s">
        <v>340</v>
      </c>
      <c r="C179" s="48" t="n">
        <v>45.5</v>
      </c>
      <c r="D179" s="48" t="n">
        <v>42.7</v>
      </c>
      <c r="E179" s="48" t="n">
        <v>41.4</v>
      </c>
      <c r="F179" s="48" t="n">
        <v>44</v>
      </c>
      <c r="G179" s="48" t="n">
        <v>45.5</v>
      </c>
      <c r="H179" s="48" t="n">
        <v>45.7</v>
      </c>
      <c r="I179" s="48" t="n">
        <v>45.8</v>
      </c>
      <c r="J179" s="48" t="n">
        <v>46</v>
      </c>
      <c r="K179" s="48" t="n">
        <v>46.1</v>
      </c>
      <c r="L179" s="48" t="n">
        <v>46.2</v>
      </c>
      <c r="M179" s="48" t="n">
        <v>46.3</v>
      </c>
      <c r="N179" s="48" t="n">
        <v>46.2</v>
      </c>
      <c r="O179" s="48" t="n">
        <v>46.3</v>
      </c>
      <c r="P179" s="48" t="n">
        <v>46.4</v>
      </c>
      <c r="Q179" s="48" t="n">
        <v>67.1</v>
      </c>
      <c r="R179" s="48" t="n">
        <v>67.3</v>
      </c>
      <c r="S179" s="48" t="n">
        <v>56.9</v>
      </c>
      <c r="T179" s="48" t="n">
        <v>67.4</v>
      </c>
      <c r="U179" s="48" t="n">
        <v>67.4</v>
      </c>
      <c r="V179" s="48" t="n">
        <v>66.8</v>
      </c>
      <c r="W179" s="48" t="n">
        <v>65.5</v>
      </c>
      <c r="X179" s="48" t="n">
        <v>66.8</v>
      </c>
      <c r="Y179" s="48" t="n">
        <v>64.2</v>
      </c>
      <c r="Z179" s="48" t="n">
        <v>63.5</v>
      </c>
      <c r="AA179" s="48" t="n">
        <v>63.5</v>
      </c>
      <c r="AB179" s="48" t="n">
        <v>63.3</v>
      </c>
      <c r="AC179" s="48" t="n">
        <v>63.6</v>
      </c>
      <c r="AD179" s="48" t="n">
        <v>63</v>
      </c>
      <c r="AE179" s="48" t="n">
        <v>62.9</v>
      </c>
      <c r="AF179" s="48" t="n">
        <v>62.9</v>
      </c>
      <c r="AG179" s="48" t="n">
        <v>62.9</v>
      </c>
      <c r="AH179" s="48" t="n">
        <v>62.9</v>
      </c>
      <c r="AI179" s="48" t="n">
        <v>63</v>
      </c>
      <c r="AJ179" s="48" t="n">
        <v>63.021</v>
      </c>
      <c r="AK179" s="48" t="n">
        <v>62.932</v>
      </c>
      <c r="AL179" s="48" t="n">
        <v>62.672</v>
      </c>
      <c r="AM179" s="48" t="n">
        <v>62.895</v>
      </c>
      <c r="AN179" s="48" t="n">
        <v>62.584</v>
      </c>
      <c r="AO179" s="48" t="n">
        <v>62.563</v>
      </c>
      <c r="AP179" s="48" t="n">
        <v>62.51</v>
      </c>
      <c r="AQ179" s="48" t="n">
        <v>62.456</v>
      </c>
      <c r="AR179" s="48" t="n">
        <v>62.528</v>
      </c>
      <c r="AS179" s="48" t="n">
        <v>62.3</v>
      </c>
      <c r="AT179" s="48" t="n">
        <v>62.3</v>
      </c>
      <c r="AU179" s="48" t="n">
        <v>62.3</v>
      </c>
      <c r="AV179" s="48" t="n">
        <v>62.3</v>
      </c>
      <c r="AW179" s="48" t="n">
        <v>62.3</v>
      </c>
      <c r="AX179" s="48" t="n">
        <v>62.3</v>
      </c>
      <c r="AY179" s="48" t="n">
        <v>62.4</v>
      </c>
      <c r="AZ179" s="48" t="n">
        <v>62.4</v>
      </c>
      <c r="BA179" s="48" t="n">
        <v>62.4</v>
      </c>
      <c r="BB179" s="48" t="n">
        <v>62.4</v>
      </c>
      <c r="BC179" s="48" t="n">
        <v>62.4</v>
      </c>
      <c r="BD179" s="48" t="n">
        <v>62.4</v>
      </c>
      <c r="BE179" s="48" t="n">
        <v>62.3</v>
      </c>
      <c r="BF179" s="48" t="n">
        <v>62.1</v>
      </c>
      <c r="BG179" s="48" t="n">
        <v>62.3</v>
      </c>
      <c r="BH179" s="48" t="n">
        <v>62.1</v>
      </c>
      <c r="BI179" s="48" t="n">
        <v>61.9</v>
      </c>
      <c r="BJ179" s="48" t="n">
        <v>61.8</v>
      </c>
      <c r="BK179" s="48" t="n">
        <v>61.8</v>
      </c>
      <c r="BL179" s="48" t="n">
        <v>61.9</v>
      </c>
      <c r="BM179" s="48" t="n">
        <v>61.8</v>
      </c>
      <c r="BN179" s="48" t="n">
        <v>61.5</v>
      </c>
      <c r="BO179" s="48" t="n">
        <v>61.1</v>
      </c>
      <c r="BP179" s="48" t="n">
        <v>61.1</v>
      </c>
      <c r="BQ179" s="48" t="n">
        <v>61.4</v>
      </c>
      <c r="BR179" s="48" t="n">
        <v>60.9</v>
      </c>
      <c r="BS179" s="48" t="n">
        <v>60.3</v>
      </c>
      <c r="BT179" s="48" t="n">
        <v>60.3</v>
      </c>
      <c r="BU179" s="48" t="n">
        <v>60.3</v>
      </c>
      <c r="BV179" s="48" t="n">
        <v>60.5</v>
      </c>
      <c r="BW179" s="48" t="n">
        <v>60.3</v>
      </c>
      <c r="BX179" s="48" t="n">
        <v>60.1</v>
      </c>
      <c r="BY179" s="63" t="n">
        <f aca="false">$BX$179+$CA$349*BY65/92-CA285*0.25</f>
        <v>64.98147025</v>
      </c>
      <c r="BZ179" s="63" t="n">
        <f aca="false">$BX$179+$CA$349-CA285*0.75</f>
        <v>71.053543</v>
      </c>
      <c r="CA179" s="63" t="n">
        <f aca="false">AVERAGE(BW179,BX179,BY179,BZ179)</f>
        <v>64.1087533125</v>
      </c>
      <c r="CB179" s="63" t="n">
        <f aca="false">AVERAGE(CB287,CB288)</f>
        <v>71.179402</v>
      </c>
      <c r="CC179" s="63" t="n">
        <f aca="false">AVERAGE(CC287,CC288)</f>
        <v>71.329402</v>
      </c>
      <c r="CD179" s="63" t="n">
        <f aca="false">AVERAGE(CD287,CD288)</f>
        <v>70.3939241926701</v>
      </c>
      <c r="CE179" s="63" t="n">
        <f aca="false">AVERAGE(CE287,CE288)</f>
        <v>67.7915070302915</v>
      </c>
      <c r="CF179" s="20" t="s">
        <v>341</v>
      </c>
    </row>
    <row r="180" customFormat="false" ht="15" hidden="false" customHeight="true" outlineLevel="0" collapsed="false">
      <c r="B180" s="26" t="s">
        <v>342</v>
      </c>
      <c r="C180" s="48" t="n">
        <v>46.4</v>
      </c>
      <c r="D180" s="48" t="n">
        <v>43.3</v>
      </c>
      <c r="E180" s="48" t="n">
        <v>42</v>
      </c>
      <c r="F180" s="48" t="n">
        <v>44.2</v>
      </c>
      <c r="G180" s="48" t="n">
        <v>45.7</v>
      </c>
      <c r="H180" s="48" t="n">
        <v>45.8</v>
      </c>
      <c r="I180" s="48" t="n">
        <v>46</v>
      </c>
      <c r="J180" s="48" t="n">
        <v>46</v>
      </c>
      <c r="K180" s="48" t="n">
        <v>46.3</v>
      </c>
      <c r="L180" s="48" t="n">
        <v>46.3</v>
      </c>
      <c r="M180" s="48" t="n">
        <v>46.4</v>
      </c>
      <c r="N180" s="48" t="n">
        <v>46.3</v>
      </c>
      <c r="O180" s="48" t="n">
        <v>46.3</v>
      </c>
      <c r="P180" s="48" t="n">
        <v>46.5</v>
      </c>
      <c r="Q180" s="48" t="n">
        <v>67.5</v>
      </c>
      <c r="R180" s="48" t="n">
        <v>67.6</v>
      </c>
      <c r="S180" s="48" t="n">
        <v>57.1</v>
      </c>
      <c r="T180" s="48" t="n">
        <v>67.7</v>
      </c>
      <c r="U180" s="48" t="n">
        <v>67.6</v>
      </c>
      <c r="V180" s="48" t="n">
        <v>67.1</v>
      </c>
      <c r="W180" s="48" t="n">
        <v>65.7</v>
      </c>
      <c r="X180" s="48" t="n">
        <v>67</v>
      </c>
      <c r="Y180" s="48" t="n">
        <v>64.4</v>
      </c>
      <c r="Z180" s="48" t="n">
        <v>63.8</v>
      </c>
      <c r="AA180" s="48" t="n">
        <v>63.7</v>
      </c>
      <c r="AB180" s="48" t="n">
        <v>63.5</v>
      </c>
      <c r="AC180" s="48" t="n">
        <v>63.9</v>
      </c>
      <c r="AD180" s="48" t="n">
        <v>63.3</v>
      </c>
      <c r="AE180" s="48" t="n">
        <v>63.1</v>
      </c>
      <c r="AF180" s="48" t="n">
        <v>63.2</v>
      </c>
      <c r="AG180" s="48" t="n">
        <v>63.2</v>
      </c>
      <c r="AH180" s="48" t="n">
        <v>63.2</v>
      </c>
      <c r="AI180" s="48" t="n">
        <v>63.2</v>
      </c>
      <c r="AJ180" s="48" t="n">
        <v>63.285</v>
      </c>
      <c r="AK180" s="48" t="n">
        <v>63.167</v>
      </c>
      <c r="AL180" s="48" t="n">
        <v>62.918</v>
      </c>
      <c r="AM180" s="48" t="n">
        <v>63.147</v>
      </c>
      <c r="AN180" s="48" t="n">
        <v>62.777</v>
      </c>
      <c r="AO180" s="48" t="n">
        <v>62.72</v>
      </c>
      <c r="AP180" s="48" t="n">
        <v>62.679</v>
      </c>
      <c r="AQ180" s="48" t="n">
        <v>62.667</v>
      </c>
      <c r="AR180" s="48" t="n">
        <v>62.71</v>
      </c>
      <c r="AS180" s="48" t="n">
        <v>62.5</v>
      </c>
      <c r="AT180" s="48" t="n">
        <v>62.3</v>
      </c>
      <c r="AU180" s="48" t="n">
        <v>62.4</v>
      </c>
      <c r="AV180" s="48" t="n">
        <v>62.5</v>
      </c>
      <c r="AW180" s="48" t="n">
        <v>62.4</v>
      </c>
      <c r="AX180" s="48" t="n">
        <v>62.5</v>
      </c>
      <c r="AY180" s="48" t="n">
        <v>62.5</v>
      </c>
      <c r="AZ180" s="48" t="n">
        <v>62.6</v>
      </c>
      <c r="BA180" s="48" t="n">
        <v>62.7</v>
      </c>
      <c r="BB180" s="48" t="n">
        <v>62.6</v>
      </c>
      <c r="BC180" s="48" t="n">
        <v>62.6</v>
      </c>
      <c r="BD180" s="48" t="n">
        <v>62.5</v>
      </c>
      <c r="BE180" s="48" t="n">
        <v>62.5</v>
      </c>
      <c r="BF180" s="48" t="n">
        <v>62.3</v>
      </c>
      <c r="BG180" s="48" t="n">
        <v>62.5</v>
      </c>
      <c r="BH180" s="48" t="n">
        <v>62.2</v>
      </c>
      <c r="BI180" s="48" t="n">
        <v>62.1</v>
      </c>
      <c r="BJ180" s="48" t="n">
        <v>62</v>
      </c>
      <c r="BK180" s="48" t="n">
        <v>62</v>
      </c>
      <c r="BL180" s="48" t="n">
        <v>62.1</v>
      </c>
      <c r="BM180" s="48" t="n">
        <v>62</v>
      </c>
      <c r="BN180" s="48" t="n">
        <v>61.6</v>
      </c>
      <c r="BO180" s="48" t="n">
        <v>61.3</v>
      </c>
      <c r="BP180" s="48" t="n">
        <v>61.3</v>
      </c>
      <c r="BQ180" s="48" t="n">
        <v>61.6</v>
      </c>
      <c r="BR180" s="48" t="n">
        <v>61</v>
      </c>
      <c r="BS180" s="48" t="n">
        <v>60.4</v>
      </c>
      <c r="BT180" s="48" t="n">
        <v>60.4</v>
      </c>
      <c r="BU180" s="48" t="n">
        <v>60.5</v>
      </c>
      <c r="BV180" s="48" t="n">
        <v>60.6</v>
      </c>
      <c r="BW180" s="48" t="n">
        <v>60.4</v>
      </c>
      <c r="BX180" s="48" t="n">
        <v>60.2</v>
      </c>
      <c r="BY180" s="63" t="n">
        <f aca="false">BY179+($BX$180-$BX$179)</f>
        <v>65.08147025</v>
      </c>
      <c r="BZ180" s="63" t="n">
        <f aca="false">BZ179+($BX$180-$BX$179)</f>
        <v>71.153543</v>
      </c>
      <c r="CA180" s="63" t="n">
        <f aca="false">AVERAGE(BW180,BX180,BY180,BZ180)</f>
        <v>64.2087533125</v>
      </c>
      <c r="CB180" s="63" t="n">
        <f aca="false">CB179+CB368</f>
        <v>71.329402</v>
      </c>
      <c r="CC180" s="63" t="n">
        <f aca="false">CC179+CC368</f>
        <v>71.479402</v>
      </c>
      <c r="CD180" s="63" t="n">
        <f aca="false">CD179+CD368</f>
        <v>70.5439241926701</v>
      </c>
      <c r="CE180" s="63" t="n">
        <f aca="false">CE179+CE368</f>
        <v>67.9415070302915</v>
      </c>
      <c r="CF180" s="6"/>
    </row>
    <row r="181" customFormat="false" ht="15" hidden="false" customHeight="true" outlineLevel="0" collapsed="false">
      <c r="B181" s="26" t="s">
        <v>343</v>
      </c>
      <c r="C181" s="40" t="n">
        <f aca="false">IF(AND(ISNUMBER(C172),ISNUMBER(C179)),IFERROR(C172/C179,""),"")</f>
        <v>5.39340659340659</v>
      </c>
      <c r="D181" s="40" t="n">
        <f aca="false">IF(AND(ISNUMBER(D172),ISNUMBER(D179)),IFERROR(D172/D179,""),"")</f>
        <v>6.15222482435597</v>
      </c>
      <c r="E181" s="40" t="n">
        <f aca="false">IF(AND(ISNUMBER(E172),ISNUMBER(E179)),IFERROR(E172/E179,""),"")</f>
        <v>4.25845410628019</v>
      </c>
      <c r="F181" s="40" t="n">
        <f aca="false">IF(AND(ISNUMBER(F172),ISNUMBER(F179)),IFERROR(F172/F179,""),"")</f>
        <v>1.94318181818181</v>
      </c>
      <c r="G181" s="40" t="n">
        <f aca="false">IF(AND(ISNUMBER(G172),ISNUMBER(G179)),IFERROR(G172/G179,""),"")</f>
        <v>2.13186813186813</v>
      </c>
      <c r="H181" s="40" t="n">
        <f aca="false">IF(AND(ISNUMBER(H172),ISNUMBER(H179)),IFERROR(H172/H179,""),"")</f>
        <v>1.80306345733042</v>
      </c>
      <c r="I181" s="40" t="n">
        <f aca="false">IF(AND(ISNUMBER(I172),ISNUMBER(I179)),IFERROR(I172/I179,""),"")</f>
        <v>1.84497816593886</v>
      </c>
      <c r="J181" s="40" t="n">
        <f aca="false">IF(AND(ISNUMBER(J172),ISNUMBER(J179)),IFERROR(J172/J179,""),"")</f>
        <v>-0.604347826086956</v>
      </c>
      <c r="K181" s="40" t="n">
        <f aca="false">IF(AND(ISNUMBER(K172),ISNUMBER(K179)),IFERROR(K172/K179,""),"")</f>
        <v>0.895878524945772</v>
      </c>
      <c r="L181" s="40" t="n">
        <f aca="false">IF(AND(ISNUMBER(L172),ISNUMBER(L179)),IFERROR(L172/L179,""),"")</f>
        <v>1.55411255411255</v>
      </c>
      <c r="M181" s="40" t="n">
        <f aca="false">IF(AND(ISNUMBER(M172),ISNUMBER(M179)),IFERROR(M172/M179,""),"")</f>
        <v>0.777537796976242</v>
      </c>
      <c r="N181" s="40" t="n">
        <f aca="false">IF(AND(ISNUMBER(N172),ISNUMBER(N179)),IFERROR(N172/N179,""),"")</f>
        <v>2.62554112554113</v>
      </c>
      <c r="O181" s="40" t="n">
        <f aca="false">IF(AND(ISNUMBER(O172),ISNUMBER(O179)),IFERROR(O172/O179,""),"")</f>
        <v>-0.466522678185745</v>
      </c>
      <c r="P181" s="40" t="n">
        <f aca="false">IF(AND(ISNUMBER(P172),ISNUMBER(P179)),IFERROR(P172/P179,""),"")</f>
        <v>1.2823275862069</v>
      </c>
      <c r="Q181" s="40" t="n">
        <f aca="false">IF(AND(ISNUMBER(Q172),ISNUMBER(Q179)),IFERROR(Q172/Q179,""),"")</f>
        <v>0.800298062593145</v>
      </c>
      <c r="R181" s="40" t="n">
        <f aca="false">IF(AND(ISNUMBER(R172),ISNUMBER(R179)),IFERROR(R172/R179,""),"")</f>
        <v>0.950965824665675</v>
      </c>
      <c r="S181" s="40" t="n">
        <f aca="false">IF(AND(ISNUMBER(S172),ISNUMBER(S179)),IFERROR(S172/S179,""),"")</f>
        <v>2.73462214411248</v>
      </c>
      <c r="T181" s="40" t="n">
        <f aca="false">IF(AND(ISNUMBER(T172),ISNUMBER(T179)),IFERROR(T172/T179,""),"")</f>
        <v>0.0905044510385749</v>
      </c>
      <c r="U181" s="40" t="n">
        <f aca="false">IF(AND(ISNUMBER(U172),ISNUMBER(U179)),IFERROR(U172/U179,""),"")</f>
        <v>1.21513353115727</v>
      </c>
      <c r="V181" s="40" t="n">
        <f aca="false">IF(AND(ISNUMBER(V172),ISNUMBER(V179)),IFERROR(V172/V179,""),"")</f>
        <v>1.75898203592814</v>
      </c>
      <c r="W181" s="40" t="n">
        <f aca="false">IF(AND(ISNUMBER(W172),ISNUMBER(W179)),IFERROR(W172/W179,""),"")</f>
        <v>1.27022900763359</v>
      </c>
      <c r="X181" s="40" t="n">
        <f aca="false">IF(AND(ISNUMBER(X172),ISNUMBER(X179)),IFERROR(X172/X179,""),"")</f>
        <v>4.32335329341317</v>
      </c>
      <c r="Y181" s="40" t="n">
        <f aca="false">IF(AND(ISNUMBER(Y172),ISNUMBER(Y179)),IFERROR(Y172/Y179,""),"")</f>
        <v>0.700934579439251</v>
      </c>
      <c r="Z181" s="40" t="n">
        <f aca="false">IF(AND(ISNUMBER(Z172),ISNUMBER(Z179)),IFERROR(Z172/Z179,""),"")</f>
        <v>1.92283464566929</v>
      </c>
      <c r="AA181" s="40" t="n">
        <f aca="false">IF(AND(ISNUMBER(AA172),ISNUMBER(AA179)),IFERROR(AA172/AA179,""),"")</f>
        <v>2.51181102362205</v>
      </c>
      <c r="AB181" s="40" t="n">
        <f aca="false">IF(AND(ISNUMBER(AB172),ISNUMBER(AB179)),IFERROR(AB172/AB179,""),"")</f>
        <v>1.56240126382306</v>
      </c>
      <c r="AC181" s="40" t="n">
        <f aca="false">IF(AND(ISNUMBER(AC172),ISNUMBER(AC179)),IFERROR(AC172/AC179,""),"")</f>
        <v>6.68867924528302</v>
      </c>
      <c r="AD181" s="40" t="n">
        <f aca="false">IF(AND(ISNUMBER(AD172),ISNUMBER(AD179)),IFERROR(AD172/AD179,""),"")</f>
        <v>0.671428571428572</v>
      </c>
      <c r="AE181" s="40" t="n">
        <f aca="false">IF(AND(ISNUMBER(AE172),ISNUMBER(AE179)),IFERROR(AE172/AE179,""),"")</f>
        <v>2.26232114467409</v>
      </c>
      <c r="AF181" s="40" t="n">
        <f aca="false">IF(AND(ISNUMBER(AF172),ISNUMBER(AF179)),IFERROR(AF172/AF179,""),"")</f>
        <v>2.40858505564388</v>
      </c>
      <c r="AG181" s="40" t="n">
        <f aca="false">IF(AND(ISNUMBER(AG172),ISNUMBER(AG179)),IFERROR(AG172/AG179,""),"")</f>
        <v>5.99682034976153</v>
      </c>
      <c r="AH181" s="40" t="n">
        <f aca="false">IF(AND(ISNUMBER(AH172),ISNUMBER(AH179)),IFERROR(AH172/AH179,""),"")</f>
        <v>11.3402225755167</v>
      </c>
      <c r="AI181" s="40" t="n">
        <f aca="false">IF(AND(ISNUMBER(AI172),ISNUMBER(AI179)),IFERROR(AI172/AI179,""),"")</f>
        <v>0.158730158730158</v>
      </c>
      <c r="AJ181" s="40" t="n">
        <f aca="false">IF(AND(ISNUMBER(AJ172),ISNUMBER(AJ179)),IFERROR(AJ172/AJ179,""),"")</f>
        <v>2.94151155963885</v>
      </c>
      <c r="AK181" s="40" t="n">
        <f aca="false">IF(AND(ISNUMBER(AK172),ISNUMBER(AK179)),IFERROR(AK172/AK179,""),"")</f>
        <v>2.86374181656391</v>
      </c>
      <c r="AL181" s="40" t="n">
        <f aca="false">IF(AND(ISNUMBER(AL172),ISNUMBER(AL179)),IFERROR(AL172/AL179,""),"")</f>
        <v>1.5059037528721</v>
      </c>
      <c r="AM181" s="40" t="n">
        <f aca="false">IF(AND(ISNUMBER(AM172),ISNUMBER(AM179)),IFERROR(AM172/AM179,""),"")</f>
        <v>7.47274028142142</v>
      </c>
      <c r="AN181" s="40" t="n">
        <f aca="false">IF(AND(ISNUMBER(AN172),ISNUMBER(AN179)),IFERROR(AN172/AN179,""),"")</f>
        <v>0.684296305765052</v>
      </c>
      <c r="AO181" s="40" t="n">
        <f aca="false">IF(AND(ISNUMBER(AO172),ISNUMBER(AO179)),IFERROR(AO172/AO179,""),"")</f>
        <v>3.02845132106836</v>
      </c>
      <c r="AP181" s="40" t="n">
        <f aca="false">IF(AND(ISNUMBER(AP172),ISNUMBER(AP179)),IFERROR(AP172/AP179,""),"")</f>
        <v>3.97731562949928</v>
      </c>
      <c r="AQ181" s="40" t="n">
        <f aca="false">IF(AND(ISNUMBER(AQ172),ISNUMBER(AQ179)),IFERROR(AQ172/AQ179,""),"")</f>
        <v>2.09770078135007</v>
      </c>
      <c r="AR181" s="40" t="n">
        <f aca="false">IF(AND(ISNUMBER(AR172),ISNUMBER(AR179)),IFERROR(AR172/AR179,""),"")</f>
        <v>9.78625575742068</v>
      </c>
      <c r="AS181" s="40" t="n">
        <f aca="false">IF(AND(ISNUMBER(AS172),ISNUMBER(AS179)),IFERROR(AS172/AS179,""),"")</f>
        <v>0.415730337078653</v>
      </c>
      <c r="AT181" s="40" t="n">
        <f aca="false">IF(AND(ISNUMBER(AT172),ISNUMBER(AT179)),IFERROR(AT172/AT179,""),"")</f>
        <v>3.49277688603531</v>
      </c>
      <c r="AU181" s="40" t="n">
        <f aca="false">IF(AND(ISNUMBER(AU172),ISNUMBER(AU179)),IFERROR(AU172/AU179,""),"")</f>
        <v>4.7255216693419</v>
      </c>
      <c r="AV181" s="40" t="n">
        <f aca="false">IF(AND(ISNUMBER(AV172),ISNUMBER(AV179)),IFERROR(AV172/AV179,""),"")</f>
        <v>2.93739967897271</v>
      </c>
      <c r="AW181" s="40" t="n">
        <f aca="false">IF(AND(ISNUMBER(AW172),ISNUMBER(AW179)),IFERROR(AW172/AW179,""),"")</f>
        <v>11.5730337078652</v>
      </c>
      <c r="AX181" s="40" t="n">
        <f aca="false">IF(AND(ISNUMBER(AX172),ISNUMBER(AX179)),IFERROR(AX172/AX179,""),"")</f>
        <v>1.04815409309791</v>
      </c>
      <c r="AY181" s="40" t="n">
        <f aca="false">IF(AND(ISNUMBER(AY172),ISNUMBER(AY179)),IFERROR(AY172/AY179,""),"")</f>
        <v>3.61858974358975</v>
      </c>
      <c r="AZ181" s="40" t="n">
        <f aca="false">IF(AND(ISNUMBER(AZ172),ISNUMBER(AZ179)),IFERROR(AZ172/AZ179,""),"")</f>
        <v>4.0801282051282</v>
      </c>
      <c r="BA181" s="40" t="n">
        <f aca="false">IF(AND(ISNUMBER(BA172),ISNUMBER(BA179)),IFERROR(BA172/BA179,""),"")</f>
        <v>2.51282051282051</v>
      </c>
      <c r="BB181" s="40" t="n">
        <f aca="false">IF(AND(ISNUMBER(BB172),ISNUMBER(BB179)),IFERROR(BB172/BB179,""),"")</f>
        <v>11.2580128205128</v>
      </c>
      <c r="BC181" s="40" t="n">
        <f aca="false">IF(AND(ISNUMBER(BC172),ISNUMBER(BC179)),IFERROR(BC172/BC179,""),"")</f>
        <v>0.342948717948717</v>
      </c>
      <c r="BD181" s="40" t="n">
        <f aca="false">IF(AND(ISNUMBER(BD172),ISNUMBER(BD179)),IFERROR(BD172/BD179,""),"")</f>
        <v>5.87339743589744</v>
      </c>
      <c r="BE181" s="40" t="n">
        <f aca="false">IF(AND(ISNUMBER(BE172),ISNUMBER(BE179)),IFERROR(BE172/BE179,""),"")</f>
        <v>4.73996789727127</v>
      </c>
      <c r="BF181" s="40" t="n">
        <f aca="false">IF(AND(ISNUMBER(BF172),ISNUMBER(BF179)),IFERROR(BF172/BF179,""),"")</f>
        <v>2.95652173913044</v>
      </c>
      <c r="BG181" s="40" t="n">
        <f aca="false">IF(AND(ISNUMBER(BG172),ISNUMBER(BG179)),IFERROR(BG172/BG179,""),"")</f>
        <v>13.9133226324238</v>
      </c>
      <c r="BH181" s="40" t="n">
        <f aca="false">IF(AND(ISNUMBER(BH172),ISNUMBER(BH179)),IFERROR(BH172/BH179,""),"")</f>
        <v>1.9549114331723</v>
      </c>
      <c r="BI181" s="40" t="n">
        <f aca="false">IF(AND(ISNUMBER(BI172),ISNUMBER(BI179)),IFERROR(BI172/BI179,""),"")</f>
        <v>5.62681744749596</v>
      </c>
      <c r="BJ181" s="40" t="n">
        <f aca="false">IF(AND(ISNUMBER(BJ172),ISNUMBER(BJ179)),IFERROR(BJ172/BJ179,""),"")</f>
        <v>6.74271844660194</v>
      </c>
      <c r="BK181" s="40" t="n">
        <f aca="false">IF(AND(ISNUMBER(BK172),ISNUMBER(BK179)),IFERROR(BK172/BK179,""),"")</f>
        <v>4.57119741100324</v>
      </c>
      <c r="BL181" s="40" t="n">
        <f aca="false">IF(AND(ISNUMBER(BL172),ISNUMBER(BL179)),IFERROR(BL172/BL179,""),"")</f>
        <v>18.8836833602585</v>
      </c>
      <c r="BM181" s="40" t="n">
        <f aca="false">IF(AND(ISNUMBER(BM172),ISNUMBER(BM179)),IFERROR(BM172/BM179,""),"")</f>
        <v>16.9093851132686</v>
      </c>
      <c r="BN181" s="40" t="n">
        <f aca="false">IF(AND(ISNUMBER(BN172),ISNUMBER(BN179)),IFERROR(BN172/BN179,""),"")</f>
        <v>4.78048780487805</v>
      </c>
      <c r="BO181" s="40" t="n">
        <f aca="false">IF(AND(ISNUMBER(BO172),ISNUMBER(BO179)),IFERROR(BO172/BO179,""),"")</f>
        <v>5.94108019639935</v>
      </c>
      <c r="BP181" s="40" t="n">
        <f aca="false">IF(AND(ISNUMBER(BP172),ISNUMBER(BP179)),IFERROR(BP172/BP179,""),"")</f>
        <v>4.81178396072013</v>
      </c>
      <c r="BQ181" s="40" t="n">
        <f aca="false">IF(AND(ISNUMBER(BQ172),ISNUMBER(BQ179)),IFERROR(BQ172/BQ179,""),"")</f>
        <v>32.4918566775244</v>
      </c>
      <c r="BR181" s="40" t="n">
        <f aca="false">IF(AND(ISNUMBER(BR172),ISNUMBER(BR179)),IFERROR(BR172/BR179,""),"")</f>
        <v>1.9047619047619</v>
      </c>
      <c r="BS181" s="40" t="n">
        <f aca="false">IF(AND(ISNUMBER(BS172),ISNUMBER(BS179)),IFERROR(BS172/BS179,""),"")</f>
        <v>5.43946932006634</v>
      </c>
      <c r="BT181" s="40" t="n">
        <f aca="false">IF(AND(ISNUMBER(BT172),ISNUMBER(BT179)),IFERROR(BT172/BT179,""),"")</f>
        <v>6.86567164179105</v>
      </c>
      <c r="BU181" s="40" t="n">
        <f aca="false">IF(AND(ISNUMBER(BU172),ISNUMBER(BU179)),IFERROR(BU172/BU179,""),"")</f>
        <v>4.62686567164179</v>
      </c>
      <c r="BV181" s="40" t="n">
        <f aca="false">IF(AND(ISNUMBER(BV172),ISNUMBER(BV179)),IFERROR(BV172/BV179,""),"")</f>
        <v>18.7933884297521</v>
      </c>
      <c r="BW181" s="40" t="n">
        <f aca="false">IF(AND(ISNUMBER(BW172),ISNUMBER(BW179)),IFERROR(BW172/BW179,""),"")</f>
        <v>25.0912106135987</v>
      </c>
      <c r="BX181" s="40" t="n">
        <f aca="false">IF(AND(ISNUMBER(BX172),ISNUMBER(BX179)),IFERROR(BX172/BX179,""),"")</f>
        <v>4.17637271214642</v>
      </c>
      <c r="BY181" s="29" t="n">
        <f aca="false">IFERROR(BY172/BY179,"")</f>
        <v>5.12457200865328</v>
      </c>
      <c r="BZ181" s="29" t="n">
        <f aca="false">IFERROR(BZ172/BZ179,"")</f>
        <v>3.21242587188756</v>
      </c>
      <c r="CA181" s="29" t="n">
        <f aca="false">IFERROR(CA172/CA179,"")</f>
        <v>36.2704988507923</v>
      </c>
      <c r="CB181" s="29" t="n">
        <f aca="false">IFERROR(CB172/CB179,"")</f>
        <v>18.1040441266648</v>
      </c>
      <c r="CC181" s="29" t="n">
        <f aca="false">IFERROR(CC172/CC179,"")</f>
        <v>22.5729396881788</v>
      </c>
      <c r="CD181" s="29" t="n">
        <f aca="false">IFERROR(CD172/CD179,"")</f>
        <v>26.7110296112174</v>
      </c>
      <c r="CE181" s="29" t="n">
        <f aca="false">IFERROR(CE172/CE179,"")</f>
        <v>30.9832075141678</v>
      </c>
      <c r="CF181" s="6"/>
    </row>
    <row r="182" customFormat="false" ht="15" hidden="false" customHeight="true" outlineLevel="0" collapsed="false">
      <c r="B182" s="59" t="s">
        <v>344</v>
      </c>
      <c r="C182" s="64" t="n">
        <f aca="false">IF(AND(ISNUMBER(C172),ISNUMBER(C180)),IFERROR(C172/C180,""),"")</f>
        <v>5.28879310344828</v>
      </c>
      <c r="D182" s="64" t="n">
        <f aca="false">IF(AND(ISNUMBER(D172),ISNUMBER(D180)),IFERROR(D172/D180,""),"")</f>
        <v>6.06697459584296</v>
      </c>
      <c r="E182" s="64" t="n">
        <f aca="false">IF(AND(ISNUMBER(E172),ISNUMBER(E180)),IFERROR(E172/E180,""),"")</f>
        <v>4.19761904761905</v>
      </c>
      <c r="F182" s="64" t="n">
        <f aca="false">IF(AND(ISNUMBER(F172),ISNUMBER(F180)),IFERROR(F172/F180,""),"")</f>
        <v>1.93438914027149</v>
      </c>
      <c r="G182" s="64" t="n">
        <f aca="false">IF(AND(ISNUMBER(G172),ISNUMBER(G180)),IFERROR(G172/G180,""),"")</f>
        <v>2.12253829321663</v>
      </c>
      <c r="H182" s="64" t="n">
        <f aca="false">IF(AND(ISNUMBER(H172),ISNUMBER(H180)),IFERROR(H172/H180,""),"")</f>
        <v>1.79912663755459</v>
      </c>
      <c r="I182" s="64" t="n">
        <f aca="false">IF(AND(ISNUMBER(I172),ISNUMBER(I180)),IFERROR(I172/I180,""),"")</f>
        <v>1.83695652173913</v>
      </c>
      <c r="J182" s="64" t="n">
        <f aca="false">IF(AND(ISNUMBER(J172),ISNUMBER(J180)),IFERROR(J172/J180,""),"")</f>
        <v>-0.604347826086956</v>
      </c>
      <c r="K182" s="64" t="n">
        <f aca="false">IF(AND(ISNUMBER(K172),ISNUMBER(K180)),IFERROR(K172/K180,""),"")</f>
        <v>0.892008639308857</v>
      </c>
      <c r="L182" s="64" t="n">
        <f aca="false">IF(AND(ISNUMBER(L172),ISNUMBER(L180)),IFERROR(L172/L180,""),"")</f>
        <v>1.55075593952484</v>
      </c>
      <c r="M182" s="64" t="n">
        <f aca="false">IF(AND(ISNUMBER(M172),ISNUMBER(M180)),IFERROR(M172/M180,""),"")</f>
        <v>0.775862068965517</v>
      </c>
      <c r="N182" s="64" t="n">
        <f aca="false">IF(AND(ISNUMBER(N172),ISNUMBER(N180)),IFERROR(N172/N180,""),"")</f>
        <v>2.61987041036717</v>
      </c>
      <c r="O182" s="64" t="n">
        <f aca="false">IF(AND(ISNUMBER(O172),ISNUMBER(O180)),IFERROR(O172/O180,""),"")</f>
        <v>-0.466522678185745</v>
      </c>
      <c r="P182" s="64" t="n">
        <f aca="false">IF(AND(ISNUMBER(P172),ISNUMBER(P180)),IFERROR(P172/P180,""),"")</f>
        <v>1.27956989247312</v>
      </c>
      <c r="Q182" s="64" t="n">
        <f aca="false">IF(AND(ISNUMBER(Q172),ISNUMBER(Q180)),IFERROR(Q172/Q180,""),"")</f>
        <v>0.795555555555556</v>
      </c>
      <c r="R182" s="64" t="n">
        <f aca="false">IF(AND(ISNUMBER(R172),ISNUMBER(R180)),IFERROR(R172/R180,""),"")</f>
        <v>0.946745562130177</v>
      </c>
      <c r="S182" s="64" t="n">
        <f aca="false">IF(AND(ISNUMBER(S172),ISNUMBER(S180)),IFERROR(S172/S180,""),"")</f>
        <v>2.72504378283713</v>
      </c>
      <c r="T182" s="64" t="n">
        <f aca="false">IF(AND(ISNUMBER(T172),ISNUMBER(T180)),IFERROR(T172/T180,""),"")</f>
        <v>0.0901033973412105</v>
      </c>
      <c r="U182" s="64" t="n">
        <f aca="false">IF(AND(ISNUMBER(U172),ISNUMBER(U180)),IFERROR(U172/U180,""),"")</f>
        <v>1.21153846153846</v>
      </c>
      <c r="V182" s="64" t="n">
        <f aca="false">IF(AND(ISNUMBER(V172),ISNUMBER(V180)),IFERROR(V172/V180,""),"")</f>
        <v>1.75111773472429</v>
      </c>
      <c r="W182" s="64" t="n">
        <f aca="false">IF(AND(ISNUMBER(W172),ISNUMBER(W180)),IFERROR(W172/W180,""),"")</f>
        <v>1.26636225266362</v>
      </c>
      <c r="X182" s="64" t="n">
        <f aca="false">IF(AND(ISNUMBER(X172),ISNUMBER(X180)),IFERROR(X172/X180,""),"")</f>
        <v>4.31044776119403</v>
      </c>
      <c r="Y182" s="64" t="n">
        <f aca="false">IF(AND(ISNUMBER(Y172),ISNUMBER(Y180)),IFERROR(Y172/Y180,""),"")</f>
        <v>0.698757763975154</v>
      </c>
      <c r="Z182" s="64" t="n">
        <f aca="false">IF(AND(ISNUMBER(Z172),ISNUMBER(Z180)),IFERROR(Z172/Z180,""),"")</f>
        <v>1.91379310344827</v>
      </c>
      <c r="AA182" s="64" t="n">
        <f aca="false">IF(AND(ISNUMBER(AA172),ISNUMBER(AA180)),IFERROR(AA172/AA180,""),"")</f>
        <v>2.50392464678179</v>
      </c>
      <c r="AB182" s="64" t="n">
        <f aca="false">IF(AND(ISNUMBER(AB172),ISNUMBER(AB180)),IFERROR(AB172/AB180,""),"")</f>
        <v>1.55748031496063</v>
      </c>
      <c r="AC182" s="64" t="n">
        <f aca="false">IF(AND(ISNUMBER(AC172),ISNUMBER(AC180)),IFERROR(AC172/AC180,""),"")</f>
        <v>6.65727699530516</v>
      </c>
      <c r="AD182" s="64" t="n">
        <f aca="false">IF(AND(ISNUMBER(AD172),ISNUMBER(AD180)),IFERROR(AD172/AD180,""),"")</f>
        <v>0.668246445497631</v>
      </c>
      <c r="AE182" s="64" t="n">
        <f aca="false">IF(AND(ISNUMBER(AE172),ISNUMBER(AE180)),IFERROR(AE172/AE180,""),"")</f>
        <v>2.25515055467512</v>
      </c>
      <c r="AF182" s="64" t="n">
        <f aca="false">IF(AND(ISNUMBER(AF172),ISNUMBER(AF180)),IFERROR(AF172/AF180,""),"")</f>
        <v>2.39715189873418</v>
      </c>
      <c r="AG182" s="64" t="n">
        <f aca="false">IF(AND(ISNUMBER(AG172),ISNUMBER(AG180)),IFERROR(AG172/AG180,""),"")</f>
        <v>5.96835443037975</v>
      </c>
      <c r="AH182" s="64" t="n">
        <f aca="false">IF(AND(ISNUMBER(AH172),ISNUMBER(AH180)),IFERROR(AH172/AH180,""),"")</f>
        <v>11.2863924050633</v>
      </c>
      <c r="AI182" s="64" t="n">
        <f aca="false">IF(AND(ISNUMBER(AI172),ISNUMBER(AI180)),IFERROR(AI172/AI180,""),"")</f>
        <v>0.158227848101265</v>
      </c>
      <c r="AJ182" s="64" t="n">
        <f aca="false">IF(AND(ISNUMBER(AJ172),ISNUMBER(AJ180)),IFERROR(AJ172/AJ180,""),"")</f>
        <v>2.92924073635143</v>
      </c>
      <c r="AK182" s="64" t="n">
        <f aca="false">IF(AND(ISNUMBER(AK172),ISNUMBER(AK180)),IFERROR(AK172/AK180,""),"")</f>
        <v>2.85308784650213</v>
      </c>
      <c r="AL182" s="64" t="n">
        <f aca="false">IF(AND(ISNUMBER(AL172),ISNUMBER(AL180)),IFERROR(AL172/AL180,""),"")</f>
        <v>1.50001589370291</v>
      </c>
      <c r="AM182" s="64" t="n">
        <f aca="false">IF(AND(ISNUMBER(AM172),ISNUMBER(AM180)),IFERROR(AM172/AM180,""),"")</f>
        <v>7.44291890351086</v>
      </c>
      <c r="AN182" s="64" t="n">
        <f aca="false">IF(AND(ISNUMBER(AN172),ISNUMBER(AN180)),IFERROR(AN172/AN180,""),"")</f>
        <v>0.68219252273922</v>
      </c>
      <c r="AO182" s="64" t="n">
        <f aca="false">IF(AND(ISNUMBER(AO172),ISNUMBER(AO180)),IFERROR(AO172/AO180,""),"")</f>
        <v>3.02087053571429</v>
      </c>
      <c r="AP182" s="64" t="n">
        <f aca="false">IF(AND(ISNUMBER(AP172),ISNUMBER(AP180)),IFERROR(AP172/AP180,""),"")</f>
        <v>3.9665916814244</v>
      </c>
      <c r="AQ182" s="64" t="n">
        <f aca="false">IF(AND(ISNUMBER(AQ172),ISNUMBER(AQ180)),IFERROR(AQ172/AQ180,""),"")</f>
        <v>2.0906378157563</v>
      </c>
      <c r="AR182" s="64" t="n">
        <f aca="false">IF(AND(ISNUMBER(AR172),ISNUMBER(AR180)),IFERROR(AR172/AR180,""),"")</f>
        <v>9.75785361186414</v>
      </c>
      <c r="AS182" s="64" t="n">
        <f aca="false">IF(AND(ISNUMBER(AS172),ISNUMBER(AS180)),IFERROR(AS172/AS180,""),"")</f>
        <v>0.414400000000001</v>
      </c>
      <c r="AT182" s="64" t="n">
        <f aca="false">IF(AND(ISNUMBER(AT172),ISNUMBER(AT180)),IFERROR(AT172/AT180,""),"")</f>
        <v>3.49277688603531</v>
      </c>
      <c r="AU182" s="64" t="n">
        <f aca="false">IF(AND(ISNUMBER(AU172),ISNUMBER(AU180)),IFERROR(AU172/AU180,""),"")</f>
        <v>4.71794871794872</v>
      </c>
      <c r="AV182" s="64" t="n">
        <f aca="false">IF(AND(ISNUMBER(AV172),ISNUMBER(AV180)),IFERROR(AV172/AV180,""),"")</f>
        <v>2.928</v>
      </c>
      <c r="AW182" s="64" t="n">
        <f aca="false">IF(AND(ISNUMBER(AW172),ISNUMBER(AW180)),IFERROR(AW172/AW180,""),"")</f>
        <v>11.5544871794872</v>
      </c>
      <c r="AX182" s="64" t="n">
        <f aca="false">IF(AND(ISNUMBER(AX172),ISNUMBER(AX180)),IFERROR(AX172/AX180,""),"")</f>
        <v>1.0448</v>
      </c>
      <c r="AY182" s="64" t="n">
        <f aca="false">IF(AND(ISNUMBER(AY172),ISNUMBER(AY180)),IFERROR(AY172/AY180,""),"")</f>
        <v>3.6128</v>
      </c>
      <c r="AZ182" s="64" t="n">
        <f aca="false">IF(AND(ISNUMBER(AZ172),ISNUMBER(AZ180)),IFERROR(AZ172/AZ180,""),"")</f>
        <v>4.06709265175719</v>
      </c>
      <c r="BA182" s="64" t="n">
        <f aca="false">IF(AND(ISNUMBER(BA172),ISNUMBER(BA180)),IFERROR(BA172/BA180,""),"")</f>
        <v>2.50079744816587</v>
      </c>
      <c r="BB182" s="64" t="n">
        <f aca="false">IF(AND(ISNUMBER(BB172),ISNUMBER(BB180)),IFERROR(BB172/BB180,""),"")</f>
        <v>11.2220447284345</v>
      </c>
      <c r="BC182" s="64" t="n">
        <f aca="false">IF(AND(ISNUMBER(BC172),ISNUMBER(BC180)),IFERROR(BC172/BC180,""),"")</f>
        <v>0.341853035143769</v>
      </c>
      <c r="BD182" s="64" t="n">
        <f aca="false">IF(AND(ISNUMBER(BD172),ISNUMBER(BD180)),IFERROR(BD172/BD180,""),"")</f>
        <v>5.864</v>
      </c>
      <c r="BE182" s="64" t="n">
        <f aca="false">IF(AND(ISNUMBER(BE172),ISNUMBER(BE180)),IFERROR(BE172/BE180,""),"")</f>
        <v>4.7248</v>
      </c>
      <c r="BF182" s="64" t="n">
        <f aca="false">IF(AND(ISNUMBER(BF172),ISNUMBER(BF180)),IFERROR(BF172/BF180,""),"")</f>
        <v>2.9470304975923</v>
      </c>
      <c r="BG182" s="64" t="n">
        <f aca="false">IF(AND(ISNUMBER(BG172),ISNUMBER(BG180)),IFERROR(BG172/BG180,""),"")</f>
        <v>13.8688</v>
      </c>
      <c r="BH182" s="64" t="n">
        <f aca="false">IF(AND(ISNUMBER(BH172),ISNUMBER(BH180)),IFERROR(BH172/BH180,""),"")</f>
        <v>1.95176848874598</v>
      </c>
      <c r="BI182" s="64" t="n">
        <f aca="false">IF(AND(ISNUMBER(BI172),ISNUMBER(BI180)),IFERROR(BI172/BI180,""),"")</f>
        <v>5.60869565217391</v>
      </c>
      <c r="BJ182" s="64" t="n">
        <f aca="false">IF(AND(ISNUMBER(BJ172),ISNUMBER(BJ180)),IFERROR(BJ172/BJ180,""),"")</f>
        <v>6.72096774193548</v>
      </c>
      <c r="BK182" s="64" t="n">
        <f aca="false">IF(AND(ISNUMBER(BK172),ISNUMBER(BK180)),IFERROR(BK172/BK180,""),"")</f>
        <v>4.55645161290323</v>
      </c>
      <c r="BL182" s="64" t="n">
        <f aca="false">IF(AND(ISNUMBER(BL172),ISNUMBER(BL180)),IFERROR(BL172/BL180,""),"")</f>
        <v>18.8228663446055</v>
      </c>
      <c r="BM182" s="64" t="n">
        <f aca="false">IF(AND(ISNUMBER(BM172),ISNUMBER(BM180)),IFERROR(BM172/BM180,""),"")</f>
        <v>16.8548387096774</v>
      </c>
      <c r="BN182" s="64" t="n">
        <f aca="false">IF(AND(ISNUMBER(BN172),ISNUMBER(BN180)),IFERROR(BN172/BN180,""),"")</f>
        <v>4.77272727272727</v>
      </c>
      <c r="BO182" s="64" t="n">
        <f aca="false">IF(AND(ISNUMBER(BO172),ISNUMBER(BO180)),IFERROR(BO172/BO180,""),"")</f>
        <v>5.92169657422512</v>
      </c>
      <c r="BP182" s="64" t="n">
        <f aca="false">IF(AND(ISNUMBER(BP172),ISNUMBER(BP180)),IFERROR(BP172/BP180,""),"")</f>
        <v>4.79608482871126</v>
      </c>
      <c r="BQ182" s="64" t="n">
        <f aca="false">IF(AND(ISNUMBER(BQ172),ISNUMBER(BQ180)),IFERROR(BQ172/BQ180,""),"")</f>
        <v>32.3863636363636</v>
      </c>
      <c r="BR182" s="64" t="n">
        <f aca="false">IF(AND(ISNUMBER(BR172),ISNUMBER(BR180)),IFERROR(BR172/BR180,""),"")</f>
        <v>1.9016393442623</v>
      </c>
      <c r="BS182" s="64" t="n">
        <f aca="false">IF(AND(ISNUMBER(BS172),ISNUMBER(BS180)),IFERROR(BS172/BS180,""),"")</f>
        <v>5.43046357615894</v>
      </c>
      <c r="BT182" s="64" t="n">
        <f aca="false">IF(AND(ISNUMBER(BT172),ISNUMBER(BT180)),IFERROR(BT172/BT180,""),"")</f>
        <v>6.85430463576159</v>
      </c>
      <c r="BU182" s="64" t="n">
        <f aca="false">IF(AND(ISNUMBER(BU172),ISNUMBER(BU180)),IFERROR(BU172/BU180,""),"")</f>
        <v>4.61157024793388</v>
      </c>
      <c r="BV182" s="64" t="n">
        <f aca="false">IF(AND(ISNUMBER(BV172),ISNUMBER(BV180)),IFERROR(BV172/BV180,""),"")</f>
        <v>18.7623762376238</v>
      </c>
      <c r="BW182" s="64" t="n">
        <f aca="false">IF(AND(ISNUMBER(BW172),ISNUMBER(BW180)),IFERROR(BW172/BW180,""),"")</f>
        <v>25.0496688741722</v>
      </c>
      <c r="BX182" s="64" t="n">
        <f aca="false">IF(AND(ISNUMBER(BX172),ISNUMBER(BX180)),IFERROR(BX172/BX180,""),"")</f>
        <v>4.16943521594684</v>
      </c>
      <c r="BY182" s="64" t="n">
        <f aca="false">IFERROR(BY172/BY180,"")</f>
        <v>5.11669792100749</v>
      </c>
      <c r="BZ182" s="64" t="n">
        <f aca="false">IFERROR(BZ172/BZ180,"")</f>
        <v>3.20791109196734</v>
      </c>
      <c r="CA182" s="64" t="n">
        <f aca="false">IFERROR(CA172/CA180,"")</f>
        <v>36.2140104485425</v>
      </c>
      <c r="CB182" s="64" t="n">
        <f aca="false">IFERROR(CB172/CB180,"")</f>
        <v>18.0659727768027</v>
      </c>
      <c r="CC182" s="64" t="n">
        <f aca="false">IFERROR(CC172/CC180,"")</f>
        <v>22.5255702242705</v>
      </c>
      <c r="CD182" s="64" t="n">
        <f aca="false">IFERROR(CD172/CD180,"")</f>
        <v>26.6542330197669</v>
      </c>
      <c r="CE182" s="64" t="n">
        <f aca="false">IFERROR(CE172/CE180,"")</f>
        <v>30.9148033628578</v>
      </c>
      <c r="CF182" s="20" t="s">
        <v>345</v>
      </c>
      <c r="CH182" s="21" t="n">
        <f aca="false">IFERROR((CE182/BV182)^(1/5)-1,"n/m")</f>
        <v>0.105034226113301</v>
      </c>
      <c r="CI182" s="21" t="n">
        <f aca="false">IFERROR((BV182/AW182)^(1/5)-1,"n/m")</f>
        <v>0.101811835264946</v>
      </c>
      <c r="CJ182" s="21" t="n">
        <f aca="false">IFERROR((BV182/X182)^(1/10)-1,"n/m")</f>
        <v>0.158448003533057</v>
      </c>
      <c r="CK182" s="21" t="n">
        <f aca="false">IFERROR((BV182/C182)^(1/19)-1,"n/m")</f>
        <v>0.0689164254046699</v>
      </c>
    </row>
    <row r="183" customFormat="false" ht="15" hidden="false" customHeight="true" outlineLevel="0" collapsed="false">
      <c r="B183" s="17" t="s">
        <v>346</v>
      </c>
      <c r="C183" s="65" t="n">
        <f aca="false">IF(AND(ISNUMBER(C175),ISNUMBER(C180)),IFERROR(C175/C180,""),"")</f>
        <v>5.25431034482759</v>
      </c>
      <c r="D183" s="65" t="n">
        <f aca="false">IF(AND(ISNUMBER(D175),ISNUMBER(D180)),IFERROR(D175/D180,""),"")</f>
        <v>6.06235565819862</v>
      </c>
      <c r="E183" s="65" t="n">
        <f aca="false">IF(AND(ISNUMBER(E175),ISNUMBER(E180)),IFERROR(E175/E180,""),"")</f>
        <v>4.08333333333333</v>
      </c>
      <c r="F183" s="65" t="n">
        <f aca="false">IF(AND(ISNUMBER(F175),ISNUMBER(F180)),IFERROR(F175/F180,""),"")</f>
        <v>1.92760180995475</v>
      </c>
      <c r="G183" s="65" t="n">
        <f aca="false">IF(AND(ISNUMBER(G175),ISNUMBER(G180)),IFERROR(G175/G180,""),"")</f>
        <v>2.11816192560175</v>
      </c>
      <c r="H183" s="65" t="n">
        <f aca="false">IF(AND(ISNUMBER(H175),ISNUMBER(H180)),IFERROR(H175/H180,""),"")</f>
        <v>1.7117903930131</v>
      </c>
      <c r="I183" s="65" t="n">
        <f aca="false">IF(AND(ISNUMBER(I175),ISNUMBER(I180)),IFERROR(I175/I180,""),"")</f>
        <v>1.84782608695652</v>
      </c>
      <c r="J183" s="65" t="n">
        <f aca="false">IF(AND(ISNUMBER(J175),ISNUMBER(J180)),IFERROR(J175/J180,""),"")</f>
        <v>-0.602173913043478</v>
      </c>
      <c r="K183" s="65" t="n">
        <f aca="false">IF(AND(ISNUMBER(K175),ISNUMBER(K180)),IFERROR(K175/K180,""),"")</f>
        <v>0.885529157667388</v>
      </c>
      <c r="L183" s="65" t="n">
        <f aca="false">IF(AND(ISNUMBER(L175),ISNUMBER(L180)),IFERROR(L175/L180,""),"")</f>
        <v>1.55723542116631</v>
      </c>
      <c r="M183" s="65" t="n">
        <f aca="false">IF(AND(ISNUMBER(M175),ISNUMBER(M180)),IFERROR(M175/M180,""),"")</f>
        <v>0.782327586206897</v>
      </c>
      <c r="N183" s="65" t="n">
        <f aca="false">IF(AND(ISNUMBER(N175),ISNUMBER(N180)),IFERROR(N175/N180,""),"")</f>
        <v>2.63714902807775</v>
      </c>
      <c r="O183" s="65" t="n">
        <f aca="false">IF(AND(ISNUMBER(O175),ISNUMBER(O180)),IFERROR(O175/O180,""),"")</f>
        <v>-0.466522678185745</v>
      </c>
      <c r="P183" s="65" t="n">
        <f aca="false">IF(AND(ISNUMBER(P175),ISNUMBER(P180)),IFERROR(P175/P180,""),"")</f>
        <v>1.28172043010753</v>
      </c>
      <c r="Q183" s="65" t="n">
        <f aca="false">IF(AND(ISNUMBER(Q175),ISNUMBER(Q180)),IFERROR(Q175/Q180,""),"")</f>
        <v>0.797037037037037</v>
      </c>
      <c r="R183" s="65" t="n">
        <f aca="false">IF(AND(ISNUMBER(R175),ISNUMBER(R180)),IFERROR(R175/R180,""),"")</f>
        <v>0.945266272189348</v>
      </c>
      <c r="S183" s="65" t="n">
        <f aca="false">IF(AND(ISNUMBER(S175),ISNUMBER(S180)),IFERROR(S175/S180,""),"")</f>
        <v>2.72504378283713</v>
      </c>
      <c r="T183" s="65" t="n">
        <f aca="false">IF(AND(ISNUMBER(T175),ISNUMBER(T180)),IFERROR(T175/T180,""),"")</f>
        <v>0.0901033973412105</v>
      </c>
      <c r="U183" s="65" t="n">
        <f aca="false">IF(AND(ISNUMBER(U175),ISNUMBER(U180)),IFERROR(U175/U180,""),"")</f>
        <v>1.21153846153846</v>
      </c>
      <c r="V183" s="65" t="n">
        <f aca="false">IF(AND(ISNUMBER(V175),ISNUMBER(V180)),IFERROR(V175/V180,""),"")</f>
        <v>1.75111773472429</v>
      </c>
      <c r="W183" s="65" t="n">
        <f aca="false">IF(AND(ISNUMBER(W175),ISNUMBER(W180)),IFERROR(W175/W180,""),"")</f>
        <v>1.26636225266362</v>
      </c>
      <c r="X183" s="65" t="n">
        <f aca="false">IF(AND(ISNUMBER(X175),ISNUMBER(X180)),IFERROR(X175/X180,""),"")</f>
        <v>4.31044776119403</v>
      </c>
      <c r="Y183" s="65" t="n">
        <f aca="false">IF(AND(ISNUMBER(Y175),ISNUMBER(Y180)),IFERROR(Y175/Y180,""),"")</f>
        <v>0.698757763975154</v>
      </c>
      <c r="Z183" s="65" t="n">
        <f aca="false">IF(AND(ISNUMBER(Z175),ISNUMBER(Z180)),IFERROR(Z175/Z180,""),"")</f>
        <v>1.91379310344827</v>
      </c>
      <c r="AA183" s="65" t="n">
        <f aca="false">IF(AND(ISNUMBER(AA175),ISNUMBER(AA180)),IFERROR(AA175/AA180,""),"")</f>
        <v>2.50392464678179</v>
      </c>
      <c r="AB183" s="65" t="n">
        <f aca="false">IF(AND(ISNUMBER(AB175),ISNUMBER(AB180)),IFERROR(AB175/AB180,""),"")</f>
        <v>1.55748031496063</v>
      </c>
      <c r="AC183" s="65" t="n">
        <f aca="false">IF(AND(ISNUMBER(AC175),ISNUMBER(AC180)),IFERROR(AC175/AC180,""),"")</f>
        <v>6.65727699530516</v>
      </c>
      <c r="AD183" s="65" t="n">
        <f aca="false">IF(AND(ISNUMBER(AD175),ISNUMBER(AD180)),IFERROR(AD175/AD180,""),"")</f>
        <v>0.668246445497631</v>
      </c>
      <c r="AE183" s="65" t="n">
        <f aca="false">IF(AND(ISNUMBER(AE175),ISNUMBER(AE180)),IFERROR(AE175/AE180,""),"")</f>
        <v>2.25515055467512</v>
      </c>
      <c r="AF183" s="65" t="n">
        <f aca="false">IF(AND(ISNUMBER(AF175),ISNUMBER(AF180)),IFERROR(AF175/AF180,""),"")</f>
        <v>2.39715189873418</v>
      </c>
      <c r="AG183" s="65" t="n">
        <f aca="false">IF(AND(ISNUMBER(AG175),ISNUMBER(AG180)),IFERROR(AG175/AG180,""),"")</f>
        <v>5.96835443037975</v>
      </c>
      <c r="AH183" s="65" t="n">
        <f aca="false">IF(AND(ISNUMBER(AH175),ISNUMBER(AH180)),IFERROR(AH175/AH180,""),"")</f>
        <v>11.2863924050633</v>
      </c>
      <c r="AI183" s="65" t="n">
        <f aca="false">IF(AND(ISNUMBER(AI175),ISNUMBER(AI180)),IFERROR(AI175/AI180,""),"")</f>
        <v>0.158227848101265</v>
      </c>
      <c r="AJ183" s="65" t="n">
        <f aca="false">IF(AND(ISNUMBER(AJ175),ISNUMBER(AJ180)),IFERROR(AJ175/AJ180,""),"")</f>
        <v>2.92924073635143</v>
      </c>
      <c r="AK183" s="65" t="n">
        <f aca="false">IF(AND(ISNUMBER(AK175),ISNUMBER(AK180)),IFERROR(AK175/AK180,""),"")</f>
        <v>2.85308784650213</v>
      </c>
      <c r="AL183" s="65" t="n">
        <f aca="false">IF(AND(ISNUMBER(AL175),ISNUMBER(AL180)),IFERROR(AL175/AL180,""),"")</f>
        <v>1.50001589370291</v>
      </c>
      <c r="AM183" s="65" t="n">
        <f aca="false">IF(AND(ISNUMBER(AM175),ISNUMBER(AM180)),IFERROR(AM175/AM180,""),"")</f>
        <v>7.44291890351086</v>
      </c>
      <c r="AN183" s="65" t="n">
        <f aca="false">IF(AND(ISNUMBER(AN175),ISNUMBER(AN180)),IFERROR(AN175/AN180,""),"")</f>
        <v>0.68219252273922</v>
      </c>
      <c r="AO183" s="65" t="n">
        <f aca="false">IF(AND(ISNUMBER(AO175),ISNUMBER(AO180)),IFERROR(AO175/AO180,""),"")</f>
        <v>3.02087053571429</v>
      </c>
      <c r="AP183" s="65" t="n">
        <f aca="false">IF(AND(ISNUMBER(AP175),ISNUMBER(AP180)),IFERROR(AP175/AP180,""),"")</f>
        <v>3.9665916814244</v>
      </c>
      <c r="AQ183" s="65" t="n">
        <f aca="false">IF(AND(ISNUMBER(AQ175),ISNUMBER(AQ180)),IFERROR(AQ175/AQ180,""),"")</f>
        <v>2.0906378157563</v>
      </c>
      <c r="AR183" s="65" t="n">
        <f aca="false">IF(AND(ISNUMBER(AR175),ISNUMBER(AR180)),IFERROR(AR175/AR180,""),"")</f>
        <v>9.75785361186414</v>
      </c>
      <c r="AS183" s="65" t="n">
        <f aca="false">IF(AND(ISNUMBER(AS175),ISNUMBER(AS180)),IFERROR(AS175/AS180,""),"")</f>
        <v>0.414400000000001</v>
      </c>
      <c r="AT183" s="65" t="n">
        <f aca="false">IF(AND(ISNUMBER(AT175),ISNUMBER(AT180)),IFERROR(AT175/AT180,""),"")</f>
        <v>3.49277688603531</v>
      </c>
      <c r="AU183" s="65" t="n">
        <f aca="false">IF(AND(ISNUMBER(AU175),ISNUMBER(AU180)),IFERROR(AU175/AU180,""),"")</f>
        <v>4.71794871794872</v>
      </c>
      <c r="AV183" s="65" t="n">
        <f aca="false">IF(AND(ISNUMBER(AV175),ISNUMBER(AV180)),IFERROR(AV175/AV180,""),"")</f>
        <v>2.928</v>
      </c>
      <c r="AW183" s="65" t="n">
        <f aca="false">IF(AND(ISNUMBER(AW175),ISNUMBER(AW180)),IFERROR(AW175/AW180,""),"")</f>
        <v>11.5544871794872</v>
      </c>
      <c r="AX183" s="65" t="n">
        <f aca="false">IF(AND(ISNUMBER(AX175),ISNUMBER(AX180)),IFERROR(AX175/AX180,""),"")</f>
        <v>1.0448</v>
      </c>
      <c r="AY183" s="65" t="n">
        <f aca="false">IF(AND(ISNUMBER(AY175),ISNUMBER(AY180)),IFERROR(AY175/AY180,""),"")</f>
        <v>3.6128</v>
      </c>
      <c r="AZ183" s="65" t="n">
        <f aca="false">IF(AND(ISNUMBER(AZ175),ISNUMBER(AZ180)),IFERROR(AZ175/AZ180,""),"")</f>
        <v>4.06709265175719</v>
      </c>
      <c r="BA183" s="65" t="n">
        <f aca="false">IF(AND(ISNUMBER(BA175),ISNUMBER(BA180)),IFERROR(BA175/BA180,""),"")</f>
        <v>2.49282296650718</v>
      </c>
      <c r="BB183" s="65" t="n">
        <f aca="false">IF(AND(ISNUMBER(BB175),ISNUMBER(BB180)),IFERROR(BB175/BB180,""),"")</f>
        <v>11.2140575079872</v>
      </c>
      <c r="BC183" s="65" t="n">
        <f aca="false">IF(AND(ISNUMBER(BC175),ISNUMBER(BC180)),IFERROR(BC175/BC180,""),"")</f>
        <v>0.391373801916932</v>
      </c>
      <c r="BD183" s="65" t="n">
        <f aca="false">IF(AND(ISNUMBER(BD175),ISNUMBER(BD180)),IFERROR(BD175/BD180,""),"")</f>
        <v>5.6512</v>
      </c>
      <c r="BE183" s="65" t="n">
        <f aca="false">IF(AND(ISNUMBER(BE175),ISNUMBER(BE180)),IFERROR(BE175/BE180,""),"")</f>
        <v>4.6592</v>
      </c>
      <c r="BF183" s="65" t="n">
        <f aca="false">IF(AND(ISNUMBER(BF175),ISNUMBER(BF180)),IFERROR(BF175/BF180,""),"")</f>
        <v>3.00802568218299</v>
      </c>
      <c r="BG183" s="65" t="n">
        <f aca="false">IF(AND(ISNUMBER(BG175),ISNUMBER(BG180)),IFERROR(BG175/BG180,""),"")</f>
        <v>13.7008</v>
      </c>
      <c r="BH183" s="65" t="n">
        <f aca="false">IF(AND(ISNUMBER(BH175),ISNUMBER(BH180)),IFERROR(BH175/BH180,""),"")</f>
        <v>2.15916398713826</v>
      </c>
      <c r="BI183" s="65" t="n">
        <f aca="false">IF(AND(ISNUMBER(BI175),ISNUMBER(BI180)),IFERROR(BI175/BI180,""),"")</f>
        <v>5.59742351046699</v>
      </c>
      <c r="BJ183" s="65" t="n">
        <f aca="false">IF(AND(ISNUMBER(BJ175),ISNUMBER(BJ180)),IFERROR(BJ175/BJ180,""),"")</f>
        <v>6.94032258064516</v>
      </c>
      <c r="BK183" s="65" t="n">
        <f aca="false">IF(AND(ISNUMBER(BK175),ISNUMBER(BK180)),IFERROR(BK175/BK180,""),"")</f>
        <v>4.64032258064516</v>
      </c>
      <c r="BL183" s="65" t="n">
        <f aca="false">IF(AND(ISNUMBER(BL175),ISNUMBER(BL180)),IFERROR(BL175/BL180,""),"")</f>
        <v>19.3204508856683</v>
      </c>
      <c r="BM183" s="65" t="n">
        <f aca="false">IF(AND(ISNUMBER(BM175),ISNUMBER(BM180)),IFERROR(BM175/BM180,""),"")</f>
        <v>16.8548387096774</v>
      </c>
      <c r="BN183" s="65" t="n">
        <f aca="false">IF(AND(ISNUMBER(BN175),ISNUMBER(BN180)),IFERROR(BN175/BN180,""),"")</f>
        <v>4.77272727272727</v>
      </c>
      <c r="BO183" s="65" t="n">
        <f aca="false">IF(AND(ISNUMBER(BO175),ISNUMBER(BO180)),IFERROR(BO175/BO180,""),"")</f>
        <v>5.92169657422512</v>
      </c>
      <c r="BP183" s="65" t="n">
        <f aca="false">IF(AND(ISNUMBER(BP175),ISNUMBER(BP180)),IFERROR(BP175/BP180,""),"")</f>
        <v>4.79608482871126</v>
      </c>
      <c r="BQ183" s="65" t="n">
        <f aca="false">IF(AND(ISNUMBER(BQ175),ISNUMBER(BQ180)),IFERROR(BQ175/BQ180,""),"")</f>
        <v>32.3863636363636</v>
      </c>
      <c r="BR183" s="65" t="n">
        <f aca="false">IF(AND(ISNUMBER(BR175),ISNUMBER(BR180)),IFERROR(BR175/BR180,""),"")</f>
        <v>1.70491803278689</v>
      </c>
      <c r="BS183" s="65" t="n">
        <f aca="false">IF(AND(ISNUMBER(BS175),ISNUMBER(BS180)),IFERROR(BS175/BS180,""),"")</f>
        <v>4.83443708609272</v>
      </c>
      <c r="BT183" s="65" t="n">
        <f aca="false">IF(AND(ISNUMBER(BT175),ISNUMBER(BT180)),IFERROR(BT175/BT180,""),"")</f>
        <v>5.97682119205298</v>
      </c>
      <c r="BU183" s="65" t="n">
        <f aca="false">IF(AND(ISNUMBER(BU175),ISNUMBER(BU180)),IFERROR(BU175/BU180,""),"")</f>
        <v>3.85123966942149</v>
      </c>
      <c r="BV183" s="65" t="n">
        <f aca="false">IF(AND(ISNUMBER(BV175),ISNUMBER(BV180)),IFERROR(BV175/BV180,""),"")</f>
        <v>16.3366336633663</v>
      </c>
      <c r="BW183" s="65" t="n">
        <f aca="false">IF(AND(ISNUMBER(BW175),ISNUMBER(BW180)),IFERROR(BW175/BW180,""),"")</f>
        <v>1.30794701986755</v>
      </c>
      <c r="BX183" s="65" t="n">
        <f aca="false">IF(AND(ISNUMBER(BX175),ISNUMBER(BX180)),IFERROR(BX175/BX180,""),"")</f>
        <v>4.25249169435216</v>
      </c>
      <c r="BY183" s="66" t="n">
        <f aca="false">IFERROR(BY175/BY180,"")</f>
        <v>5.11669792100749</v>
      </c>
      <c r="BZ183" s="66" t="n">
        <f aca="false">IFERROR(BZ175/BZ180,"")</f>
        <v>3.20791109196734</v>
      </c>
      <c r="CA183" s="66" t="n">
        <f aca="false">IFERROR(CA175/CA180,"")</f>
        <v>13.9584778882832</v>
      </c>
      <c r="CB183" s="66" t="n">
        <f aca="false">IFERROR(CB175/CB180,"")</f>
        <v>18.0659727768027</v>
      </c>
      <c r="CC183" s="66" t="n">
        <f aca="false">IFERROR(CC175/CC180,"")</f>
        <v>22.5255702242705</v>
      </c>
      <c r="CD183" s="66" t="n">
        <f aca="false">IFERROR(CD175/CD180,"")</f>
        <v>26.6542330197669</v>
      </c>
      <c r="CE183" s="66" t="n">
        <f aca="false">IFERROR(CE175/CE180,"")</f>
        <v>30.9148033628578</v>
      </c>
      <c r="CF183" s="6"/>
      <c r="CH183" s="21" t="n">
        <f aca="false">IFERROR((CE183/BV183)^(1/5)-1,"n/m")</f>
        <v>0.136058730643384</v>
      </c>
      <c r="CI183" s="21" t="n">
        <f aca="false">IFERROR((BV183/AW183)^(1/5)-1,"n/m")</f>
        <v>0.0717225754824724</v>
      </c>
      <c r="CJ183" s="21" t="n">
        <f aca="false">IFERROR((BV183/X183)^(1/10)-1,"n/m")</f>
        <v>0.142520545141098</v>
      </c>
      <c r="CK183" s="21" t="n">
        <f aca="false">IFERROR((BV183/C183)^(1/19)-1,"n/m")</f>
        <v>0.0615214677235747</v>
      </c>
    </row>
    <row r="184" customFormat="false" ht="15" hidden="false" customHeight="true" outlineLevel="0" collapsed="false">
      <c r="B184" s="42" t="s">
        <v>347</v>
      </c>
      <c r="C184" s="28" t="n">
        <v>5.29</v>
      </c>
      <c r="D184" s="28" t="n">
        <v>6.06</v>
      </c>
      <c r="E184" s="28" t="n">
        <v>4.2</v>
      </c>
      <c r="F184" s="28" t="n">
        <v>1.91</v>
      </c>
      <c r="G184" s="28" t="n">
        <v>2.1</v>
      </c>
      <c r="H184" s="28" t="n">
        <v>1.78</v>
      </c>
      <c r="I184" s="28" t="n">
        <v>1.83</v>
      </c>
      <c r="J184" s="28" t="n">
        <v>-0.61</v>
      </c>
      <c r="K184" s="28" t="n">
        <v>0.89</v>
      </c>
      <c r="L184" s="28" t="n">
        <v>1.54</v>
      </c>
      <c r="M184" s="28" t="n">
        <v>0.77</v>
      </c>
      <c r="N184" s="28" t="n">
        <v>2.61</v>
      </c>
      <c r="O184" s="28" t="n">
        <v>-0.47</v>
      </c>
      <c r="P184" s="28" t="n">
        <v>1.27</v>
      </c>
      <c r="Q184" s="28" t="n">
        <v>0.79</v>
      </c>
      <c r="R184" s="28" t="n">
        <v>0.94</v>
      </c>
      <c r="S184" s="28" t="n">
        <v>2.71</v>
      </c>
      <c r="T184" s="28" t="n">
        <v>0.07</v>
      </c>
      <c r="U184" s="28" t="n">
        <v>1.22</v>
      </c>
      <c r="V184" s="28" t="n">
        <v>1.74</v>
      </c>
      <c r="W184" s="28" t="n">
        <v>1.26</v>
      </c>
      <c r="X184" s="28" t="n">
        <v>4.29</v>
      </c>
      <c r="Y184" s="28" t="n">
        <v>0.69</v>
      </c>
      <c r="Z184" s="28" t="n">
        <v>1.9</v>
      </c>
      <c r="AA184" s="28" t="n">
        <v>2.49</v>
      </c>
      <c r="AB184" s="28" t="n">
        <v>1.55</v>
      </c>
      <c r="AC184" s="28" t="n">
        <v>6.63</v>
      </c>
      <c r="AD184" s="28" t="n">
        <v>0.67</v>
      </c>
      <c r="AE184" s="28" t="n">
        <v>2.25</v>
      </c>
      <c r="AF184" s="28" t="n">
        <v>2.39</v>
      </c>
      <c r="AG184" s="28" t="n">
        <v>5.95</v>
      </c>
      <c r="AH184" s="28" t="n">
        <v>11.25</v>
      </c>
      <c r="AI184" s="28" t="n">
        <v>0.16</v>
      </c>
      <c r="AJ184" s="28" t="n">
        <v>2.92</v>
      </c>
      <c r="AK184" s="28" t="n">
        <v>2.85</v>
      </c>
      <c r="AL184" s="28" t="n">
        <v>1.5</v>
      </c>
      <c r="AM184" s="28" t="n">
        <v>7.43</v>
      </c>
      <c r="AN184" s="28" t="n">
        <v>0.68</v>
      </c>
      <c r="AO184" s="28" t="n">
        <v>3.01</v>
      </c>
      <c r="AP184" s="28" t="n">
        <v>3.96</v>
      </c>
      <c r="AQ184" s="28" t="n">
        <v>2.09</v>
      </c>
      <c r="AR184" s="28" t="n">
        <v>9.74</v>
      </c>
      <c r="AS184" s="28" t="n">
        <v>0.41</v>
      </c>
      <c r="AT184" s="28" t="n">
        <v>3.49</v>
      </c>
      <c r="AU184" s="28" t="n">
        <v>4.71</v>
      </c>
      <c r="AV184" s="28" t="n">
        <v>2.93</v>
      </c>
      <c r="AW184" s="28" t="n">
        <v>11.54</v>
      </c>
      <c r="AX184" s="28" t="n">
        <v>1.04</v>
      </c>
      <c r="AY184" s="28" t="n">
        <v>3.61</v>
      </c>
      <c r="AZ184" s="28" t="n">
        <v>4.07</v>
      </c>
      <c r="BA184" s="28" t="n">
        <v>2.5</v>
      </c>
      <c r="BB184" s="28" t="n">
        <v>11.22</v>
      </c>
      <c r="BC184" s="28" t="n">
        <v>0.34</v>
      </c>
      <c r="BD184" s="28" t="n">
        <v>5.86</v>
      </c>
      <c r="BE184" s="28" t="n">
        <v>4.73</v>
      </c>
      <c r="BF184" s="28" t="n">
        <v>2.95</v>
      </c>
      <c r="BG184" s="28" t="n">
        <v>13.87</v>
      </c>
      <c r="BH184" s="28" t="n">
        <v>1.95</v>
      </c>
      <c r="BI184" s="28" t="n">
        <v>5.61</v>
      </c>
      <c r="BJ184" s="28" t="n">
        <v>6.72</v>
      </c>
      <c r="BK184" s="28" t="n">
        <v>4.55</v>
      </c>
      <c r="BL184" s="28" t="n">
        <v>18.82</v>
      </c>
      <c r="BM184" s="28" t="n">
        <v>16.87</v>
      </c>
      <c r="BN184" s="28" t="n">
        <v>4.76</v>
      </c>
      <c r="BO184" s="28" t="n">
        <v>5.91</v>
      </c>
      <c r="BP184" s="28" t="n">
        <v>4.79</v>
      </c>
      <c r="BQ184" s="28" t="n">
        <v>32.41</v>
      </c>
      <c r="BR184" s="28" t="n">
        <v>1.9</v>
      </c>
      <c r="BS184" s="28" t="n">
        <v>5.43</v>
      </c>
      <c r="BT184" s="28" t="n">
        <v>6.85</v>
      </c>
      <c r="BU184" s="28" t="n">
        <v>4.62</v>
      </c>
      <c r="BV184" s="28" t="n">
        <v>18.77</v>
      </c>
      <c r="BW184" s="28" t="n">
        <v>25.06</v>
      </c>
      <c r="BX184" s="28" t="n">
        <v>4.17</v>
      </c>
      <c r="BY184" s="6"/>
      <c r="BZ184" s="6"/>
      <c r="CA184" s="6"/>
      <c r="CB184" s="6"/>
      <c r="CC184" s="6"/>
      <c r="CD184" s="6"/>
      <c r="CE184" s="6"/>
      <c r="CF184" s="6"/>
    </row>
    <row r="185" customFormat="false" ht="15" hidden="false" customHeight="true" outlineLevel="0" collapsed="false">
      <c r="B185" s="42" t="s">
        <v>348</v>
      </c>
      <c r="C185" s="28" t="n">
        <v>5.26</v>
      </c>
      <c r="D185" s="28" t="n">
        <v>6.05</v>
      </c>
      <c r="E185" s="28" t="n">
        <v>4.09</v>
      </c>
      <c r="F185" s="28" t="n">
        <v>1.9</v>
      </c>
      <c r="G185" s="28" t="n">
        <v>2.1</v>
      </c>
      <c r="H185" s="28" t="n">
        <v>1.69</v>
      </c>
      <c r="I185" s="28" t="n">
        <v>1.84</v>
      </c>
      <c r="J185" s="28" t="n">
        <v>-0.61</v>
      </c>
      <c r="K185" s="28" t="n">
        <v>0.88</v>
      </c>
      <c r="L185" s="28" t="n">
        <v>1.55</v>
      </c>
      <c r="M185" s="28" t="n">
        <v>0.78</v>
      </c>
      <c r="N185" s="28" t="n">
        <v>2.63</v>
      </c>
      <c r="O185" s="28" t="n">
        <v>-0.47</v>
      </c>
      <c r="P185" s="28" t="n">
        <v>1.27</v>
      </c>
      <c r="Q185" s="28" t="n">
        <v>0.79</v>
      </c>
      <c r="R185" s="28" t="n">
        <v>0.94</v>
      </c>
      <c r="S185" s="28" t="n">
        <v>2.71</v>
      </c>
      <c r="T185" s="28" t="n">
        <v>0.07</v>
      </c>
      <c r="U185" s="28" t="n">
        <v>1.22</v>
      </c>
      <c r="V185" s="28" t="n">
        <v>1.74</v>
      </c>
      <c r="W185" s="28" t="n">
        <v>1.26</v>
      </c>
      <c r="X185" s="28" t="n">
        <v>4.29</v>
      </c>
      <c r="Y185" s="28" t="n">
        <v>0.69</v>
      </c>
      <c r="Z185" s="28" t="n">
        <v>1.9</v>
      </c>
      <c r="AA185" s="28" t="n">
        <v>2.49</v>
      </c>
      <c r="AB185" s="28" t="n">
        <v>1.55</v>
      </c>
      <c r="AC185" s="28" t="n">
        <v>6.63</v>
      </c>
      <c r="AD185" s="28" t="n">
        <v>0.67</v>
      </c>
      <c r="AE185" s="28" t="n">
        <v>2.25</v>
      </c>
      <c r="AF185" s="28" t="n">
        <v>2.39</v>
      </c>
      <c r="AG185" s="28" t="n">
        <v>5.95</v>
      </c>
      <c r="AH185" s="28" t="n">
        <v>11.25</v>
      </c>
      <c r="AI185" s="28" t="n">
        <v>0.16</v>
      </c>
      <c r="AJ185" s="28" t="n">
        <v>2.92</v>
      </c>
      <c r="AK185" s="28" t="n">
        <v>2.85</v>
      </c>
      <c r="AL185" s="28" t="n">
        <v>1.5</v>
      </c>
      <c r="AM185" s="28" t="n">
        <v>7.43</v>
      </c>
      <c r="AN185" s="28" t="n">
        <v>0.68</v>
      </c>
      <c r="AO185" s="28" t="n">
        <v>3.01</v>
      </c>
      <c r="AP185" s="28" t="n">
        <v>3.96</v>
      </c>
      <c r="AQ185" s="28" t="n">
        <v>2.09</v>
      </c>
      <c r="AR185" s="28" t="n">
        <v>9.74</v>
      </c>
      <c r="AS185" s="28" t="n">
        <v>0.41</v>
      </c>
      <c r="AT185" s="28" t="n">
        <v>3.49</v>
      </c>
      <c r="AU185" s="28" t="n">
        <v>4.71</v>
      </c>
      <c r="AV185" s="28" t="n">
        <v>2.93</v>
      </c>
      <c r="AW185" s="28" t="n">
        <v>11.54</v>
      </c>
      <c r="AX185" s="28" t="n">
        <v>1.04</v>
      </c>
      <c r="AY185" s="28" t="n">
        <v>3.61</v>
      </c>
      <c r="AZ185" s="28" t="n">
        <v>4.07</v>
      </c>
      <c r="BA185" s="28" t="n">
        <v>2.49</v>
      </c>
      <c r="BB185" s="28" t="n">
        <v>11.21</v>
      </c>
      <c r="BC185" s="28" t="n">
        <v>0.39</v>
      </c>
      <c r="BD185" s="28" t="n">
        <v>5.65</v>
      </c>
      <c r="BE185" s="28" t="n">
        <v>4.67</v>
      </c>
      <c r="BF185" s="28" t="n">
        <v>3.01</v>
      </c>
      <c r="BG185" s="28" t="n">
        <v>13.7</v>
      </c>
      <c r="BH185" s="28" t="n">
        <v>2.16</v>
      </c>
      <c r="BI185" s="28" t="n">
        <v>5.6</v>
      </c>
      <c r="BJ185" s="28" t="n">
        <v>6.94</v>
      </c>
      <c r="BK185" s="28" t="n">
        <v>4.63</v>
      </c>
      <c r="BL185" s="28" t="n">
        <v>19.32</v>
      </c>
      <c r="BM185" s="28" t="n">
        <v>16.87</v>
      </c>
      <c r="BN185" s="28" t="n">
        <v>4.76</v>
      </c>
      <c r="BO185" s="28" t="n">
        <v>5.91</v>
      </c>
      <c r="BP185" s="28" t="n">
        <v>4.79</v>
      </c>
      <c r="BQ185" s="28" t="n">
        <v>32.41</v>
      </c>
      <c r="BR185" s="28" t="n">
        <v>1.7</v>
      </c>
      <c r="BS185" s="28" t="n">
        <v>4.84</v>
      </c>
      <c r="BT185" s="28" t="n">
        <v>5.97</v>
      </c>
      <c r="BU185" s="28" t="n">
        <v>3.85</v>
      </c>
      <c r="BV185" s="28" t="n">
        <v>16.34</v>
      </c>
      <c r="BW185" s="28" t="n">
        <v>1.31</v>
      </c>
      <c r="BX185" s="28" t="n">
        <v>4.26</v>
      </c>
      <c r="BY185" s="6"/>
      <c r="BZ185" s="6"/>
      <c r="CA185" s="6"/>
      <c r="CB185" s="6"/>
      <c r="CC185" s="6"/>
      <c r="CD185" s="6"/>
      <c r="CE185" s="6"/>
      <c r="CF185" s="6"/>
    </row>
    <row r="186" customFormat="false" ht="15" hidden="false" customHeight="true" outlineLevel="0" collapsed="false">
      <c r="B186" s="26" t="s">
        <v>349</v>
      </c>
      <c r="C186" s="28" t="n">
        <v>1.01</v>
      </c>
      <c r="D186" s="28" t="n">
        <v>1.24</v>
      </c>
      <c r="E186" s="28" t="n">
        <v>1.49</v>
      </c>
      <c r="F186" s="28" t="n">
        <v>1.6</v>
      </c>
      <c r="G186" s="28" t="n">
        <v>1.6</v>
      </c>
      <c r="H186" s="28" t="n">
        <v>1.6</v>
      </c>
      <c r="I186" s="28" t="n">
        <v>1.6</v>
      </c>
      <c r="J186" s="28" t="n">
        <v>0.4</v>
      </c>
      <c r="K186" s="28" t="n">
        <v>0.4</v>
      </c>
      <c r="L186" s="28" t="n">
        <v>0.4</v>
      </c>
      <c r="M186" s="28" t="n">
        <v>0.4</v>
      </c>
      <c r="N186" s="28" t="n">
        <v>1.6</v>
      </c>
      <c r="O186" s="28" t="n">
        <v>0.4</v>
      </c>
      <c r="P186" s="28" t="n">
        <v>0.4</v>
      </c>
      <c r="Q186" s="28" t="n">
        <v>0.4</v>
      </c>
      <c r="R186" s="28" t="n">
        <v>0.4</v>
      </c>
      <c r="S186" s="28" t="n">
        <v>1.6</v>
      </c>
      <c r="T186" s="28" t="n">
        <v>0.4</v>
      </c>
      <c r="U186" s="28" t="n">
        <v>0.4</v>
      </c>
      <c r="V186" s="28" t="n">
        <v>0.4</v>
      </c>
      <c r="W186" s="28" t="n">
        <v>0.4</v>
      </c>
      <c r="X186" s="28" t="n">
        <v>1.6</v>
      </c>
      <c r="Y186" s="28" t="n">
        <v>0.4</v>
      </c>
      <c r="Z186" s="28" t="n">
        <v>0.4</v>
      </c>
      <c r="AA186" s="28" t="n">
        <v>0.42</v>
      </c>
      <c r="AB186" s="28" t="n">
        <v>0.42</v>
      </c>
      <c r="AC186" s="28" t="n">
        <v>1.64</v>
      </c>
      <c r="AD186" s="28" t="n">
        <v>0.42</v>
      </c>
      <c r="AE186" s="28" t="n">
        <v>0.42</v>
      </c>
      <c r="AF186" s="28" t="n">
        <v>0.44</v>
      </c>
      <c r="AG186" s="28" t="n">
        <v>0.44</v>
      </c>
      <c r="AH186" s="28" t="n">
        <v>1.72</v>
      </c>
      <c r="AI186" s="28" t="n">
        <v>0.44</v>
      </c>
      <c r="AJ186" s="28" t="n">
        <v>0.44</v>
      </c>
      <c r="AK186" s="28" t="n">
        <v>0.48</v>
      </c>
      <c r="AL186" s="28" t="n">
        <v>0.48</v>
      </c>
      <c r="AM186" s="28" t="n">
        <v>1.84</v>
      </c>
      <c r="AN186" s="28" t="n">
        <v>0.48</v>
      </c>
      <c r="AO186" s="28" t="n">
        <v>0.48</v>
      </c>
      <c r="AP186" s="28" t="n">
        <v>0.55</v>
      </c>
      <c r="AQ186" s="28" t="n">
        <v>0.55</v>
      </c>
      <c r="AR186" s="28" t="n">
        <v>2.06</v>
      </c>
      <c r="AS186" s="28" t="n">
        <v>0.55</v>
      </c>
      <c r="AT186" s="28" t="n">
        <v>0.55</v>
      </c>
      <c r="AU186" s="28" t="n">
        <v>0.57</v>
      </c>
      <c r="AV186" s="28" t="n">
        <v>0.57</v>
      </c>
      <c r="AW186" s="28" t="n">
        <v>2.24</v>
      </c>
      <c r="AX186" s="28" t="n">
        <v>0.57</v>
      </c>
      <c r="AY186" s="28" t="n">
        <v>0.57</v>
      </c>
      <c r="AZ186" s="28" t="n">
        <v>0.61</v>
      </c>
      <c r="BA186" s="28" t="n">
        <v>0.61</v>
      </c>
      <c r="BB186" s="28" t="n">
        <v>2.36</v>
      </c>
      <c r="BC186" s="28" t="n">
        <v>0.61</v>
      </c>
      <c r="BD186" s="28" t="n">
        <v>0.61</v>
      </c>
      <c r="BE186" s="28" t="n">
        <v>0.66</v>
      </c>
      <c r="BF186" s="28" t="n">
        <v>0.66</v>
      </c>
      <c r="BG186" s="28" t="n">
        <v>2.54</v>
      </c>
      <c r="BH186" s="28" t="n">
        <v>0.66</v>
      </c>
      <c r="BI186" s="28" t="n">
        <v>0.66</v>
      </c>
      <c r="BJ186" s="28" t="n">
        <v>0.74</v>
      </c>
      <c r="BK186" s="28" t="n">
        <v>0.74</v>
      </c>
      <c r="BL186" s="28" t="n">
        <v>2.8</v>
      </c>
      <c r="BM186" s="28" t="n">
        <v>0.74</v>
      </c>
      <c r="BN186" s="28" t="n">
        <v>0.74</v>
      </c>
      <c r="BO186" s="28" t="n">
        <v>0.79</v>
      </c>
      <c r="BP186" s="28" t="n">
        <v>0.79</v>
      </c>
      <c r="BQ186" s="28" t="n">
        <v>3.06</v>
      </c>
      <c r="BR186" s="28" t="n">
        <v>0.79</v>
      </c>
      <c r="BS186" s="28" t="n">
        <v>0.79</v>
      </c>
      <c r="BT186" s="28" t="n">
        <v>0.83</v>
      </c>
      <c r="BU186" s="28" t="n">
        <v>0.83</v>
      </c>
      <c r="BV186" s="28" t="n">
        <v>3.24</v>
      </c>
      <c r="BW186" s="28" t="n">
        <v>0.83</v>
      </c>
      <c r="BX186" s="28" t="n">
        <v>0.83</v>
      </c>
      <c r="BY186" s="29" t="n">
        <f aca="false">$BX$186*(1+$CA$187)</f>
        <v>0.8715</v>
      </c>
      <c r="BZ186" s="29" t="n">
        <f aca="false">$BX$186*(1+$CA$187)</f>
        <v>0.8715</v>
      </c>
      <c r="CA186" s="29" t="n">
        <f aca="false">SUM(BW186,BX186,BY186,BZ186)</f>
        <v>3.403</v>
      </c>
      <c r="CB186" s="29" t="n">
        <f aca="false">CA186*(1+CB187)</f>
        <v>3.60718</v>
      </c>
      <c r="CC186" s="29" t="n">
        <f aca="false">CB186*(1+CC187)</f>
        <v>3.8236108</v>
      </c>
      <c r="CD186" s="29" t="n">
        <f aca="false">CC186*(1+CD187)</f>
        <v>4.053027448</v>
      </c>
      <c r="CE186" s="29" t="n">
        <f aca="false">CD186*(1+CE187)</f>
        <v>4.29620909488</v>
      </c>
      <c r="CF186" s="20" t="s">
        <v>350</v>
      </c>
    </row>
    <row r="187" customFormat="false" ht="15" hidden="false" customHeight="true" outlineLevel="0" collapsed="false">
      <c r="B187" s="23" t="s">
        <v>351</v>
      </c>
      <c r="D187" s="24" t="n">
        <f aca="false">IF(AND(ISNUMBER(D186),ISNUMBER(C186)),IFERROR(D186/C186-1,""),"")</f>
        <v>0.227722772277228</v>
      </c>
      <c r="E187" s="24" t="n">
        <f aca="false">IF(AND(ISNUMBER(E186),ISNUMBER(D186)),IFERROR(E186/D186-1,""),"")</f>
        <v>0.201612903225807</v>
      </c>
      <c r="F187" s="24" t="n">
        <f aca="false">IF(AND(ISNUMBER(F186),ISNUMBER(E186)),IFERROR(F186/E186-1,""),"")</f>
        <v>0.0738255033557047</v>
      </c>
      <c r="G187" s="24" t="n">
        <f aca="false">IF(AND(ISNUMBER(G186),ISNUMBER(F186)),IFERROR(G186/F186-1,""),"")</f>
        <v>0</v>
      </c>
      <c r="H187" s="24" t="n">
        <f aca="false">IF(AND(ISNUMBER(H186),ISNUMBER(G186)),IFERROR(H186/G186-1,""),"")</f>
        <v>0</v>
      </c>
      <c r="I187" s="24" t="n">
        <f aca="false">IF(AND(ISNUMBER(I186),ISNUMBER(H186)),IFERROR(I186/H186-1,""),"")</f>
        <v>0</v>
      </c>
      <c r="N187" s="24" t="n">
        <f aca="false">IF(AND(ISNUMBER(N186),ISNUMBER(I186)),IFERROR(N186/I186-1,""),"")</f>
        <v>0</v>
      </c>
      <c r="O187" s="24" t="n">
        <f aca="false">IF(AND(ISNUMBER(O186),ISNUMBER(J186)),IFERROR(O186/J186-1,""),"")</f>
        <v>0</v>
      </c>
      <c r="P187" s="24" t="n">
        <f aca="false">IF(AND(ISNUMBER(P186),ISNUMBER(K186)),IFERROR(P186/K186-1,""),"")</f>
        <v>0</v>
      </c>
      <c r="Q187" s="24" t="n">
        <f aca="false">IF(AND(ISNUMBER(Q186),ISNUMBER(L186)),IFERROR(Q186/L186-1,""),"")</f>
        <v>0</v>
      </c>
      <c r="R187" s="24" t="n">
        <f aca="false">IF(AND(ISNUMBER(R186),ISNUMBER(M186)),IFERROR(R186/M186-1,""),"")</f>
        <v>0</v>
      </c>
      <c r="S187" s="24" t="n">
        <f aca="false">IF(AND(ISNUMBER(S186),ISNUMBER(N186)),IFERROR(S186/N186-1,""),"")</f>
        <v>0</v>
      </c>
      <c r="T187" s="24" t="n">
        <f aca="false">IF(AND(ISNUMBER(T186),ISNUMBER(O186)),IFERROR(T186/O186-1,""),"")</f>
        <v>0</v>
      </c>
      <c r="U187" s="24" t="n">
        <f aca="false">IF(AND(ISNUMBER(U186),ISNUMBER(P186)),IFERROR(U186/P186-1,""),"")</f>
        <v>0</v>
      </c>
      <c r="V187" s="24" t="n">
        <f aca="false">IF(AND(ISNUMBER(V186),ISNUMBER(Q186)),IFERROR(V186/Q186-1,""),"")</f>
        <v>0</v>
      </c>
      <c r="W187" s="24" t="n">
        <f aca="false">IF(AND(ISNUMBER(W186),ISNUMBER(R186)),IFERROR(W186/R186-1,""),"")</f>
        <v>0</v>
      </c>
      <c r="X187" s="24" t="n">
        <f aca="false">IF(AND(ISNUMBER(X186),ISNUMBER(S186)),IFERROR(X186/S186-1,""),"")</f>
        <v>0</v>
      </c>
      <c r="Y187" s="24" t="n">
        <f aca="false">IF(AND(ISNUMBER(Y186),ISNUMBER(T186)),IFERROR(Y186/T186-1,""),"")</f>
        <v>0</v>
      </c>
      <c r="Z187" s="24" t="n">
        <f aca="false">IF(AND(ISNUMBER(Z186),ISNUMBER(U186)),IFERROR(Z186/U186-1,""),"")</f>
        <v>0</v>
      </c>
      <c r="AA187" s="24" t="n">
        <f aca="false">IF(AND(ISNUMBER(AA186),ISNUMBER(V186)),IFERROR(AA186/V186-1,""),"")</f>
        <v>0.0499999999999998</v>
      </c>
      <c r="AB187" s="24" t="n">
        <f aca="false">IF(AND(ISNUMBER(AB186),ISNUMBER(W186)),IFERROR(AB186/W186-1,""),"")</f>
        <v>0.0499999999999998</v>
      </c>
      <c r="AC187" s="24" t="n">
        <f aca="false">IF(AND(ISNUMBER(AC186),ISNUMBER(X186)),IFERROR(AC186/X186-1,""),"")</f>
        <v>0.0249999999999999</v>
      </c>
      <c r="AD187" s="24" t="n">
        <f aca="false">IF(AND(ISNUMBER(AD186),ISNUMBER(Y186)),IFERROR(AD186/Y186-1,""),"")</f>
        <v>0.0499999999999998</v>
      </c>
      <c r="AE187" s="24" t="n">
        <f aca="false">IF(AND(ISNUMBER(AE186),ISNUMBER(Z186)),IFERROR(AE186/Z186-1,""),"")</f>
        <v>0.0499999999999998</v>
      </c>
      <c r="AF187" s="24" t="n">
        <f aca="false">IF(AND(ISNUMBER(AF186),ISNUMBER(AA186)),IFERROR(AF186/AA186-1,""),"")</f>
        <v>0.0476190476190477</v>
      </c>
      <c r="AG187" s="24" t="n">
        <f aca="false">IF(AND(ISNUMBER(AG186),ISNUMBER(AB186)),IFERROR(AG186/AB186-1,""),"")</f>
        <v>0.0476190476190477</v>
      </c>
      <c r="AH187" s="24" t="n">
        <f aca="false">IF(AND(ISNUMBER(AH186),ISNUMBER(AC186)),IFERROR(AH186/AC186-1,""),"")</f>
        <v>0.0487804878048781</v>
      </c>
      <c r="AI187" s="24" t="n">
        <f aca="false">IF(AND(ISNUMBER(AI186),ISNUMBER(AD186)),IFERROR(AI186/AD186-1,""),"")</f>
        <v>0.0476190476190477</v>
      </c>
      <c r="AJ187" s="24" t="n">
        <f aca="false">IF(AND(ISNUMBER(AJ186),ISNUMBER(AE186)),IFERROR(AJ186/AE186-1,""),"")</f>
        <v>0.0476190476190477</v>
      </c>
      <c r="AK187" s="24" t="n">
        <f aca="false">IF(AND(ISNUMBER(AK186),ISNUMBER(AF186)),IFERROR(AK186/AF186-1,""),"")</f>
        <v>0.0909090909090908</v>
      </c>
      <c r="AL187" s="24" t="n">
        <f aca="false">IF(AND(ISNUMBER(AL186),ISNUMBER(AG186)),IFERROR(AL186/AG186-1,""),"")</f>
        <v>0.0909090909090908</v>
      </c>
      <c r="AM187" s="24" t="n">
        <f aca="false">IF(AND(ISNUMBER(AM186),ISNUMBER(AH186)),IFERROR(AM186/AH186-1,""),"")</f>
        <v>0.0697674418604652</v>
      </c>
      <c r="AN187" s="24" t="n">
        <f aca="false">IF(AND(ISNUMBER(AN186),ISNUMBER(AI186)),IFERROR(AN186/AI186-1,""),"")</f>
        <v>0.0909090909090908</v>
      </c>
      <c r="AO187" s="24" t="n">
        <f aca="false">IF(AND(ISNUMBER(AO186),ISNUMBER(AJ186)),IFERROR(AO186/AJ186-1,""),"")</f>
        <v>0.0909090909090908</v>
      </c>
      <c r="AP187" s="24" t="n">
        <f aca="false">IF(AND(ISNUMBER(AP186),ISNUMBER(AK186)),IFERROR(AP186/AK186-1,""),"")</f>
        <v>0.145833333333333</v>
      </c>
      <c r="AQ187" s="24" t="n">
        <f aca="false">IF(AND(ISNUMBER(AQ186),ISNUMBER(AL186)),IFERROR(AQ186/AL186-1,""),"")</f>
        <v>0.145833333333333</v>
      </c>
      <c r="AR187" s="24" t="n">
        <f aca="false">IF(AND(ISNUMBER(AR186),ISNUMBER(AM186)),IFERROR(AR186/AM186-1,""),"")</f>
        <v>0.119565217391304</v>
      </c>
      <c r="AS187" s="24" t="n">
        <f aca="false">IF(AND(ISNUMBER(AS186),ISNUMBER(AN186)),IFERROR(AS186/AN186-1,""),"")</f>
        <v>0.145833333333333</v>
      </c>
      <c r="AT187" s="24" t="n">
        <f aca="false">IF(AND(ISNUMBER(AT186),ISNUMBER(AO186)),IFERROR(AT186/AO186-1,""),"")</f>
        <v>0.145833333333333</v>
      </c>
      <c r="AU187" s="24" t="n">
        <f aca="false">IF(AND(ISNUMBER(AU186),ISNUMBER(AP186)),IFERROR(AU186/AP186-1,""),"")</f>
        <v>0.0363636363636362</v>
      </c>
      <c r="AV187" s="24" t="n">
        <f aca="false">IF(AND(ISNUMBER(AV186),ISNUMBER(AQ186)),IFERROR(AV186/AQ186-1,""),"")</f>
        <v>0.0363636363636362</v>
      </c>
      <c r="AW187" s="24" t="n">
        <f aca="false">IF(AND(ISNUMBER(AW186),ISNUMBER(AR186)),IFERROR(AW186/AR186-1,""),"")</f>
        <v>0.0873786407766992</v>
      </c>
      <c r="AX187" s="24" t="n">
        <f aca="false">IF(AND(ISNUMBER(AX186),ISNUMBER(AS186)),IFERROR(AX186/AS186-1,""),"")</f>
        <v>0.0363636363636362</v>
      </c>
      <c r="AY187" s="24" t="n">
        <f aca="false">IF(AND(ISNUMBER(AY186),ISNUMBER(AT186)),IFERROR(AY186/AT186-1,""),"")</f>
        <v>0.0363636363636362</v>
      </c>
      <c r="AZ187" s="24" t="n">
        <f aca="false">IF(AND(ISNUMBER(AZ186),ISNUMBER(AU186)),IFERROR(AZ186/AU186-1,""),"")</f>
        <v>0.0701754385964912</v>
      </c>
      <c r="BA187" s="24" t="n">
        <f aca="false">IF(AND(ISNUMBER(BA186),ISNUMBER(AV186)),IFERROR(BA186/AV186-1,""),"")</f>
        <v>0.0701754385964912</v>
      </c>
      <c r="BB187" s="24" t="n">
        <f aca="false">IF(AND(ISNUMBER(BB186),ISNUMBER(AW186)),IFERROR(BB186/AW186-1,""),"")</f>
        <v>0.0535714285714284</v>
      </c>
      <c r="BC187" s="24" t="n">
        <f aca="false">IF(AND(ISNUMBER(BC186),ISNUMBER(AX186)),IFERROR(BC186/AX186-1,""),"")</f>
        <v>0.0701754385964912</v>
      </c>
      <c r="BD187" s="24" t="n">
        <f aca="false">IF(AND(ISNUMBER(BD186),ISNUMBER(AY186)),IFERROR(BD186/AY186-1,""),"")</f>
        <v>0.0701754385964912</v>
      </c>
      <c r="BE187" s="24" t="n">
        <f aca="false">IF(AND(ISNUMBER(BE186),ISNUMBER(AZ186)),IFERROR(BE186/AZ186-1,""),"")</f>
        <v>0.0819672131147542</v>
      </c>
      <c r="BF187" s="24" t="n">
        <f aca="false">IF(AND(ISNUMBER(BF186),ISNUMBER(BA186)),IFERROR(BF186/BA186-1,""),"")</f>
        <v>0.0819672131147542</v>
      </c>
      <c r="BG187" s="24" t="n">
        <f aca="false">IF(AND(ISNUMBER(BG186),ISNUMBER(BB186)),IFERROR(BG186/BB186-1,""),"")</f>
        <v>0.076271186440678</v>
      </c>
      <c r="BH187" s="24" t="n">
        <f aca="false">IF(AND(ISNUMBER(BH186),ISNUMBER(BC186)),IFERROR(BH186/BC186-1,""),"")</f>
        <v>0.0819672131147542</v>
      </c>
      <c r="BI187" s="24" t="n">
        <f aca="false">IF(AND(ISNUMBER(BI186),ISNUMBER(BD186)),IFERROR(BI186/BD186-1,""),"")</f>
        <v>0.0819672131147542</v>
      </c>
      <c r="BJ187" s="24" t="n">
        <f aca="false">IF(AND(ISNUMBER(BJ186),ISNUMBER(BE186)),IFERROR(BJ186/BE186-1,""),"")</f>
        <v>0.121212121212121</v>
      </c>
      <c r="BK187" s="24" t="n">
        <f aca="false">IF(AND(ISNUMBER(BK186),ISNUMBER(BF186)),IFERROR(BK186/BF186-1,""),"")</f>
        <v>0.121212121212121</v>
      </c>
      <c r="BL187" s="24" t="n">
        <f aca="false">IF(AND(ISNUMBER(BL186),ISNUMBER(BG186)),IFERROR(BL186/BG186-1,""),"")</f>
        <v>0.102362204724409</v>
      </c>
      <c r="BM187" s="24" t="n">
        <f aca="false">IF(AND(ISNUMBER(BM186),ISNUMBER(BH186)),IFERROR(BM186/BH186-1,""),"")</f>
        <v>0.121212121212121</v>
      </c>
      <c r="BN187" s="24" t="n">
        <f aca="false">IF(AND(ISNUMBER(BN186),ISNUMBER(BI186)),IFERROR(BN186/BI186-1,""),"")</f>
        <v>0.121212121212121</v>
      </c>
      <c r="BO187" s="24" t="n">
        <f aca="false">IF(AND(ISNUMBER(BO186),ISNUMBER(BJ186)),IFERROR(BO186/BJ186-1,""),"")</f>
        <v>0.0675675675675675</v>
      </c>
      <c r="BP187" s="24" t="n">
        <f aca="false">IF(AND(ISNUMBER(BP186),ISNUMBER(BK186)),IFERROR(BP186/BK186-1,""),"")</f>
        <v>0.0675675675675675</v>
      </c>
      <c r="BQ187" s="24" t="n">
        <f aca="false">IF(AND(ISNUMBER(BQ186),ISNUMBER(BL186)),IFERROR(BQ186/BL186-1,""),"")</f>
        <v>0.092857142857143</v>
      </c>
      <c r="BR187" s="24" t="n">
        <f aca="false">IF(AND(ISNUMBER(BR186),ISNUMBER(BM186)),IFERROR(BR186/BM186-1,""),"")</f>
        <v>0.0675675675675675</v>
      </c>
      <c r="BS187" s="24" t="n">
        <f aca="false">IF(AND(ISNUMBER(BS186),ISNUMBER(BN186)),IFERROR(BS186/BN186-1,""),"")</f>
        <v>0.0675675675675675</v>
      </c>
      <c r="BT187" s="24" t="n">
        <f aca="false">IF(AND(ISNUMBER(BT186),ISNUMBER(BO186)),IFERROR(BT186/BO186-1,""),"")</f>
        <v>0.0506329113924049</v>
      </c>
      <c r="BU187" s="24" t="n">
        <f aca="false">IF(AND(ISNUMBER(BU186),ISNUMBER(BP186)),IFERROR(BU186/BP186-1,""),"")</f>
        <v>0.0506329113924049</v>
      </c>
      <c r="BV187" s="24" t="n">
        <f aca="false">IF(AND(ISNUMBER(BV186),ISNUMBER(BQ186)),IFERROR(BV186/BQ186-1,""),"")</f>
        <v>0.0588235294117647</v>
      </c>
      <c r="BW187" s="24" t="n">
        <f aca="false">IF(AND(ISNUMBER(BW186),ISNUMBER(BR186)),IFERROR(BW186/BR186-1,""),"")</f>
        <v>0.0506329113924049</v>
      </c>
      <c r="BX187" s="24" t="n">
        <f aca="false">IF(AND(ISNUMBER(BX186),ISNUMBER(BS186)),IFERROR(BX186/BS186-1,""),"")</f>
        <v>0.0506329113924049</v>
      </c>
      <c r="BY187" s="6"/>
      <c r="BZ187" s="6"/>
      <c r="CA187" s="49" t="n">
        <v>0.05</v>
      </c>
      <c r="CB187" s="49" t="n">
        <v>0.06</v>
      </c>
      <c r="CC187" s="49" t="n">
        <v>0.06</v>
      </c>
      <c r="CD187" s="49" t="n">
        <v>0.06</v>
      </c>
      <c r="CE187" s="49" t="n">
        <v>0.06</v>
      </c>
      <c r="CF187" s="6"/>
    </row>
    <row r="188" customFormat="false" ht="15" hidden="false" customHeight="true" outlineLevel="0" collapsed="false">
      <c r="B188" s="42" t="s">
        <v>352</v>
      </c>
      <c r="BY188" s="6"/>
      <c r="BZ188" s="6"/>
      <c r="CA188" s="37" t="n">
        <f aca="false">CHOOSE(MATCH($CF$2,{"Bull","Base","Bear"},0),$CO$14,$CP$14,$CQ$14)</f>
        <v>1043</v>
      </c>
      <c r="CB188" s="6"/>
      <c r="CC188" s="6"/>
      <c r="CD188" s="6"/>
      <c r="CE188" s="6"/>
      <c r="CF188" s="20" t="s">
        <v>353</v>
      </c>
    </row>
    <row r="189" customFormat="false" ht="15" hidden="false" customHeight="true" outlineLevel="0" collapsed="false"/>
    <row r="190" customFormat="false" ht="15" hidden="false" customHeight="true" outlineLevel="0" collapsed="false">
      <c r="B190" s="11" t="s">
        <v>354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 t="s">
        <v>355</v>
      </c>
    </row>
    <row r="191" customFormat="false" ht="15" hidden="false" customHeight="true" outlineLevel="0" collapsed="false">
      <c r="B191" s="17" t="s">
        <v>356</v>
      </c>
      <c r="C191" s="46" t="n">
        <f aca="false">C175</f>
        <v>243.8</v>
      </c>
      <c r="D191" s="46" t="n">
        <f aca="false">D175</f>
        <v>262.5</v>
      </c>
      <c r="E191" s="46" t="n">
        <f aca="false">E175</f>
        <v>171.5</v>
      </c>
      <c r="F191" s="46" t="n">
        <f aca="false">F175</f>
        <v>85.1999999999998</v>
      </c>
      <c r="G191" s="46" t="n">
        <f aca="false">G175</f>
        <v>96.8</v>
      </c>
      <c r="H191" s="46" t="n">
        <f aca="false">H175</f>
        <v>78.4</v>
      </c>
      <c r="I191" s="46" t="n">
        <f aca="false">I175</f>
        <v>84.9999999999999</v>
      </c>
      <c r="J191" s="46" t="n">
        <f aca="false">J175</f>
        <v>-27.7</v>
      </c>
      <c r="K191" s="46" t="n">
        <f aca="false">K175</f>
        <v>41.0000000000001</v>
      </c>
      <c r="L191" s="46" t="n">
        <f aca="false">L175</f>
        <v>72.0999999999999</v>
      </c>
      <c r="M191" s="46" t="n">
        <f aca="false">M175</f>
        <v>36.3</v>
      </c>
      <c r="N191" s="46" t="n">
        <f aca="false">N175</f>
        <v>122.1</v>
      </c>
      <c r="O191" s="46" t="n">
        <f aca="false">O175</f>
        <v>-21.6</v>
      </c>
      <c r="P191" s="46" t="n">
        <f aca="false">P175</f>
        <v>59.6</v>
      </c>
      <c r="Q191" s="46" t="n">
        <f aca="false">Q175</f>
        <v>53.8</v>
      </c>
      <c r="R191" s="46" t="n">
        <f aca="false">R175</f>
        <v>63.9</v>
      </c>
      <c r="S191" s="46" t="n">
        <f aca="false">S175</f>
        <v>155.6</v>
      </c>
      <c r="T191" s="46" t="n">
        <f aca="false">T175</f>
        <v>6.09999999999995</v>
      </c>
      <c r="U191" s="46" t="n">
        <f aca="false">U175</f>
        <v>81.8999999999999</v>
      </c>
      <c r="V191" s="46" t="n">
        <f aca="false">V175</f>
        <v>117.5</v>
      </c>
      <c r="W191" s="46" t="n">
        <f aca="false">W175</f>
        <v>83.2000000000001</v>
      </c>
      <c r="X191" s="46" t="n">
        <f aca="false">X175</f>
        <v>288.8</v>
      </c>
      <c r="Y191" s="46" t="n">
        <f aca="false">Y175</f>
        <v>44.9999999999999</v>
      </c>
      <c r="Z191" s="46" t="n">
        <f aca="false">Z175</f>
        <v>122.1</v>
      </c>
      <c r="AA191" s="46" t="n">
        <f aca="false">AA175</f>
        <v>159.5</v>
      </c>
      <c r="AB191" s="46" t="n">
        <f aca="false">AB175</f>
        <v>98.8999999999999</v>
      </c>
      <c r="AC191" s="46" t="n">
        <f aca="false">AC175</f>
        <v>425.4</v>
      </c>
      <c r="AD191" s="46" t="n">
        <f aca="false">AD175</f>
        <v>42.3</v>
      </c>
      <c r="AE191" s="46" t="n">
        <f aca="false">AE175</f>
        <v>142.3</v>
      </c>
      <c r="AF191" s="46" t="n">
        <f aca="false">AF175</f>
        <v>151.5</v>
      </c>
      <c r="AG191" s="46" t="n">
        <f aca="false">AG175</f>
        <v>377.2</v>
      </c>
      <c r="AH191" s="46" t="n">
        <f aca="false">AH175</f>
        <v>713.3</v>
      </c>
      <c r="AI191" s="46" t="n">
        <f aca="false">AI175</f>
        <v>9.99999999999998</v>
      </c>
      <c r="AJ191" s="46" t="n">
        <f aca="false">AJ175</f>
        <v>185.377</v>
      </c>
      <c r="AK191" s="46" t="n">
        <f aca="false">AK175</f>
        <v>180.221</v>
      </c>
      <c r="AL191" s="46" t="n">
        <f aca="false">AL175</f>
        <v>94.378</v>
      </c>
      <c r="AM191" s="46" t="n">
        <f aca="false">AM175</f>
        <v>469.998</v>
      </c>
      <c r="AN191" s="46" t="n">
        <f aca="false">AN175</f>
        <v>42.826</v>
      </c>
      <c r="AO191" s="46" t="n">
        <f aca="false">AO175</f>
        <v>189.469</v>
      </c>
      <c r="AP191" s="46" t="n">
        <f aca="false">AP175</f>
        <v>248.622</v>
      </c>
      <c r="AQ191" s="46" t="n">
        <f aca="false">AQ175</f>
        <v>131.014</v>
      </c>
      <c r="AR191" s="46" t="n">
        <f aca="false">AR175</f>
        <v>611.915</v>
      </c>
      <c r="AS191" s="46" t="n">
        <f aca="false">AS175</f>
        <v>25.9000000000001</v>
      </c>
      <c r="AT191" s="46" t="n">
        <f aca="false">AT175</f>
        <v>217.6</v>
      </c>
      <c r="AU191" s="46" t="n">
        <f aca="false">AU175</f>
        <v>294.4</v>
      </c>
      <c r="AV191" s="46" t="n">
        <f aca="false">AV175</f>
        <v>183</v>
      </c>
      <c r="AW191" s="46" t="n">
        <f aca="false">AW175</f>
        <v>721</v>
      </c>
      <c r="AX191" s="46" t="n">
        <f aca="false">AX175</f>
        <v>65.2999999999999</v>
      </c>
      <c r="AY191" s="46" t="n">
        <f aca="false">AY175</f>
        <v>225.8</v>
      </c>
      <c r="AZ191" s="46" t="n">
        <f aca="false">AZ175</f>
        <v>254.6</v>
      </c>
      <c r="BA191" s="46" t="n">
        <f aca="false">BA175</f>
        <v>156.3</v>
      </c>
      <c r="BB191" s="46" t="n">
        <f aca="false">BB175</f>
        <v>702</v>
      </c>
      <c r="BC191" s="46" t="n">
        <f aca="false">BC175</f>
        <v>24.4999999999999</v>
      </c>
      <c r="BD191" s="46" t="n">
        <f aca="false">BD175</f>
        <v>353.2</v>
      </c>
      <c r="BE191" s="46" t="n">
        <f aca="false">BE175</f>
        <v>291.2</v>
      </c>
      <c r="BF191" s="46" t="n">
        <f aca="false">BF175</f>
        <v>187.4</v>
      </c>
      <c r="BG191" s="46" t="n">
        <f aca="false">BG175</f>
        <v>856.3</v>
      </c>
      <c r="BH191" s="46" t="n">
        <f aca="false">BH175</f>
        <v>134.3</v>
      </c>
      <c r="BI191" s="46" t="n">
        <f aca="false">BI175</f>
        <v>347.6</v>
      </c>
      <c r="BJ191" s="46" t="n">
        <f aca="false">BJ175</f>
        <v>430.3</v>
      </c>
      <c r="BK191" s="46" t="n">
        <f aca="false">BK175</f>
        <v>287.7</v>
      </c>
      <c r="BL191" s="46" t="n">
        <f aca="false">BL175</f>
        <v>1199.8</v>
      </c>
      <c r="BM191" s="46" t="n">
        <f aca="false">BM175</f>
        <v>1045</v>
      </c>
      <c r="BN191" s="46" t="n">
        <f aca="false">BN175</f>
        <v>294</v>
      </c>
      <c r="BO191" s="46" t="n">
        <f aca="false">BO175</f>
        <v>363</v>
      </c>
      <c r="BP191" s="46" t="n">
        <f aca="false">BP175</f>
        <v>294</v>
      </c>
      <c r="BQ191" s="46" t="n">
        <f aca="false">BQ175</f>
        <v>1995</v>
      </c>
      <c r="BR191" s="46" t="n">
        <f aca="false">BR175</f>
        <v>104</v>
      </c>
      <c r="BS191" s="46" t="n">
        <f aca="false">BS175</f>
        <v>292</v>
      </c>
      <c r="BT191" s="46" t="n">
        <f aca="false">BT175</f>
        <v>361</v>
      </c>
      <c r="BU191" s="46" t="n">
        <f aca="false">BU175</f>
        <v>233</v>
      </c>
      <c r="BV191" s="46" t="n">
        <f aca="false">BV175</f>
        <v>990</v>
      </c>
      <c r="BW191" s="46" t="n">
        <f aca="false">BW175</f>
        <v>79</v>
      </c>
      <c r="BX191" s="46" t="n">
        <f aca="false">BX175</f>
        <v>256</v>
      </c>
      <c r="BY191" s="34" t="n">
        <f aca="false">BY175</f>
        <v>333.002223524286</v>
      </c>
      <c r="BZ191" s="34" t="n">
        <f aca="false">BZ175</f>
        <v>228.254239822475</v>
      </c>
      <c r="CA191" s="34" t="n">
        <f aca="false">CA175</f>
        <v>896.256463346761</v>
      </c>
      <c r="CB191" s="34" t="n">
        <f aca="false">CB175</f>
        <v>1288.63503471762</v>
      </c>
      <c r="CC191" s="34" t="n">
        <f aca="false">CC175</f>
        <v>1610.11428933986</v>
      </c>
      <c r="CD191" s="34" t="n">
        <f aca="false">CD175</f>
        <v>1880.2941935602</v>
      </c>
      <c r="CE191" s="34" t="n">
        <f aca="false">CE175</f>
        <v>2100.39833001768</v>
      </c>
      <c r="CF191" s="6"/>
    </row>
    <row r="192" customFormat="false" ht="15" hidden="false" customHeight="true" outlineLevel="0" collapsed="false">
      <c r="B192" s="42" t="s">
        <v>357</v>
      </c>
      <c r="C192" s="47" t="n">
        <f aca="false">C172</f>
        <v>245.4</v>
      </c>
      <c r="D192" s="47" t="n">
        <f aca="false">D172</f>
        <v>262.7</v>
      </c>
      <c r="E192" s="47" t="n">
        <f aca="false">E172</f>
        <v>176.3</v>
      </c>
      <c r="F192" s="36" t="n">
        <v>85.5</v>
      </c>
      <c r="G192" s="36" t="n">
        <v>97</v>
      </c>
      <c r="H192" s="36" t="n">
        <v>82.4</v>
      </c>
      <c r="I192" s="36" t="n">
        <v>84.5</v>
      </c>
      <c r="J192" s="36" t="n">
        <v>-27.8</v>
      </c>
      <c r="K192" s="36" t="n">
        <v>41.3</v>
      </c>
      <c r="L192" s="36" t="n">
        <v>71.8</v>
      </c>
      <c r="M192" s="36" t="n">
        <v>36</v>
      </c>
      <c r="N192" s="36" t="n">
        <v>121.3</v>
      </c>
      <c r="O192" s="36" t="n">
        <v>-21.6</v>
      </c>
      <c r="P192" s="36" t="n">
        <v>59.5</v>
      </c>
      <c r="Q192" s="36" t="n">
        <v>53.7</v>
      </c>
      <c r="R192" s="36" t="n">
        <v>64</v>
      </c>
      <c r="S192" s="36" t="n">
        <v>155.6</v>
      </c>
      <c r="T192" s="36" t="n">
        <v>6.2</v>
      </c>
      <c r="U192" s="47" t="n">
        <f aca="false">U172</f>
        <v>81.8999999999999</v>
      </c>
      <c r="V192" s="47" t="n">
        <f aca="false">V172</f>
        <v>117.5</v>
      </c>
      <c r="W192" s="36" t="n">
        <v>83.2</v>
      </c>
      <c r="X192" s="36" t="n">
        <v>288.8</v>
      </c>
      <c r="Y192" s="36" t="n">
        <v>45</v>
      </c>
      <c r="Z192" s="36" t="n">
        <v>122.1</v>
      </c>
      <c r="AA192" s="36" t="n">
        <v>159.5</v>
      </c>
      <c r="AB192" s="36" t="n">
        <v>98.9</v>
      </c>
      <c r="AC192" s="36" t="n">
        <v>425.4</v>
      </c>
      <c r="AD192" s="36" t="n">
        <v>42.3</v>
      </c>
      <c r="AE192" s="36" t="n">
        <v>142.3</v>
      </c>
      <c r="AF192" s="36" t="n">
        <v>151.5</v>
      </c>
      <c r="AG192" s="36" t="n">
        <v>377.2</v>
      </c>
      <c r="AH192" s="36" t="n">
        <v>713.3</v>
      </c>
      <c r="AI192" s="36" t="n">
        <v>10</v>
      </c>
      <c r="AJ192" s="36" t="n">
        <v>185.377</v>
      </c>
      <c r="AK192" s="36" t="n">
        <v>180.221</v>
      </c>
      <c r="AL192" s="36" t="n">
        <v>94.378</v>
      </c>
      <c r="AM192" s="36" t="n">
        <v>469.998</v>
      </c>
      <c r="AN192" s="36" t="n">
        <v>42.853</v>
      </c>
      <c r="AO192" s="36" t="n">
        <v>189.475</v>
      </c>
      <c r="AP192" s="36" t="n">
        <v>248.573</v>
      </c>
      <c r="AQ192" s="36" t="n">
        <v>131.014</v>
      </c>
      <c r="AR192" s="36" t="n">
        <v>611.915</v>
      </c>
      <c r="AS192" s="36" t="n">
        <v>25.9</v>
      </c>
      <c r="AT192" s="36" t="n">
        <v>217.6</v>
      </c>
      <c r="AU192" s="36" t="n">
        <v>294.4</v>
      </c>
      <c r="AV192" s="36" t="n">
        <v>183</v>
      </c>
      <c r="AW192" s="36" t="n">
        <v>721</v>
      </c>
      <c r="AX192" s="36" t="n">
        <v>65.3</v>
      </c>
      <c r="AY192" s="36" t="n">
        <v>225.8</v>
      </c>
      <c r="AZ192" s="36" t="n">
        <v>254.6</v>
      </c>
      <c r="BA192" s="36" t="n">
        <v>156.3</v>
      </c>
      <c r="BB192" s="36" t="n">
        <v>702</v>
      </c>
      <c r="BC192" s="36" t="n">
        <v>24.5</v>
      </c>
      <c r="BD192" s="36" t="n">
        <v>353.2</v>
      </c>
      <c r="BE192" s="36" t="n">
        <v>291.2</v>
      </c>
      <c r="BF192" s="36" t="n">
        <v>187.4</v>
      </c>
      <c r="BG192" s="36" t="n">
        <v>856.3</v>
      </c>
      <c r="BH192" s="36" t="n">
        <v>134.3</v>
      </c>
      <c r="BI192" s="36" t="n">
        <v>347.6</v>
      </c>
      <c r="BJ192" s="36" t="n">
        <v>430.3</v>
      </c>
      <c r="BK192" s="36" t="n">
        <v>287.7</v>
      </c>
      <c r="BL192" s="36" t="n">
        <v>1199.8</v>
      </c>
      <c r="BM192" s="36" t="n">
        <v>1045</v>
      </c>
      <c r="BN192" s="36" t="n">
        <v>294</v>
      </c>
      <c r="BO192" s="36" t="n">
        <v>363</v>
      </c>
      <c r="BP192" s="36" t="n">
        <v>294</v>
      </c>
      <c r="BQ192" s="36" t="n">
        <v>1995</v>
      </c>
      <c r="BR192" s="36" t="n">
        <v>104</v>
      </c>
      <c r="BS192" s="36" t="n">
        <v>292</v>
      </c>
      <c r="BT192" s="36" t="n">
        <v>361</v>
      </c>
      <c r="BU192" s="36" t="n">
        <v>233</v>
      </c>
      <c r="BV192" s="36" t="n">
        <v>990</v>
      </c>
      <c r="BW192" s="36" t="n">
        <v>79</v>
      </c>
      <c r="BX192" s="36" t="n">
        <v>256</v>
      </c>
      <c r="BY192" s="37" t="n">
        <f aca="false">BY191</f>
        <v>333.002223524286</v>
      </c>
      <c r="BZ192" s="37" t="n">
        <f aca="false">BZ191</f>
        <v>228.254239822475</v>
      </c>
      <c r="CA192" s="37" t="n">
        <f aca="false">CA191</f>
        <v>896.256463346761</v>
      </c>
      <c r="CB192" s="37" t="n">
        <f aca="false">CB191</f>
        <v>1288.63503471762</v>
      </c>
      <c r="CC192" s="37" t="n">
        <f aca="false">CC191</f>
        <v>1610.11428933986</v>
      </c>
      <c r="CD192" s="37" t="n">
        <f aca="false">CD191</f>
        <v>1880.2941935602</v>
      </c>
      <c r="CE192" s="37" t="n">
        <f aca="false">CE191</f>
        <v>2100.39833001768</v>
      </c>
      <c r="CF192" s="6"/>
    </row>
    <row r="193" customFormat="false" ht="15" hidden="false" customHeight="true" outlineLevel="0" collapsed="false">
      <c r="B193" s="26" t="s">
        <v>358</v>
      </c>
      <c r="C193" s="47" t="n">
        <f aca="false">C192-C191</f>
        <v>1.59999999999999</v>
      </c>
      <c r="D193" s="47" t="n">
        <f aca="false">D192-D191</f>
        <v>0.199999999999989</v>
      </c>
      <c r="E193" s="47" t="n">
        <f aca="false">E192-E191</f>
        <v>4.80000000000001</v>
      </c>
      <c r="F193" s="47" t="n">
        <f aca="false">F192-F191</f>
        <v>0.300000000000196</v>
      </c>
      <c r="G193" s="47" t="n">
        <f aca="false">G192-G191</f>
        <v>0.200000000000003</v>
      </c>
      <c r="H193" s="47" t="n">
        <f aca="false">H192-H191</f>
        <v>4</v>
      </c>
      <c r="I193" s="47" t="n">
        <f aca="false">I192-I191</f>
        <v>-0.499999999999858</v>
      </c>
      <c r="J193" s="47" t="n">
        <f aca="false">J192-J191</f>
        <v>-0.100000000000019</v>
      </c>
      <c r="K193" s="47" t="n">
        <f aca="false">K192-K191</f>
        <v>0.299999999999919</v>
      </c>
      <c r="L193" s="47" t="n">
        <f aca="false">L192-L191</f>
        <v>-0.299999999999926</v>
      </c>
      <c r="M193" s="47" t="n">
        <f aca="false">M192-M191</f>
        <v>-0.299999999999997</v>
      </c>
      <c r="N193" s="47" t="n">
        <f aca="false">N192-N191</f>
        <v>-0.800000000000026</v>
      </c>
      <c r="O193" s="47" t="n">
        <f aca="false">O192-O191</f>
        <v>0</v>
      </c>
      <c r="P193" s="47" t="n">
        <f aca="false">P192-P191</f>
        <v>-0.100000000000023</v>
      </c>
      <c r="Q193" s="47" t="n">
        <f aca="false">Q192-Q191</f>
        <v>-0.100000000000023</v>
      </c>
      <c r="R193" s="47" t="n">
        <f aca="false">R192-R191</f>
        <v>0.100000000000051</v>
      </c>
      <c r="S193" s="47" t="n">
        <f aca="false">S192-S191</f>
        <v>0</v>
      </c>
      <c r="T193" s="47" t="n">
        <f aca="false">T192-T191</f>
        <v>0.100000000000049</v>
      </c>
      <c r="U193" s="47" t="n">
        <f aca="false">U192-U191</f>
        <v>0</v>
      </c>
      <c r="V193" s="47" t="n">
        <f aca="false">V192-V191</f>
        <v>0</v>
      </c>
      <c r="W193" s="47" t="n">
        <f aca="false">W192-W191</f>
        <v>0</v>
      </c>
      <c r="X193" s="47" t="n">
        <f aca="false">X192-X191</f>
        <v>0</v>
      </c>
      <c r="Y193" s="47" t="n">
        <f aca="false">Y192-Y191</f>
        <v>0</v>
      </c>
      <c r="Z193" s="47" t="n">
        <f aca="false">Z192-Z191</f>
        <v>0</v>
      </c>
      <c r="AA193" s="47" t="n">
        <f aca="false">AA192-AA191</f>
        <v>0</v>
      </c>
      <c r="AB193" s="47" t="n">
        <f aca="false">AB192-AB191</f>
        <v>0</v>
      </c>
      <c r="AC193" s="47" t="n">
        <f aca="false">AC192-AC191</f>
        <v>0</v>
      </c>
      <c r="AD193" s="47" t="n">
        <f aca="false">AD192-AD191</f>
        <v>0</v>
      </c>
      <c r="AE193" s="47" t="n">
        <f aca="false">AE192-AE191</f>
        <v>0</v>
      </c>
      <c r="AF193" s="47" t="n">
        <f aca="false">AF192-AF191</f>
        <v>0</v>
      </c>
      <c r="AG193" s="47" t="n">
        <f aca="false">AG192-AG191</f>
        <v>0</v>
      </c>
      <c r="AH193" s="47" t="n">
        <f aca="false">AH192-AH191</f>
        <v>0</v>
      </c>
      <c r="AI193" s="47" t="n">
        <f aca="false">AI192-AI191</f>
        <v>0</v>
      </c>
      <c r="AJ193" s="47" t="n">
        <f aca="false">AJ192-AJ191</f>
        <v>0</v>
      </c>
      <c r="AK193" s="47" t="n">
        <f aca="false">AK192-AK191</f>
        <v>0</v>
      </c>
      <c r="AL193" s="47" t="n">
        <f aca="false">AL192-AL191</f>
        <v>0</v>
      </c>
      <c r="AM193" s="47" t="n">
        <f aca="false">AM192-AM191</f>
        <v>0</v>
      </c>
      <c r="AN193" s="47" t="n">
        <f aca="false">AN192-AN191</f>
        <v>0.0269999999999726</v>
      </c>
      <c r="AO193" s="47" t="n">
        <f aca="false">AO192-AO191</f>
        <v>0.00599999999994338</v>
      </c>
      <c r="AP193" s="47" t="n">
        <f aca="false">AP192-AP191</f>
        <v>-0.0490000000001203</v>
      </c>
      <c r="AQ193" s="47" t="n">
        <f aca="false">AQ192-AQ191</f>
        <v>0</v>
      </c>
      <c r="AR193" s="47" t="n">
        <f aca="false">AR192-AR191</f>
        <v>0</v>
      </c>
      <c r="AS193" s="47" t="n">
        <f aca="false">AS192-AS191</f>
        <v>0</v>
      </c>
      <c r="AT193" s="47" t="n">
        <f aca="false">AT192-AT191</f>
        <v>0</v>
      </c>
      <c r="AU193" s="47" t="n">
        <f aca="false">AU192-AU191</f>
        <v>0</v>
      </c>
      <c r="AV193" s="47" t="n">
        <f aca="false">AV192-AV191</f>
        <v>0</v>
      </c>
      <c r="AW193" s="47" t="n">
        <f aca="false">AW192-AW191</f>
        <v>0</v>
      </c>
      <c r="AX193" s="47" t="n">
        <f aca="false">AX192-AX191</f>
        <v>0</v>
      </c>
      <c r="AY193" s="47" t="n">
        <f aca="false">AY192-AY191</f>
        <v>0</v>
      </c>
      <c r="AZ193" s="47" t="n">
        <f aca="false">AZ192-AZ191</f>
        <v>0</v>
      </c>
      <c r="BA193" s="47" t="n">
        <f aca="false">BA192-BA191</f>
        <v>0</v>
      </c>
      <c r="BB193" s="47" t="n">
        <f aca="false">BB192-BB191</f>
        <v>0</v>
      </c>
      <c r="BC193" s="47" t="n">
        <f aca="false">BC192-BC191</f>
        <v>0</v>
      </c>
      <c r="BD193" s="47" t="n">
        <f aca="false">BD192-BD191</f>
        <v>0</v>
      </c>
      <c r="BE193" s="47" t="n">
        <f aca="false">BE192-BE191</f>
        <v>0</v>
      </c>
      <c r="BF193" s="47" t="n">
        <f aca="false">BF192-BF191</f>
        <v>0</v>
      </c>
      <c r="BG193" s="47" t="n">
        <f aca="false">BG192-BG191</f>
        <v>0</v>
      </c>
      <c r="BH193" s="47" t="n">
        <f aca="false">BH192-BH191</f>
        <v>0</v>
      </c>
      <c r="BI193" s="47" t="n">
        <f aca="false">BI192-BI191</f>
        <v>0</v>
      </c>
      <c r="BJ193" s="47" t="n">
        <f aca="false">BJ192-BJ191</f>
        <v>0</v>
      </c>
      <c r="BK193" s="47" t="n">
        <f aca="false">BK192-BK191</f>
        <v>0</v>
      </c>
      <c r="BL193" s="47" t="n">
        <f aca="false">BL192-BL191</f>
        <v>0</v>
      </c>
      <c r="BM193" s="47" t="n">
        <f aca="false">BM192-BM191</f>
        <v>0</v>
      </c>
      <c r="BN193" s="47" t="n">
        <f aca="false">BN192-BN191</f>
        <v>0</v>
      </c>
      <c r="BO193" s="47" t="n">
        <f aca="false">BO192-BO191</f>
        <v>0</v>
      </c>
      <c r="BP193" s="47" t="n">
        <f aca="false">BP192-BP191</f>
        <v>0</v>
      </c>
      <c r="BQ193" s="47" t="n">
        <f aca="false">BQ192-BQ191</f>
        <v>0</v>
      </c>
      <c r="BR193" s="47" t="n">
        <f aca="false">BR192-BR191</f>
        <v>0</v>
      </c>
      <c r="BS193" s="47" t="n">
        <f aca="false">BS192-BS191</f>
        <v>0</v>
      </c>
      <c r="BT193" s="47" t="n">
        <f aca="false">BT192-BT191</f>
        <v>0</v>
      </c>
      <c r="BU193" s="47" t="n">
        <f aca="false">BU192-BU191</f>
        <v>0</v>
      </c>
      <c r="BV193" s="47" t="n">
        <f aca="false">BV192-BV191</f>
        <v>0</v>
      </c>
      <c r="BW193" s="47" t="n">
        <f aca="false">BW192-BW191</f>
        <v>0</v>
      </c>
      <c r="BX193" s="47" t="n">
        <f aca="false">BX192-BX191</f>
        <v>0</v>
      </c>
      <c r="BY193" s="37" t="n">
        <f aca="false">BY192-BY191</f>
        <v>0</v>
      </c>
      <c r="BZ193" s="37" t="n">
        <f aca="false">BZ192-BZ191</f>
        <v>0</v>
      </c>
      <c r="CA193" s="37" t="n">
        <f aca="false">CA192-CA191</f>
        <v>0</v>
      </c>
      <c r="CB193" s="37" t="n">
        <f aca="false">CB192-CB191</f>
        <v>0</v>
      </c>
      <c r="CC193" s="37" t="n">
        <f aca="false">CC192-CC191</f>
        <v>0</v>
      </c>
      <c r="CD193" s="37" t="n">
        <f aca="false">CD192-CD191</f>
        <v>0</v>
      </c>
      <c r="CE193" s="37" t="n">
        <f aca="false">CE192-CE191</f>
        <v>0</v>
      </c>
      <c r="CF193" s="6"/>
    </row>
    <row r="194" customFormat="false" ht="15" hidden="false" customHeight="true" outlineLevel="0" collapsed="false">
      <c r="B194" s="26" t="s">
        <v>359</v>
      </c>
      <c r="C194" s="47" t="n">
        <f aca="false">C161</f>
        <v>40.4</v>
      </c>
      <c r="D194" s="47" t="n">
        <f aca="false">D161</f>
        <v>60.9</v>
      </c>
      <c r="E194" s="47" t="n">
        <f aca="false">E161</f>
        <v>74.3</v>
      </c>
      <c r="F194" s="36" t="n">
        <v>73.5</v>
      </c>
      <c r="G194" s="36" t="n">
        <v>68.5</v>
      </c>
      <c r="H194" s="36" t="n">
        <v>58.6</v>
      </c>
      <c r="I194" s="36" t="n">
        <v>53.3</v>
      </c>
      <c r="J194" s="36" t="n">
        <v>13.5</v>
      </c>
      <c r="K194" s="36" t="n">
        <v>13.6</v>
      </c>
      <c r="L194" s="36" t="n">
        <v>13.5</v>
      </c>
      <c r="M194" s="36" t="n">
        <v>12.8</v>
      </c>
      <c r="N194" s="36" t="n">
        <v>53.5</v>
      </c>
      <c r="O194" s="36" t="n">
        <v>12.2</v>
      </c>
      <c r="P194" s="36" t="n">
        <v>12.9</v>
      </c>
      <c r="Q194" s="36" t="n">
        <v>19.8</v>
      </c>
      <c r="R194" s="36" t="n">
        <v>21.1</v>
      </c>
      <c r="S194" s="36" t="n">
        <v>66.1</v>
      </c>
      <c r="T194" s="36" t="n">
        <v>19.3</v>
      </c>
      <c r="U194" s="47" t="n">
        <f aca="false">U161</f>
        <v>19.1</v>
      </c>
      <c r="V194" s="47" t="n">
        <f aca="false">V161</f>
        <v>18.9</v>
      </c>
      <c r="W194" s="36" t="n">
        <v>18.9</v>
      </c>
      <c r="X194" s="36" t="n">
        <v>76.3</v>
      </c>
      <c r="Y194" s="36" t="n">
        <v>20</v>
      </c>
      <c r="Z194" s="36" t="n">
        <v>20.3</v>
      </c>
      <c r="AA194" s="36" t="n">
        <v>20.6</v>
      </c>
      <c r="AB194" s="36" t="n">
        <v>20.8</v>
      </c>
      <c r="AC194" s="36" t="n">
        <v>81.7</v>
      </c>
      <c r="AD194" s="36" t="n">
        <v>20.9</v>
      </c>
      <c r="AE194" s="36" t="n">
        <v>24</v>
      </c>
      <c r="AF194" s="36" t="n">
        <v>23.1</v>
      </c>
      <c r="AG194" s="36" t="n">
        <v>23.4</v>
      </c>
      <c r="AH194" s="36" t="n">
        <v>91.5</v>
      </c>
      <c r="AI194" s="36" t="n">
        <v>35.1</v>
      </c>
      <c r="AJ194" s="36" t="n">
        <v>32.971</v>
      </c>
      <c r="AK194" s="36" t="n">
        <v>35.468</v>
      </c>
      <c r="AL194" s="36" t="n">
        <v>33.542</v>
      </c>
      <c r="AM194" s="36" t="n">
        <v>137.069</v>
      </c>
      <c r="AN194" s="36" t="n">
        <v>32.846</v>
      </c>
      <c r="AO194" s="36" t="n">
        <v>33.199</v>
      </c>
      <c r="AP194" s="36" t="n">
        <v>32.321</v>
      </c>
      <c r="AQ194" s="36" t="n">
        <v>30.584</v>
      </c>
      <c r="AR194" s="36" t="n">
        <v>128.95</v>
      </c>
      <c r="AS194" s="36" t="n">
        <v>29.6</v>
      </c>
      <c r="AT194" s="36" t="n">
        <v>31</v>
      </c>
      <c r="AU194" s="36" t="n">
        <v>28.6</v>
      </c>
      <c r="AV194" s="36" t="n">
        <v>28.4</v>
      </c>
      <c r="AW194" s="36" t="n">
        <v>117.6</v>
      </c>
      <c r="AX194" s="36" t="n">
        <v>27.3</v>
      </c>
      <c r="AY194" s="36" t="n">
        <v>28.2</v>
      </c>
      <c r="AZ194" s="36" t="n">
        <v>44.2</v>
      </c>
      <c r="BA194" s="36" t="n">
        <v>42.8</v>
      </c>
      <c r="BB194" s="36" t="n">
        <v>142.4</v>
      </c>
      <c r="BC194" s="36" t="n">
        <v>40.5</v>
      </c>
      <c r="BD194" s="36" t="n">
        <v>42.2</v>
      </c>
      <c r="BE194" s="36" t="n">
        <v>38.8</v>
      </c>
      <c r="BF194" s="36" t="n">
        <v>33.9</v>
      </c>
      <c r="BG194" s="36" t="n">
        <v>155.4</v>
      </c>
      <c r="BH194" s="36" t="n">
        <v>31.6</v>
      </c>
      <c r="BI194" s="36" t="n">
        <v>29.6</v>
      </c>
      <c r="BJ194" s="36" t="n">
        <v>31.9</v>
      </c>
      <c r="BK194" s="36" t="n">
        <v>25.7</v>
      </c>
      <c r="BL194" s="36" t="n">
        <v>118.6</v>
      </c>
      <c r="BM194" s="36" t="n">
        <v>14</v>
      </c>
      <c r="BN194" s="36" t="n">
        <v>33</v>
      </c>
      <c r="BO194" s="36" t="n">
        <v>38</v>
      </c>
      <c r="BP194" s="36" t="n">
        <v>43</v>
      </c>
      <c r="BQ194" s="36" t="n">
        <v>128</v>
      </c>
      <c r="BR194" s="36" t="n">
        <v>51</v>
      </c>
      <c r="BS194" s="36" t="n">
        <v>56</v>
      </c>
      <c r="BT194" s="36" t="n">
        <v>56</v>
      </c>
      <c r="BU194" s="36" t="n">
        <v>57</v>
      </c>
      <c r="BV194" s="36" t="n">
        <v>220</v>
      </c>
      <c r="BW194" s="36" t="n">
        <v>54</v>
      </c>
      <c r="BX194" s="36" t="n">
        <v>58</v>
      </c>
      <c r="BY194" s="37" t="n">
        <f aca="false">BY161-BY162</f>
        <v>100.516438356164</v>
      </c>
      <c r="BZ194" s="37" t="n">
        <f aca="false">BZ161-BZ162</f>
        <v>153.402739726027</v>
      </c>
      <c r="CA194" s="37" t="n">
        <f aca="false">SUM(BW194,BX194,BY194,BZ194)</f>
        <v>365.919178082192</v>
      </c>
      <c r="CB194" s="37" t="n">
        <f aca="false">CB161-CB162</f>
        <v>584.6405989231</v>
      </c>
      <c r="CC194" s="37" t="n">
        <f aca="false">CC161-CC162</f>
        <v>522.121519496425</v>
      </c>
      <c r="CD194" s="37" t="n">
        <f aca="false">CD161-CD162</f>
        <v>485.391084757367</v>
      </c>
      <c r="CE194" s="37" t="n">
        <f aca="false">CE161-CE162</f>
        <v>497.502568612916</v>
      </c>
      <c r="CF194" s="6"/>
    </row>
    <row r="195" customFormat="false" ht="15" hidden="false" customHeight="true" outlineLevel="0" collapsed="false">
      <c r="B195" s="26" t="s">
        <v>360</v>
      </c>
      <c r="C195" s="47" t="n">
        <f aca="false">C166</f>
        <v>106.6</v>
      </c>
      <c r="D195" s="47" t="n">
        <f aca="false">D166</f>
        <v>116.1</v>
      </c>
      <c r="E195" s="47" t="n">
        <f aca="false">E166</f>
        <v>71.8</v>
      </c>
      <c r="F195" s="36" t="n">
        <v>27.4</v>
      </c>
      <c r="G195" s="36" t="n">
        <v>29.3</v>
      </c>
      <c r="H195" s="36" t="n">
        <v>23.1</v>
      </c>
      <c r="I195" s="36" t="n">
        <v>16.6</v>
      </c>
      <c r="J195" s="36" t="n">
        <v>-8.4</v>
      </c>
      <c r="K195" s="36" t="n">
        <v>15.1</v>
      </c>
      <c r="L195" s="36" t="n">
        <v>22.7</v>
      </c>
      <c r="M195" s="36" t="n">
        <v>14.3</v>
      </c>
      <c r="N195" s="36" t="n">
        <v>43.5</v>
      </c>
      <c r="O195" s="36" t="n">
        <v>-8.4</v>
      </c>
      <c r="P195" s="36" t="n">
        <v>23.9</v>
      </c>
      <c r="Q195" s="36" t="n">
        <v>44.1</v>
      </c>
      <c r="R195" s="36" t="n">
        <v>35.3</v>
      </c>
      <c r="S195" s="36" t="n">
        <v>94.8</v>
      </c>
      <c r="T195" s="36" t="n">
        <v>-0.8</v>
      </c>
      <c r="U195" s="47" t="n">
        <f aca="false">U166</f>
        <v>38.9</v>
      </c>
      <c r="V195" s="47" t="n">
        <f aca="false">V166</f>
        <v>47.5</v>
      </c>
      <c r="W195" s="36" t="n">
        <v>39.3</v>
      </c>
      <c r="X195" s="36" t="n">
        <v>124.9</v>
      </c>
      <c r="Y195" s="36" t="n">
        <v>19.7</v>
      </c>
      <c r="Z195" s="36" t="n">
        <v>53.4</v>
      </c>
      <c r="AA195" s="36" t="n">
        <v>70.9</v>
      </c>
      <c r="AB195" s="36" t="n">
        <v>37.6</v>
      </c>
      <c r="AC195" s="36" t="n">
        <v>181.6</v>
      </c>
      <c r="AD195" s="36" t="n">
        <v>14.5</v>
      </c>
      <c r="AE195" s="36" t="n">
        <v>52</v>
      </c>
      <c r="AF195" s="36" t="n">
        <v>52.8</v>
      </c>
      <c r="AG195" s="36" t="n">
        <v>-213.6</v>
      </c>
      <c r="AH195" s="36" t="n">
        <v>-94.4</v>
      </c>
      <c r="AI195" s="36" t="n">
        <v>2.5</v>
      </c>
      <c r="AJ195" s="36" t="n">
        <v>52.581</v>
      </c>
      <c r="AK195" s="36" t="n">
        <v>29.051</v>
      </c>
      <c r="AL195" s="36" t="n">
        <v>21.567</v>
      </c>
      <c r="AM195" s="36" t="n">
        <v>105.637</v>
      </c>
      <c r="AN195" s="36" t="n">
        <v>-5.001</v>
      </c>
      <c r="AO195" s="36" t="n">
        <v>49.878</v>
      </c>
      <c r="AP195" s="36" t="n">
        <v>66.143</v>
      </c>
      <c r="AQ195" s="36" t="n">
        <v>25.256</v>
      </c>
      <c r="AR195" s="36" t="n">
        <v>136.275</v>
      </c>
      <c r="AS195" s="36" t="n">
        <v>0.1</v>
      </c>
      <c r="AT195" s="36" t="n">
        <v>61.4</v>
      </c>
      <c r="AU195" s="36" t="n">
        <v>81.5</v>
      </c>
      <c r="AV195" s="36" t="n">
        <v>25.2</v>
      </c>
      <c r="AW195" s="36" t="n">
        <v>168.2</v>
      </c>
      <c r="AX195" s="36" t="n">
        <v>15.8</v>
      </c>
      <c r="AY195" s="36" t="n">
        <v>62.2</v>
      </c>
      <c r="AZ195" s="36" t="n">
        <v>63.6</v>
      </c>
      <c r="BA195" s="36" t="n">
        <v>11.5</v>
      </c>
      <c r="BB195" s="36" t="n">
        <v>153.1</v>
      </c>
      <c r="BC195" s="36" t="n">
        <v>5.9</v>
      </c>
      <c r="BD195" s="36" t="n">
        <v>104.4</v>
      </c>
      <c r="BE195" s="36" t="n">
        <v>79.1</v>
      </c>
      <c r="BF195" s="36" t="n">
        <v>45.5</v>
      </c>
      <c r="BG195" s="36" t="n">
        <v>234.8</v>
      </c>
      <c r="BH195" s="36" t="n">
        <v>35.5</v>
      </c>
      <c r="BI195" s="36" t="n">
        <v>91.9</v>
      </c>
      <c r="BJ195" s="36" t="n">
        <v>109.9</v>
      </c>
      <c r="BK195" s="36" t="n">
        <v>55</v>
      </c>
      <c r="BL195" s="36" t="n">
        <v>292.3</v>
      </c>
      <c r="BM195" s="36" t="n">
        <v>368</v>
      </c>
      <c r="BN195" s="36" t="n">
        <v>78</v>
      </c>
      <c r="BO195" s="36" t="n">
        <v>95</v>
      </c>
      <c r="BP195" s="36" t="n">
        <v>59</v>
      </c>
      <c r="BQ195" s="36" t="n">
        <v>600</v>
      </c>
      <c r="BR195" s="36" t="n">
        <v>28</v>
      </c>
      <c r="BS195" s="36" t="n">
        <v>73</v>
      </c>
      <c r="BT195" s="36" t="n">
        <v>89</v>
      </c>
      <c r="BU195" s="36" t="n">
        <v>46</v>
      </c>
      <c r="BV195" s="36" t="n">
        <v>236</v>
      </c>
      <c r="BW195" s="36" t="n">
        <v>38</v>
      </c>
      <c r="BX195" s="36" t="n">
        <v>64</v>
      </c>
      <c r="BY195" s="37" t="n">
        <f aca="false">BY166</f>
        <v>89.0772966090851</v>
      </c>
      <c r="BZ195" s="37" t="n">
        <f aca="false">BZ166</f>
        <v>61.0574620426371</v>
      </c>
      <c r="CA195" s="37" t="n">
        <f aca="false">SUM(BW195,BX195,BY195,BZ195)</f>
        <v>252.134758651722</v>
      </c>
      <c r="CB195" s="37" t="n">
        <f aca="false">CB166</f>
        <v>363.461163638302</v>
      </c>
      <c r="CC195" s="37" t="n">
        <f aca="false">CC166</f>
        <v>454.134799557397</v>
      </c>
      <c r="CD195" s="37" t="n">
        <f aca="false">CD166</f>
        <v>530.339387927236</v>
      </c>
      <c r="CE195" s="37" t="n">
        <f aca="false">CE166</f>
        <v>592.42004179986</v>
      </c>
      <c r="CF195" s="6"/>
    </row>
    <row r="196" customFormat="false" ht="15" hidden="false" customHeight="true" outlineLevel="0" collapsed="false">
      <c r="B196" s="26" t="s">
        <v>361</v>
      </c>
      <c r="C196" s="47" t="n">
        <f aca="false">C176</f>
        <v>141.429</v>
      </c>
      <c r="D196" s="47" t="n">
        <f aca="false">D176</f>
        <v>150.338</v>
      </c>
      <c r="E196" s="47" t="n">
        <f aca="false">E176</f>
        <v>171.129</v>
      </c>
      <c r="F196" s="36" t="n">
        <v>177.7</v>
      </c>
      <c r="G196" s="36" t="n">
        <v>179.9</v>
      </c>
      <c r="H196" s="36" t="n">
        <v>171.8</v>
      </c>
      <c r="I196" s="36" t="n">
        <v>175.5</v>
      </c>
      <c r="J196" s="36" t="n">
        <v>42.6</v>
      </c>
      <c r="K196" s="36" t="n">
        <v>42.5</v>
      </c>
      <c r="L196" s="36" t="n">
        <v>43.6</v>
      </c>
      <c r="M196" s="36" t="n">
        <v>43.2</v>
      </c>
      <c r="N196" s="36" t="n">
        <v>171.9</v>
      </c>
      <c r="O196" s="36" t="n">
        <v>42</v>
      </c>
      <c r="P196" s="36" t="n">
        <v>43.3</v>
      </c>
      <c r="Q196" s="36" t="n">
        <v>67.2</v>
      </c>
      <c r="R196" s="36" t="n">
        <v>67.9</v>
      </c>
      <c r="S196" s="36" t="n">
        <v>220.5</v>
      </c>
      <c r="T196" s="36" t="n">
        <v>66.5</v>
      </c>
      <c r="U196" s="47" t="n">
        <f aca="false">U176</f>
        <v>67.69</v>
      </c>
      <c r="V196" s="47" t="n">
        <f aca="false">V176</f>
        <v>64.977</v>
      </c>
      <c r="W196" s="36" t="n">
        <v>63</v>
      </c>
      <c r="X196" s="36" t="n">
        <v>260.7</v>
      </c>
      <c r="Y196" s="36" t="n">
        <v>67.9</v>
      </c>
      <c r="Z196" s="36" t="n">
        <v>70.7</v>
      </c>
      <c r="AA196" s="36" t="n">
        <v>71.8</v>
      </c>
      <c r="AB196" s="36" t="n">
        <v>72.4</v>
      </c>
      <c r="AC196" s="36" t="n">
        <v>282.9</v>
      </c>
      <c r="AD196" s="36" t="n">
        <v>70</v>
      </c>
      <c r="AE196" s="36" t="n">
        <v>74</v>
      </c>
      <c r="AF196" s="36" t="n">
        <v>74.6</v>
      </c>
      <c r="AG196" s="36" t="n">
        <v>75.4</v>
      </c>
      <c r="AH196" s="36" t="n">
        <v>294</v>
      </c>
      <c r="AI196" s="36" t="n">
        <v>75.7</v>
      </c>
      <c r="AJ196" s="36" t="n">
        <v>85.737</v>
      </c>
      <c r="AK196" s="36" t="n">
        <v>88.693</v>
      </c>
      <c r="AL196" s="36" t="n">
        <v>89.862</v>
      </c>
      <c r="AM196" s="36" t="n">
        <v>340.006</v>
      </c>
      <c r="AN196" s="36" t="n">
        <v>88.187</v>
      </c>
      <c r="AO196" s="36" t="n">
        <v>105.915</v>
      </c>
      <c r="AP196" s="36" t="n">
        <v>92.034</v>
      </c>
      <c r="AQ196" s="36" t="n">
        <v>91.926</v>
      </c>
      <c r="AR196" s="36" t="n">
        <v>377.409</v>
      </c>
      <c r="AS196" s="36" t="n">
        <v>93.4</v>
      </c>
      <c r="AT196" s="36" t="n">
        <v>97</v>
      </c>
      <c r="AU196" s="36" t="n">
        <v>97.2</v>
      </c>
      <c r="AV196" s="36" t="n">
        <v>98.5</v>
      </c>
      <c r="AW196" s="36" t="n">
        <v>386</v>
      </c>
      <c r="AX196" s="36" t="n">
        <v>96</v>
      </c>
      <c r="AY196" s="36" t="n">
        <v>106.1</v>
      </c>
      <c r="AZ196" s="36" t="n">
        <v>112.1</v>
      </c>
      <c r="BA196" s="36" t="n">
        <v>128.4</v>
      </c>
      <c r="BB196" s="36" t="n">
        <v>442.5</v>
      </c>
      <c r="BC196" s="36" t="n">
        <v>124.9</v>
      </c>
      <c r="BD196" s="36" t="n">
        <v>127.3</v>
      </c>
      <c r="BE196" s="36" t="n">
        <v>122.4</v>
      </c>
      <c r="BF196" s="36" t="n">
        <v>121.9</v>
      </c>
      <c r="BG196" s="36" t="n">
        <v>496.6</v>
      </c>
      <c r="BH196" s="36" t="n">
        <v>121.7</v>
      </c>
      <c r="BI196" s="36" t="n">
        <v>126.6</v>
      </c>
      <c r="BJ196" s="36" t="n">
        <v>129.8</v>
      </c>
      <c r="BK196" s="36" t="n">
        <v>126.6</v>
      </c>
      <c r="BL196" s="36" t="n">
        <v>504.8</v>
      </c>
      <c r="BM196" s="36" t="n">
        <v>128</v>
      </c>
      <c r="BN196" s="36" t="n">
        <v>140</v>
      </c>
      <c r="BO196" s="36" t="n">
        <v>148</v>
      </c>
      <c r="BP196" s="36" t="n">
        <v>148</v>
      </c>
      <c r="BQ196" s="36" t="n">
        <v>564</v>
      </c>
      <c r="BR196" s="36" t="n">
        <v>136</v>
      </c>
      <c r="BS196" s="36" t="n">
        <v>144</v>
      </c>
      <c r="BT196" s="36" t="n">
        <v>149</v>
      </c>
      <c r="BU196" s="36" t="n">
        <v>153</v>
      </c>
      <c r="BV196" s="36" t="n">
        <v>581</v>
      </c>
      <c r="BW196" s="36" t="n">
        <v>165</v>
      </c>
      <c r="BX196" s="36" t="n">
        <v>202</v>
      </c>
      <c r="BY196" s="37" t="n">
        <f aca="false">BY176</f>
        <v>268.059034455947</v>
      </c>
      <c r="BZ196" s="37" t="n">
        <f aca="false">BZ176</f>
        <v>332.193443169441</v>
      </c>
      <c r="CA196" s="37" t="n">
        <f aca="false">SUM(BW196,BX196,BY196,BZ196)</f>
        <v>967.252477625388</v>
      </c>
      <c r="CB196" s="37" t="n">
        <f aca="false">CB176</f>
        <v>1330.60052227193</v>
      </c>
      <c r="CC196" s="37" t="n">
        <f aca="false">CC176</f>
        <v>1411.39518978434</v>
      </c>
      <c r="CD196" s="37" t="n">
        <f aca="false">CD176</f>
        <v>1505.48005394654</v>
      </c>
      <c r="CE196" s="37" t="n">
        <f aca="false">CE176</f>
        <v>1610.94644981958</v>
      </c>
      <c r="CF196" s="6"/>
    </row>
    <row r="197" customFormat="false" ht="15" hidden="false" customHeight="true" outlineLevel="0" collapsed="false">
      <c r="B197" s="59" t="s">
        <v>362</v>
      </c>
      <c r="C197" s="60" t="n">
        <f aca="false">C191+C193+C194+C195+C196</f>
        <v>533.829</v>
      </c>
      <c r="D197" s="60" t="n">
        <f aca="false">D191+D193+D194+D195+D196</f>
        <v>590.038</v>
      </c>
      <c r="E197" s="60" t="n">
        <f aca="false">E191+E193+E194+E195+E196</f>
        <v>493.529</v>
      </c>
      <c r="F197" s="60" t="n">
        <f aca="false">F191+F193+F194+F195+F196</f>
        <v>364.1</v>
      </c>
      <c r="G197" s="60" t="n">
        <f aca="false">G191+G193+G194+G195+G196</f>
        <v>374.7</v>
      </c>
      <c r="H197" s="60" t="n">
        <f aca="false">H191+H193+H194+H195+H196</f>
        <v>335.9</v>
      </c>
      <c r="I197" s="60" t="n">
        <f aca="false">I191+I193+I194+I195+I196</f>
        <v>329.9</v>
      </c>
      <c r="J197" s="60" t="n">
        <f aca="false">J191+J193+J194+J195+J196</f>
        <v>19.9</v>
      </c>
      <c r="K197" s="60" t="n">
        <f aca="false">K191+K193+K194+K195+K196</f>
        <v>112.5</v>
      </c>
      <c r="L197" s="60" t="n">
        <f aca="false">L191+L193+L194+L195+L196</f>
        <v>151.6</v>
      </c>
      <c r="M197" s="60" t="n">
        <f aca="false">M191+M193+M194+M195+M196</f>
        <v>106.3</v>
      </c>
      <c r="N197" s="60" t="n">
        <f aca="false">N191+N193+N194+N195+N196</f>
        <v>390.2</v>
      </c>
      <c r="O197" s="60" t="n">
        <f aca="false">O191+O193+O194+O195+O196</f>
        <v>24.2</v>
      </c>
      <c r="P197" s="60" t="n">
        <f aca="false">P191+P193+P194+P195+P196</f>
        <v>139.6</v>
      </c>
      <c r="Q197" s="60" t="n">
        <f aca="false">Q191+Q193+Q194+Q195+Q196</f>
        <v>184.8</v>
      </c>
      <c r="R197" s="60" t="n">
        <f aca="false">R191+R193+R194+R195+R196</f>
        <v>188.3</v>
      </c>
      <c r="S197" s="60" t="n">
        <f aca="false">S191+S193+S194+S195+S196</f>
        <v>537</v>
      </c>
      <c r="T197" s="60" t="n">
        <f aca="false">T191+T193+T194+T195+T196</f>
        <v>91.2</v>
      </c>
      <c r="U197" s="60" t="n">
        <f aca="false">U191+U193+U194+U195+U196</f>
        <v>207.59</v>
      </c>
      <c r="V197" s="60" t="n">
        <f aca="false">V191+V193+V194+V195+V196</f>
        <v>248.877</v>
      </c>
      <c r="W197" s="60" t="n">
        <f aca="false">W191+W193+W194+W195+W196</f>
        <v>204.4</v>
      </c>
      <c r="X197" s="60" t="n">
        <f aca="false">X191+X193+X194+X195+X196</f>
        <v>750.7</v>
      </c>
      <c r="Y197" s="60" t="n">
        <f aca="false">Y191+Y193+Y194+Y195+Y196</f>
        <v>152.6</v>
      </c>
      <c r="Z197" s="60" t="n">
        <f aca="false">Z191+Z193+Z194+Z195+Z196</f>
        <v>266.5</v>
      </c>
      <c r="AA197" s="60" t="n">
        <f aca="false">AA191+AA193+AA194+AA195+AA196</f>
        <v>322.8</v>
      </c>
      <c r="AB197" s="60" t="n">
        <f aca="false">AB191+AB193+AB194+AB195+AB196</f>
        <v>229.7</v>
      </c>
      <c r="AC197" s="60" t="n">
        <f aca="false">AC191+AC193+AC194+AC195+AC196</f>
        <v>971.6</v>
      </c>
      <c r="AD197" s="60" t="n">
        <f aca="false">AD191+AD193+AD194+AD195+AD196</f>
        <v>147.7</v>
      </c>
      <c r="AE197" s="60" t="n">
        <f aca="false">AE191+AE193+AE194+AE195+AE196</f>
        <v>292.3</v>
      </c>
      <c r="AF197" s="60" t="n">
        <f aca="false">AF191+AF193+AF194+AF195+AF196</f>
        <v>302</v>
      </c>
      <c r="AG197" s="60" t="n">
        <f aca="false">AG191+AG193+AG194+AG195+AG196</f>
        <v>262.4</v>
      </c>
      <c r="AH197" s="60" t="n">
        <f aca="false">AH191+AH193+AH194+AH195+AH196</f>
        <v>1004.4</v>
      </c>
      <c r="AI197" s="60" t="n">
        <f aca="false">AI191+AI193+AI194+AI195+AI196</f>
        <v>123.3</v>
      </c>
      <c r="AJ197" s="60" t="n">
        <f aca="false">AJ191+AJ193+AJ194+AJ195+AJ196</f>
        <v>356.666</v>
      </c>
      <c r="AK197" s="60" t="n">
        <f aca="false">AK191+AK193+AK194+AK195+AK196</f>
        <v>333.433</v>
      </c>
      <c r="AL197" s="60" t="n">
        <f aca="false">AL191+AL193+AL194+AL195+AL196</f>
        <v>239.349</v>
      </c>
      <c r="AM197" s="60" t="n">
        <f aca="false">AM191+AM193+AM194+AM195+AM196</f>
        <v>1052.71</v>
      </c>
      <c r="AN197" s="60" t="n">
        <f aca="false">AN191+AN193+AN194+AN195+AN196</f>
        <v>158.885</v>
      </c>
      <c r="AO197" s="60" t="n">
        <f aca="false">AO191+AO193+AO194+AO195+AO196</f>
        <v>378.467</v>
      </c>
      <c r="AP197" s="60" t="n">
        <f aca="false">AP191+AP193+AP194+AP195+AP196</f>
        <v>439.071</v>
      </c>
      <c r="AQ197" s="60" t="n">
        <f aca="false">AQ191+AQ193+AQ194+AQ195+AQ196</f>
        <v>278.78</v>
      </c>
      <c r="AR197" s="60" t="n">
        <f aca="false">AR191+AR193+AR194+AR195+AR196</f>
        <v>1254.549</v>
      </c>
      <c r="AS197" s="60" t="n">
        <f aca="false">AS191+AS193+AS194+AS195+AS196</f>
        <v>149</v>
      </c>
      <c r="AT197" s="60" t="n">
        <f aca="false">AT191+AT193+AT194+AT195+AT196</f>
        <v>407</v>
      </c>
      <c r="AU197" s="60" t="n">
        <f aca="false">AU191+AU193+AU194+AU195+AU196</f>
        <v>501.7</v>
      </c>
      <c r="AV197" s="60" t="n">
        <f aca="false">AV191+AV193+AV194+AV195+AV196</f>
        <v>335.1</v>
      </c>
      <c r="AW197" s="60" t="n">
        <f aca="false">AW191+AW193+AW194+AW195+AW196</f>
        <v>1392.8</v>
      </c>
      <c r="AX197" s="60" t="n">
        <f aca="false">AX191+AX193+AX194+AX195+AX196</f>
        <v>204.4</v>
      </c>
      <c r="AY197" s="60" t="n">
        <f aca="false">AY191+AY193+AY194+AY195+AY196</f>
        <v>422.3</v>
      </c>
      <c r="AZ197" s="60" t="n">
        <f aca="false">AZ191+AZ193+AZ194+AZ195+AZ196</f>
        <v>474.5</v>
      </c>
      <c r="BA197" s="60" t="n">
        <f aca="false">BA191+BA193+BA194+BA195+BA196</f>
        <v>339</v>
      </c>
      <c r="BB197" s="60" t="n">
        <f aca="false">BB191+BB193+BB194+BB195+BB196</f>
        <v>1440</v>
      </c>
      <c r="BC197" s="60" t="n">
        <f aca="false">BC191+BC193+BC194+BC195+BC196</f>
        <v>195.8</v>
      </c>
      <c r="BD197" s="60" t="n">
        <f aca="false">BD191+BD193+BD194+BD195+BD196</f>
        <v>627.1</v>
      </c>
      <c r="BE197" s="60" t="n">
        <f aca="false">BE191+BE193+BE194+BE195+BE196</f>
        <v>531.5</v>
      </c>
      <c r="BF197" s="60" t="n">
        <f aca="false">BF191+BF193+BF194+BF195+BF196</f>
        <v>388.7</v>
      </c>
      <c r="BG197" s="60" t="n">
        <f aca="false">BG191+BG193+BG194+BG195+BG196</f>
        <v>1743.1</v>
      </c>
      <c r="BH197" s="60" t="n">
        <f aca="false">BH191+BH193+BH194+BH195+BH196</f>
        <v>323.1</v>
      </c>
      <c r="BI197" s="60" t="n">
        <f aca="false">BI191+BI193+BI194+BI195+BI196</f>
        <v>595.7</v>
      </c>
      <c r="BJ197" s="60" t="n">
        <f aca="false">BJ191+BJ193+BJ194+BJ195+BJ196</f>
        <v>701.9</v>
      </c>
      <c r="BK197" s="60" t="n">
        <f aca="false">BK191+BK193+BK194+BK195+BK196</f>
        <v>495</v>
      </c>
      <c r="BL197" s="60" t="n">
        <f aca="false">BL191+BL193+BL194+BL195+BL196</f>
        <v>2115.5</v>
      </c>
      <c r="BM197" s="60" t="n">
        <f aca="false">BM191+BM193+BM194+BM195+BM196</f>
        <v>1555</v>
      </c>
      <c r="BN197" s="60" t="n">
        <f aca="false">BN191+BN193+BN194+BN195+BN196</f>
        <v>545</v>
      </c>
      <c r="BO197" s="60" t="n">
        <f aca="false">BO191+BO193+BO194+BO195+BO196</f>
        <v>644</v>
      </c>
      <c r="BP197" s="60" t="n">
        <f aca="false">BP191+BP193+BP194+BP195+BP196</f>
        <v>544</v>
      </c>
      <c r="BQ197" s="60" t="n">
        <f aca="false">BQ191+BQ193+BQ194+BQ195+BQ196</f>
        <v>3287</v>
      </c>
      <c r="BR197" s="60" t="n">
        <f aca="false">BR191+BR193+BR194+BR195+BR196</f>
        <v>319</v>
      </c>
      <c r="BS197" s="60" t="n">
        <f aca="false">BS191+BS193+BS194+BS195+BS196</f>
        <v>565</v>
      </c>
      <c r="BT197" s="60" t="n">
        <f aca="false">BT191+BT193+BT194+BT195+BT196</f>
        <v>655</v>
      </c>
      <c r="BU197" s="60" t="n">
        <f aca="false">BU191+BU193+BU194+BU195+BU196</f>
        <v>489</v>
      </c>
      <c r="BV197" s="60" t="n">
        <f aca="false">BV191+BV193+BV194+BV195+BV196</f>
        <v>2027</v>
      </c>
      <c r="BW197" s="60" t="n">
        <f aca="false">BW191+BW193+BW194+BW195+BW196</f>
        <v>336</v>
      </c>
      <c r="BX197" s="60" t="n">
        <f aca="false">BX191+BX193+BX194+BX195+BX196</f>
        <v>580</v>
      </c>
      <c r="BY197" s="60" t="n">
        <f aca="false">BY191+BY193+BY194+BY195+BY196</f>
        <v>790.654992945482</v>
      </c>
      <c r="BZ197" s="60" t="n">
        <f aca="false">BZ191+BZ193+BZ194+BZ195+BZ196</f>
        <v>774.907884760581</v>
      </c>
      <c r="CA197" s="60" t="n">
        <f aca="false">CA191+CA193+CA194+CA195+CA196</f>
        <v>2481.56287770606</v>
      </c>
      <c r="CB197" s="60" t="n">
        <f aca="false">CB191+CB193+CB194+CB195+CB196</f>
        <v>3567.33731955095</v>
      </c>
      <c r="CC197" s="60" t="n">
        <f aca="false">CC191+CC193+CC194+CC195+CC196</f>
        <v>3997.76579817802</v>
      </c>
      <c r="CD197" s="60" t="n">
        <f aca="false">CD191+CD193+CD194+CD195+CD196</f>
        <v>4401.50472019135</v>
      </c>
      <c r="CE197" s="60" t="n">
        <f aca="false">CE191+CE193+CE194+CE195+CE196</f>
        <v>4801.26739025004</v>
      </c>
      <c r="CF197" s="6"/>
      <c r="CH197" s="21" t="n">
        <f aca="false">IFERROR((CE197/BV197)^(1/5)-1,"n/m")</f>
        <v>0.188229769661568</v>
      </c>
      <c r="CI197" s="21" t="n">
        <f aca="false">IFERROR((BV197/AW197)^(1/5)-1,"n/m")</f>
        <v>0.0779360539802831</v>
      </c>
      <c r="CJ197" s="21" t="n">
        <f aca="false">IFERROR((BV197/X197)^(1/10)-1,"n/m")</f>
        <v>0.10443136884397</v>
      </c>
      <c r="CK197" s="21" t="n">
        <f aca="false">IFERROR((BV197/C197)^(1/19)-1,"n/m")</f>
        <v>0.0727473537318961</v>
      </c>
    </row>
    <row r="198" customFormat="false" ht="15" hidden="false" customHeight="true" outlineLevel="0" collapsed="false">
      <c r="B198" s="26" t="s">
        <v>363</v>
      </c>
      <c r="AJ198" s="36" t="n">
        <v>12.126</v>
      </c>
      <c r="AK198" s="36" t="n">
        <v>0.089</v>
      </c>
      <c r="AL198" s="36" t="n">
        <v>0.554</v>
      </c>
      <c r="AM198" s="36" t="n">
        <v>13.479</v>
      </c>
      <c r="AN198" s="36" t="n">
        <v>0</v>
      </c>
      <c r="AO198" s="36" t="n">
        <v>0</v>
      </c>
      <c r="AP198" s="36" t="n">
        <v>0</v>
      </c>
      <c r="AQ198" s="36" t="n">
        <v>0</v>
      </c>
      <c r="AR198" s="36" t="n">
        <v>0</v>
      </c>
      <c r="AY198" s="36" t="n">
        <v>9.3</v>
      </c>
      <c r="AZ198" s="36" t="n">
        <v>7.4</v>
      </c>
      <c r="BA198" s="36" t="n">
        <v>39.8</v>
      </c>
      <c r="BB198" s="36" t="n">
        <v>57.9</v>
      </c>
      <c r="BC198" s="36" t="n">
        <v>1.4</v>
      </c>
      <c r="BD198" s="36" t="n">
        <v>2.9</v>
      </c>
      <c r="BE198" s="36" t="n">
        <v>1.8</v>
      </c>
      <c r="BF198" s="36" t="n">
        <v>3</v>
      </c>
      <c r="BG198" s="36" t="n">
        <v>9.1</v>
      </c>
      <c r="BH198" s="36" t="n">
        <v>0.8</v>
      </c>
      <c r="BI198" s="36" t="n">
        <v>0.4</v>
      </c>
      <c r="BJ198" s="36" t="n">
        <v>3.3</v>
      </c>
      <c r="BK198" s="36" t="n">
        <v>7.6</v>
      </c>
      <c r="BL198" s="36" t="n">
        <v>12.2</v>
      </c>
      <c r="BM198" s="36" t="n">
        <v>18</v>
      </c>
      <c r="BN198" s="36" t="n">
        <v>19</v>
      </c>
      <c r="BO198" s="36" t="n">
        <v>2</v>
      </c>
      <c r="BP198" s="36" t="n">
        <v>1</v>
      </c>
      <c r="BQ198" s="36" t="n">
        <v>40</v>
      </c>
      <c r="BR198" s="36" t="n">
        <v>0</v>
      </c>
      <c r="BS198" s="36" t="n">
        <v>0</v>
      </c>
      <c r="BT198" s="36" t="n">
        <v>7</v>
      </c>
      <c r="BU198" s="36" t="n">
        <v>5</v>
      </c>
      <c r="BV198" s="36" t="n">
        <v>12</v>
      </c>
      <c r="BW198" s="36" t="n">
        <v>4</v>
      </c>
      <c r="BX198" s="36" t="n">
        <v>11</v>
      </c>
      <c r="BY198" s="37" t="n">
        <f aca="false">BY158</f>
        <v>60</v>
      </c>
      <c r="BZ198" s="37" t="n">
        <f aca="false">BZ158</f>
        <v>23</v>
      </c>
      <c r="CA198" s="37" t="n">
        <f aca="false">SUM(BW198,BX198,BY198,BZ198)</f>
        <v>98</v>
      </c>
      <c r="CB198" s="37" t="n">
        <f aca="false">CB158</f>
        <v>25</v>
      </c>
      <c r="CC198" s="37" t="n">
        <f aca="false">CC158</f>
        <v>10</v>
      </c>
      <c r="CD198" s="37" t="n">
        <f aca="false">CD158</f>
        <v>10</v>
      </c>
      <c r="CE198" s="37" t="n">
        <f aca="false">CE158</f>
        <v>10</v>
      </c>
      <c r="CF198" s="20" t="s">
        <v>364</v>
      </c>
    </row>
    <row r="199" customFormat="false" ht="15" hidden="false" customHeight="true" outlineLevel="0" collapsed="false">
      <c r="B199" s="26" t="s">
        <v>365</v>
      </c>
      <c r="AJ199" s="36" t="n">
        <v>10.167</v>
      </c>
      <c r="AK199" s="36" t="n">
        <v>8.349</v>
      </c>
      <c r="AL199" s="36" t="n">
        <v>0.222</v>
      </c>
      <c r="AM199" s="36" t="n">
        <v>18.738</v>
      </c>
      <c r="AO199" s="36" t="n">
        <v>0</v>
      </c>
      <c r="AP199" s="36" t="n">
        <v>0</v>
      </c>
      <c r="AQ199" s="36" t="n">
        <v>0</v>
      </c>
      <c r="AR199" s="36" t="n">
        <v>0</v>
      </c>
      <c r="AY199" s="36" t="n">
        <v>7.6</v>
      </c>
      <c r="AZ199" s="36" t="n">
        <v>8.1</v>
      </c>
      <c r="BA199" s="36" t="n">
        <v>14.9</v>
      </c>
      <c r="BB199" s="36" t="n">
        <v>30.6</v>
      </c>
      <c r="BD199" s="36" t="n">
        <v>0</v>
      </c>
      <c r="BE199" s="36" t="n">
        <v>0</v>
      </c>
      <c r="BF199" s="36" t="n">
        <v>0</v>
      </c>
      <c r="BG199" s="36" t="n">
        <v>0</v>
      </c>
      <c r="BN199" s="36" t="n">
        <v>20</v>
      </c>
      <c r="BO199" s="36" t="n">
        <v>0</v>
      </c>
      <c r="BP199" s="36" t="n">
        <v>0</v>
      </c>
      <c r="BQ199" s="36" t="n">
        <v>20</v>
      </c>
      <c r="BR199" s="36" t="n">
        <v>0</v>
      </c>
      <c r="BS199" s="36" t="n">
        <v>0</v>
      </c>
      <c r="BT199" s="36" t="n">
        <v>5</v>
      </c>
      <c r="BU199" s="36" t="n">
        <v>0</v>
      </c>
      <c r="BV199" s="36" t="n">
        <v>5</v>
      </c>
      <c r="BW199" s="36" t="n">
        <v>22</v>
      </c>
      <c r="BX199" s="36" t="n">
        <v>45</v>
      </c>
      <c r="BY199" s="37" t="n">
        <f aca="false">BY73</f>
        <v>30</v>
      </c>
      <c r="BZ199" s="37" t="n">
        <f aca="false">BZ73</f>
        <v>29</v>
      </c>
      <c r="CA199" s="37" t="n">
        <f aca="false">SUM(BW199,BX199,BY199,BZ199)</f>
        <v>126</v>
      </c>
      <c r="CB199" s="37" t="n">
        <f aca="false">CB73</f>
        <v>0</v>
      </c>
      <c r="CC199" s="37" t="n">
        <f aca="false">CC73</f>
        <v>0</v>
      </c>
      <c r="CD199" s="37" t="n">
        <f aca="false">CD73</f>
        <v>0</v>
      </c>
      <c r="CE199" s="37" t="n">
        <f aca="false">CE73</f>
        <v>0</v>
      </c>
      <c r="CF199" s="6"/>
    </row>
    <row r="200" customFormat="false" ht="15" hidden="false" customHeight="true" outlineLevel="0" collapsed="false">
      <c r="B200" s="26" t="s">
        <v>366</v>
      </c>
      <c r="W200" s="36" t="n">
        <v>-13.1</v>
      </c>
      <c r="X200" s="36" t="n">
        <v>-13.1</v>
      </c>
      <c r="BD200" s="36" t="n">
        <v>-151.7</v>
      </c>
      <c r="BE200" s="36" t="n">
        <v>-0.2</v>
      </c>
      <c r="BF200" s="36" t="n">
        <v>0</v>
      </c>
      <c r="BG200" s="36" t="n">
        <v>-151.9</v>
      </c>
      <c r="BI200" s="36" t="n">
        <v>0</v>
      </c>
      <c r="BJ200" s="36" t="n">
        <v>0</v>
      </c>
      <c r="BK200" s="36" t="n">
        <v>0</v>
      </c>
      <c r="BL200" s="36" t="n">
        <v>0</v>
      </c>
      <c r="BM200" s="36" t="n">
        <v>-1331</v>
      </c>
      <c r="BN200" s="36" t="n">
        <v>0</v>
      </c>
      <c r="BO200" s="36" t="n">
        <v>0</v>
      </c>
      <c r="BP200" s="36" t="n">
        <v>0</v>
      </c>
      <c r="BQ200" s="36" t="n">
        <v>-1331</v>
      </c>
      <c r="BT200" s="36" t="n">
        <v>0</v>
      </c>
      <c r="BU200" s="36" t="n">
        <v>0</v>
      </c>
      <c r="BV200" s="36" t="n">
        <v>0</v>
      </c>
      <c r="BY200" s="52" t="n">
        <v>0</v>
      </c>
      <c r="BZ200" s="52" t="n">
        <v>0</v>
      </c>
      <c r="CA200" s="37" t="n">
        <f aca="false">SUM(BW200,BX200,BY200,BZ200)</f>
        <v>0</v>
      </c>
      <c r="CB200" s="52" t="n">
        <v>0</v>
      </c>
      <c r="CC200" s="52" t="n">
        <v>0</v>
      </c>
      <c r="CD200" s="52" t="n">
        <v>0</v>
      </c>
      <c r="CE200" s="52" t="n">
        <v>0</v>
      </c>
      <c r="CF200" s="6"/>
    </row>
    <row r="201" customFormat="false" ht="15" hidden="false" customHeight="true" outlineLevel="0" collapsed="false">
      <c r="B201" s="26" t="s">
        <v>367</v>
      </c>
      <c r="AK201" s="36" t="n">
        <v>7.113</v>
      </c>
      <c r="AL201" s="36" t="n">
        <v>11.725</v>
      </c>
      <c r="AM201" s="36" t="n">
        <v>18.838</v>
      </c>
      <c r="AP201" s="36" t="n">
        <v>0</v>
      </c>
      <c r="AQ201" s="36" t="n">
        <v>0</v>
      </c>
      <c r="AR201" s="36" t="n">
        <v>0</v>
      </c>
      <c r="BM201" s="36" t="n">
        <v>49</v>
      </c>
      <c r="BN201" s="36" t="n">
        <v>0</v>
      </c>
      <c r="BO201" s="36" t="n">
        <v>0</v>
      </c>
      <c r="BP201" s="36" t="n">
        <v>0</v>
      </c>
      <c r="BQ201" s="36" t="n">
        <v>50</v>
      </c>
      <c r="BR201" s="36" t="n">
        <v>0</v>
      </c>
      <c r="BS201" s="36" t="n">
        <v>0</v>
      </c>
      <c r="BT201" s="36" t="n">
        <v>0</v>
      </c>
      <c r="BU201" s="36" t="n">
        <v>21</v>
      </c>
      <c r="BV201" s="36" t="n">
        <v>21</v>
      </c>
      <c r="BW201" s="36" t="n">
        <v>2</v>
      </c>
      <c r="BX201" s="36" t="n">
        <v>2</v>
      </c>
      <c r="BY201" s="52" t="n">
        <v>0</v>
      </c>
      <c r="BZ201" s="52" t="n">
        <v>0</v>
      </c>
      <c r="CA201" s="37" t="n">
        <f aca="false">SUM(BW201,BX201,BY201,BZ201)</f>
        <v>4</v>
      </c>
      <c r="CB201" s="52" t="n">
        <v>0</v>
      </c>
      <c r="CC201" s="52" t="n">
        <v>0</v>
      </c>
      <c r="CD201" s="52" t="n">
        <v>0</v>
      </c>
      <c r="CE201" s="52" t="n">
        <v>0</v>
      </c>
      <c r="CF201" s="6"/>
    </row>
    <row r="202" customFormat="false" ht="15" hidden="false" customHeight="true" outlineLevel="0" collapsed="false">
      <c r="B202" s="26" t="s">
        <v>368</v>
      </c>
      <c r="C202" s="36" t="n">
        <v>1.171</v>
      </c>
      <c r="D202" s="36" t="n">
        <v>0.562</v>
      </c>
      <c r="E202" s="36" t="n">
        <v>4.171</v>
      </c>
      <c r="W202" s="36" t="n">
        <v>-0.8</v>
      </c>
      <c r="X202" s="36" t="n">
        <v>29.1</v>
      </c>
      <c r="BY202" s="52" t="n">
        <v>0</v>
      </c>
      <c r="BZ202" s="52" t="n">
        <v>0</v>
      </c>
      <c r="CA202" s="37" t="n">
        <f aca="false">SUM(BW202,BX202,BY202,BZ202)</f>
        <v>0</v>
      </c>
      <c r="CB202" s="52" t="n">
        <v>0</v>
      </c>
      <c r="CC202" s="52" t="n">
        <v>0</v>
      </c>
      <c r="CD202" s="52" t="n">
        <v>0</v>
      </c>
      <c r="CE202" s="52" t="n">
        <v>0</v>
      </c>
      <c r="CF202" s="6"/>
    </row>
    <row r="203" customFormat="false" ht="15" hidden="false" customHeight="true" outlineLevel="0" collapsed="false">
      <c r="B203" s="17" t="s">
        <v>369</v>
      </c>
      <c r="C203" s="46" t="n">
        <f aca="false">N(C198)+N(C199)+N(C200)+N(C201)+N(C202)</f>
        <v>1.171</v>
      </c>
      <c r="D203" s="46" t="n">
        <f aca="false">N(D198)+N(D199)+N(D200)+N(D201)+N(D202)</f>
        <v>0.562</v>
      </c>
      <c r="E203" s="46" t="n">
        <f aca="false">N(E198)+N(E199)+N(E200)+N(E201)+N(E202)</f>
        <v>4.171</v>
      </c>
      <c r="F203" s="46" t="n">
        <f aca="false">N(F198)+N(F199)+N(F200)+N(F201)+N(F202)</f>
        <v>0</v>
      </c>
      <c r="G203" s="46" t="n">
        <f aca="false">N(G198)+N(G199)+N(G200)+N(G201)+N(G202)</f>
        <v>0</v>
      </c>
      <c r="H203" s="46" t="n">
        <f aca="false">N(H198)+N(H199)+N(H200)+N(H201)+N(H202)</f>
        <v>0</v>
      </c>
      <c r="I203" s="46" t="n">
        <f aca="false">N(I198)+N(I199)+N(I200)+N(I201)+N(I202)</f>
        <v>0</v>
      </c>
      <c r="J203" s="46" t="n">
        <f aca="false">N(J198)+N(J199)+N(J200)+N(J201)+N(J202)</f>
        <v>0</v>
      </c>
      <c r="K203" s="46" t="n">
        <f aca="false">N(K198)+N(K199)+N(K200)+N(K201)+N(K202)</f>
        <v>0</v>
      </c>
      <c r="L203" s="46" t="n">
        <f aca="false">N(L198)+N(L199)+N(L200)+N(L201)+N(L202)</f>
        <v>0</v>
      </c>
      <c r="M203" s="46" t="n">
        <f aca="false">N(M198)+N(M199)+N(M200)+N(M201)+N(M202)</f>
        <v>0</v>
      </c>
      <c r="N203" s="46" t="n">
        <f aca="false">N(N198)+N(N199)+N(N200)+N(N201)+N(N202)</f>
        <v>0</v>
      </c>
      <c r="O203" s="46" t="n">
        <f aca="false">N(O198)+N(O199)+N(O200)+N(O201)+N(O202)</f>
        <v>0</v>
      </c>
      <c r="P203" s="46" t="n">
        <f aca="false">N(P198)+N(P199)+N(P200)+N(P201)+N(P202)</f>
        <v>0</v>
      </c>
      <c r="Q203" s="46" t="n">
        <f aca="false">N(Q198)+N(Q199)+N(Q200)+N(Q201)+N(Q202)</f>
        <v>0</v>
      </c>
      <c r="R203" s="46" t="n">
        <f aca="false">N(R198)+N(R199)+N(R200)+N(R201)+N(R202)</f>
        <v>0</v>
      </c>
      <c r="S203" s="46" t="n">
        <f aca="false">N(S198)+N(S199)+N(S200)+N(S201)+N(S202)</f>
        <v>0</v>
      </c>
      <c r="T203" s="46" t="n">
        <f aca="false">N(T198)+N(T199)+N(T200)+N(T201)+N(T202)</f>
        <v>0</v>
      </c>
      <c r="U203" s="46" t="n">
        <f aca="false">N(U198)+N(U199)+N(U200)+N(U201)+N(U202)</f>
        <v>0</v>
      </c>
      <c r="V203" s="46" t="n">
        <f aca="false">N(V198)+N(V199)+N(V200)+N(V201)+N(V202)</f>
        <v>0</v>
      </c>
      <c r="W203" s="46" t="n">
        <f aca="false">N(W198)+N(W199)+N(W200)+N(W201)+N(W202)</f>
        <v>-13.9</v>
      </c>
      <c r="X203" s="46" t="n">
        <f aca="false">N(X198)+N(X199)+N(X200)+N(X201)+N(X202)</f>
        <v>16</v>
      </c>
      <c r="Y203" s="46" t="n">
        <f aca="false">N(Y198)+N(Y199)+N(Y200)+N(Y201)+N(Y202)</f>
        <v>0</v>
      </c>
      <c r="Z203" s="46" t="n">
        <f aca="false">N(Z198)+N(Z199)+N(Z200)+N(Z201)+N(Z202)</f>
        <v>0</v>
      </c>
      <c r="AA203" s="46" t="n">
        <f aca="false">N(AA198)+N(AA199)+N(AA200)+N(AA201)+N(AA202)</f>
        <v>0</v>
      </c>
      <c r="AB203" s="46" t="n">
        <f aca="false">N(AB198)+N(AB199)+N(AB200)+N(AB201)+N(AB202)</f>
        <v>0</v>
      </c>
      <c r="AC203" s="46" t="n">
        <f aca="false">N(AC198)+N(AC199)+N(AC200)+N(AC201)+N(AC202)</f>
        <v>0</v>
      </c>
      <c r="AD203" s="46" t="n">
        <f aca="false">N(AD198)+N(AD199)+N(AD200)+N(AD201)+N(AD202)</f>
        <v>0</v>
      </c>
      <c r="AE203" s="46" t="n">
        <f aca="false">N(AE198)+N(AE199)+N(AE200)+N(AE201)+N(AE202)</f>
        <v>0</v>
      </c>
      <c r="AF203" s="46" t="n">
        <f aca="false">N(AF198)+N(AF199)+N(AF200)+N(AF201)+N(AF202)</f>
        <v>0</v>
      </c>
      <c r="AG203" s="46" t="n">
        <f aca="false">N(AG198)+N(AG199)+N(AG200)+N(AG201)+N(AG202)</f>
        <v>0</v>
      </c>
      <c r="AH203" s="46" t="n">
        <f aca="false">N(AH198)+N(AH199)+N(AH200)+N(AH201)+N(AH202)</f>
        <v>0</v>
      </c>
      <c r="AI203" s="46" t="n">
        <f aca="false">N(AI198)+N(AI199)+N(AI200)+N(AI201)+N(AI202)</f>
        <v>0</v>
      </c>
      <c r="AJ203" s="46" t="n">
        <f aca="false">N(AJ198)+N(AJ199)+N(AJ200)+N(AJ201)+N(AJ202)</f>
        <v>22.293</v>
      </c>
      <c r="AK203" s="46" t="n">
        <f aca="false">N(AK198)+N(AK199)+N(AK200)+N(AK201)+N(AK202)</f>
        <v>15.551</v>
      </c>
      <c r="AL203" s="46" t="n">
        <f aca="false">N(AL198)+N(AL199)+N(AL200)+N(AL201)+N(AL202)</f>
        <v>12.501</v>
      </c>
      <c r="AM203" s="46" t="n">
        <f aca="false">N(AM198)+N(AM199)+N(AM200)+N(AM201)+N(AM202)</f>
        <v>51.055</v>
      </c>
      <c r="AN203" s="46" t="n">
        <f aca="false">N(AN198)+N(AN199)+N(AN200)+N(AN201)+N(AN202)</f>
        <v>0</v>
      </c>
      <c r="AO203" s="46" t="n">
        <f aca="false">N(AO198)+N(AO199)+N(AO200)+N(AO201)+N(AO202)</f>
        <v>0</v>
      </c>
      <c r="AP203" s="46" t="n">
        <f aca="false">N(AP198)+N(AP199)+N(AP200)+N(AP201)+N(AP202)</f>
        <v>0</v>
      </c>
      <c r="AQ203" s="46" t="n">
        <f aca="false">N(AQ198)+N(AQ199)+N(AQ200)+N(AQ201)+N(AQ202)</f>
        <v>0</v>
      </c>
      <c r="AR203" s="46" t="n">
        <f aca="false">N(AR198)+N(AR199)+N(AR200)+N(AR201)+N(AR202)</f>
        <v>0</v>
      </c>
      <c r="AS203" s="46" t="n">
        <f aca="false">N(AS198)+N(AS199)+N(AS200)+N(AS201)+N(AS202)</f>
        <v>0</v>
      </c>
      <c r="AT203" s="46" t="n">
        <f aca="false">N(AT198)+N(AT199)+N(AT200)+N(AT201)+N(AT202)</f>
        <v>0</v>
      </c>
      <c r="AU203" s="46" t="n">
        <f aca="false">N(AU198)+N(AU199)+N(AU200)+N(AU201)+N(AU202)</f>
        <v>0</v>
      </c>
      <c r="AV203" s="46" t="n">
        <f aca="false">N(AV198)+N(AV199)+N(AV200)+N(AV201)+N(AV202)</f>
        <v>0</v>
      </c>
      <c r="AW203" s="46" t="n">
        <f aca="false">N(AW198)+N(AW199)+N(AW200)+N(AW201)+N(AW202)</f>
        <v>0</v>
      </c>
      <c r="AX203" s="46" t="n">
        <f aca="false">N(AX198)+N(AX199)+N(AX200)+N(AX201)+N(AX202)</f>
        <v>0</v>
      </c>
      <c r="AY203" s="46" t="n">
        <f aca="false">N(AY198)+N(AY199)+N(AY200)+N(AY201)+N(AY202)</f>
        <v>16.9</v>
      </c>
      <c r="AZ203" s="46" t="n">
        <f aca="false">N(AZ198)+N(AZ199)+N(AZ200)+N(AZ201)+N(AZ202)</f>
        <v>15.5</v>
      </c>
      <c r="BA203" s="46" t="n">
        <f aca="false">N(BA198)+N(BA199)+N(BA200)+N(BA201)+N(BA202)</f>
        <v>54.7</v>
      </c>
      <c r="BB203" s="46" t="n">
        <f aca="false">N(BB198)+N(BB199)+N(BB200)+N(BB201)+N(BB202)</f>
        <v>88.5</v>
      </c>
      <c r="BC203" s="46" t="n">
        <f aca="false">N(BC198)+N(BC199)+N(BC200)+N(BC201)+N(BC202)</f>
        <v>1.4</v>
      </c>
      <c r="BD203" s="46" t="n">
        <f aca="false">N(BD198)+N(BD199)+N(BD200)+N(BD201)+N(BD202)</f>
        <v>-148.8</v>
      </c>
      <c r="BE203" s="46" t="n">
        <f aca="false">N(BE198)+N(BE199)+N(BE200)+N(BE201)+N(BE202)</f>
        <v>1.6</v>
      </c>
      <c r="BF203" s="46" t="n">
        <f aca="false">N(BF198)+N(BF199)+N(BF200)+N(BF201)+N(BF202)</f>
        <v>3</v>
      </c>
      <c r="BG203" s="46" t="n">
        <f aca="false">N(BG198)+N(BG199)+N(BG200)+N(BG201)+N(BG202)</f>
        <v>-142.8</v>
      </c>
      <c r="BH203" s="46" t="n">
        <f aca="false">N(BH198)+N(BH199)+N(BH200)+N(BH201)+N(BH202)</f>
        <v>0.8</v>
      </c>
      <c r="BI203" s="46" t="n">
        <f aca="false">N(BI198)+N(BI199)+N(BI200)+N(BI201)+N(BI202)</f>
        <v>0.4</v>
      </c>
      <c r="BJ203" s="46" t="n">
        <f aca="false">N(BJ198)+N(BJ199)+N(BJ200)+N(BJ201)+N(BJ202)</f>
        <v>3.3</v>
      </c>
      <c r="BK203" s="46" t="n">
        <f aca="false">N(BK198)+N(BK199)+N(BK200)+N(BK201)+N(BK202)</f>
        <v>7.6</v>
      </c>
      <c r="BL203" s="46" t="n">
        <f aca="false">N(BL198)+N(BL199)+N(BL200)+N(BL201)+N(BL202)</f>
        <v>12.2</v>
      </c>
      <c r="BM203" s="46" t="n">
        <f aca="false">N(BM198)+N(BM199)+N(BM200)+N(BM201)+N(BM202)</f>
        <v>-1264</v>
      </c>
      <c r="BN203" s="46" t="n">
        <f aca="false">N(BN198)+N(BN199)+N(BN200)+N(BN201)+N(BN202)</f>
        <v>39</v>
      </c>
      <c r="BO203" s="46" t="n">
        <f aca="false">N(BO198)+N(BO199)+N(BO200)+N(BO201)+N(BO202)</f>
        <v>2</v>
      </c>
      <c r="BP203" s="46" t="n">
        <f aca="false">N(BP198)+N(BP199)+N(BP200)+N(BP201)+N(BP202)</f>
        <v>1</v>
      </c>
      <c r="BQ203" s="46" t="n">
        <f aca="false">N(BQ198)+N(BQ199)+N(BQ200)+N(BQ201)+N(BQ202)</f>
        <v>-1221</v>
      </c>
      <c r="BR203" s="46" t="n">
        <f aca="false">N(BR198)+N(BR199)+N(BR200)+N(BR201)+N(BR202)</f>
        <v>0</v>
      </c>
      <c r="BS203" s="46" t="n">
        <f aca="false">N(BS198)+N(BS199)+N(BS200)+N(BS201)+N(BS202)</f>
        <v>0</v>
      </c>
      <c r="BT203" s="46" t="n">
        <f aca="false">N(BT198)+N(BT199)+N(BT200)+N(BT201)+N(BT202)</f>
        <v>12</v>
      </c>
      <c r="BU203" s="46" t="n">
        <f aca="false">N(BU198)+N(BU199)+N(BU200)+N(BU201)+N(BU202)</f>
        <v>26</v>
      </c>
      <c r="BV203" s="46" t="n">
        <f aca="false">N(BV198)+N(BV199)+N(BV200)+N(BV201)+N(BV202)</f>
        <v>38</v>
      </c>
      <c r="BW203" s="46" t="n">
        <f aca="false">N(BW198)+N(BW199)+N(BW200)+N(BW201)+N(BW202)</f>
        <v>28</v>
      </c>
      <c r="BX203" s="46" t="n">
        <f aca="false">N(BX198)+N(BX199)+N(BX200)+N(BX201)+N(BX202)</f>
        <v>58</v>
      </c>
      <c r="BY203" s="34" t="n">
        <f aca="false">N(BY198)+N(BY199)+N(BY200)+N(BY201)+N(BY202)</f>
        <v>90</v>
      </c>
      <c r="BZ203" s="34" t="n">
        <f aca="false">N(BZ198)+N(BZ199)+N(BZ200)+N(BZ201)+N(BZ202)</f>
        <v>52</v>
      </c>
      <c r="CA203" s="34" t="n">
        <f aca="false">N(CA198)+N(CA199)+N(CA200)+N(CA201)+N(CA202)</f>
        <v>228</v>
      </c>
      <c r="CB203" s="34" t="n">
        <f aca="false">N(CB198)+N(CB199)+N(CB200)+N(CB201)+N(CB202)</f>
        <v>25</v>
      </c>
      <c r="CC203" s="34" t="n">
        <f aca="false">N(CC198)+N(CC199)+N(CC200)+N(CC201)+N(CC202)</f>
        <v>10</v>
      </c>
      <c r="CD203" s="34" t="n">
        <f aca="false">N(CD198)+N(CD199)+N(CD200)+N(CD201)+N(CD202)</f>
        <v>10</v>
      </c>
      <c r="CE203" s="34" t="n">
        <f aca="false">N(CE198)+N(CE199)+N(CE200)+N(CE201)+N(CE202)</f>
        <v>10</v>
      </c>
      <c r="CF203" s="6"/>
    </row>
    <row r="204" customFormat="false" ht="15" hidden="false" customHeight="true" outlineLevel="0" collapsed="false">
      <c r="B204" s="59" t="s">
        <v>370</v>
      </c>
      <c r="C204" s="60" t="n">
        <f aca="false">C197+C203</f>
        <v>535</v>
      </c>
      <c r="D204" s="60" t="n">
        <f aca="false">D197+D203</f>
        <v>590.6</v>
      </c>
      <c r="E204" s="60" t="n">
        <f aca="false">E197+E203</f>
        <v>497.7</v>
      </c>
      <c r="F204" s="60" t="n">
        <f aca="false">F197+F203</f>
        <v>364.1</v>
      </c>
      <c r="G204" s="60" t="n">
        <f aca="false">G197+G203</f>
        <v>374.7</v>
      </c>
      <c r="H204" s="60" t="n">
        <f aca="false">H197+H203</f>
        <v>335.9</v>
      </c>
      <c r="I204" s="60" t="n">
        <f aca="false">I197+I203</f>
        <v>329.9</v>
      </c>
      <c r="J204" s="60" t="n">
        <f aca="false">J197+J203</f>
        <v>19.9</v>
      </c>
      <c r="K204" s="60" t="n">
        <f aca="false">K197+K203</f>
        <v>112.5</v>
      </c>
      <c r="L204" s="60" t="n">
        <f aca="false">L197+L203</f>
        <v>151.6</v>
      </c>
      <c r="M204" s="60" t="n">
        <f aca="false">M197+M203</f>
        <v>106.3</v>
      </c>
      <c r="N204" s="60" t="n">
        <f aca="false">N197+N203</f>
        <v>390.2</v>
      </c>
      <c r="O204" s="60" t="n">
        <f aca="false">O197+O203</f>
        <v>24.2</v>
      </c>
      <c r="P204" s="60" t="n">
        <f aca="false">P197+P203</f>
        <v>139.6</v>
      </c>
      <c r="Q204" s="60" t="n">
        <f aca="false">Q197+Q203</f>
        <v>184.8</v>
      </c>
      <c r="R204" s="60" t="n">
        <f aca="false">R197+R203</f>
        <v>188.3</v>
      </c>
      <c r="S204" s="60" t="n">
        <f aca="false">S197+S203</f>
        <v>537</v>
      </c>
      <c r="T204" s="60" t="n">
        <f aca="false">T197+T203</f>
        <v>91.2</v>
      </c>
      <c r="U204" s="60" t="n">
        <f aca="false">U197+U203</f>
        <v>207.59</v>
      </c>
      <c r="V204" s="60" t="n">
        <f aca="false">V197+V203</f>
        <v>248.877</v>
      </c>
      <c r="W204" s="60" t="n">
        <f aca="false">W197+W203</f>
        <v>190.5</v>
      </c>
      <c r="X204" s="60" t="n">
        <f aca="false">X197+X203</f>
        <v>766.7</v>
      </c>
      <c r="Y204" s="60" t="n">
        <f aca="false">Y197+Y203</f>
        <v>152.6</v>
      </c>
      <c r="Z204" s="60" t="n">
        <f aca="false">Z197+Z203</f>
        <v>266.5</v>
      </c>
      <c r="AA204" s="60" t="n">
        <f aca="false">AA197+AA203</f>
        <v>322.8</v>
      </c>
      <c r="AB204" s="60" t="n">
        <f aca="false">AB197+AB203</f>
        <v>229.7</v>
      </c>
      <c r="AC204" s="60" t="n">
        <f aca="false">AC197+AC203</f>
        <v>971.6</v>
      </c>
      <c r="AD204" s="60" t="n">
        <f aca="false">AD197+AD203</f>
        <v>147.7</v>
      </c>
      <c r="AE204" s="60" t="n">
        <f aca="false">AE197+AE203</f>
        <v>292.3</v>
      </c>
      <c r="AF204" s="60" t="n">
        <f aca="false">AF197+AF203</f>
        <v>302</v>
      </c>
      <c r="AG204" s="60" t="n">
        <f aca="false">AG197+AG203</f>
        <v>262.4</v>
      </c>
      <c r="AH204" s="60" t="n">
        <f aca="false">AH197+AH203</f>
        <v>1004.4</v>
      </c>
      <c r="AI204" s="60" t="n">
        <f aca="false">AI197+AI203</f>
        <v>123.3</v>
      </c>
      <c r="AJ204" s="60" t="n">
        <f aca="false">AJ197+AJ203</f>
        <v>378.959</v>
      </c>
      <c r="AK204" s="60" t="n">
        <f aca="false">AK197+AK203</f>
        <v>348.984</v>
      </c>
      <c r="AL204" s="60" t="n">
        <f aca="false">AL197+AL203</f>
        <v>251.85</v>
      </c>
      <c r="AM204" s="60" t="n">
        <f aca="false">AM197+AM203</f>
        <v>1103.765</v>
      </c>
      <c r="AN204" s="60" t="n">
        <f aca="false">AN197+AN203</f>
        <v>158.885</v>
      </c>
      <c r="AO204" s="60" t="n">
        <f aca="false">AO197+AO203</f>
        <v>378.467</v>
      </c>
      <c r="AP204" s="60" t="n">
        <f aca="false">AP197+AP203</f>
        <v>439.071</v>
      </c>
      <c r="AQ204" s="60" t="n">
        <f aca="false">AQ197+AQ203</f>
        <v>278.78</v>
      </c>
      <c r="AR204" s="60" t="n">
        <f aca="false">AR197+AR203</f>
        <v>1254.549</v>
      </c>
      <c r="AS204" s="60" t="n">
        <f aca="false">AS197+AS203</f>
        <v>149</v>
      </c>
      <c r="AT204" s="60" t="n">
        <f aca="false">AT197+AT203</f>
        <v>407</v>
      </c>
      <c r="AU204" s="60" t="n">
        <f aca="false">AU197+AU203</f>
        <v>501.7</v>
      </c>
      <c r="AV204" s="60" t="n">
        <f aca="false">AV197+AV203</f>
        <v>335.1</v>
      </c>
      <c r="AW204" s="60" t="n">
        <f aca="false">AW197+AW203</f>
        <v>1392.8</v>
      </c>
      <c r="AX204" s="60" t="n">
        <f aca="false">AX197+AX203</f>
        <v>204.4</v>
      </c>
      <c r="AY204" s="60" t="n">
        <f aca="false">AY197+AY203</f>
        <v>439.2</v>
      </c>
      <c r="AZ204" s="60" t="n">
        <f aca="false">AZ197+AZ203</f>
        <v>490</v>
      </c>
      <c r="BA204" s="60" t="n">
        <f aca="false">BA197+BA203</f>
        <v>393.7</v>
      </c>
      <c r="BB204" s="60" t="n">
        <f aca="false">BB197+BB203</f>
        <v>1528.5</v>
      </c>
      <c r="BC204" s="60" t="n">
        <f aca="false">BC197+BC203</f>
        <v>197.2</v>
      </c>
      <c r="BD204" s="60" t="n">
        <f aca="false">BD197+BD203</f>
        <v>478.3</v>
      </c>
      <c r="BE204" s="60" t="n">
        <f aca="false">BE197+BE203</f>
        <v>533.1</v>
      </c>
      <c r="BF204" s="60" t="n">
        <f aca="false">BF197+BF203</f>
        <v>391.7</v>
      </c>
      <c r="BG204" s="60" t="n">
        <f aca="false">BG197+BG203</f>
        <v>1600.3</v>
      </c>
      <c r="BH204" s="60" t="n">
        <f aca="false">BH197+BH203</f>
        <v>323.9</v>
      </c>
      <c r="BI204" s="60" t="n">
        <f aca="false">BI197+BI203</f>
        <v>596.1</v>
      </c>
      <c r="BJ204" s="60" t="n">
        <f aca="false">BJ197+BJ203</f>
        <v>705.2</v>
      </c>
      <c r="BK204" s="60" t="n">
        <f aca="false">BK197+BK203</f>
        <v>502.6</v>
      </c>
      <c r="BL204" s="60" t="n">
        <f aca="false">BL197+BL203</f>
        <v>2127.7</v>
      </c>
      <c r="BM204" s="60" t="n">
        <f aca="false">BM197+BM203</f>
        <v>291</v>
      </c>
      <c r="BN204" s="60" t="n">
        <f aca="false">BN197+BN203</f>
        <v>584</v>
      </c>
      <c r="BO204" s="60" t="n">
        <f aca="false">BO197+BO203</f>
        <v>646</v>
      </c>
      <c r="BP204" s="60" t="n">
        <f aca="false">BP197+BP203</f>
        <v>545</v>
      </c>
      <c r="BQ204" s="60" t="n">
        <f aca="false">BQ197+BQ203</f>
        <v>2066</v>
      </c>
      <c r="BR204" s="60" t="n">
        <f aca="false">BR197+BR203</f>
        <v>319</v>
      </c>
      <c r="BS204" s="60" t="n">
        <f aca="false">BS197+BS203</f>
        <v>565</v>
      </c>
      <c r="BT204" s="60" t="n">
        <f aca="false">BT197+BT203</f>
        <v>667</v>
      </c>
      <c r="BU204" s="60" t="n">
        <f aca="false">BU197+BU203</f>
        <v>515</v>
      </c>
      <c r="BV204" s="60" t="n">
        <f aca="false">BV197+BV203</f>
        <v>2065</v>
      </c>
      <c r="BW204" s="60" t="n">
        <f aca="false">BW197+BW203</f>
        <v>364</v>
      </c>
      <c r="BX204" s="60" t="n">
        <f aca="false">BX197+BX203</f>
        <v>638</v>
      </c>
      <c r="BY204" s="60" t="n">
        <f aca="false">BY197+BY203</f>
        <v>880.654992945482</v>
      </c>
      <c r="BZ204" s="60" t="n">
        <f aca="false">BZ197+BZ203</f>
        <v>826.907884760581</v>
      </c>
      <c r="CA204" s="60" t="n">
        <f aca="false">CA197+CA203</f>
        <v>2709.56287770606</v>
      </c>
      <c r="CB204" s="60" t="n">
        <f aca="false">CB197+CB203</f>
        <v>3592.33731955095</v>
      </c>
      <c r="CC204" s="60" t="n">
        <f aca="false">CC197+CC203</f>
        <v>4007.76579817802</v>
      </c>
      <c r="CD204" s="60" t="n">
        <f aca="false">CD197+CD203</f>
        <v>4411.50472019135</v>
      </c>
      <c r="CE204" s="60" t="n">
        <f aca="false">CE197+CE203</f>
        <v>4811.26739025004</v>
      </c>
      <c r="CF204" s="20" t="s">
        <v>371</v>
      </c>
      <c r="CH204" s="21" t="n">
        <f aca="false">IFERROR((CE204/BV204)^(1/5)-1,"n/m")</f>
        <v>0.184316793485251</v>
      </c>
      <c r="CI204" s="21" t="n">
        <f aca="false">IFERROR((BV204/AW204)^(1/5)-1,"n/m")</f>
        <v>0.0819476789520397</v>
      </c>
      <c r="CJ204" s="21" t="n">
        <f aca="false">IFERROR((BV204/X204)^(1/10)-1,"n/m")</f>
        <v>0.104153514837833</v>
      </c>
      <c r="CK204" s="21" t="n">
        <f aca="false">IFERROR((BV204/C204)^(1/19)-1,"n/m")</f>
        <v>0.0736726965403201</v>
      </c>
    </row>
    <row r="205" customFormat="false" ht="15" hidden="false" customHeight="true" outlineLevel="0" collapsed="false">
      <c r="B205" s="26" t="s">
        <v>372</v>
      </c>
      <c r="C205" s="38" t="n">
        <f aca="false">IF(AND(ISNUMBER(C204),ISNUMBER(C152)),IFERROR(C204/C152,""),"")</f>
        <v>0.242476432197244</v>
      </c>
      <c r="D205" s="38" t="n">
        <f aca="false">IF(AND(ISNUMBER(D204),ISNUMBER(D152)),IFERROR(D204/D152,""),"")</f>
        <v>0.267590956458701</v>
      </c>
      <c r="E205" s="38" t="n">
        <f aca="false">IF(AND(ISNUMBER(E204),ISNUMBER(E152)),IFERROR(E204/E152,""),"")</f>
        <v>0.234753077685015</v>
      </c>
      <c r="F205" s="38" t="n">
        <f aca="false">IF(AND(ISNUMBER(F204),ISNUMBER(F152)),IFERROR(F204/F152,""),"")</f>
        <v>0.213849406789616</v>
      </c>
      <c r="G205" s="38" t="n">
        <f aca="false">IF(AND(ISNUMBER(G204),ISNUMBER(G152)),IFERROR(G204/G152,""),"")</f>
        <v>0.210163217230355</v>
      </c>
      <c r="H205" s="38" t="n">
        <f aca="false">IF(AND(ISNUMBER(H204),ISNUMBER(H152)),IFERROR(H204/H152,""),"")</f>
        <v>0.195985763463446</v>
      </c>
      <c r="I205" s="38" t="n">
        <f aca="false">IF(AND(ISNUMBER(I204),ISNUMBER(I152)),IFERROR(I204/I152,""),"")</f>
        <v>0.161906164114645</v>
      </c>
      <c r="J205" s="38" t="n">
        <f aca="false">IF(AND(ISNUMBER(J204),ISNUMBER(J152)),IFERROR(J204/J152,""),"")</f>
        <v>0.0516883116883117</v>
      </c>
      <c r="K205" s="38" t="n">
        <f aca="false">IF(AND(ISNUMBER(K204),ISNUMBER(K152)),IFERROR(K204/K152,""),"")</f>
        <v>0.199928914163853</v>
      </c>
      <c r="L205" s="38" t="n">
        <f aca="false">IF(AND(ISNUMBER(L204),ISNUMBER(L152)),IFERROR(L204/L152,""),"")</f>
        <v>0.227867127611604</v>
      </c>
      <c r="M205" s="38" t="n">
        <f aca="false">IF(AND(ISNUMBER(M204),ISNUMBER(M152)),IFERROR(M204/M152,""),"")</f>
        <v>0.195045871559633</v>
      </c>
      <c r="N205" s="38" t="n">
        <f aca="false">IF(AND(ISNUMBER(N204),ISNUMBER(N152)),IFERROR(N204/N152,""),"")</f>
        <v>0.181025284156808</v>
      </c>
      <c r="O205" s="38" t="n">
        <f aca="false">IF(AND(ISNUMBER(O204),ISNUMBER(O152)),IFERROR(O204/O152,""),"")</f>
        <v>0.0564497317471425</v>
      </c>
      <c r="P205" s="38" t="n">
        <f aca="false">IF(AND(ISNUMBER(P204),ISNUMBER(P152)),IFERROR(P204/P152,""),"")</f>
        <v>0.208607292289301</v>
      </c>
      <c r="Q205" s="38" t="n">
        <f aca="false">IF(AND(ISNUMBER(Q204),ISNUMBER(Q152)),IFERROR(Q204/Q152,""),"")</f>
        <v>0.184118760585832</v>
      </c>
      <c r="R205" s="38" t="n">
        <f aca="false">IF(AND(ISNUMBER(R204),ISNUMBER(R152)),IFERROR(R204/R152,""),"")</f>
        <v>0.219899567908443</v>
      </c>
      <c r="S205" s="38" t="n">
        <f aca="false">IF(AND(ISNUMBER(S204),ISNUMBER(S152)),IFERROR(S204/S152,""),"")</f>
        <v>0.181541582150102</v>
      </c>
      <c r="T205" s="38" t="n">
        <f aca="false">IF(AND(ISNUMBER(T204),ISNUMBER(T152)),IFERROR(T204/T152,""),"")</f>
        <v>0.131906277118889</v>
      </c>
      <c r="U205" s="38" t="n">
        <f aca="false">IF(AND(ISNUMBER(U204),ISNUMBER(U152)),IFERROR(U204/U152,""),"")</f>
        <v>0.225298458866942</v>
      </c>
      <c r="V205" s="38" t="n">
        <f aca="false">IF(AND(ISNUMBER(V204),ISNUMBER(V152)),IFERROR(V204/V152,""),"")</f>
        <v>0.229973202735169</v>
      </c>
      <c r="W205" s="38" t="n">
        <f aca="false">IF(AND(ISNUMBER(W204),ISNUMBER(W152)),IFERROR(W204/W152,""),"")</f>
        <v>0.225550556476439</v>
      </c>
      <c r="X205" s="38" t="n">
        <f aca="false">IF(AND(ISNUMBER(X204),ISNUMBER(X152)),IFERROR(X204/X152,""),"")</f>
        <v>0.216606396202961</v>
      </c>
      <c r="Y205" s="38" t="n">
        <f aca="false">IF(AND(ISNUMBER(Y204),ISNUMBER(Y152)),IFERROR(Y204/Y152,""),"")</f>
        <v>0.193458417849898</v>
      </c>
      <c r="Z205" s="38" t="n">
        <f aca="false">IF(AND(ISNUMBER(Z204),ISNUMBER(Z152)),IFERROR(Z204/Z152,""),"")</f>
        <v>0.272690064463317</v>
      </c>
      <c r="AA205" s="38" t="n">
        <f aca="false">IF(AND(ISNUMBER(AA204),ISNUMBER(AA152)),IFERROR(AA204/AA152,""),"")</f>
        <v>0.292417791466618</v>
      </c>
      <c r="AB205" s="38" t="n">
        <f aca="false">IF(AND(ISNUMBER(AB204),ISNUMBER(AB152)),IFERROR(AB204/AB152,""),"")</f>
        <v>0.242095278246206</v>
      </c>
      <c r="AC205" s="38" t="n">
        <f aca="false">IF(AND(ISNUMBER(AC204),ISNUMBER(AC152)),IFERROR(AC204/AC152,""),"")</f>
        <v>0.254425473970881</v>
      </c>
      <c r="AD205" s="38" t="n">
        <f aca="false">IF(AND(ISNUMBER(AD204),ISNUMBER(AD152)),IFERROR(AD204/AD152,""),"")</f>
        <v>0.175020737054153</v>
      </c>
      <c r="AE205" s="38" t="n">
        <f aca="false">IF(AND(ISNUMBER(AE204),ISNUMBER(AE152)),IFERROR(AE204/AE152,""),"")</f>
        <v>0.274847202632816</v>
      </c>
      <c r="AF205" s="38" t="n">
        <f aca="false">IF(AND(ISNUMBER(AF204),ISNUMBER(AF152)),IFERROR(AF204/AF152,""),"")</f>
        <v>0.277650087340259</v>
      </c>
      <c r="AG205" s="38" t="n">
        <f aca="false">IF(AND(ISNUMBER(AG204),ISNUMBER(AG152)),IFERROR(AG204/AG152,""),"")</f>
        <v>0.270376094796497</v>
      </c>
      <c r="AH205" s="38" t="n">
        <f aca="false">IF(AND(ISNUMBER(AH204),ISNUMBER(AH152)),IFERROR(AH204/AH152,""),"")</f>
        <v>0.253278192455114</v>
      </c>
      <c r="AI205" s="38" t="n">
        <f aca="false">IF(AND(ISNUMBER(AI204),ISNUMBER(AI152)),IFERROR(AI204/AI152,""),"")</f>
        <v>0.153740648379052</v>
      </c>
      <c r="AJ205" s="38" t="n">
        <f aca="false">IF(AND(ISNUMBER(AJ204),ISNUMBER(AJ152)),IFERROR(AJ204/AJ152,""),"")</f>
        <v>0.315168042661238</v>
      </c>
      <c r="AK205" s="38" t="n">
        <f aca="false">IF(AND(ISNUMBER(AK204),ISNUMBER(AK152)),IFERROR(AK204/AK152,""),"")</f>
        <v>0.286136892853629</v>
      </c>
      <c r="AL205" s="38" t="n">
        <f aca="false">IF(AND(ISNUMBER(AL204),ISNUMBER(AL152)),IFERROR(AL204/AL152,""),"")</f>
        <v>0.246859004644105</v>
      </c>
      <c r="AM205" s="38" t="n">
        <f aca="false">IF(AND(ISNUMBER(AM204),ISNUMBER(AM152)),IFERROR(AM204/AM152,""),"")</f>
        <v>0.260060340247369</v>
      </c>
      <c r="AN205" s="38" t="n">
        <f aca="false">IF(AND(ISNUMBER(AN204),ISNUMBER(AN152)),IFERROR(AN204/AN152,""),"")</f>
        <v>0.169214712100154</v>
      </c>
      <c r="AO205" s="38" t="n">
        <f aca="false">IF(AND(ISNUMBER(AO204),ISNUMBER(AO152)),IFERROR(AO204/AO152,""),"")</f>
        <v>0.295800285743762</v>
      </c>
      <c r="AP205" s="38" t="n">
        <f aca="false">IF(AND(ISNUMBER(AP204),ISNUMBER(AP152)),IFERROR(AP204/AP152,""),"")</f>
        <v>0.309151372367886</v>
      </c>
      <c r="AQ205" s="38" t="n">
        <f aca="false">IF(AND(ISNUMBER(AQ204),ISNUMBER(AQ152)),IFERROR(AQ204/AQ152,""),"")</f>
        <v>0.253337331770308</v>
      </c>
      <c r="AR205" s="38" t="n">
        <f aca="false">IF(AND(ISNUMBER(AR204),ISNUMBER(AR152)),IFERROR(AR204/AR152,""),"")</f>
        <v>0.264723160398878</v>
      </c>
      <c r="AS205" s="38" t="n">
        <f aca="false">IF(AND(ISNUMBER(AS204),ISNUMBER(AS152)),IFERROR(AS204/AS152,""),"")</f>
        <v>0.155499895637654</v>
      </c>
      <c r="AT205" s="38" t="n">
        <f aca="false">IF(AND(ISNUMBER(AT204),ISNUMBER(AT152)),IFERROR(AT204/AT152,""),"")</f>
        <v>0.320321108137888</v>
      </c>
      <c r="AU205" s="38" t="n">
        <f aca="false">IF(AND(ISNUMBER(AU204),ISNUMBER(AU152)),IFERROR(AU204/AU152,""),"")</f>
        <v>0.379673074012411</v>
      </c>
      <c r="AV205" s="38" t="n">
        <f aca="false">IF(AND(ISNUMBER(AV204),ISNUMBER(AV152)),IFERROR(AV204/AV152,""),"")</f>
        <v>0.284079348931841</v>
      </c>
      <c r="AW205" s="38" t="n">
        <f aca="false">IF(AND(ISNUMBER(AW204),ISNUMBER(AW152)),IFERROR(AW204/AW152,""),"")</f>
        <v>0.294467113469629</v>
      </c>
      <c r="AX205" s="38" t="n">
        <f aca="false">IF(AND(ISNUMBER(AX204),ISNUMBER(AX152)),IFERROR(AX204/AX152,""),"")</f>
        <v>0.208061889250814</v>
      </c>
      <c r="AY205" s="38" t="n">
        <f aca="false">IF(AND(ISNUMBER(AY204),ISNUMBER(AY152)),IFERROR(AY204/AY152,""),"")</f>
        <v>0.318745917700849</v>
      </c>
      <c r="AZ205" s="38" t="n">
        <f aca="false">IF(AND(ISNUMBER(AZ204),ISNUMBER(AZ152)),IFERROR(AZ204/AZ152,""),"")</f>
        <v>0.314647145700893</v>
      </c>
      <c r="BA205" s="38" t="n">
        <f aca="false">IF(AND(ISNUMBER(BA204),ISNUMBER(BA152)),IFERROR(BA204/BA152,""),"")</f>
        <v>0.263098102111735</v>
      </c>
      <c r="BB205" s="38" t="n">
        <f aca="false">IF(AND(ISNUMBER(BB204),ISNUMBER(BB152)),IFERROR(BB204/BB152,""),"")</f>
        <v>0.282323605467307</v>
      </c>
      <c r="BC205" s="38" t="n">
        <f aca="false">IF(AND(ISNUMBER(BC204),ISNUMBER(BC152)),IFERROR(BC204/BC152,""),"")</f>
        <v>0.160220994475138</v>
      </c>
      <c r="BD205" s="38" t="n">
        <f aca="false">IF(AND(ISNUMBER(BD204),ISNUMBER(BD152)),IFERROR(BD204/BD152,""),"")</f>
        <v>0.291344338186027</v>
      </c>
      <c r="BE205" s="38" t="n">
        <f aca="false">IF(AND(ISNUMBER(BE204),ISNUMBER(BE152)),IFERROR(BE204/BE152,""),"")</f>
        <v>0.294254015565491</v>
      </c>
      <c r="BF205" s="38" t="n">
        <f aca="false">IF(AND(ISNUMBER(BF204),ISNUMBER(BF152)),IFERROR(BF204/BF152,""),"")</f>
        <v>0.265289536065019</v>
      </c>
      <c r="BG205" s="38" t="n">
        <f aca="false">IF(AND(ISNUMBER(BG204),ISNUMBER(BG152)),IFERROR(BG204/BG152,""),"")</f>
        <v>0.259759442920447</v>
      </c>
      <c r="BH205" s="38" t="n">
        <f aca="false">IF(AND(ISNUMBER(BH204),ISNUMBER(BH152)),IFERROR(BH204/BH152,""),"")</f>
        <v>0.239199468281515</v>
      </c>
      <c r="BI205" s="38" t="n">
        <f aca="false">IF(AND(ISNUMBER(BI204),ISNUMBER(BI152)),IFERROR(BI204/BI152,""),"")</f>
        <v>0.327383567662566</v>
      </c>
      <c r="BJ205" s="38" t="n">
        <f aca="false">IF(AND(ISNUMBER(BJ204),ISNUMBER(BJ152)),IFERROR(BJ204/BJ152,""),"")</f>
        <v>0.353643247580362</v>
      </c>
      <c r="BK205" s="38" t="n">
        <f aca="false">IF(AND(ISNUMBER(BK204),ISNUMBER(BK152)),IFERROR(BK204/BK152,""),"")</f>
        <v>0.312523317995274</v>
      </c>
      <c r="BL205" s="38" t="n">
        <f aca="false">IF(AND(ISNUMBER(BL204),ISNUMBER(BL152)),IFERROR(BL204/BL152,""),"")</f>
        <v>0.31394971374609</v>
      </c>
      <c r="BM205" s="38" t="n">
        <f aca="false">IF(AND(ISNUMBER(BM204),ISNUMBER(BM152)),IFERROR(BM204/BM152,""),"")</f>
        <v>0.232613908872902</v>
      </c>
      <c r="BN205" s="38" t="n">
        <f aca="false">IF(AND(ISNUMBER(BN204),ISNUMBER(BN152)),IFERROR(BN204/BN152,""),"")</f>
        <v>0.331065759637188</v>
      </c>
      <c r="BO205" s="38" t="n">
        <f aca="false">IF(AND(ISNUMBER(BO204),ISNUMBER(BO152)),IFERROR(BO204/BO152,""),"")</f>
        <v>0.341979883536263</v>
      </c>
      <c r="BP205" s="38" t="n">
        <f aca="false">IF(AND(ISNUMBER(BP204),ISNUMBER(BP152)),IFERROR(BP204/BP152,""),"")</f>
        <v>0.333946078431373</v>
      </c>
      <c r="BQ205" s="38" t="n">
        <f aca="false">IF(AND(ISNUMBER(BQ204),ISNUMBER(BQ152)),IFERROR(BQ204/BQ152,""),"")</f>
        <v>0.31609547123623</v>
      </c>
      <c r="BR205" s="38" t="n">
        <f aca="false">IF(AND(ISNUMBER(BR204),ISNUMBER(BR152)),IFERROR(BR204/BR152,""),"")</f>
        <v>0.274526678141136</v>
      </c>
      <c r="BS205" s="38" t="n">
        <f aca="false">IF(AND(ISNUMBER(BS204),ISNUMBER(BS152)),IFERROR(BS204/BS152,""),"")</f>
        <v>0.351149782473586</v>
      </c>
      <c r="BT205" s="38" t="n">
        <f aca="false">IF(AND(ISNUMBER(BT204),ISNUMBER(BT152)),IFERROR(BT204/BT152,""),"")</f>
        <v>0.361321776814735</v>
      </c>
      <c r="BU205" s="38" t="n">
        <f aca="false">IF(AND(ISNUMBER(BU204),ISNUMBER(BU152)),IFERROR(BU204/BU152,""),"")</f>
        <v>0.335723598435463</v>
      </c>
      <c r="BV205" s="38" t="n">
        <f aca="false">IF(AND(ISNUMBER(BV204),ISNUMBER(BV152)),IFERROR(BV204/BV152,""),"")</f>
        <v>0.335772357723577</v>
      </c>
      <c r="BW205" s="38" t="n">
        <f aca="false">IF(AND(ISNUMBER(BW204),ISNUMBER(BW152)),IFERROR(BW204/BW152,""),"")</f>
        <v>0.267254038179148</v>
      </c>
      <c r="BX205" s="38" t="n">
        <f aca="false">IF(AND(ISNUMBER(BX204),ISNUMBER(BX152)),IFERROR(BX204/BX152,""),"")</f>
        <v>0.327683615819209</v>
      </c>
      <c r="BY205" s="25" t="n">
        <f aca="false">IFERROR(BY204/BY152,"")</f>
        <v>0.368971963776723</v>
      </c>
      <c r="BZ205" s="25" t="n">
        <f aca="false">IFERROR(BZ204/BZ152,"")</f>
        <v>0.36368725795465</v>
      </c>
      <c r="CA205" s="25" t="n">
        <f aca="false">IFERROR(CA204/CA152,"")</f>
        <v>0.339993339435915</v>
      </c>
      <c r="CB205" s="25" t="n">
        <f aca="false">IFERROR(CB204/CB152,"")</f>
        <v>0.365937000813205</v>
      </c>
      <c r="CC205" s="25" t="n">
        <f aca="false">IFERROR(CC204/CC152,"")</f>
        <v>0.378002315564053</v>
      </c>
      <c r="CD205" s="25" t="n">
        <f aca="false">IFERROR(CD204/CD152,"")</f>
        <v>0.383821756161386</v>
      </c>
      <c r="CE205" s="25" t="n">
        <f aca="false">IFERROR(CE204/CE152,"")</f>
        <v>0.385340005421681</v>
      </c>
      <c r="CF205" s="6"/>
      <c r="CH205" s="39" t="n">
        <f aca="false">IFERROR(AVERAGE(CA205,CB205,CC205,CD205,CE205),"n/m")</f>
        <v>0.370618883479248</v>
      </c>
      <c r="CI205" s="39" t="n">
        <f aca="false">IFERROR(AVERAGE(BB205,BG205,BL205,BQ205,BV205),"n/m")</f>
        <v>0.30158011821873</v>
      </c>
      <c r="CJ205" s="39" t="n">
        <f aca="false">IFERROR(AVERAGE(AC205,AH205,AM205,AR205,AW205,BB205,BG205,BL205,BQ205,BV205),"n/m")</f>
        <v>0.283485487163552</v>
      </c>
      <c r="CK205" s="39" t="n">
        <f aca="false">IFERROR(AVERAGE(C205,D205,E205,F205,G205,H205,I205,N205,S205,X205,AC205,AH205,AM205,AR205,AW205,BB205,BG205,BL205,BQ205,BV205),"n/m")</f>
        <v>0.247037657604221</v>
      </c>
    </row>
    <row r="206" customFormat="false" ht="15" hidden="false" customHeight="true" outlineLevel="0" collapsed="false">
      <c r="B206" s="42" t="s">
        <v>373</v>
      </c>
      <c r="C206" s="36" t="n">
        <v>535</v>
      </c>
      <c r="D206" s="36" t="n">
        <v>590.6</v>
      </c>
      <c r="E206" s="36" t="n">
        <v>497.7</v>
      </c>
      <c r="F206" s="36" t="n">
        <v>364.1</v>
      </c>
      <c r="G206" s="36" t="n">
        <v>374.7</v>
      </c>
      <c r="H206" s="36" t="n">
        <v>335.9</v>
      </c>
      <c r="I206" s="36" t="n">
        <v>329.9</v>
      </c>
      <c r="J206" s="36" t="n">
        <v>19.9</v>
      </c>
      <c r="K206" s="36" t="n">
        <v>112.5</v>
      </c>
      <c r="L206" s="36" t="n">
        <v>151.6</v>
      </c>
      <c r="M206" s="36" t="n">
        <v>106.3</v>
      </c>
      <c r="N206" s="36" t="n">
        <v>390.2</v>
      </c>
      <c r="O206" s="36" t="n">
        <v>24.2</v>
      </c>
      <c r="P206" s="36" t="n">
        <v>139.6</v>
      </c>
      <c r="Q206" s="36" t="n">
        <v>184.8</v>
      </c>
      <c r="R206" s="36" t="n">
        <v>188.3</v>
      </c>
      <c r="S206" s="36" t="n">
        <v>537</v>
      </c>
      <c r="T206" s="36" t="n">
        <v>91.2</v>
      </c>
      <c r="W206" s="36" t="n">
        <v>190.5</v>
      </c>
      <c r="X206" s="36" t="n">
        <v>766.7</v>
      </c>
      <c r="Y206" s="36" t="n">
        <v>152.6</v>
      </c>
      <c r="Z206" s="36" t="n">
        <v>266.5</v>
      </c>
      <c r="AA206" s="36" t="n">
        <v>322.8</v>
      </c>
      <c r="AB206" s="36" t="n">
        <v>229.7</v>
      </c>
      <c r="AC206" s="36" t="n">
        <v>971.6</v>
      </c>
      <c r="AD206" s="36" t="n">
        <v>147.7</v>
      </c>
      <c r="AE206" s="36" t="n">
        <v>292.3</v>
      </c>
      <c r="AF206" s="36" t="n">
        <v>302</v>
      </c>
      <c r="AG206" s="36" t="n">
        <v>262.4</v>
      </c>
      <c r="AH206" s="36" t="n">
        <v>1004.4</v>
      </c>
      <c r="AI206" s="36" t="n">
        <v>123.3</v>
      </c>
      <c r="AJ206" s="36" t="n">
        <v>378.959</v>
      </c>
      <c r="AK206" s="36" t="n">
        <v>348.984</v>
      </c>
      <c r="AL206" s="36" t="n">
        <v>251.85</v>
      </c>
      <c r="AM206" s="36" t="n">
        <v>1103.765</v>
      </c>
      <c r="AN206" s="36" t="n">
        <v>158.885</v>
      </c>
      <c r="AO206" s="36" t="n">
        <v>378.467</v>
      </c>
      <c r="AP206" s="36" t="n">
        <v>439.071</v>
      </c>
      <c r="AQ206" s="36" t="n">
        <v>278.78</v>
      </c>
      <c r="AR206" s="36" t="n">
        <v>1254.549</v>
      </c>
      <c r="AS206" s="36" t="n">
        <v>149</v>
      </c>
      <c r="AT206" s="36" t="n">
        <v>407</v>
      </c>
      <c r="AU206" s="36" t="n">
        <v>501.7</v>
      </c>
      <c r="AV206" s="36" t="n">
        <v>335.1</v>
      </c>
      <c r="AW206" s="36" t="n">
        <v>1392.8</v>
      </c>
      <c r="AX206" s="36" t="n">
        <v>204.4</v>
      </c>
      <c r="AY206" s="36" t="n">
        <v>439.2</v>
      </c>
      <c r="AZ206" s="36" t="n">
        <v>490</v>
      </c>
      <c r="BA206" s="36" t="n">
        <v>393.7</v>
      </c>
      <c r="BB206" s="36" t="n">
        <v>1528.5</v>
      </c>
      <c r="BC206" s="36" t="n">
        <v>197.2</v>
      </c>
      <c r="BD206" s="36" t="n">
        <v>478.3</v>
      </c>
      <c r="BE206" s="36" t="n">
        <v>533.1</v>
      </c>
      <c r="BF206" s="36" t="n">
        <v>391.7</v>
      </c>
      <c r="BG206" s="36" t="n">
        <v>1600.3</v>
      </c>
      <c r="BH206" s="36" t="n">
        <v>323.9</v>
      </c>
      <c r="BI206" s="36" t="n">
        <v>596.1</v>
      </c>
      <c r="BJ206" s="36" t="n">
        <v>705.2</v>
      </c>
      <c r="BK206" s="36" t="n">
        <v>502.6</v>
      </c>
      <c r="BL206" s="36" t="n">
        <v>2127.7</v>
      </c>
      <c r="BM206" s="36" t="n">
        <v>291</v>
      </c>
      <c r="BN206" s="36" t="n">
        <v>584</v>
      </c>
      <c r="BO206" s="36" t="n">
        <v>646</v>
      </c>
      <c r="BP206" s="36" t="n">
        <v>545</v>
      </c>
      <c r="BQ206" s="36" t="n">
        <v>2066</v>
      </c>
      <c r="BR206" s="36" t="n">
        <v>319</v>
      </c>
      <c r="BS206" s="36" t="n">
        <v>565</v>
      </c>
      <c r="BT206" s="36" t="n">
        <v>667</v>
      </c>
      <c r="BU206" s="36" t="n">
        <v>515</v>
      </c>
      <c r="BV206" s="36" t="n">
        <v>2065</v>
      </c>
      <c r="BW206" s="36" t="n">
        <v>364</v>
      </c>
      <c r="BX206" s="36" t="n">
        <v>638</v>
      </c>
      <c r="BY206" s="6"/>
      <c r="BZ206" s="6"/>
      <c r="CA206" s="6"/>
      <c r="CB206" s="6"/>
      <c r="CC206" s="6"/>
      <c r="CD206" s="6"/>
      <c r="CE206" s="6"/>
      <c r="CF206" s="6"/>
    </row>
    <row r="207" customFormat="false" ht="15" hidden="false" customHeight="true" outlineLevel="0" collapsed="false">
      <c r="B207" s="61" t="s">
        <v>374</v>
      </c>
      <c r="C207" s="47" t="n">
        <f aca="false">IF(ISNUMBER(C206),ROUND(C204-C206,1),"n/p")</f>
        <v>0</v>
      </c>
      <c r="D207" s="47" t="n">
        <f aca="false">IF(ISNUMBER(D206),ROUND(D204-D206,1),"n/p")</f>
        <v>0</v>
      </c>
      <c r="E207" s="47" t="n">
        <f aca="false">IF(ISNUMBER(E206),ROUND(E204-E206,1),"n/p")</f>
        <v>0</v>
      </c>
      <c r="F207" s="47" t="n">
        <f aca="false">IF(ISNUMBER(F206),ROUND(F204-F206,1),"n/p")</f>
        <v>0</v>
      </c>
      <c r="G207" s="47" t="n">
        <f aca="false">IF(ISNUMBER(G206),ROUND(G204-G206,1),"n/p")</f>
        <v>0</v>
      </c>
      <c r="H207" s="47" t="n">
        <f aca="false">IF(ISNUMBER(H206),ROUND(H204-H206,1),"n/p")</f>
        <v>0</v>
      </c>
      <c r="I207" s="47" t="n">
        <f aca="false">IF(ISNUMBER(I206),ROUND(I204-I206,1),"n/p")</f>
        <v>0</v>
      </c>
      <c r="J207" s="47" t="n">
        <f aca="false">IF(ISNUMBER(J206),ROUND(J204-J206,1),"n/p")</f>
        <v>0</v>
      </c>
      <c r="K207" s="47" t="n">
        <f aca="false">IF(ISNUMBER(K206),ROUND(K204-K206,1),"n/p")</f>
        <v>0</v>
      </c>
      <c r="L207" s="47" t="n">
        <f aca="false">IF(ISNUMBER(L206),ROUND(L204-L206,1),"n/p")</f>
        <v>0</v>
      </c>
      <c r="M207" s="47" t="n">
        <f aca="false">IF(ISNUMBER(M206),ROUND(M204-M206,1),"n/p")</f>
        <v>0</v>
      </c>
      <c r="N207" s="47" t="n">
        <f aca="false">IF(ISNUMBER(N206),ROUND(N204-N206,1),"n/p")</f>
        <v>0</v>
      </c>
      <c r="O207" s="47" t="n">
        <f aca="false">IF(ISNUMBER(O206),ROUND(O204-O206,1),"n/p")</f>
        <v>0</v>
      </c>
      <c r="P207" s="47" t="n">
        <f aca="false">IF(ISNUMBER(P206),ROUND(P204-P206,1),"n/p")</f>
        <v>0</v>
      </c>
      <c r="Q207" s="47" t="n">
        <f aca="false">IF(ISNUMBER(Q206),ROUND(Q204-Q206,1),"n/p")</f>
        <v>0</v>
      </c>
      <c r="R207" s="47" t="n">
        <f aca="false">IF(ISNUMBER(R206),ROUND(R204-R206,1),"n/p")</f>
        <v>0</v>
      </c>
      <c r="S207" s="47" t="n">
        <f aca="false">IF(ISNUMBER(S206),ROUND(S204-S206,1),"n/p")</f>
        <v>0</v>
      </c>
      <c r="T207" s="47" t="n">
        <f aca="false">IF(ISNUMBER(T206),ROUND(T204-T206,1),"n/p")</f>
        <v>0</v>
      </c>
      <c r="U207" s="47" t="str">
        <f aca="false">IF(ISNUMBER(U206),ROUND(U204-U206,1),"n/p")</f>
        <v>n/p</v>
      </c>
      <c r="V207" s="47" t="str">
        <f aca="false">IF(ISNUMBER(V206),ROUND(V204-V206,1),"n/p")</f>
        <v>n/p</v>
      </c>
      <c r="W207" s="47" t="n">
        <f aca="false">IF(ISNUMBER(W206),ROUND(W204-W206,1),"n/p")</f>
        <v>0</v>
      </c>
      <c r="X207" s="47" t="n">
        <f aca="false">IF(ISNUMBER(X206),ROUND(X204-X206,1),"n/p")</f>
        <v>0</v>
      </c>
      <c r="Y207" s="47" t="n">
        <f aca="false">IF(ISNUMBER(Y206),ROUND(Y204-Y206,1),"n/p")</f>
        <v>0</v>
      </c>
      <c r="Z207" s="47" t="n">
        <f aca="false">IF(ISNUMBER(Z206),ROUND(Z204-Z206,1),"n/p")</f>
        <v>0</v>
      </c>
      <c r="AA207" s="47" t="n">
        <f aca="false">IF(ISNUMBER(AA206),ROUND(AA204-AA206,1),"n/p")</f>
        <v>0</v>
      </c>
      <c r="AB207" s="47" t="n">
        <f aca="false">IF(ISNUMBER(AB206),ROUND(AB204-AB206,1),"n/p")</f>
        <v>0</v>
      </c>
      <c r="AC207" s="47" t="n">
        <f aca="false">IF(ISNUMBER(AC206),ROUND(AC204-AC206,1),"n/p")</f>
        <v>0</v>
      </c>
      <c r="AD207" s="47" t="n">
        <f aca="false">IF(ISNUMBER(AD206),ROUND(AD204-AD206,1),"n/p")</f>
        <v>0</v>
      </c>
      <c r="AE207" s="47" t="n">
        <f aca="false">IF(ISNUMBER(AE206),ROUND(AE204-AE206,1),"n/p")</f>
        <v>0</v>
      </c>
      <c r="AF207" s="47" t="n">
        <f aca="false">IF(ISNUMBER(AF206),ROUND(AF204-AF206,1),"n/p")</f>
        <v>0</v>
      </c>
      <c r="AG207" s="47" t="n">
        <f aca="false">IF(ISNUMBER(AG206),ROUND(AG204-AG206,1),"n/p")</f>
        <v>0</v>
      </c>
      <c r="AH207" s="47" t="n">
        <f aca="false">IF(ISNUMBER(AH206),ROUND(AH204-AH206,1),"n/p")</f>
        <v>0</v>
      </c>
      <c r="AI207" s="47" t="n">
        <f aca="false">IF(ISNUMBER(AI206),ROUND(AI204-AI206,1),"n/p")</f>
        <v>0</v>
      </c>
      <c r="AJ207" s="47" t="n">
        <f aca="false">IF(ISNUMBER(AJ206),ROUND(AJ204-AJ206,1),"n/p")</f>
        <v>0</v>
      </c>
      <c r="AK207" s="47" t="n">
        <f aca="false">IF(ISNUMBER(AK206),ROUND(AK204-AK206,1),"n/p")</f>
        <v>0</v>
      </c>
      <c r="AL207" s="47" t="n">
        <f aca="false">IF(ISNUMBER(AL206),ROUND(AL204-AL206,1),"n/p")</f>
        <v>0</v>
      </c>
      <c r="AM207" s="47" t="n">
        <f aca="false">IF(ISNUMBER(AM206),ROUND(AM204-AM206,1),"n/p")</f>
        <v>0</v>
      </c>
      <c r="AN207" s="47" t="n">
        <f aca="false">IF(ISNUMBER(AN206),ROUND(AN204-AN206,1),"n/p")</f>
        <v>0</v>
      </c>
      <c r="AO207" s="47" t="n">
        <f aca="false">IF(ISNUMBER(AO206),ROUND(AO204-AO206,1),"n/p")</f>
        <v>0</v>
      </c>
      <c r="AP207" s="47" t="n">
        <f aca="false">IF(ISNUMBER(AP206),ROUND(AP204-AP206,1),"n/p")</f>
        <v>0</v>
      </c>
      <c r="AQ207" s="47" t="n">
        <f aca="false">IF(ISNUMBER(AQ206),ROUND(AQ204-AQ206,1),"n/p")</f>
        <v>0</v>
      </c>
      <c r="AR207" s="47" t="n">
        <f aca="false">IF(ISNUMBER(AR206),ROUND(AR204-AR206,1),"n/p")</f>
        <v>0</v>
      </c>
      <c r="AS207" s="47" t="n">
        <f aca="false">IF(ISNUMBER(AS206),ROUND(AS204-AS206,1),"n/p")</f>
        <v>0</v>
      </c>
      <c r="AT207" s="47" t="n">
        <f aca="false">IF(ISNUMBER(AT206),ROUND(AT204-AT206,1),"n/p")</f>
        <v>0</v>
      </c>
      <c r="AU207" s="47" t="n">
        <f aca="false">IF(ISNUMBER(AU206),ROUND(AU204-AU206,1),"n/p")</f>
        <v>0</v>
      </c>
      <c r="AV207" s="47" t="n">
        <f aca="false">IF(ISNUMBER(AV206),ROUND(AV204-AV206,1),"n/p")</f>
        <v>0</v>
      </c>
      <c r="AW207" s="47" t="n">
        <f aca="false">IF(ISNUMBER(AW206),ROUND(AW204-AW206,1),"n/p")</f>
        <v>0</v>
      </c>
      <c r="AX207" s="47" t="n">
        <f aca="false">IF(ISNUMBER(AX206),ROUND(AX204-AX206,1),"n/p")</f>
        <v>0</v>
      </c>
      <c r="AY207" s="47" t="n">
        <f aca="false">IF(ISNUMBER(AY206),ROUND(AY204-AY206,1),"n/p")</f>
        <v>0</v>
      </c>
      <c r="AZ207" s="47" t="n">
        <f aca="false">IF(ISNUMBER(AZ206),ROUND(AZ204-AZ206,1),"n/p")</f>
        <v>0</v>
      </c>
      <c r="BA207" s="47" t="n">
        <f aca="false">IF(ISNUMBER(BA206),ROUND(BA204-BA206,1),"n/p")</f>
        <v>0</v>
      </c>
      <c r="BB207" s="47" t="n">
        <f aca="false">IF(ISNUMBER(BB206),ROUND(BB204-BB206,1),"n/p")</f>
        <v>0</v>
      </c>
      <c r="BC207" s="47" t="n">
        <f aca="false">IF(ISNUMBER(BC206),ROUND(BC204-BC206,1),"n/p")</f>
        <v>0</v>
      </c>
      <c r="BD207" s="47" t="n">
        <f aca="false">IF(ISNUMBER(BD206),ROUND(BD204-BD206,1),"n/p")</f>
        <v>0</v>
      </c>
      <c r="BE207" s="47" t="n">
        <f aca="false">IF(ISNUMBER(BE206),ROUND(BE204-BE206,1),"n/p")</f>
        <v>0</v>
      </c>
      <c r="BF207" s="47" t="n">
        <f aca="false">IF(ISNUMBER(BF206),ROUND(BF204-BF206,1),"n/p")</f>
        <v>0</v>
      </c>
      <c r="BG207" s="47" t="n">
        <f aca="false">IF(ISNUMBER(BG206),ROUND(BG204-BG206,1),"n/p")</f>
        <v>0</v>
      </c>
      <c r="BH207" s="47" t="n">
        <f aca="false">IF(ISNUMBER(BH206),ROUND(BH204-BH206,1),"n/p")</f>
        <v>0</v>
      </c>
      <c r="BI207" s="47" t="n">
        <f aca="false">IF(ISNUMBER(BI206),ROUND(BI204-BI206,1),"n/p")</f>
        <v>0</v>
      </c>
      <c r="BJ207" s="47" t="n">
        <f aca="false">IF(ISNUMBER(BJ206),ROUND(BJ204-BJ206,1),"n/p")</f>
        <v>0</v>
      </c>
      <c r="BK207" s="47" t="n">
        <f aca="false">IF(ISNUMBER(BK206),ROUND(BK204-BK206,1),"n/p")</f>
        <v>0</v>
      </c>
      <c r="BL207" s="47" t="n">
        <f aca="false">IF(ISNUMBER(BL206),ROUND(BL204-BL206,1),"n/p")</f>
        <v>0</v>
      </c>
      <c r="BM207" s="47" t="n">
        <f aca="false">IF(ISNUMBER(BM206),ROUND(BM204-BM206,1),"n/p")</f>
        <v>0</v>
      </c>
      <c r="BN207" s="47" t="n">
        <f aca="false">IF(ISNUMBER(BN206),ROUND(BN204-BN206,1),"n/p")</f>
        <v>0</v>
      </c>
      <c r="BO207" s="47" t="n">
        <f aca="false">IF(ISNUMBER(BO206),ROUND(BO204-BO206,1),"n/p")</f>
        <v>0</v>
      </c>
      <c r="BP207" s="47" t="n">
        <f aca="false">IF(ISNUMBER(BP206),ROUND(BP204-BP206,1),"n/p")</f>
        <v>0</v>
      </c>
      <c r="BQ207" s="47" t="n">
        <f aca="false">IF(ISNUMBER(BQ206),ROUND(BQ204-BQ206,1),"n/p")</f>
        <v>0</v>
      </c>
      <c r="BR207" s="47" t="n">
        <f aca="false">IF(ISNUMBER(BR206),ROUND(BR204-BR206,1),"n/p")</f>
        <v>0</v>
      </c>
      <c r="BS207" s="47" t="n">
        <f aca="false">IF(ISNUMBER(BS206),ROUND(BS204-BS206,1),"n/p")</f>
        <v>0</v>
      </c>
      <c r="BT207" s="47" t="n">
        <f aca="false">IF(ISNUMBER(BT206),ROUND(BT204-BT206,1),"n/p")</f>
        <v>0</v>
      </c>
      <c r="BU207" s="47" t="n">
        <f aca="false">IF(ISNUMBER(BU206),ROUND(BU204-BU206,1),"n/p")</f>
        <v>0</v>
      </c>
      <c r="BV207" s="47" t="n">
        <f aca="false">IF(ISNUMBER(BV206),ROUND(BV204-BV206,1),"n/p")</f>
        <v>0</v>
      </c>
      <c r="BW207" s="47" t="n">
        <f aca="false">IF(ISNUMBER(BW206),ROUND(BW204-BW206,1),"n/p")</f>
        <v>0</v>
      </c>
      <c r="BX207" s="47" t="n">
        <f aca="false">IF(ISNUMBER(BX206),ROUND(BX204-BX206,1),"n/p")</f>
        <v>0</v>
      </c>
      <c r="BY207" s="6"/>
      <c r="BZ207" s="6"/>
      <c r="CA207" s="6"/>
      <c r="CB207" s="6"/>
      <c r="CC207" s="6"/>
      <c r="CD207" s="6"/>
      <c r="CE207" s="6"/>
      <c r="CF207" s="6"/>
    </row>
    <row r="208" customFormat="false" ht="15" hidden="false" customHeight="true" outlineLevel="0" collapsed="false">
      <c r="B208" s="67" t="s">
        <v>375</v>
      </c>
      <c r="C208" s="68" t="s">
        <v>376</v>
      </c>
      <c r="J208" s="68" t="s">
        <v>377</v>
      </c>
      <c r="AJ208" s="68" t="s">
        <v>378</v>
      </c>
      <c r="AN208" s="68" t="s">
        <v>379</v>
      </c>
      <c r="BA208" s="68" t="s">
        <v>380</v>
      </c>
      <c r="BM208" s="68" t="s">
        <v>381</v>
      </c>
      <c r="BT208" s="68" t="s">
        <v>382</v>
      </c>
      <c r="BY208" s="6"/>
      <c r="BZ208" s="6"/>
      <c r="CA208" s="6"/>
      <c r="CB208" s="6"/>
      <c r="CC208" s="6"/>
      <c r="CD208" s="6"/>
      <c r="CE208" s="6"/>
      <c r="CF208" s="20" t="s">
        <v>383</v>
      </c>
    </row>
    <row r="209" customFormat="false" ht="15" hidden="false" customHeight="true" outlineLevel="0" collapsed="false">
      <c r="B209" s="42" t="s">
        <v>384</v>
      </c>
      <c r="BT209" s="36" t="n">
        <v>743</v>
      </c>
      <c r="BU209" s="36" t="n">
        <v>577</v>
      </c>
      <c r="BV209" s="36" t="n">
        <v>2302</v>
      </c>
      <c r="BY209" s="6"/>
      <c r="BZ209" s="6"/>
      <c r="CA209" s="6"/>
      <c r="CB209" s="6"/>
      <c r="CC209" s="6"/>
      <c r="CD209" s="6"/>
      <c r="CE209" s="6"/>
      <c r="CF209" s="6"/>
    </row>
    <row r="210" customFormat="false" ht="15" hidden="false" customHeight="true" outlineLevel="0" collapsed="false">
      <c r="B210" s="26" t="s">
        <v>385</v>
      </c>
      <c r="CF210" s="6"/>
    </row>
    <row r="211" customFormat="false" ht="15" hidden="false" customHeight="true" outlineLevel="0" collapsed="false">
      <c r="B211" s="26" t="s">
        <v>386</v>
      </c>
      <c r="C211" s="47" t="n">
        <f aca="false">-C196</f>
        <v>-141.429</v>
      </c>
      <c r="D211" s="47" t="n">
        <f aca="false">-D196</f>
        <v>-150.338</v>
      </c>
      <c r="E211" s="47" t="n">
        <f aca="false">-E196</f>
        <v>-171.129</v>
      </c>
      <c r="F211" s="47" t="n">
        <f aca="false">-F196</f>
        <v>-177.7</v>
      </c>
      <c r="G211" s="47" t="n">
        <f aca="false">-G196</f>
        <v>-179.9</v>
      </c>
      <c r="H211" s="47" t="n">
        <f aca="false">-H196</f>
        <v>-171.8</v>
      </c>
      <c r="I211" s="47" t="n">
        <f aca="false">-I196</f>
        <v>-175.5</v>
      </c>
      <c r="J211" s="47" t="n">
        <f aca="false">-J196</f>
        <v>-42.6</v>
      </c>
      <c r="K211" s="47" t="n">
        <f aca="false">-K196</f>
        <v>-42.5</v>
      </c>
      <c r="L211" s="47" t="n">
        <f aca="false">-L196</f>
        <v>-43.6</v>
      </c>
      <c r="M211" s="47" t="n">
        <f aca="false">-M196</f>
        <v>-43.2</v>
      </c>
      <c r="N211" s="47" t="n">
        <f aca="false">-N196</f>
        <v>-171.9</v>
      </c>
      <c r="O211" s="47" t="n">
        <f aca="false">-O196</f>
        <v>-42</v>
      </c>
      <c r="P211" s="47" t="n">
        <f aca="false">-P196</f>
        <v>-43.3</v>
      </c>
      <c r="Q211" s="47" t="n">
        <f aca="false">-Q196</f>
        <v>-67.2</v>
      </c>
      <c r="R211" s="47" t="n">
        <f aca="false">-R196</f>
        <v>-67.9</v>
      </c>
      <c r="S211" s="47" t="n">
        <f aca="false">-S196</f>
        <v>-220.5</v>
      </c>
      <c r="T211" s="47" t="n">
        <f aca="false">-T196</f>
        <v>-66.5</v>
      </c>
      <c r="U211" s="47" t="n">
        <f aca="false">-U196</f>
        <v>-67.69</v>
      </c>
      <c r="V211" s="47" t="n">
        <f aca="false">-V196</f>
        <v>-64.977</v>
      </c>
      <c r="W211" s="47" t="n">
        <f aca="false">-W196</f>
        <v>-63</v>
      </c>
      <c r="X211" s="47" t="n">
        <f aca="false">-X196</f>
        <v>-260.7</v>
      </c>
      <c r="Y211" s="47" t="n">
        <f aca="false">-Y196</f>
        <v>-67.9</v>
      </c>
      <c r="Z211" s="47" t="n">
        <f aca="false">-Z196</f>
        <v>-70.7</v>
      </c>
      <c r="AA211" s="47" t="n">
        <f aca="false">-AA196</f>
        <v>-71.8</v>
      </c>
      <c r="AB211" s="47" t="n">
        <f aca="false">-AB196</f>
        <v>-72.4</v>
      </c>
      <c r="AC211" s="47" t="n">
        <f aca="false">-AC196</f>
        <v>-282.9</v>
      </c>
      <c r="AD211" s="47" t="n">
        <f aca="false">-AD196</f>
        <v>-70</v>
      </c>
      <c r="AE211" s="47" t="n">
        <f aca="false">-AE196</f>
        <v>-74</v>
      </c>
      <c r="AF211" s="47" t="n">
        <f aca="false">-AF196</f>
        <v>-74.6</v>
      </c>
      <c r="AG211" s="47" t="n">
        <f aca="false">-AG196</f>
        <v>-75.4</v>
      </c>
      <c r="AH211" s="47" t="n">
        <f aca="false">-AH196</f>
        <v>-294</v>
      </c>
      <c r="AI211" s="47" t="n">
        <f aca="false">-AI196</f>
        <v>-75.7</v>
      </c>
      <c r="AJ211" s="47" t="n">
        <f aca="false">-AJ196</f>
        <v>-85.737</v>
      </c>
      <c r="AK211" s="47" t="n">
        <f aca="false">-AK196</f>
        <v>-88.693</v>
      </c>
      <c r="AL211" s="47" t="n">
        <f aca="false">-AL196</f>
        <v>-89.862</v>
      </c>
      <c r="AM211" s="47" t="n">
        <f aca="false">-AM196</f>
        <v>-340.006</v>
      </c>
      <c r="AN211" s="47" t="n">
        <f aca="false">-AN196</f>
        <v>-88.187</v>
      </c>
      <c r="AO211" s="47" t="n">
        <f aca="false">-AO196</f>
        <v>-105.915</v>
      </c>
      <c r="AP211" s="47" t="n">
        <f aca="false">-AP196</f>
        <v>-92.034</v>
      </c>
      <c r="AQ211" s="47" t="n">
        <f aca="false">-AQ196</f>
        <v>-91.926</v>
      </c>
      <c r="AR211" s="47" t="n">
        <f aca="false">-AR196</f>
        <v>-377.409</v>
      </c>
      <c r="AS211" s="47" t="n">
        <f aca="false">-AS196</f>
        <v>-93.4</v>
      </c>
      <c r="AT211" s="47" t="n">
        <f aca="false">-AT196</f>
        <v>-97</v>
      </c>
      <c r="AU211" s="47" t="n">
        <f aca="false">-AU196</f>
        <v>-97.2</v>
      </c>
      <c r="AV211" s="47" t="n">
        <f aca="false">-AV196</f>
        <v>-98.5</v>
      </c>
      <c r="AW211" s="47" t="n">
        <f aca="false">-AW196</f>
        <v>-386</v>
      </c>
      <c r="AX211" s="47" t="n">
        <f aca="false">-AX196</f>
        <v>-96</v>
      </c>
      <c r="AY211" s="47" t="n">
        <f aca="false">-AY196</f>
        <v>-106.1</v>
      </c>
      <c r="AZ211" s="47" t="n">
        <f aca="false">-AZ196</f>
        <v>-112.1</v>
      </c>
      <c r="BA211" s="47" t="n">
        <f aca="false">-BA196</f>
        <v>-128.4</v>
      </c>
      <c r="BB211" s="47" t="n">
        <f aca="false">-BB196</f>
        <v>-442.5</v>
      </c>
      <c r="BC211" s="47" t="n">
        <f aca="false">-BC196</f>
        <v>-124.9</v>
      </c>
      <c r="BD211" s="47" t="n">
        <f aca="false">-BD196</f>
        <v>-127.3</v>
      </c>
      <c r="BE211" s="47" t="n">
        <f aca="false">-BE196</f>
        <v>-122.4</v>
      </c>
      <c r="BF211" s="47" t="n">
        <f aca="false">-BF196</f>
        <v>-121.9</v>
      </c>
      <c r="BG211" s="47" t="n">
        <f aca="false">-BG196</f>
        <v>-496.6</v>
      </c>
      <c r="BH211" s="47" t="n">
        <f aca="false">-BH196</f>
        <v>-121.7</v>
      </c>
      <c r="BI211" s="47" t="n">
        <f aca="false">-BI196</f>
        <v>-126.6</v>
      </c>
      <c r="BJ211" s="47" t="n">
        <f aca="false">-BJ196</f>
        <v>-129.8</v>
      </c>
      <c r="BK211" s="47" t="n">
        <f aca="false">-BK196</f>
        <v>-126.6</v>
      </c>
      <c r="BL211" s="47" t="n">
        <f aca="false">-BL196</f>
        <v>-504.8</v>
      </c>
      <c r="BM211" s="47" t="n">
        <f aca="false">-BM196</f>
        <v>-128</v>
      </c>
      <c r="BN211" s="47" t="n">
        <f aca="false">-BN196</f>
        <v>-140</v>
      </c>
      <c r="BO211" s="47" t="n">
        <f aca="false">-BO196</f>
        <v>-148</v>
      </c>
      <c r="BP211" s="47" t="n">
        <f aca="false">-BP196</f>
        <v>-148</v>
      </c>
      <c r="BQ211" s="47" t="n">
        <f aca="false">-BQ196</f>
        <v>-564</v>
      </c>
      <c r="BR211" s="47" t="n">
        <f aca="false">-BR196</f>
        <v>-136</v>
      </c>
      <c r="BS211" s="47" t="n">
        <f aca="false">-BS196</f>
        <v>-144</v>
      </c>
      <c r="BT211" s="47" t="n">
        <f aca="false">-BT196</f>
        <v>-149</v>
      </c>
      <c r="BU211" s="47" t="n">
        <f aca="false">-BU196</f>
        <v>-153</v>
      </c>
      <c r="BV211" s="47" t="n">
        <f aca="false">-BV196</f>
        <v>-581</v>
      </c>
      <c r="BW211" s="47" t="n">
        <f aca="false">-BW196</f>
        <v>-165</v>
      </c>
      <c r="BX211" s="47" t="n">
        <f aca="false">-BX196</f>
        <v>-202</v>
      </c>
      <c r="BY211" s="37" t="n">
        <f aca="false">-BY196</f>
        <v>-268.059034455947</v>
      </c>
      <c r="BZ211" s="37" t="n">
        <f aca="false">-BZ196</f>
        <v>-332.193443169441</v>
      </c>
      <c r="CA211" s="37" t="n">
        <f aca="false">-CA196</f>
        <v>-967.252477625388</v>
      </c>
      <c r="CB211" s="37" t="n">
        <f aca="false">-CB196</f>
        <v>-1330.60052227193</v>
      </c>
      <c r="CC211" s="37" t="n">
        <f aca="false">-CC196</f>
        <v>-1411.39518978434</v>
      </c>
      <c r="CD211" s="37" t="n">
        <f aca="false">-CD196</f>
        <v>-1505.48005394654</v>
      </c>
      <c r="CE211" s="37" t="n">
        <f aca="false">-CE196</f>
        <v>-1610.94644981958</v>
      </c>
      <c r="CF211" s="6"/>
    </row>
    <row r="212" customFormat="false" ht="15" hidden="false" customHeight="true" outlineLevel="0" collapsed="false">
      <c r="B212" s="59" t="s">
        <v>387</v>
      </c>
      <c r="C212" s="60" t="n">
        <f aca="false">C204+C211</f>
        <v>393.571</v>
      </c>
      <c r="D212" s="60" t="n">
        <f aca="false">D204+D211</f>
        <v>440.262</v>
      </c>
      <c r="E212" s="60" t="n">
        <f aca="false">E204+E211</f>
        <v>326.571</v>
      </c>
      <c r="F212" s="60" t="n">
        <f aca="false">F204+F211</f>
        <v>186.4</v>
      </c>
      <c r="G212" s="60" t="n">
        <f aca="false">G204+G211</f>
        <v>194.8</v>
      </c>
      <c r="H212" s="60" t="n">
        <f aca="false">H204+H211</f>
        <v>164.1</v>
      </c>
      <c r="I212" s="60" t="n">
        <f aca="false">I204+I211</f>
        <v>154.4</v>
      </c>
      <c r="J212" s="60" t="n">
        <f aca="false">J204+J211</f>
        <v>-22.7</v>
      </c>
      <c r="K212" s="60" t="n">
        <f aca="false">K204+K211</f>
        <v>70</v>
      </c>
      <c r="L212" s="60" t="n">
        <f aca="false">L204+L211</f>
        <v>108</v>
      </c>
      <c r="M212" s="60" t="n">
        <f aca="false">M204+M211</f>
        <v>63.1</v>
      </c>
      <c r="N212" s="60" t="n">
        <f aca="false">N204+N211</f>
        <v>218.3</v>
      </c>
      <c r="O212" s="60" t="n">
        <f aca="false">O204+O211</f>
        <v>-17.8</v>
      </c>
      <c r="P212" s="60" t="n">
        <f aca="false">P204+P211</f>
        <v>96.3</v>
      </c>
      <c r="Q212" s="60" t="n">
        <f aca="false">Q204+Q211</f>
        <v>117.6</v>
      </c>
      <c r="R212" s="60" t="n">
        <f aca="false">R204+R211</f>
        <v>120.4</v>
      </c>
      <c r="S212" s="60" t="n">
        <f aca="false">S204+S211</f>
        <v>316.5</v>
      </c>
      <c r="T212" s="60" t="n">
        <f aca="false">T204+T211</f>
        <v>24.7</v>
      </c>
      <c r="U212" s="60" t="n">
        <f aca="false">U204+U211</f>
        <v>139.9</v>
      </c>
      <c r="V212" s="60" t="n">
        <f aca="false">V204+V211</f>
        <v>183.9</v>
      </c>
      <c r="W212" s="60" t="n">
        <f aca="false">W204+W211</f>
        <v>127.5</v>
      </c>
      <c r="X212" s="60" t="n">
        <f aca="false">X204+X211</f>
        <v>506</v>
      </c>
      <c r="Y212" s="60" t="n">
        <f aca="false">Y204+Y211</f>
        <v>84.6999999999999</v>
      </c>
      <c r="Z212" s="60" t="n">
        <f aca="false">Z204+Z211</f>
        <v>195.8</v>
      </c>
      <c r="AA212" s="60" t="n">
        <f aca="false">AA204+AA211</f>
        <v>251</v>
      </c>
      <c r="AB212" s="60" t="n">
        <f aca="false">AB204+AB211</f>
        <v>157.3</v>
      </c>
      <c r="AC212" s="60" t="n">
        <f aca="false">AC204+AC211</f>
        <v>688.7</v>
      </c>
      <c r="AD212" s="60" t="n">
        <f aca="false">AD204+AD211</f>
        <v>77.7</v>
      </c>
      <c r="AE212" s="60" t="n">
        <f aca="false">AE204+AE211</f>
        <v>218.3</v>
      </c>
      <c r="AF212" s="60" t="n">
        <f aca="false">AF204+AF211</f>
        <v>227.4</v>
      </c>
      <c r="AG212" s="60" t="n">
        <f aca="false">AG204+AG211</f>
        <v>187</v>
      </c>
      <c r="AH212" s="60" t="n">
        <f aca="false">AH204+AH211</f>
        <v>710.4</v>
      </c>
      <c r="AI212" s="60" t="n">
        <f aca="false">AI204+AI211</f>
        <v>47.6</v>
      </c>
      <c r="AJ212" s="60" t="n">
        <f aca="false">AJ204+AJ211</f>
        <v>293.222</v>
      </c>
      <c r="AK212" s="60" t="n">
        <f aca="false">AK204+AK211</f>
        <v>260.291</v>
      </c>
      <c r="AL212" s="60" t="n">
        <f aca="false">AL204+AL211</f>
        <v>161.988</v>
      </c>
      <c r="AM212" s="60" t="n">
        <f aca="false">AM204+AM211</f>
        <v>763.759</v>
      </c>
      <c r="AN212" s="60" t="n">
        <f aca="false">AN204+AN211</f>
        <v>70.698</v>
      </c>
      <c r="AO212" s="60" t="n">
        <f aca="false">AO204+AO211</f>
        <v>272.552</v>
      </c>
      <c r="AP212" s="60" t="n">
        <f aca="false">AP204+AP211</f>
        <v>347.037</v>
      </c>
      <c r="AQ212" s="60" t="n">
        <f aca="false">AQ204+AQ211</f>
        <v>186.854</v>
      </c>
      <c r="AR212" s="60" t="n">
        <f aca="false">AR204+AR211</f>
        <v>877.14</v>
      </c>
      <c r="AS212" s="60" t="n">
        <f aca="false">AS204+AS211</f>
        <v>55.6000000000001</v>
      </c>
      <c r="AT212" s="60" t="n">
        <f aca="false">AT204+AT211</f>
        <v>310</v>
      </c>
      <c r="AU212" s="60" t="n">
        <f aca="false">AU204+AU211</f>
        <v>404.5</v>
      </c>
      <c r="AV212" s="60" t="n">
        <f aca="false">AV204+AV211</f>
        <v>236.6</v>
      </c>
      <c r="AW212" s="60" t="n">
        <f aca="false">AW204+AW211</f>
        <v>1006.8</v>
      </c>
      <c r="AX212" s="60" t="n">
        <f aca="false">AX204+AX211</f>
        <v>108.4</v>
      </c>
      <c r="AY212" s="60" t="n">
        <f aca="false">AY204+AY211</f>
        <v>333.1</v>
      </c>
      <c r="AZ212" s="60" t="n">
        <f aca="false">AZ204+AZ211</f>
        <v>377.9</v>
      </c>
      <c r="BA212" s="60" t="n">
        <f aca="false">BA204+BA211</f>
        <v>265.3</v>
      </c>
      <c r="BB212" s="60" t="n">
        <f aca="false">BB204+BB211</f>
        <v>1086</v>
      </c>
      <c r="BC212" s="60" t="n">
        <f aca="false">BC204+BC211</f>
        <v>72.2999999999999</v>
      </c>
      <c r="BD212" s="60" t="n">
        <f aca="false">BD204+BD211</f>
        <v>351</v>
      </c>
      <c r="BE212" s="60" t="n">
        <f aca="false">BE204+BE211</f>
        <v>410.7</v>
      </c>
      <c r="BF212" s="60" t="n">
        <f aca="false">BF204+BF211</f>
        <v>269.8</v>
      </c>
      <c r="BG212" s="60" t="n">
        <f aca="false">BG204+BG211</f>
        <v>1103.7</v>
      </c>
      <c r="BH212" s="60" t="n">
        <f aca="false">BH204+BH211</f>
        <v>202.2</v>
      </c>
      <c r="BI212" s="60" t="n">
        <f aca="false">BI204+BI211</f>
        <v>469.5</v>
      </c>
      <c r="BJ212" s="60" t="n">
        <f aca="false">BJ204+BJ211</f>
        <v>575.4</v>
      </c>
      <c r="BK212" s="60" t="n">
        <f aca="false">BK204+BK211</f>
        <v>376</v>
      </c>
      <c r="BL212" s="60" t="n">
        <f aca="false">BL204+BL211</f>
        <v>1622.9</v>
      </c>
      <c r="BM212" s="60" t="n">
        <f aca="false">BM204+BM211</f>
        <v>163</v>
      </c>
      <c r="BN212" s="60" t="n">
        <f aca="false">BN204+BN211</f>
        <v>444</v>
      </c>
      <c r="BO212" s="60" t="n">
        <f aca="false">BO204+BO211</f>
        <v>498</v>
      </c>
      <c r="BP212" s="60" t="n">
        <f aca="false">BP204+BP211</f>
        <v>397</v>
      </c>
      <c r="BQ212" s="60" t="n">
        <f aca="false">BQ204+BQ211</f>
        <v>1502</v>
      </c>
      <c r="BR212" s="60" t="n">
        <f aca="false">BR204+BR211</f>
        <v>183</v>
      </c>
      <c r="BS212" s="60" t="n">
        <f aca="false">BS204+BS211</f>
        <v>421</v>
      </c>
      <c r="BT212" s="60" t="n">
        <f aca="false">BT204+BT211</f>
        <v>518</v>
      </c>
      <c r="BU212" s="60" t="n">
        <f aca="false">BU204+BU211</f>
        <v>362</v>
      </c>
      <c r="BV212" s="60" t="n">
        <f aca="false">BV204+BV211</f>
        <v>1484</v>
      </c>
      <c r="BW212" s="60" t="n">
        <f aca="false">BW204+BW211</f>
        <v>199</v>
      </c>
      <c r="BX212" s="60" t="n">
        <f aca="false">BX204+BX211</f>
        <v>436</v>
      </c>
      <c r="BY212" s="60" t="n">
        <f aca="false">BY204+BY211</f>
        <v>612.595958489535</v>
      </c>
      <c r="BZ212" s="60" t="n">
        <f aca="false">BZ204+BZ211</f>
        <v>494.71444159114</v>
      </c>
      <c r="CA212" s="60" t="n">
        <f aca="false">CA204+CA211</f>
        <v>1742.31040008067</v>
      </c>
      <c r="CB212" s="60" t="n">
        <f aca="false">CB204+CB211</f>
        <v>2261.73679727902</v>
      </c>
      <c r="CC212" s="60" t="n">
        <f aca="false">CC204+CC211</f>
        <v>2596.37060839369</v>
      </c>
      <c r="CD212" s="60" t="n">
        <f aca="false">CD204+CD211</f>
        <v>2906.02466624481</v>
      </c>
      <c r="CE212" s="60" t="n">
        <f aca="false">CE204+CE211</f>
        <v>3200.32094043046</v>
      </c>
      <c r="CF212" s="6"/>
      <c r="CH212" s="21" t="n">
        <f aca="false">IFERROR((CE212/BV212)^(1/5)-1,"n/m")</f>
        <v>0.166143313535434</v>
      </c>
      <c r="CI212" s="21" t="n">
        <f aca="false">IFERROR((BV212/AW212)^(1/5)-1,"n/m")</f>
        <v>0.0806825498253729</v>
      </c>
      <c r="CJ212" s="21" t="n">
        <f aca="false">IFERROR((BV212/X212)^(1/10)-1,"n/m")</f>
        <v>0.113597733654776</v>
      </c>
      <c r="CK212" s="21" t="n">
        <f aca="false">IFERROR((BV212/C212)^(1/19)-1,"n/m")</f>
        <v>0.0723521110668381</v>
      </c>
    </row>
    <row r="213" customFormat="false" ht="15" hidden="false" customHeight="true" outlineLevel="0" collapsed="false">
      <c r="B213" s="26" t="s">
        <v>388</v>
      </c>
      <c r="C213" s="38" t="n">
        <f aca="false">IF(AND(ISNUMBER(C212),ISNUMBER(C152)),IFERROR(C212/C152,""),"")</f>
        <v>0.178376994198695</v>
      </c>
      <c r="D213" s="38" t="n">
        <f aca="false">IF(AND(ISNUMBER(D212),ISNUMBER(D152)),IFERROR(D212/D152,""),"")</f>
        <v>0.199475329618051</v>
      </c>
      <c r="E213" s="38" t="n">
        <f aca="false">IF(AND(ISNUMBER(E212),ISNUMBER(E152)),IFERROR(E212/E152,""),"")</f>
        <v>0.154035658695345</v>
      </c>
      <c r="F213" s="38" t="n">
        <f aca="false">IF(AND(ISNUMBER(F212),ISNUMBER(F152)),IFERROR(F212/F152,""),"")</f>
        <v>0.109479619405615</v>
      </c>
      <c r="G213" s="38" t="n">
        <f aca="false">IF(AND(ISNUMBER(G212),ISNUMBER(G152)),IFERROR(G212/G152,""),"")</f>
        <v>0.109260194065848</v>
      </c>
      <c r="H213" s="38" t="n">
        <f aca="false">IF(AND(ISNUMBER(H212),ISNUMBER(H152)),IFERROR(H212/H152,""),"")</f>
        <v>0.0957465429721687</v>
      </c>
      <c r="I213" s="38" t="n">
        <f aca="false">IF(AND(ISNUMBER(I212),ISNUMBER(I152)),IFERROR(I212/I152,""),"")</f>
        <v>0.0757754220651747</v>
      </c>
      <c r="J213" s="38" t="n">
        <f aca="false">IF(AND(ISNUMBER(J212),ISNUMBER(J152)),IFERROR(J212/J152,""),"")</f>
        <v>-0.058961038961039</v>
      </c>
      <c r="K213" s="38" t="n">
        <f aca="false">IF(AND(ISNUMBER(K212),ISNUMBER(K152)),IFERROR(K212/K152,""),"")</f>
        <v>0.124400213257508</v>
      </c>
      <c r="L213" s="38" t="n">
        <f aca="false">IF(AND(ISNUMBER(L212),ISNUMBER(L152)),IFERROR(L212/L152,""),"")</f>
        <v>0.162332782203517</v>
      </c>
      <c r="M213" s="38" t="n">
        <f aca="false">IF(AND(ISNUMBER(M212),ISNUMBER(M152)),IFERROR(M212/M152,""),"")</f>
        <v>0.115779816513761</v>
      </c>
      <c r="N213" s="38" t="n">
        <f aca="false">IF(AND(ISNUMBER(N212),ISNUMBER(N152)),IFERROR(N212/N152,""),"")</f>
        <v>0.101275806077476</v>
      </c>
      <c r="O213" s="38" t="n">
        <f aca="false">IF(AND(ISNUMBER(O212),ISNUMBER(O152)),IFERROR(O212/O152,""),"")</f>
        <v>-0.0415208770702123</v>
      </c>
      <c r="P213" s="38" t="n">
        <f aca="false">IF(AND(ISNUMBER(P212),ISNUMBER(P152)),IFERROR(P212/P152,""),"")</f>
        <v>0.143903167961745</v>
      </c>
      <c r="Q213" s="38" t="n">
        <f aca="false">IF(AND(ISNUMBER(Q212),ISNUMBER(Q152)),IFERROR(Q212/Q152,""),"")</f>
        <v>0.117166484009166</v>
      </c>
      <c r="R213" s="38" t="n">
        <f aca="false">IF(AND(ISNUMBER(R212),ISNUMBER(R152)),IFERROR(R212/R152,""),"")</f>
        <v>0.140604928179376</v>
      </c>
      <c r="S213" s="38" t="n">
        <f aca="false">IF(AND(ISNUMBER(S212),ISNUMBER(S152)),IFERROR(S212/S152,""),"")</f>
        <v>0.106997971602434</v>
      </c>
      <c r="T213" s="38" t="n">
        <f aca="false">IF(AND(ISNUMBER(T212),ISNUMBER(T152)),IFERROR(T212/T152,""),"")</f>
        <v>0.0357246167196992</v>
      </c>
      <c r="U213" s="38" t="n">
        <f aca="false">IF(AND(ISNUMBER(U212),ISNUMBER(U152)),IFERROR(U212/U152,""),"")</f>
        <v>0.151834165400477</v>
      </c>
      <c r="V213" s="38" t="n">
        <f aca="false">IF(AND(ISNUMBER(V212),ISNUMBER(V152)),IFERROR(V212/V152,""),"")</f>
        <v>0.1699316207725</v>
      </c>
      <c r="W213" s="38" t="n">
        <f aca="false">IF(AND(ISNUMBER(W212),ISNUMBER(W152)),IFERROR(W212/W152,""),"")</f>
        <v>0.150959033862183</v>
      </c>
      <c r="X213" s="38" t="n">
        <f aca="false">IF(AND(ISNUMBER(X212),ISNUMBER(X152)),IFERROR(X212/X152,""),"")</f>
        <v>0.142954006102384</v>
      </c>
      <c r="Y213" s="38" t="n">
        <f aca="false">IF(AND(ISNUMBER(Y212),ISNUMBER(Y152)),IFERROR(Y212/Y152,""),"")</f>
        <v>0.107378296146045</v>
      </c>
      <c r="Z213" s="38" t="n">
        <f aca="false">IF(AND(ISNUMBER(Z212),ISNUMBER(Z152)),IFERROR(Z212/Z152,""),"")</f>
        <v>0.200347897267983</v>
      </c>
      <c r="AA213" s="38" t="n">
        <f aca="false">IF(AND(ISNUMBER(AA212),ISNUMBER(AA152)),IFERROR(AA212/AA152,""),"")</f>
        <v>0.227375668085877</v>
      </c>
      <c r="AB213" s="38" t="n">
        <f aca="false">IF(AND(ISNUMBER(AB212),ISNUMBER(AB152)),IFERROR(AB212/AB152,""),"")</f>
        <v>0.165788364249578</v>
      </c>
      <c r="AC213" s="38" t="n">
        <f aca="false">IF(AND(ISNUMBER(AC212),ISNUMBER(AC152)),IFERROR(AC212/AC152,""),"")</f>
        <v>0.180344610872525</v>
      </c>
      <c r="AD213" s="38" t="n">
        <f aca="false">IF(AND(ISNUMBER(AD212),ISNUMBER(AD152)),IFERROR(AD212/AD152,""),"")</f>
        <v>0.0920725204408106</v>
      </c>
      <c r="AE213" s="38" t="n">
        <f aca="false">IF(AND(ISNUMBER(AE212),ISNUMBER(AE152)),IFERROR(AE212/AE152,""),"")</f>
        <v>0.205265632346027</v>
      </c>
      <c r="AF213" s="38" t="n">
        <f aca="false">IF(AND(ISNUMBER(AF212),ISNUMBER(AF152)),IFERROR(AF212/AF152,""),"")</f>
        <v>0.209064999540314</v>
      </c>
      <c r="AG213" s="38" t="n">
        <f aca="false">IF(AND(ISNUMBER(AG212),ISNUMBER(AG152)),IFERROR(AG212/AG152,""),"")</f>
        <v>0.192684183410613</v>
      </c>
      <c r="AH213" s="38" t="n">
        <f aca="false">IF(AND(ISNUMBER(AH212),ISNUMBER(AH152)),IFERROR(AH212/AH152,""),"")</f>
        <v>0.179140609239459</v>
      </c>
      <c r="AI213" s="38" t="n">
        <f aca="false">IF(AND(ISNUMBER(AI212),ISNUMBER(AI152)),IFERROR(AI212/AI152,""),"")</f>
        <v>0.0593516209476309</v>
      </c>
      <c r="AJ213" s="38" t="n">
        <f aca="false">IF(AND(ISNUMBER(AJ212),ISNUMBER(AJ152)),IFERROR(AJ212/AJ152,""),"")</f>
        <v>0.243863330347646</v>
      </c>
      <c r="AK213" s="38" t="n">
        <f aca="false">IF(AND(ISNUMBER(AK212),ISNUMBER(AK152)),IFERROR(AK212/AK152,""),"")</f>
        <v>0.213416253976583</v>
      </c>
      <c r="AL213" s="38" t="n">
        <f aca="false">IF(AND(ISNUMBER(AL212),ISNUMBER(AL152)),IFERROR(AL212/AL152,""),"")</f>
        <v>0.158777829836368</v>
      </c>
      <c r="AM213" s="38" t="n">
        <f aca="false">IF(AND(ISNUMBER(AM212),ISNUMBER(AM152)),IFERROR(AM212/AM152,""),"")</f>
        <v>0.179950827764053</v>
      </c>
      <c r="AN213" s="38" t="n">
        <f aca="false">IF(AND(ISNUMBER(AN212),ISNUMBER(AN152)),IFERROR(AN212/AN152,""),"")</f>
        <v>0.0752943431793856</v>
      </c>
      <c r="AO213" s="38" t="n">
        <f aca="false">IF(AND(ISNUMBER(AO212),ISNUMBER(AO152)),IFERROR(AO212/AO152,""),"")</f>
        <v>0.213019786348701</v>
      </c>
      <c r="AP213" s="38" t="n">
        <f aca="false">IF(AND(ISNUMBER(AP212),ISNUMBER(AP152)),IFERROR(AP212/AP152,""),"")</f>
        <v>0.244349922478219</v>
      </c>
      <c r="AQ213" s="38" t="n">
        <f aca="false">IF(AND(ISNUMBER(AQ212),ISNUMBER(AQ152)),IFERROR(AQ212/AQ152,""),"")</f>
        <v>0.169800896013377</v>
      </c>
      <c r="AR213" s="38" t="n">
        <f aca="false">IF(AND(ISNUMBER(AR212),ISNUMBER(AR152)),IFERROR(AR212/AR152,""),"")</f>
        <v>0.185085853890339</v>
      </c>
      <c r="AS213" s="38" t="n">
        <f aca="false">IF(AND(ISNUMBER(AS212),ISNUMBER(AS152)),IFERROR(AS212/AS152,""),"")</f>
        <v>0.0580254644124401</v>
      </c>
      <c r="AT213" s="38" t="n">
        <f aca="false">IF(AND(ISNUMBER(AT212),ISNUMBER(AT152)),IFERROR(AT212/AT152,""),"")</f>
        <v>0.243979222414607</v>
      </c>
      <c r="AU213" s="38" t="n">
        <f aca="false">IF(AND(ISNUMBER(AU212),ISNUMBER(AU152)),IFERROR(AU212/AU152,""),"")</f>
        <v>0.306114726804904</v>
      </c>
      <c r="AV213" s="38" t="n">
        <f aca="false">IF(AND(ISNUMBER(AV212),ISNUMBER(AV152)),IFERROR(AV212/AV152,""),"")</f>
        <v>0.200576466598847</v>
      </c>
      <c r="AW213" s="38" t="n">
        <f aca="false">IF(AND(ISNUMBER(AW212),ISNUMBER(AW152)),IFERROR(AW212/AW152,""),"")</f>
        <v>0.212858622803865</v>
      </c>
      <c r="AX213" s="38" t="n">
        <f aca="false">IF(AND(ISNUMBER(AX212),ISNUMBER(AX152)),IFERROR(AX212/AX152,""),"")</f>
        <v>0.110342019543974</v>
      </c>
      <c r="AY213" s="38" t="n">
        <f aca="false">IF(AND(ISNUMBER(AY212),ISNUMBER(AY152)),IFERROR(AY212/AY152,""),"")</f>
        <v>0.241744683939328</v>
      </c>
      <c r="AZ213" s="38" t="n">
        <f aca="false">IF(AND(ISNUMBER(AZ212),ISNUMBER(AZ152)),IFERROR(AZ212/AZ152,""),"")</f>
        <v>0.242663584408913</v>
      </c>
      <c r="BA213" s="38" t="n">
        <f aca="false">IF(AND(ISNUMBER(BA212),ISNUMBER(BA152)),IFERROR(BA212/BA152,""),"")</f>
        <v>0.177292167869554</v>
      </c>
      <c r="BB213" s="38" t="n">
        <f aca="false">IF(AND(ISNUMBER(BB212),ISNUMBER(BB152)),IFERROR(BB212/BB152,""),"")</f>
        <v>0.200591060214259</v>
      </c>
      <c r="BC213" s="38" t="n">
        <f aca="false">IF(AND(ISNUMBER(BC212),ISNUMBER(BC152)),IFERROR(BC212/BC152,""),"")</f>
        <v>0.0587422814429639</v>
      </c>
      <c r="BD213" s="38" t="n">
        <f aca="false">IF(AND(ISNUMBER(BD212),ISNUMBER(BD152)),IFERROR(BD212/BD152,""),"")</f>
        <v>0.213802765426083</v>
      </c>
      <c r="BE213" s="38" t="n">
        <f aca="false">IF(AND(ISNUMBER(BE212),ISNUMBER(BE152)),IFERROR(BE212/BE152,""),"")</f>
        <v>0.226693161119391</v>
      </c>
      <c r="BF213" s="38" t="n">
        <f aca="false">IF(AND(ISNUMBER(BF212),ISNUMBER(BF152)),IFERROR(BF212/BF152,""),"")</f>
        <v>0.182729427700643</v>
      </c>
      <c r="BG213" s="38" t="n">
        <f aca="false">IF(AND(ISNUMBER(BG212),ISNUMBER(BG152)),IFERROR(BG212/BG152,""),"")</f>
        <v>0.179151719772104</v>
      </c>
      <c r="BH213" s="38" t="n">
        <f aca="false">IF(AND(ISNUMBER(BH212),ISNUMBER(BH152)),IFERROR(BH212/BH152,""),"")</f>
        <v>0.149324274425818</v>
      </c>
      <c r="BI213" s="38" t="n">
        <f aca="false">IF(AND(ISNUMBER(BI212),ISNUMBER(BI152)),IFERROR(BI212/BI152,""),"")</f>
        <v>0.257853690685413</v>
      </c>
      <c r="BJ213" s="38" t="n">
        <f aca="false">IF(AND(ISNUMBER(BJ212),ISNUMBER(BJ152)),IFERROR(BJ212/BJ152,""),"")</f>
        <v>0.288551226117045</v>
      </c>
      <c r="BK213" s="38" t="n">
        <f aca="false">IF(AND(ISNUMBER(BK212),ISNUMBER(BK152)),IFERROR(BK212/BK152,""),"")</f>
        <v>0.233801765949509</v>
      </c>
      <c r="BL213" s="38" t="n">
        <f aca="false">IF(AND(ISNUMBER(BL212),ISNUMBER(BL152)),IFERROR(BL212/BL152,""),"")</f>
        <v>0.239464675677271</v>
      </c>
      <c r="BM213" s="38" t="n">
        <f aca="false">IF(AND(ISNUMBER(BM212),ISNUMBER(BM152)),IFERROR(BM212/BM152,""),"")</f>
        <v>0.130295763389289</v>
      </c>
      <c r="BN213" s="38" t="n">
        <f aca="false">IF(AND(ISNUMBER(BN212),ISNUMBER(BN152)),IFERROR(BN212/BN152,""),"")</f>
        <v>0.251700680272109</v>
      </c>
      <c r="BO213" s="38" t="n">
        <f aca="false">IF(AND(ISNUMBER(BO212),ISNUMBER(BO152)),IFERROR(BO212/BO152,""),"")</f>
        <v>0.26363155108523</v>
      </c>
      <c r="BP213" s="38" t="n">
        <f aca="false">IF(AND(ISNUMBER(BP212),ISNUMBER(BP152)),IFERROR(BP212/BP152,""),"")</f>
        <v>0.243259803921569</v>
      </c>
      <c r="BQ213" s="38" t="n">
        <f aca="false">IF(AND(ISNUMBER(BQ212),ISNUMBER(BQ152)),IFERROR(BQ212/BQ152,""),"")</f>
        <v>0.229804161566707</v>
      </c>
      <c r="BR213" s="38" t="n">
        <f aca="false">IF(AND(ISNUMBER(BR212),ISNUMBER(BR152)),IFERROR(BR212/BR152,""),"")</f>
        <v>0.157487091222031</v>
      </c>
      <c r="BS213" s="38" t="n">
        <f aca="false">IF(AND(ISNUMBER(BS212),ISNUMBER(BS152)),IFERROR(BS212/BS152,""),"")</f>
        <v>0.261653200745805</v>
      </c>
      <c r="BT213" s="38" t="n">
        <f aca="false">IF(AND(ISNUMBER(BT212),ISNUMBER(BT152)),IFERROR(BT212/BT152,""),"")</f>
        <v>0.280606717226436</v>
      </c>
      <c r="BU213" s="38" t="n">
        <f aca="false">IF(AND(ISNUMBER(BU212),ISNUMBER(BU152)),IFERROR(BU212/BU152,""),"")</f>
        <v>0.235984354628422</v>
      </c>
      <c r="BV213" s="38" t="n">
        <f aca="false">IF(AND(ISNUMBER(BV212),ISNUMBER(BV152)),IFERROR(BV212/BV152,""),"")</f>
        <v>0.24130081300813</v>
      </c>
      <c r="BW213" s="38" t="n">
        <f aca="false">IF(AND(ISNUMBER(BW212),ISNUMBER(BW152)),IFERROR(BW212/BW152,""),"")</f>
        <v>0.146108663729809</v>
      </c>
      <c r="BX213" s="38" t="n">
        <f aca="false">IF(AND(ISNUMBER(BX212),ISNUMBER(BX152)),IFERROR(BX212/BX152,""),"")</f>
        <v>0.223934257832563</v>
      </c>
      <c r="BY213" s="25" t="n">
        <f aca="false">IFERROR(BY212/BY152,"")</f>
        <v>0.256662070409179</v>
      </c>
      <c r="BZ213" s="25" t="n">
        <f aca="false">IFERROR(BZ212/BZ152,"")</f>
        <v>0.217583290773604</v>
      </c>
      <c r="CA213" s="25" t="n">
        <f aca="false">IFERROR(CA212/CA152,"")</f>
        <v>0.218623430417995</v>
      </c>
      <c r="CB213" s="25" t="n">
        <f aca="false">IFERROR(CB212/CB152,"")</f>
        <v>0.230394060079137</v>
      </c>
      <c r="CC213" s="25" t="n">
        <f aca="false">IFERROR(CC212/CC152,"")</f>
        <v>0.244883097331045</v>
      </c>
      <c r="CD213" s="25" t="n">
        <f aca="false">IFERROR(CD212/CD152,"")</f>
        <v>0.252837877684058</v>
      </c>
      <c r="CE213" s="25" t="n">
        <f aca="false">IFERROR(CE212/CE152,"")</f>
        <v>0.256317429173793</v>
      </c>
      <c r="CF213" s="6"/>
      <c r="CH213" s="39" t="n">
        <f aca="false">IFERROR(AVERAGE(CA213,CB213,CC213,CD213,CE213),"n/m")</f>
        <v>0.240611178937206</v>
      </c>
      <c r="CI213" s="39" t="n">
        <f aca="false">IFERROR(AVERAGE(BB213,BG213,BL213,BQ213,BV213),"n/m")</f>
        <v>0.218062486047694</v>
      </c>
      <c r="CJ213" s="39" t="n">
        <f aca="false">IFERROR(AVERAGE(AC213,AH213,AM213,AR213,AW213,BB213,BG213,BL213,BQ213,BV213),"n/m")</f>
        <v>0.202769295480871</v>
      </c>
      <c r="CK213" s="39" t="n">
        <f aca="false">IFERROR(AVERAGE(C213,D213,E213,F213,G213,H213,I213,N213,S213,X213,AC213,AH213,AM213,AR213,AW213,BB213,BG213,BL213,BQ213,BV213),"n/m")</f>
        <v>0.165053524980595</v>
      </c>
    </row>
    <row r="214" customFormat="false" ht="15" hidden="false" customHeight="true" outlineLevel="0" collapsed="false">
      <c r="B214" s="42" t="s">
        <v>389</v>
      </c>
      <c r="C214" s="47" t="n">
        <f aca="false">C204</f>
        <v>535</v>
      </c>
      <c r="D214" s="47" t="n">
        <f aca="false">D204</f>
        <v>590.6</v>
      </c>
      <c r="E214" s="47" t="n">
        <f aca="false">E204</f>
        <v>497.7</v>
      </c>
      <c r="F214" s="47" t="n">
        <f aca="false">F204</f>
        <v>364.1</v>
      </c>
      <c r="G214" s="47" t="n">
        <f aca="false">G204</f>
        <v>374.7</v>
      </c>
      <c r="H214" s="47" t="n">
        <f aca="false">H204</f>
        <v>335.9</v>
      </c>
      <c r="I214" s="47" t="n">
        <f aca="false">I204</f>
        <v>329.9</v>
      </c>
      <c r="N214" s="47" t="n">
        <f aca="false">N204</f>
        <v>390.2</v>
      </c>
      <c r="S214" s="47" t="n">
        <f aca="false">S204</f>
        <v>537</v>
      </c>
      <c r="X214" s="47" t="n">
        <f aca="false">X204</f>
        <v>766.7</v>
      </c>
      <c r="AC214" s="47" t="n">
        <f aca="false">AC204</f>
        <v>971.6</v>
      </c>
      <c r="AH214" s="47" t="n">
        <f aca="false">AH204</f>
        <v>1004.4</v>
      </c>
      <c r="AM214" s="47" t="n">
        <f aca="false">AM204</f>
        <v>1103.765</v>
      </c>
      <c r="AR214" s="47" t="n">
        <f aca="false">AR204</f>
        <v>1254.549</v>
      </c>
      <c r="AW214" s="47" t="n">
        <f aca="false">AW204</f>
        <v>1392.8</v>
      </c>
      <c r="BB214" s="47" t="n">
        <f aca="false">BB204</f>
        <v>1528.5</v>
      </c>
      <c r="BG214" s="47" t="n">
        <f aca="false">BG204</f>
        <v>1600.3</v>
      </c>
      <c r="BL214" s="47" t="n">
        <f aca="false">BL204</f>
        <v>2127.7</v>
      </c>
      <c r="BQ214" s="47" t="n">
        <f aca="false">BQ204</f>
        <v>2066</v>
      </c>
      <c r="BV214" s="47" t="n">
        <f aca="false">BV204</f>
        <v>2065</v>
      </c>
      <c r="BY214" s="6"/>
      <c r="BZ214" s="6"/>
      <c r="CA214" s="37" t="n">
        <f aca="false">CA204+CA66*BZ81*(365-CA65)/365</f>
        <v>3197.22143129859</v>
      </c>
      <c r="CB214" s="37" t="n">
        <f aca="false">CB204</f>
        <v>3592.33731955095</v>
      </c>
      <c r="CC214" s="37" t="n">
        <f aca="false">CC204</f>
        <v>4007.76579817802</v>
      </c>
      <c r="CD214" s="37" t="n">
        <f aca="false">CD204</f>
        <v>4411.50472019135</v>
      </c>
      <c r="CE214" s="37" t="n">
        <f aca="false">CE204</f>
        <v>4811.26739025004</v>
      </c>
      <c r="CF214" s="20" t="s">
        <v>390</v>
      </c>
    </row>
    <row r="215" customFormat="false" ht="15" hidden="false" customHeight="true" outlineLevel="0" collapsed="false"/>
    <row r="216" customFormat="false" ht="15" hidden="false" customHeight="true" outlineLevel="0" collapsed="false">
      <c r="B216" s="11" t="s">
        <v>391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 t="s">
        <v>392</v>
      </c>
    </row>
    <row r="217" customFormat="false" ht="15" hidden="false" customHeight="true" outlineLevel="0" collapsed="false">
      <c r="B217" s="17" t="s">
        <v>356</v>
      </c>
      <c r="C217" s="46" t="n">
        <f aca="false">C191</f>
        <v>243.8</v>
      </c>
      <c r="D217" s="46" t="n">
        <f aca="false">D191</f>
        <v>262.5</v>
      </c>
      <c r="E217" s="46" t="n">
        <f aca="false">E191</f>
        <v>171.5</v>
      </c>
      <c r="F217" s="46" t="n">
        <f aca="false">F191</f>
        <v>85.1999999999998</v>
      </c>
      <c r="G217" s="46" t="n">
        <f aca="false">G191</f>
        <v>96.8</v>
      </c>
      <c r="H217" s="46" t="n">
        <f aca="false">H191</f>
        <v>78.4</v>
      </c>
      <c r="I217" s="46" t="n">
        <f aca="false">I191</f>
        <v>84.9999999999999</v>
      </c>
      <c r="J217" s="46" t="n">
        <f aca="false">J191</f>
        <v>-27.7</v>
      </c>
      <c r="K217" s="46" t="n">
        <f aca="false">K191</f>
        <v>41.0000000000001</v>
      </c>
      <c r="L217" s="46" t="n">
        <f aca="false">L191</f>
        <v>72.0999999999999</v>
      </c>
      <c r="M217" s="46" t="n">
        <f aca="false">M191</f>
        <v>36.3</v>
      </c>
      <c r="N217" s="46" t="n">
        <f aca="false">N191</f>
        <v>122.1</v>
      </c>
      <c r="O217" s="46" t="n">
        <f aca="false">O191</f>
        <v>-21.6</v>
      </c>
      <c r="P217" s="46" t="n">
        <f aca="false">P191</f>
        <v>59.6</v>
      </c>
      <c r="Q217" s="46" t="n">
        <f aca="false">Q191</f>
        <v>53.8</v>
      </c>
      <c r="R217" s="46" t="n">
        <f aca="false">R191</f>
        <v>63.9</v>
      </c>
      <c r="S217" s="46" t="n">
        <f aca="false">S191</f>
        <v>155.6</v>
      </c>
      <c r="T217" s="46" t="n">
        <f aca="false">T191</f>
        <v>6.09999999999995</v>
      </c>
      <c r="U217" s="46" t="n">
        <f aca="false">U191</f>
        <v>81.8999999999999</v>
      </c>
      <c r="V217" s="46" t="n">
        <f aca="false">V191</f>
        <v>117.5</v>
      </c>
      <c r="W217" s="46" t="n">
        <f aca="false">W191</f>
        <v>83.2000000000001</v>
      </c>
      <c r="X217" s="46" t="n">
        <f aca="false">X191</f>
        <v>288.8</v>
      </c>
      <c r="Y217" s="46" t="n">
        <f aca="false">Y191</f>
        <v>44.9999999999999</v>
      </c>
      <c r="Z217" s="46" t="n">
        <f aca="false">Z191</f>
        <v>122.1</v>
      </c>
      <c r="AA217" s="46" t="n">
        <f aca="false">AA191</f>
        <v>159.5</v>
      </c>
      <c r="AB217" s="46" t="n">
        <f aca="false">AB191</f>
        <v>98.8999999999999</v>
      </c>
      <c r="AC217" s="46" t="n">
        <f aca="false">AC191</f>
        <v>425.4</v>
      </c>
      <c r="AD217" s="46" t="n">
        <f aca="false">AD191</f>
        <v>42.3</v>
      </c>
      <c r="AE217" s="46" t="n">
        <f aca="false">AE191</f>
        <v>142.3</v>
      </c>
      <c r="AF217" s="46" t="n">
        <f aca="false">AF191</f>
        <v>151.5</v>
      </c>
      <c r="AG217" s="46" t="n">
        <f aca="false">AG191</f>
        <v>377.2</v>
      </c>
      <c r="AH217" s="46" t="n">
        <f aca="false">AH191</f>
        <v>713.3</v>
      </c>
      <c r="AI217" s="46" t="n">
        <f aca="false">AI191</f>
        <v>9.99999999999998</v>
      </c>
      <c r="AJ217" s="46" t="n">
        <f aca="false">AJ191</f>
        <v>185.377</v>
      </c>
      <c r="AK217" s="46" t="n">
        <f aca="false">AK191</f>
        <v>180.221</v>
      </c>
      <c r="AL217" s="46" t="n">
        <f aca="false">AL191</f>
        <v>94.378</v>
      </c>
      <c r="AM217" s="46" t="n">
        <f aca="false">AM191</f>
        <v>469.998</v>
      </c>
      <c r="AN217" s="46" t="n">
        <f aca="false">AN191</f>
        <v>42.826</v>
      </c>
      <c r="AO217" s="46" t="n">
        <f aca="false">AO191</f>
        <v>189.469</v>
      </c>
      <c r="AP217" s="46" t="n">
        <f aca="false">AP191</f>
        <v>248.622</v>
      </c>
      <c r="AQ217" s="46" t="n">
        <f aca="false">AQ191</f>
        <v>131.014</v>
      </c>
      <c r="AR217" s="46" t="n">
        <f aca="false">AR191</f>
        <v>611.915</v>
      </c>
      <c r="AS217" s="46" t="n">
        <f aca="false">AS191</f>
        <v>25.9000000000001</v>
      </c>
      <c r="AT217" s="46" t="n">
        <f aca="false">AT191</f>
        <v>217.6</v>
      </c>
      <c r="AU217" s="46" t="n">
        <f aca="false">AU191</f>
        <v>294.4</v>
      </c>
      <c r="AV217" s="46" t="n">
        <f aca="false">AV191</f>
        <v>183</v>
      </c>
      <c r="AW217" s="46" t="n">
        <f aca="false">AW191</f>
        <v>721</v>
      </c>
      <c r="AX217" s="46" t="n">
        <f aca="false">AX191</f>
        <v>65.2999999999999</v>
      </c>
      <c r="AY217" s="46" t="n">
        <f aca="false">AY191</f>
        <v>225.8</v>
      </c>
      <c r="AZ217" s="46" t="n">
        <f aca="false">AZ191</f>
        <v>254.6</v>
      </c>
      <c r="BA217" s="46" t="n">
        <f aca="false">BA191</f>
        <v>156.3</v>
      </c>
      <c r="BB217" s="46" t="n">
        <f aca="false">BB191</f>
        <v>702</v>
      </c>
      <c r="BC217" s="46" t="n">
        <f aca="false">BC191</f>
        <v>24.4999999999999</v>
      </c>
      <c r="BD217" s="46" t="n">
        <f aca="false">BD191</f>
        <v>353.2</v>
      </c>
      <c r="BE217" s="46" t="n">
        <f aca="false">BE191</f>
        <v>291.2</v>
      </c>
      <c r="BF217" s="46" t="n">
        <f aca="false">BF191</f>
        <v>187.4</v>
      </c>
      <c r="BG217" s="46" t="n">
        <f aca="false">BG191</f>
        <v>856.3</v>
      </c>
      <c r="BH217" s="46" t="n">
        <f aca="false">BH191</f>
        <v>134.3</v>
      </c>
      <c r="BI217" s="46" t="n">
        <f aca="false">BI191</f>
        <v>347.6</v>
      </c>
      <c r="BJ217" s="46" t="n">
        <f aca="false">BJ191</f>
        <v>430.3</v>
      </c>
      <c r="BK217" s="46" t="n">
        <f aca="false">BK191</f>
        <v>287.7</v>
      </c>
      <c r="BL217" s="46" t="n">
        <f aca="false">BL191</f>
        <v>1199.8</v>
      </c>
      <c r="BM217" s="46" t="n">
        <f aca="false">BM191</f>
        <v>1045</v>
      </c>
      <c r="BN217" s="46" t="n">
        <f aca="false">BN191</f>
        <v>294</v>
      </c>
      <c r="BO217" s="46" t="n">
        <f aca="false">BO191</f>
        <v>363</v>
      </c>
      <c r="BP217" s="46" t="n">
        <f aca="false">BP191</f>
        <v>294</v>
      </c>
      <c r="BQ217" s="46" t="n">
        <f aca="false">BQ191</f>
        <v>1995</v>
      </c>
      <c r="BR217" s="46" t="n">
        <f aca="false">BR191</f>
        <v>104</v>
      </c>
      <c r="BS217" s="46" t="n">
        <f aca="false">BS191</f>
        <v>292</v>
      </c>
      <c r="BT217" s="46" t="n">
        <f aca="false">BT191</f>
        <v>361</v>
      </c>
      <c r="BU217" s="46" t="n">
        <f aca="false">BU191</f>
        <v>233</v>
      </c>
      <c r="BV217" s="46" t="n">
        <f aca="false">BV191</f>
        <v>990</v>
      </c>
      <c r="BW217" s="46" t="n">
        <f aca="false">BW191</f>
        <v>79</v>
      </c>
      <c r="BX217" s="46" t="n">
        <f aca="false">BX191</f>
        <v>256</v>
      </c>
      <c r="BY217" s="34" t="n">
        <f aca="false">BY191</f>
        <v>333.002223524286</v>
      </c>
      <c r="BZ217" s="34" t="n">
        <f aca="false">BZ191</f>
        <v>228.254239822475</v>
      </c>
      <c r="CA217" s="34" t="n">
        <f aca="false">CA191</f>
        <v>896.256463346761</v>
      </c>
      <c r="CB217" s="34" t="n">
        <f aca="false">CB191</f>
        <v>1288.63503471762</v>
      </c>
      <c r="CC217" s="34" t="n">
        <f aca="false">CC191</f>
        <v>1610.11428933986</v>
      </c>
      <c r="CD217" s="34" t="n">
        <f aca="false">CD191</f>
        <v>1880.2941935602</v>
      </c>
      <c r="CE217" s="34" t="n">
        <f aca="false">CE191</f>
        <v>2100.39833001768</v>
      </c>
      <c r="CF217" s="6"/>
    </row>
    <row r="218" customFormat="false" ht="15" hidden="false" customHeight="true" outlineLevel="0" collapsed="false">
      <c r="B218" s="26" t="s">
        <v>393</v>
      </c>
      <c r="C218" s="47" t="n">
        <f aca="false">C203</f>
        <v>1.171</v>
      </c>
      <c r="D218" s="47" t="n">
        <f aca="false">D203</f>
        <v>0.562</v>
      </c>
      <c r="E218" s="47" t="n">
        <f aca="false">E203</f>
        <v>4.171</v>
      </c>
      <c r="F218" s="47" t="n">
        <f aca="false">F203</f>
        <v>0</v>
      </c>
      <c r="G218" s="47" t="n">
        <f aca="false">G203</f>
        <v>0</v>
      </c>
      <c r="H218" s="47" t="n">
        <f aca="false">H203</f>
        <v>0</v>
      </c>
      <c r="I218" s="47" t="n">
        <f aca="false">I203</f>
        <v>0</v>
      </c>
      <c r="J218" s="47" t="n">
        <f aca="false">J203</f>
        <v>0</v>
      </c>
      <c r="K218" s="47" t="n">
        <f aca="false">K203</f>
        <v>0</v>
      </c>
      <c r="L218" s="47" t="n">
        <f aca="false">L203</f>
        <v>0</v>
      </c>
      <c r="M218" s="47" t="n">
        <f aca="false">M203</f>
        <v>0</v>
      </c>
      <c r="N218" s="47" t="n">
        <f aca="false">N203</f>
        <v>0</v>
      </c>
      <c r="O218" s="47" t="n">
        <f aca="false">O203</f>
        <v>0</v>
      </c>
      <c r="P218" s="47" t="n">
        <f aca="false">P203</f>
        <v>0</v>
      </c>
      <c r="Q218" s="47" t="n">
        <f aca="false">Q203</f>
        <v>0</v>
      </c>
      <c r="R218" s="47" t="n">
        <f aca="false">R203</f>
        <v>0</v>
      </c>
      <c r="S218" s="47" t="n">
        <f aca="false">S203</f>
        <v>0</v>
      </c>
      <c r="T218" s="47" t="n">
        <f aca="false">T203</f>
        <v>0</v>
      </c>
      <c r="U218" s="47" t="n">
        <f aca="false">U203</f>
        <v>0</v>
      </c>
      <c r="V218" s="47" t="n">
        <f aca="false">V203</f>
        <v>0</v>
      </c>
      <c r="W218" s="47" t="n">
        <f aca="false">W203</f>
        <v>-13.9</v>
      </c>
      <c r="X218" s="47" t="n">
        <f aca="false">X203</f>
        <v>16</v>
      </c>
      <c r="Y218" s="47" t="n">
        <f aca="false">Y203</f>
        <v>0</v>
      </c>
      <c r="Z218" s="47" t="n">
        <f aca="false">Z203</f>
        <v>0</v>
      </c>
      <c r="AA218" s="47" t="n">
        <f aca="false">AA203</f>
        <v>0</v>
      </c>
      <c r="AB218" s="47" t="n">
        <f aca="false">AB203</f>
        <v>0</v>
      </c>
      <c r="AC218" s="47" t="n">
        <f aca="false">AC203</f>
        <v>0</v>
      </c>
      <c r="AD218" s="47" t="n">
        <f aca="false">AD203</f>
        <v>0</v>
      </c>
      <c r="AE218" s="47" t="n">
        <f aca="false">AE203</f>
        <v>0</v>
      </c>
      <c r="AF218" s="47" t="n">
        <f aca="false">AF203</f>
        <v>0</v>
      </c>
      <c r="AG218" s="47" t="n">
        <f aca="false">AG203</f>
        <v>0</v>
      </c>
      <c r="AH218" s="47" t="n">
        <f aca="false">AH203</f>
        <v>0</v>
      </c>
      <c r="AI218" s="47" t="n">
        <f aca="false">AI203</f>
        <v>0</v>
      </c>
      <c r="AJ218" s="47" t="n">
        <f aca="false">AJ203</f>
        <v>22.293</v>
      </c>
      <c r="AK218" s="47" t="n">
        <f aca="false">AK203</f>
        <v>15.551</v>
      </c>
      <c r="AL218" s="47" t="n">
        <f aca="false">AL203</f>
        <v>12.501</v>
      </c>
      <c r="AM218" s="47" t="n">
        <f aca="false">AM203</f>
        <v>51.055</v>
      </c>
      <c r="AN218" s="47" t="n">
        <f aca="false">AN203</f>
        <v>0</v>
      </c>
      <c r="AO218" s="47" t="n">
        <f aca="false">AO203</f>
        <v>0</v>
      </c>
      <c r="AP218" s="47" t="n">
        <f aca="false">AP203</f>
        <v>0</v>
      </c>
      <c r="AQ218" s="47" t="n">
        <f aca="false">AQ203</f>
        <v>0</v>
      </c>
      <c r="AR218" s="47" t="n">
        <f aca="false">AR203</f>
        <v>0</v>
      </c>
      <c r="AS218" s="47" t="n">
        <f aca="false">AS203</f>
        <v>0</v>
      </c>
      <c r="AT218" s="47" t="n">
        <f aca="false">AT203</f>
        <v>0</v>
      </c>
      <c r="AU218" s="47" t="n">
        <f aca="false">AU203</f>
        <v>0</v>
      </c>
      <c r="AV218" s="47" t="n">
        <f aca="false">AV203</f>
        <v>0</v>
      </c>
      <c r="AW218" s="47" t="n">
        <f aca="false">AW203</f>
        <v>0</v>
      </c>
      <c r="AX218" s="47" t="n">
        <f aca="false">AX203</f>
        <v>0</v>
      </c>
      <c r="AY218" s="47" t="n">
        <f aca="false">AY203</f>
        <v>16.9</v>
      </c>
      <c r="AZ218" s="47" t="n">
        <f aca="false">AZ203</f>
        <v>15.5</v>
      </c>
      <c r="BA218" s="47" t="n">
        <f aca="false">BA203</f>
        <v>54.7</v>
      </c>
      <c r="BB218" s="47" t="n">
        <f aca="false">BB203</f>
        <v>88.5</v>
      </c>
      <c r="BC218" s="47" t="n">
        <f aca="false">BC203</f>
        <v>1.4</v>
      </c>
      <c r="BD218" s="47" t="n">
        <f aca="false">BD203</f>
        <v>-148.8</v>
      </c>
      <c r="BE218" s="47" t="n">
        <f aca="false">BE203</f>
        <v>1.6</v>
      </c>
      <c r="BF218" s="47" t="n">
        <f aca="false">BF203</f>
        <v>3</v>
      </c>
      <c r="BG218" s="47" t="n">
        <f aca="false">BG203</f>
        <v>-142.8</v>
      </c>
      <c r="BH218" s="47" t="n">
        <f aca="false">BH203</f>
        <v>0.8</v>
      </c>
      <c r="BI218" s="47" t="n">
        <f aca="false">BI203</f>
        <v>0.4</v>
      </c>
      <c r="BJ218" s="47" t="n">
        <f aca="false">BJ203</f>
        <v>3.3</v>
      </c>
      <c r="BK218" s="47" t="n">
        <f aca="false">BK203</f>
        <v>7.6</v>
      </c>
      <c r="BL218" s="47" t="n">
        <f aca="false">BL203</f>
        <v>12.2</v>
      </c>
      <c r="BM218" s="47" t="n">
        <f aca="false">BM203</f>
        <v>-1264</v>
      </c>
      <c r="BN218" s="47" t="n">
        <f aca="false">BN203</f>
        <v>39</v>
      </c>
      <c r="BO218" s="47" t="n">
        <f aca="false">BO203</f>
        <v>2</v>
      </c>
      <c r="BP218" s="47" t="n">
        <f aca="false">BP203</f>
        <v>1</v>
      </c>
      <c r="BQ218" s="47" t="n">
        <f aca="false">BQ203</f>
        <v>-1221</v>
      </c>
      <c r="BR218" s="47" t="n">
        <f aca="false">BR203</f>
        <v>0</v>
      </c>
      <c r="BS218" s="47" t="n">
        <f aca="false">BS203</f>
        <v>0</v>
      </c>
      <c r="BT218" s="47" t="n">
        <f aca="false">BT203</f>
        <v>12</v>
      </c>
      <c r="BU218" s="47" t="n">
        <f aca="false">BU203</f>
        <v>26</v>
      </c>
      <c r="BV218" s="47" t="n">
        <f aca="false">BV203</f>
        <v>38</v>
      </c>
      <c r="BW218" s="47" t="n">
        <f aca="false">BW203</f>
        <v>28</v>
      </c>
      <c r="BX218" s="47" t="n">
        <f aca="false">BX203</f>
        <v>58</v>
      </c>
      <c r="BY218" s="37" t="n">
        <f aca="false">BY203</f>
        <v>90</v>
      </c>
      <c r="BZ218" s="37" t="n">
        <f aca="false">BZ203</f>
        <v>52</v>
      </c>
      <c r="CA218" s="37" t="n">
        <f aca="false">CA203</f>
        <v>228</v>
      </c>
      <c r="CB218" s="37" t="n">
        <f aca="false">CB203</f>
        <v>25</v>
      </c>
      <c r="CC218" s="37" t="n">
        <f aca="false">CC203</f>
        <v>10</v>
      </c>
      <c r="CD218" s="37" t="n">
        <f aca="false">CD203</f>
        <v>10</v>
      </c>
      <c r="CE218" s="37" t="n">
        <f aca="false">CE203</f>
        <v>10</v>
      </c>
      <c r="CF218" s="6"/>
    </row>
    <row r="219" customFormat="false" ht="15" hidden="false" customHeight="true" outlineLevel="0" collapsed="false">
      <c r="B219" s="26" t="s">
        <v>394</v>
      </c>
      <c r="C219" s="38" t="n">
        <f aca="false">IFERROR(MIN(MAX(C167,0.15),0.4),0.25)</f>
        <v>0.304223744292237</v>
      </c>
      <c r="D219" s="38" t="n">
        <f aca="false">IFERROR(MIN(MAX(D167,0.15),0.4),0.25)</f>
        <v>0.306656101426307</v>
      </c>
      <c r="E219" s="38" t="n">
        <f aca="false">IFERROR(MIN(MAX(E167,0.15),0.4),0.25)</f>
        <v>0.295108919030004</v>
      </c>
      <c r="F219" s="38" t="n">
        <f aca="false">IFERROR(MIN(MAX(F167,0.15),0.4),0.25)</f>
        <v>0.237640936686904</v>
      </c>
      <c r="G219" s="38" t="n">
        <f aca="false">IFERROR(MIN(MAX(G167,0.15),0.4),0.25)</f>
        <v>0.22866092404072</v>
      </c>
      <c r="H219" s="38" t="n">
        <f aca="false">IFERROR(MIN(MAX(H167,0.15),0.4),0.25)</f>
        <v>0.208747514910537</v>
      </c>
      <c r="I219" s="38" t="n">
        <f aca="false">IFERROR(MIN(MAX(I167,0.15),0.4),0.25)</f>
        <v>0.164237123420797</v>
      </c>
      <c r="J219" s="38" t="n">
        <f aca="false">IFERROR(MIN(MAX(J167,0.15),0.4),0.25)</f>
        <v>0.225464190981432</v>
      </c>
      <c r="K219" s="38" t="n">
        <f aca="false">IFERROR(MIN(MAX(K167,0.15),0.4),0.25)</f>
        <v>0.266429840142096</v>
      </c>
      <c r="L219" s="38" t="n">
        <f aca="false">IFERROR(MIN(MAX(L167,0.15),0.4),0.25)</f>
        <v>0.240546218487395</v>
      </c>
      <c r="M219" s="38" t="n">
        <f aca="false">IFERROR(MIN(MAX(M167,0.15),0.4),0.25)</f>
        <v>0.288577154308617</v>
      </c>
      <c r="N219" s="38" t="n">
        <f aca="false">IFERROR(MIN(MAX(N167,0.15),0.4),0.25)</f>
        <v>0.267965895249695</v>
      </c>
      <c r="O219" s="38" t="n">
        <f aca="false">IFERROR(MIN(MAX(O167,0.15),0.4),0.25)</f>
        <v>0.268987341772152</v>
      </c>
      <c r="P219" s="38" t="n">
        <f aca="false">IFERROR(MIN(MAX(P167,0.15),0.4),0.25)</f>
        <v>0.285885167464115</v>
      </c>
      <c r="Q219" s="38" t="n">
        <f aca="false">IFERROR(MIN(MAX(Q167,0.15),0.4),0.25)</f>
        <v>0.4</v>
      </c>
      <c r="R219" s="38" t="n">
        <f aca="false">IFERROR(MIN(MAX(R167,0.15),0.4),0.25)</f>
        <v>0.355846774193549</v>
      </c>
      <c r="S219" s="38" t="n">
        <f aca="false">IFERROR(MIN(MAX(S167,0.15),0.4),0.25)</f>
        <v>0.380818619582664</v>
      </c>
      <c r="T219" s="38" t="n">
        <f aca="false">IFERROR(MIN(MAX(T167,0.15),0.4),0.25)</f>
        <v>0.15</v>
      </c>
      <c r="U219" s="38" t="n">
        <f aca="false">IFERROR(MIN(MAX(U167,0.15),0.4),0.25)</f>
        <v>0.321753515301903</v>
      </c>
      <c r="V219" s="38" t="n">
        <f aca="false">IFERROR(MIN(MAX(V167,0.15),0.4),0.25)</f>
        <v>0.287704421562689</v>
      </c>
      <c r="W219" s="38" t="n">
        <f aca="false">IFERROR(MIN(MAX(W167,0.15),0.4),0.25)</f>
        <v>0.320816326530612</v>
      </c>
      <c r="X219" s="38" t="n">
        <f aca="false">IFERROR(MIN(MAX(X167,0.15),0.4),0.25)</f>
        <v>0.301836636056066</v>
      </c>
      <c r="Y219" s="38" t="n">
        <f aca="false">IFERROR(MIN(MAX(Y167,0.15),0.4),0.25)</f>
        <v>0.304012345679013</v>
      </c>
      <c r="Z219" s="38" t="n">
        <f aca="false">IFERROR(MIN(MAX(Z167,0.15),0.4),0.25)</f>
        <v>0.304273504273504</v>
      </c>
      <c r="AA219" s="38" t="n">
        <f aca="false">IFERROR(MIN(MAX(AA167,0.15),0.4),0.25)</f>
        <v>0.307725694444444</v>
      </c>
      <c r="AB219" s="38" t="n">
        <f aca="false">IFERROR(MIN(MAX(AB167,0.15),0.4),0.25)</f>
        <v>0.275659824046921</v>
      </c>
      <c r="AC219" s="38" t="n">
        <f aca="false">IFERROR(MIN(MAX(AC167,0.15),0.4),0.25)</f>
        <v>0.299176276771005</v>
      </c>
      <c r="AD219" s="38" t="n">
        <f aca="false">IFERROR(MIN(MAX(AD167,0.15),0.4),0.25)</f>
        <v>0.255281690140845</v>
      </c>
      <c r="AE219" s="38" t="n">
        <f aca="false">IFERROR(MIN(MAX(AE167,0.15),0.4),0.25)</f>
        <v>0.267627380339681</v>
      </c>
      <c r="AF219" s="38" t="n">
        <f aca="false">IFERROR(MIN(MAX(AF167,0.15),0.4),0.25)</f>
        <v>0.258443465491924</v>
      </c>
      <c r="AG219" s="38" t="n">
        <f aca="false">IFERROR(MIN(MAX(AG167,0.15),0.4),0.25)</f>
        <v>0.15</v>
      </c>
      <c r="AH219" s="38" t="n">
        <f aca="false">IFERROR(MIN(MAX(AH167,0.15),0.4),0.25)</f>
        <v>0.15</v>
      </c>
      <c r="AI219" s="38" t="n">
        <f aca="false">IFERROR(MIN(MAX(AI167,0.15),0.4),0.25)</f>
        <v>0.2</v>
      </c>
      <c r="AJ219" s="38" t="n">
        <f aca="false">IFERROR(MIN(MAX(AJ167,0.15),0.4),0.25)</f>
        <v>0.220916070288613</v>
      </c>
      <c r="AK219" s="38" t="n">
        <f aca="false">IFERROR(MIN(MAX(AK167,0.15),0.4),0.25)</f>
        <v>0.15</v>
      </c>
      <c r="AL219" s="38" t="n">
        <f aca="false">IFERROR(MIN(MAX(AL167,0.15),0.4),0.25)</f>
        <v>0.185775349454489</v>
      </c>
      <c r="AM219" s="38" t="n">
        <f aca="false">IFERROR(MIN(MAX(AM167,0.15),0.4),0.25)</f>
        <v>0.183489821743817</v>
      </c>
      <c r="AN219" s="38" t="n">
        <f aca="false">IFERROR(MIN(MAX(AN167,0.15),0.4),0.25)</f>
        <v>0.15</v>
      </c>
      <c r="AO219" s="38" t="n">
        <f aca="false">IFERROR(MIN(MAX(AO167,0.15),0.4),0.25)</f>
        <v>0.208431686295481</v>
      </c>
      <c r="AP219" s="38" t="n">
        <f aca="false">IFERROR(MIN(MAX(AP167,0.15),0.4),0.25)</f>
        <v>0.210222363405337</v>
      </c>
      <c r="AQ219" s="38" t="n">
        <f aca="false">IFERROR(MIN(MAX(AQ167,0.15),0.4),0.25)</f>
        <v>0.161646656986971</v>
      </c>
      <c r="AR219" s="38" t="n">
        <f aca="false">IFERROR(MIN(MAX(AR167,0.15),0.4),0.25)</f>
        <v>0.182202914198969</v>
      </c>
      <c r="AS219" s="38" t="n">
        <f aca="false">IFERROR(MIN(MAX(AS167,0.15),0.4),0.25)</f>
        <v>0.15</v>
      </c>
      <c r="AT219" s="38" t="n">
        <f aca="false">IFERROR(MIN(MAX(AT167,0.15),0.4),0.25)</f>
        <v>0.220071684587814</v>
      </c>
      <c r="AU219" s="38" t="n">
        <f aca="false">IFERROR(MIN(MAX(AU167,0.15),0.4),0.25)</f>
        <v>0.216812982176111</v>
      </c>
      <c r="AV219" s="38" t="n">
        <f aca="false">IFERROR(MIN(MAX(AV167,0.15),0.4),0.25)</f>
        <v>0.15</v>
      </c>
      <c r="AW219" s="38" t="n">
        <f aca="false">IFERROR(MIN(MAX(AW167,0.15),0.4),0.25)</f>
        <v>0.189137523895199</v>
      </c>
      <c r="AX219" s="38" t="n">
        <f aca="false">IFERROR(MIN(MAX(AX167,0.15),0.4),0.25)</f>
        <v>0.195331695331696</v>
      </c>
      <c r="AY219" s="38" t="n">
        <f aca="false">IFERROR(MIN(MAX(AY167,0.15),0.4),0.25)</f>
        <v>0.216244359597362</v>
      </c>
      <c r="AZ219" s="38" t="n">
        <f aca="false">IFERROR(MIN(MAX(AZ167,0.15),0.4),0.25)</f>
        <v>0.199874292897549</v>
      </c>
      <c r="BA219" s="38" t="n">
        <f aca="false">IFERROR(MIN(MAX(BA167,0.15),0.4),0.25)</f>
        <v>0.15</v>
      </c>
      <c r="BB219" s="38" t="n">
        <f aca="false">IFERROR(MIN(MAX(BB167,0.15),0.4),0.25)</f>
        <v>0.179076563413209</v>
      </c>
      <c r="BC219" s="38" t="n">
        <f aca="false">IFERROR(MIN(MAX(BC167,0.15),0.4),0.25)</f>
        <v>0.192052980132451</v>
      </c>
      <c r="BD219" s="38" t="n">
        <f aca="false">IFERROR(MIN(MAX(BD167,0.15),0.4),0.25)</f>
        <v>0.228196721311475</v>
      </c>
      <c r="BE219" s="38" t="n">
        <f aca="false">IFERROR(MIN(MAX(BE167,0.15),0.4),0.25)</f>
        <v>0.213822894168467</v>
      </c>
      <c r="BF219" s="38" t="n">
        <f aca="false">IFERROR(MIN(MAX(BF167,0.15),0.4),0.25)</f>
        <v>0.194849785407725</v>
      </c>
      <c r="BG219" s="38" t="n">
        <f aca="false">IFERROR(MIN(MAX(BG167,0.15),0.4),0.25)</f>
        <v>0.215195674090368</v>
      </c>
      <c r="BH219" s="38" t="n">
        <f aca="false">IFERROR(MIN(MAX(BH167,0.15),0.4),0.25)</f>
        <v>0.208823529411765</v>
      </c>
      <c r="BI219" s="38" t="n">
        <f aca="false">IFERROR(MIN(MAX(BI167,0.15),0.4),0.25)</f>
        <v>0.208958617553433</v>
      </c>
      <c r="BJ219" s="38" t="n">
        <f aca="false">IFERROR(MIN(MAX(BJ167,0.15),0.4),0.25)</f>
        <v>0.203480836882059</v>
      </c>
      <c r="BK219" s="38" t="n">
        <f aca="false">IFERROR(MIN(MAX(BK167,0.15),0.4),0.25)</f>
        <v>0.160688247302421</v>
      </c>
      <c r="BL219" s="38" t="n">
        <f aca="false">IFERROR(MIN(MAX(BL167,0.15),0.4),0.25)</f>
        <v>0.195940514469453</v>
      </c>
      <c r="BM219" s="38" t="n">
        <f aca="false">IFERROR(MIN(MAX(BM167,0.15),0.4),0.25)</f>
        <v>0.26025459688826</v>
      </c>
      <c r="BN219" s="38" t="n">
        <f aca="false">IFERROR(MIN(MAX(BN167,0.15),0.4),0.25)</f>
        <v>0.209677419354839</v>
      </c>
      <c r="BO219" s="38" t="n">
        <f aca="false">IFERROR(MIN(MAX(BO167,0.15),0.4),0.25)</f>
        <v>0.207423580786026</v>
      </c>
      <c r="BP219" s="38" t="n">
        <f aca="false">IFERROR(MIN(MAX(BP167,0.15),0.4),0.25)</f>
        <v>0.1671388101983</v>
      </c>
      <c r="BQ219" s="38" t="n">
        <f aca="false">IFERROR(MIN(MAX(BQ167,0.15),0.4),0.25)</f>
        <v>0.231124807395994</v>
      </c>
      <c r="BR219" s="38" t="n">
        <f aca="false">IFERROR(MIN(MAX(BR167,0.15),0.4),0.25)</f>
        <v>0.212121212121212</v>
      </c>
      <c r="BS219" s="38" t="n">
        <f aca="false">IFERROR(MIN(MAX(BS167,0.15),0.4),0.25)</f>
        <v>0.2</v>
      </c>
      <c r="BT219" s="38" t="n">
        <f aca="false">IFERROR(MIN(MAX(BT167,0.15),0.4),0.25)</f>
        <v>0.197777777777778</v>
      </c>
      <c r="BU219" s="38" t="n">
        <f aca="false">IFERROR(MIN(MAX(BU167,0.15),0.4),0.25)</f>
        <v>0.164874551971326</v>
      </c>
      <c r="BV219" s="38" t="n">
        <f aca="false">IFERROR(MIN(MAX(BV167,0.15),0.4),0.25)</f>
        <v>0.192495921696574</v>
      </c>
      <c r="BW219" s="38" t="n">
        <f aca="false">IFERROR(MIN(MAX(BW167,0.15),0.4),0.25)</f>
        <v>0.324786324786325</v>
      </c>
      <c r="BX219" s="38" t="n">
        <f aca="false">IFERROR(MIN(MAX(BX167,0.15),0.4),0.25)</f>
        <v>0.2</v>
      </c>
      <c r="BY219" s="49" t="n">
        <v>0.23</v>
      </c>
      <c r="BZ219" s="49" t="n">
        <v>0.23</v>
      </c>
      <c r="CA219" s="25" t="n">
        <f aca="false">IFERROR(-CA220/CA218,"")</f>
        <v>0.234008846903584</v>
      </c>
      <c r="CB219" s="49" t="n">
        <v>0.23</v>
      </c>
      <c r="CC219" s="49" t="n">
        <v>0.23</v>
      </c>
      <c r="CD219" s="49" t="n">
        <v>0.23</v>
      </c>
      <c r="CE219" s="49" t="n">
        <v>0.23</v>
      </c>
      <c r="CF219" s="20" t="s">
        <v>395</v>
      </c>
    </row>
    <row r="220" customFormat="false" ht="15" hidden="false" customHeight="true" outlineLevel="0" collapsed="false">
      <c r="B220" s="26" t="s">
        <v>396</v>
      </c>
      <c r="C220" s="47" t="n">
        <f aca="false">-C218*C219</f>
        <v>-0.35624600456621</v>
      </c>
      <c r="D220" s="47" t="n">
        <f aca="false">-D218*D219</f>
        <v>-0.172340729001585</v>
      </c>
      <c r="E220" s="47" t="n">
        <f aca="false">-E218*E219</f>
        <v>-1.23089930127415</v>
      </c>
      <c r="F220" s="47" t="n">
        <f aca="false">-F218*F219</f>
        <v>-0</v>
      </c>
      <c r="G220" s="47" t="n">
        <f aca="false">-G218*G219</f>
        <v>-0</v>
      </c>
      <c r="H220" s="47" t="n">
        <f aca="false">-H218*H219</f>
        <v>-0</v>
      </c>
      <c r="I220" s="47" t="n">
        <f aca="false">-I218*I219</f>
        <v>-0</v>
      </c>
      <c r="J220" s="47" t="n">
        <f aca="false">-J218*J219</f>
        <v>-0</v>
      </c>
      <c r="K220" s="47" t="n">
        <f aca="false">-K218*K219</f>
        <v>-0</v>
      </c>
      <c r="L220" s="47" t="n">
        <f aca="false">-L218*L219</f>
        <v>-0</v>
      </c>
      <c r="M220" s="47" t="n">
        <f aca="false">-M218*M219</f>
        <v>-0</v>
      </c>
      <c r="N220" s="47" t="n">
        <f aca="false">-N218*N219</f>
        <v>-0</v>
      </c>
      <c r="O220" s="47" t="n">
        <f aca="false">-O218*O219</f>
        <v>-0</v>
      </c>
      <c r="P220" s="47" t="n">
        <f aca="false">-P218*P219</f>
        <v>-0</v>
      </c>
      <c r="Q220" s="47" t="n">
        <f aca="false">-Q218*Q219</f>
        <v>-0</v>
      </c>
      <c r="R220" s="47" t="n">
        <f aca="false">-R218*R219</f>
        <v>-0</v>
      </c>
      <c r="S220" s="47" t="n">
        <f aca="false">-S218*S219</f>
        <v>-0</v>
      </c>
      <c r="T220" s="47" t="n">
        <f aca="false">-T218*T219</f>
        <v>-0</v>
      </c>
      <c r="U220" s="47" t="n">
        <f aca="false">-U218*U219</f>
        <v>-0</v>
      </c>
      <c r="V220" s="47" t="n">
        <f aca="false">-V218*V219</f>
        <v>-0</v>
      </c>
      <c r="W220" s="47" t="n">
        <f aca="false">-W218*W219</f>
        <v>4.45934693877551</v>
      </c>
      <c r="X220" s="47" t="n">
        <f aca="false">-X218*X219</f>
        <v>-4.82938617689706</v>
      </c>
      <c r="Y220" s="47" t="n">
        <f aca="false">-Y218*Y219</f>
        <v>-0</v>
      </c>
      <c r="Z220" s="47" t="n">
        <f aca="false">-Z218*Z219</f>
        <v>-0</v>
      </c>
      <c r="AA220" s="47" t="n">
        <f aca="false">-AA218*AA219</f>
        <v>-0</v>
      </c>
      <c r="AB220" s="47" t="n">
        <f aca="false">-AB218*AB219</f>
        <v>-0</v>
      </c>
      <c r="AC220" s="47" t="n">
        <f aca="false">-AC218*AC219</f>
        <v>-0</v>
      </c>
      <c r="AD220" s="47" t="n">
        <f aca="false">-AD218*AD219</f>
        <v>-0</v>
      </c>
      <c r="AE220" s="47" t="n">
        <f aca="false">-AE218*AE219</f>
        <v>-0</v>
      </c>
      <c r="AF220" s="47" t="n">
        <f aca="false">-AF218*AF219</f>
        <v>-0</v>
      </c>
      <c r="AG220" s="47" t="n">
        <f aca="false">-AG218*AG219</f>
        <v>-0</v>
      </c>
      <c r="AH220" s="47" t="n">
        <f aca="false">-AH218*AH219</f>
        <v>-0</v>
      </c>
      <c r="AI220" s="47" t="n">
        <f aca="false">-AI218*AI219</f>
        <v>-0</v>
      </c>
      <c r="AJ220" s="47" t="n">
        <f aca="false">-AJ218*AJ219</f>
        <v>-4.92488195494406</v>
      </c>
      <c r="AK220" s="47" t="n">
        <f aca="false">-AK218*AK219</f>
        <v>-2.33265</v>
      </c>
      <c r="AL220" s="47" t="n">
        <f aca="false">-AL218*AL219</f>
        <v>-2.32237764353057</v>
      </c>
      <c r="AM220" s="47" t="n">
        <f aca="false">-AM218*AM219</f>
        <v>-9.36807284913059</v>
      </c>
      <c r="AN220" s="47" t="n">
        <f aca="false">-AN218*AN219</f>
        <v>-0</v>
      </c>
      <c r="AO220" s="47" t="n">
        <f aca="false">-AO218*AO219</f>
        <v>-0</v>
      </c>
      <c r="AP220" s="47" t="n">
        <f aca="false">-AP218*AP219</f>
        <v>-0</v>
      </c>
      <c r="AQ220" s="47" t="n">
        <f aca="false">-AQ218*AQ219</f>
        <v>-0</v>
      </c>
      <c r="AR220" s="47" t="n">
        <f aca="false">-AR218*AR219</f>
        <v>-0</v>
      </c>
      <c r="AS220" s="47" t="n">
        <f aca="false">-AS218*AS219</f>
        <v>-0</v>
      </c>
      <c r="AT220" s="47" t="n">
        <f aca="false">-AT218*AT219</f>
        <v>-0</v>
      </c>
      <c r="AU220" s="47" t="n">
        <f aca="false">-AU218*AU219</f>
        <v>-0</v>
      </c>
      <c r="AV220" s="47" t="n">
        <f aca="false">-AV218*AV219</f>
        <v>-0</v>
      </c>
      <c r="AW220" s="47" t="n">
        <f aca="false">-AW218*AW219</f>
        <v>-0</v>
      </c>
      <c r="AX220" s="47" t="n">
        <f aca="false">-AX218*AX219</f>
        <v>-0</v>
      </c>
      <c r="AY220" s="47" t="n">
        <f aca="false">-AY218*AY219</f>
        <v>-3.65452967719542</v>
      </c>
      <c r="AZ220" s="47" t="n">
        <f aca="false">-AZ218*AZ219</f>
        <v>-3.09805153991201</v>
      </c>
      <c r="BA220" s="47" t="n">
        <f aca="false">-BA218*BA219</f>
        <v>-8.205</v>
      </c>
      <c r="BB220" s="47" t="n">
        <f aca="false">-BB218*BB219</f>
        <v>-15.848275862069</v>
      </c>
      <c r="BC220" s="47" t="n">
        <f aca="false">-BC218*BC219</f>
        <v>-0.268874172185431</v>
      </c>
      <c r="BD220" s="47" t="n">
        <f aca="false">-BD218*BD219</f>
        <v>33.9556721311475</v>
      </c>
      <c r="BE220" s="47" t="n">
        <f aca="false">-BE218*BE219</f>
        <v>-0.342116630669546</v>
      </c>
      <c r="BF220" s="47" t="n">
        <f aca="false">-BF218*BF219</f>
        <v>-0.584549356223176</v>
      </c>
      <c r="BG220" s="47" t="n">
        <f aca="false">-BG218*BG219</f>
        <v>30.7299422601045</v>
      </c>
      <c r="BH220" s="47" t="n">
        <f aca="false">-BH218*BH219</f>
        <v>-0.167058823529412</v>
      </c>
      <c r="BI220" s="47" t="n">
        <f aca="false">-BI218*BI219</f>
        <v>-0.0835834470213734</v>
      </c>
      <c r="BJ220" s="47" t="n">
        <f aca="false">-BJ218*BJ219</f>
        <v>-0.671486761710794</v>
      </c>
      <c r="BK220" s="47" t="n">
        <f aca="false">-BK218*BK219</f>
        <v>-1.2212306794984</v>
      </c>
      <c r="BL220" s="47" t="n">
        <f aca="false">-BL218*BL219</f>
        <v>-2.39047427652733</v>
      </c>
      <c r="BM220" s="47" t="n">
        <f aca="false">-BM218*BM219</f>
        <v>328.961810466761</v>
      </c>
      <c r="BN220" s="47" t="n">
        <f aca="false">-BN218*BN219</f>
        <v>-8.17741935483871</v>
      </c>
      <c r="BO220" s="47" t="n">
        <f aca="false">-BO218*BO219</f>
        <v>-0.414847161572052</v>
      </c>
      <c r="BP220" s="47" t="n">
        <f aca="false">-BP218*BP219</f>
        <v>-0.1671388101983</v>
      </c>
      <c r="BQ220" s="47" t="n">
        <f aca="false">-BQ218*BQ219</f>
        <v>282.203389830508</v>
      </c>
      <c r="BR220" s="47" t="n">
        <f aca="false">-BR218*BR219</f>
        <v>-0</v>
      </c>
      <c r="BS220" s="47" t="n">
        <f aca="false">-BS218*BS219</f>
        <v>-0</v>
      </c>
      <c r="BT220" s="47" t="n">
        <f aca="false">-BT218*BT219</f>
        <v>-2.37333333333333</v>
      </c>
      <c r="BU220" s="47" t="n">
        <f aca="false">-BU218*BU219</f>
        <v>-4.28673835125448</v>
      </c>
      <c r="BV220" s="47" t="n">
        <f aca="false">-BV218*BV219</f>
        <v>-7.31484502446982</v>
      </c>
      <c r="BW220" s="47" t="n">
        <f aca="false">-BW218*BW219</f>
        <v>-9.09401709401709</v>
      </c>
      <c r="BX220" s="47" t="n">
        <f aca="false">-BX218*BX219</f>
        <v>-11.6</v>
      </c>
      <c r="BY220" s="37" t="n">
        <f aca="false">-BY218*BY219</f>
        <v>-20.7</v>
      </c>
      <c r="BZ220" s="37" t="n">
        <f aca="false">-BZ218*BZ219</f>
        <v>-11.96</v>
      </c>
      <c r="CA220" s="37" t="n">
        <f aca="false">SUM(BW220,BX220,BY220,BZ220)</f>
        <v>-53.3540170940171</v>
      </c>
      <c r="CB220" s="37" t="n">
        <f aca="false">-CB218*CB219</f>
        <v>-5.75</v>
      </c>
      <c r="CC220" s="37" t="n">
        <f aca="false">-CC218*CC219</f>
        <v>-2.3</v>
      </c>
      <c r="CD220" s="37" t="n">
        <f aca="false">-CD218*CD219</f>
        <v>-2.3</v>
      </c>
      <c r="CE220" s="37" t="n">
        <f aca="false">-CE218*CE219</f>
        <v>-2.3</v>
      </c>
      <c r="CF220" s="6"/>
    </row>
    <row r="221" customFormat="false" ht="15" hidden="false" customHeight="true" outlineLevel="0" collapsed="false">
      <c r="B221" s="26" t="s">
        <v>397</v>
      </c>
      <c r="H221" s="36" t="n">
        <v>14.574</v>
      </c>
      <c r="I221" s="36" t="n">
        <v>20.34</v>
      </c>
      <c r="O221" s="36" t="n">
        <v>5.395</v>
      </c>
      <c r="P221" s="36" t="n">
        <v>2.71</v>
      </c>
      <c r="Q221" s="36" t="n">
        <v>44.075</v>
      </c>
      <c r="R221" s="36" t="n">
        <v>3.024</v>
      </c>
      <c r="S221" s="36" t="n">
        <v>57.954</v>
      </c>
      <c r="V221" s="36" t="n">
        <v>19.384</v>
      </c>
      <c r="W221" s="36" t="n">
        <v>1.796</v>
      </c>
      <c r="X221" s="36" t="n">
        <v>1.529</v>
      </c>
      <c r="AG221" s="36" t="n">
        <v>-258.384</v>
      </c>
      <c r="AH221" s="36" t="n">
        <v>-259.524</v>
      </c>
      <c r="AJ221" s="36" t="n">
        <v>2.931</v>
      </c>
      <c r="AY221" s="36" t="n">
        <v>-0.92</v>
      </c>
      <c r="AZ221" s="36" t="n">
        <v>-0.952</v>
      </c>
      <c r="BA221" s="36" t="n">
        <v>-5.29</v>
      </c>
      <c r="BB221" s="36" t="n">
        <v>-5.924</v>
      </c>
      <c r="BD221" s="36" t="n">
        <v>9.144</v>
      </c>
      <c r="BE221" s="36" t="n">
        <v>0.667</v>
      </c>
      <c r="BF221" s="36" t="n">
        <v>-0.423</v>
      </c>
      <c r="BG221" s="36" t="n">
        <v>10.145</v>
      </c>
      <c r="BR221" s="36" t="n">
        <v>-0.3</v>
      </c>
      <c r="BS221" s="36" t="n">
        <v>0.336</v>
      </c>
      <c r="BW221" s="36" t="n">
        <v>18.666</v>
      </c>
      <c r="BX221" s="36" t="n">
        <v>-1.4</v>
      </c>
      <c r="BY221" s="52" t="n">
        <v>0</v>
      </c>
      <c r="BZ221" s="52" t="n">
        <v>0</v>
      </c>
      <c r="CA221" s="37" t="n">
        <f aca="false">SUM(BW221,BX221,BY221,BZ221)</f>
        <v>17.266</v>
      </c>
      <c r="CB221" s="52" t="n">
        <v>0</v>
      </c>
      <c r="CC221" s="52" t="n">
        <v>0</v>
      </c>
      <c r="CD221" s="52" t="n">
        <v>0</v>
      </c>
      <c r="CE221" s="52" t="n">
        <v>0</v>
      </c>
      <c r="CF221" s="6"/>
    </row>
    <row r="222" customFormat="false" ht="15" hidden="false" customHeight="true" outlineLevel="0" collapsed="false">
      <c r="B222" s="59" t="s">
        <v>398</v>
      </c>
      <c r="C222" s="60" t="n">
        <f aca="false">C217+C218+C220+N(C221)</f>
        <v>244.614753995434</v>
      </c>
      <c r="D222" s="60" t="n">
        <f aca="false">D217+D218+D220+N(D221)</f>
        <v>262.889659270998</v>
      </c>
      <c r="E222" s="60" t="n">
        <f aca="false">E217+E218+E220+N(E221)</f>
        <v>174.440100698726</v>
      </c>
      <c r="F222" s="60" t="n">
        <f aca="false">F217+F218+F220+N(F221)</f>
        <v>85.1999999999998</v>
      </c>
      <c r="G222" s="60" t="n">
        <f aca="false">G217+G218+G220+N(G221)</f>
        <v>96.8</v>
      </c>
      <c r="H222" s="60" t="n">
        <f aca="false">H217+H218+H220+N(H221)</f>
        <v>92.974</v>
      </c>
      <c r="I222" s="60" t="n">
        <f aca="false">I217+I218+I220+N(I221)</f>
        <v>105.34</v>
      </c>
      <c r="J222" s="60" t="n">
        <f aca="false">J217+J218+J220+N(J221)</f>
        <v>-27.7</v>
      </c>
      <c r="K222" s="60" t="n">
        <f aca="false">K217+K218+K220+N(K221)</f>
        <v>41.0000000000001</v>
      </c>
      <c r="L222" s="60" t="n">
        <f aca="false">L217+L218+L220+N(L221)</f>
        <v>72.0999999999999</v>
      </c>
      <c r="M222" s="60" t="n">
        <f aca="false">M217+M218+M220+N(M221)</f>
        <v>36.3</v>
      </c>
      <c r="N222" s="60" t="n">
        <f aca="false">N217+N218+N220+N(N221)</f>
        <v>122.1</v>
      </c>
      <c r="O222" s="60" t="n">
        <f aca="false">O217+O218+O220+N(O221)</f>
        <v>-16.205</v>
      </c>
      <c r="P222" s="60" t="n">
        <f aca="false">P217+P218+P220+N(P221)</f>
        <v>62.31</v>
      </c>
      <c r="Q222" s="60" t="n">
        <f aca="false">Q217+Q218+Q220+N(Q221)</f>
        <v>97.875</v>
      </c>
      <c r="R222" s="60" t="n">
        <f aca="false">R217+R218+R220+N(R221)</f>
        <v>66.924</v>
      </c>
      <c r="S222" s="60" t="n">
        <f aca="false">S217+S218+S220+N(S221)</f>
        <v>213.554</v>
      </c>
      <c r="T222" s="60" t="n">
        <f aca="false">T217+T218+T220+N(T221)</f>
        <v>6.09999999999995</v>
      </c>
      <c r="U222" s="60" t="n">
        <f aca="false">U217+U218+U220+N(U221)</f>
        <v>81.8999999999999</v>
      </c>
      <c r="V222" s="60" t="n">
        <f aca="false">V217+V218+V220+N(V221)</f>
        <v>136.884</v>
      </c>
      <c r="W222" s="60" t="n">
        <f aca="false">W217+W218+W220+N(W221)</f>
        <v>75.5553469387756</v>
      </c>
      <c r="X222" s="60" t="n">
        <f aca="false">X217+X218+X220+N(X221)</f>
        <v>301.499613823103</v>
      </c>
      <c r="Y222" s="60" t="n">
        <f aca="false">Y217+Y218+Y220+N(Y221)</f>
        <v>44.9999999999999</v>
      </c>
      <c r="Z222" s="60" t="n">
        <f aca="false">Z217+Z218+Z220+N(Z221)</f>
        <v>122.1</v>
      </c>
      <c r="AA222" s="60" t="n">
        <f aca="false">AA217+AA218+AA220+N(AA221)</f>
        <v>159.5</v>
      </c>
      <c r="AB222" s="60" t="n">
        <f aca="false">AB217+AB218+AB220+N(AB221)</f>
        <v>98.8999999999999</v>
      </c>
      <c r="AC222" s="60" t="n">
        <f aca="false">AC217+AC218+AC220+N(AC221)</f>
        <v>425.4</v>
      </c>
      <c r="AD222" s="60" t="n">
        <f aca="false">AD217+AD218+AD220+N(AD221)</f>
        <v>42.3</v>
      </c>
      <c r="AE222" s="60" t="n">
        <f aca="false">AE217+AE218+AE220+N(AE221)</f>
        <v>142.3</v>
      </c>
      <c r="AF222" s="60" t="n">
        <f aca="false">AF217+AF218+AF220+N(AF221)</f>
        <v>151.5</v>
      </c>
      <c r="AG222" s="60" t="n">
        <f aca="false">AG217+AG218+AG220+N(AG221)</f>
        <v>118.816</v>
      </c>
      <c r="AH222" s="60" t="n">
        <f aca="false">AH217+AH218+AH220+N(AH221)</f>
        <v>453.776</v>
      </c>
      <c r="AI222" s="60" t="n">
        <f aca="false">AI217+AI218+AI220+N(AI221)</f>
        <v>9.99999999999998</v>
      </c>
      <c r="AJ222" s="60" t="n">
        <f aca="false">AJ217+AJ218+AJ220+N(AJ221)</f>
        <v>205.676118045056</v>
      </c>
      <c r="AK222" s="60" t="n">
        <f aca="false">AK217+AK218+AK220+N(AK221)</f>
        <v>193.43935</v>
      </c>
      <c r="AL222" s="60" t="n">
        <f aca="false">AL217+AL218+AL220+N(AL221)</f>
        <v>104.556622356469</v>
      </c>
      <c r="AM222" s="60" t="n">
        <f aca="false">AM217+AM218+AM220+N(AM221)</f>
        <v>511.68492715087</v>
      </c>
      <c r="AN222" s="60" t="n">
        <f aca="false">AN217+AN218+AN220+N(AN221)</f>
        <v>42.826</v>
      </c>
      <c r="AO222" s="60" t="n">
        <f aca="false">AO217+AO218+AO220+N(AO221)</f>
        <v>189.469</v>
      </c>
      <c r="AP222" s="60" t="n">
        <f aca="false">AP217+AP218+AP220+N(AP221)</f>
        <v>248.622</v>
      </c>
      <c r="AQ222" s="60" t="n">
        <f aca="false">AQ217+AQ218+AQ220+N(AQ221)</f>
        <v>131.014</v>
      </c>
      <c r="AR222" s="60" t="n">
        <f aca="false">AR217+AR218+AR220+N(AR221)</f>
        <v>611.915</v>
      </c>
      <c r="AS222" s="60" t="n">
        <f aca="false">AS217+AS218+AS220+N(AS221)</f>
        <v>25.9000000000001</v>
      </c>
      <c r="AT222" s="60" t="n">
        <f aca="false">AT217+AT218+AT220+N(AT221)</f>
        <v>217.6</v>
      </c>
      <c r="AU222" s="60" t="n">
        <f aca="false">AU217+AU218+AU220+N(AU221)</f>
        <v>294.4</v>
      </c>
      <c r="AV222" s="60" t="n">
        <f aca="false">AV217+AV218+AV220+N(AV221)</f>
        <v>183</v>
      </c>
      <c r="AW222" s="60" t="n">
        <f aca="false">AW217+AW218+AW220+N(AW221)</f>
        <v>721</v>
      </c>
      <c r="AX222" s="60" t="n">
        <f aca="false">AX217+AX218+AX220+N(AX221)</f>
        <v>65.2999999999999</v>
      </c>
      <c r="AY222" s="60" t="n">
        <f aca="false">AY217+AY218+AY220+N(AY221)</f>
        <v>238.125470322805</v>
      </c>
      <c r="AZ222" s="60" t="n">
        <f aca="false">AZ217+AZ218+AZ220+N(AZ221)</f>
        <v>266.049948460088</v>
      </c>
      <c r="BA222" s="60" t="n">
        <f aca="false">BA217+BA218+BA220+N(BA221)</f>
        <v>197.505</v>
      </c>
      <c r="BB222" s="60" t="n">
        <f aca="false">BB217+BB218+BB220+N(BB221)</f>
        <v>768.727724137931</v>
      </c>
      <c r="BC222" s="60" t="n">
        <f aca="false">BC217+BC218+BC220+N(BC221)</f>
        <v>25.6311258278145</v>
      </c>
      <c r="BD222" s="60" t="n">
        <f aca="false">BD217+BD218+BD220+N(BD221)</f>
        <v>247.499672131148</v>
      </c>
      <c r="BE222" s="60" t="n">
        <f aca="false">BE217+BE218+BE220+N(BE221)</f>
        <v>293.12488336933</v>
      </c>
      <c r="BF222" s="60" t="n">
        <f aca="false">BF217+BF218+BF220+N(BF221)</f>
        <v>189.392450643777</v>
      </c>
      <c r="BG222" s="60" t="n">
        <f aca="false">BG217+BG218+BG220+N(BG221)</f>
        <v>754.374942260105</v>
      </c>
      <c r="BH222" s="60" t="n">
        <f aca="false">BH217+BH218+BH220+N(BH221)</f>
        <v>134.932941176471</v>
      </c>
      <c r="BI222" s="60" t="n">
        <f aca="false">BI217+BI218+BI220+N(BI221)</f>
        <v>347.916416552978</v>
      </c>
      <c r="BJ222" s="60" t="n">
        <f aca="false">BJ217+BJ218+BJ220+N(BJ221)</f>
        <v>432.928513238289</v>
      </c>
      <c r="BK222" s="60" t="n">
        <f aca="false">BK217+BK218+BK220+N(BK221)</f>
        <v>294.078769320502</v>
      </c>
      <c r="BL222" s="60" t="n">
        <f aca="false">BL217+BL218+BL220+N(BL221)</f>
        <v>1209.60952572347</v>
      </c>
      <c r="BM222" s="60" t="n">
        <f aca="false">BM217+BM218+BM220+N(BM221)</f>
        <v>109.961810466761</v>
      </c>
      <c r="BN222" s="60" t="n">
        <f aca="false">BN217+BN218+BN220+N(BN221)</f>
        <v>324.822580645161</v>
      </c>
      <c r="BO222" s="60" t="n">
        <f aca="false">BO217+BO218+BO220+N(BO221)</f>
        <v>364.585152838428</v>
      </c>
      <c r="BP222" s="60" t="n">
        <f aca="false">BP217+BP218+BP220+N(BP221)</f>
        <v>294.832861189802</v>
      </c>
      <c r="BQ222" s="60" t="n">
        <f aca="false">BQ217+BQ218+BQ220+N(BQ221)</f>
        <v>1056.20338983051</v>
      </c>
      <c r="BR222" s="60" t="n">
        <f aca="false">BR217+BR218+BR220+N(BR221)</f>
        <v>103.7</v>
      </c>
      <c r="BS222" s="60" t="n">
        <f aca="false">BS217+BS218+BS220+N(BS221)</f>
        <v>292.336</v>
      </c>
      <c r="BT222" s="60" t="n">
        <f aca="false">BT217+BT218+BT220+N(BT221)</f>
        <v>370.626666666667</v>
      </c>
      <c r="BU222" s="60" t="n">
        <f aca="false">BU217+BU218+BU220+N(BU221)</f>
        <v>254.713261648746</v>
      </c>
      <c r="BV222" s="60" t="n">
        <f aca="false">BV217+BV218+BV220+N(BV221)</f>
        <v>1020.68515497553</v>
      </c>
      <c r="BW222" s="60" t="n">
        <f aca="false">BW217+BW218+BW220+N(BW221)</f>
        <v>116.571982905983</v>
      </c>
      <c r="BX222" s="60" t="n">
        <f aca="false">BX217+BX218+BX220+N(BX221)</f>
        <v>301</v>
      </c>
      <c r="BY222" s="60" t="n">
        <f aca="false">BY217+BY218+BY220+N(BY221)</f>
        <v>402.302223524286</v>
      </c>
      <c r="BZ222" s="60" t="n">
        <f aca="false">BZ217+BZ218+BZ220+N(BZ221)</f>
        <v>268.294239822475</v>
      </c>
      <c r="CA222" s="60" t="n">
        <f aca="false">CA217+CA218+CA220+N(CA221)</f>
        <v>1088.16844625274</v>
      </c>
      <c r="CB222" s="60" t="n">
        <f aca="false">CB217+CB218+CB220+N(CB221)</f>
        <v>1307.88503471762</v>
      </c>
      <c r="CC222" s="60" t="n">
        <f aca="false">CC217+CC218+CC220+N(CC221)</f>
        <v>1617.81428933986</v>
      </c>
      <c r="CD222" s="60" t="n">
        <f aca="false">CD217+CD218+CD220+N(CD221)</f>
        <v>1887.9941935602</v>
      </c>
      <c r="CE222" s="60" t="n">
        <f aca="false">CE217+CE218+CE220+N(CE221)</f>
        <v>2108.09833001768</v>
      </c>
      <c r="CF222" s="6"/>
      <c r="CH222" s="21" t="n">
        <f aca="false">IFERROR((CE222/BV222)^(1/5)-1,"n/m")</f>
        <v>0.156111744846453</v>
      </c>
      <c r="CI222" s="21" t="n">
        <f aca="false">IFERROR((BV222/AW222)^(1/5)-1,"n/m")</f>
        <v>0.0719914134883271</v>
      </c>
      <c r="CJ222" s="21" t="n">
        <f aca="false">IFERROR((BV222/X222)^(1/10)-1,"n/m")</f>
        <v>0.129693171946353</v>
      </c>
      <c r="CK222" s="21" t="n">
        <f aca="false">IFERROR((BV222/C222)^(1/19)-1,"n/m")</f>
        <v>0.0780852722525456</v>
      </c>
    </row>
    <row r="223" customFormat="false" ht="15" hidden="false" customHeight="true" outlineLevel="0" collapsed="false">
      <c r="B223" s="26" t="s">
        <v>342</v>
      </c>
      <c r="C223" s="69" t="n">
        <f aca="false">C180</f>
        <v>46.4</v>
      </c>
      <c r="D223" s="69" t="n">
        <f aca="false">D180</f>
        <v>43.3</v>
      </c>
      <c r="E223" s="69" t="n">
        <f aca="false">E180</f>
        <v>42</v>
      </c>
      <c r="F223" s="69" t="n">
        <f aca="false">F180</f>
        <v>44.2</v>
      </c>
      <c r="G223" s="69" t="n">
        <f aca="false">G180</f>
        <v>45.7</v>
      </c>
      <c r="H223" s="69" t="n">
        <f aca="false">H180</f>
        <v>45.8</v>
      </c>
      <c r="I223" s="69" t="n">
        <f aca="false">I180</f>
        <v>46</v>
      </c>
      <c r="J223" s="69" t="n">
        <f aca="false">J180</f>
        <v>46</v>
      </c>
      <c r="K223" s="69" t="n">
        <f aca="false">K180</f>
        <v>46.3</v>
      </c>
      <c r="L223" s="69" t="n">
        <f aca="false">L180</f>
        <v>46.3</v>
      </c>
      <c r="M223" s="69" t="n">
        <f aca="false">M180</f>
        <v>46.4</v>
      </c>
      <c r="N223" s="69" t="n">
        <f aca="false">N180</f>
        <v>46.3</v>
      </c>
      <c r="O223" s="69" t="n">
        <f aca="false">O180</f>
        <v>46.3</v>
      </c>
      <c r="P223" s="69" t="n">
        <f aca="false">P180</f>
        <v>46.5</v>
      </c>
      <c r="Q223" s="69" t="n">
        <f aca="false">Q180</f>
        <v>67.5</v>
      </c>
      <c r="R223" s="69" t="n">
        <f aca="false">R180</f>
        <v>67.6</v>
      </c>
      <c r="S223" s="69" t="n">
        <f aca="false">S180</f>
        <v>57.1</v>
      </c>
      <c r="T223" s="69" t="n">
        <f aca="false">T180</f>
        <v>67.7</v>
      </c>
      <c r="U223" s="69" t="n">
        <f aca="false">U180</f>
        <v>67.6</v>
      </c>
      <c r="V223" s="69" t="n">
        <f aca="false">V180</f>
        <v>67.1</v>
      </c>
      <c r="W223" s="69" t="n">
        <f aca="false">W180</f>
        <v>65.7</v>
      </c>
      <c r="X223" s="69" t="n">
        <f aca="false">X180</f>
        <v>67</v>
      </c>
      <c r="Y223" s="69" t="n">
        <f aca="false">Y180</f>
        <v>64.4</v>
      </c>
      <c r="Z223" s="69" t="n">
        <f aca="false">Z180</f>
        <v>63.8</v>
      </c>
      <c r="AA223" s="69" t="n">
        <f aca="false">AA180</f>
        <v>63.7</v>
      </c>
      <c r="AB223" s="69" t="n">
        <f aca="false">AB180</f>
        <v>63.5</v>
      </c>
      <c r="AC223" s="69" t="n">
        <f aca="false">AC180</f>
        <v>63.9</v>
      </c>
      <c r="AD223" s="69" t="n">
        <f aca="false">AD180</f>
        <v>63.3</v>
      </c>
      <c r="AE223" s="69" t="n">
        <f aca="false">AE180</f>
        <v>63.1</v>
      </c>
      <c r="AF223" s="69" t="n">
        <f aca="false">AF180</f>
        <v>63.2</v>
      </c>
      <c r="AG223" s="69" t="n">
        <f aca="false">AG180</f>
        <v>63.2</v>
      </c>
      <c r="AH223" s="69" t="n">
        <f aca="false">AH180</f>
        <v>63.2</v>
      </c>
      <c r="AI223" s="69" t="n">
        <f aca="false">AI180</f>
        <v>63.2</v>
      </c>
      <c r="AJ223" s="69" t="n">
        <f aca="false">AJ180</f>
        <v>63.285</v>
      </c>
      <c r="AK223" s="69" t="n">
        <f aca="false">AK180</f>
        <v>63.167</v>
      </c>
      <c r="AL223" s="69" t="n">
        <f aca="false">AL180</f>
        <v>62.918</v>
      </c>
      <c r="AM223" s="69" t="n">
        <f aca="false">AM180</f>
        <v>63.147</v>
      </c>
      <c r="AN223" s="69" t="n">
        <f aca="false">AN180</f>
        <v>62.777</v>
      </c>
      <c r="AO223" s="69" t="n">
        <f aca="false">AO180</f>
        <v>62.72</v>
      </c>
      <c r="AP223" s="69" t="n">
        <f aca="false">AP180</f>
        <v>62.679</v>
      </c>
      <c r="AQ223" s="69" t="n">
        <f aca="false">AQ180</f>
        <v>62.667</v>
      </c>
      <c r="AR223" s="69" t="n">
        <f aca="false">AR180</f>
        <v>62.71</v>
      </c>
      <c r="AS223" s="69" t="n">
        <f aca="false">AS180</f>
        <v>62.5</v>
      </c>
      <c r="AT223" s="69" t="n">
        <f aca="false">AT180</f>
        <v>62.3</v>
      </c>
      <c r="AU223" s="69" t="n">
        <f aca="false">AU180</f>
        <v>62.4</v>
      </c>
      <c r="AV223" s="69" t="n">
        <f aca="false">AV180</f>
        <v>62.5</v>
      </c>
      <c r="AW223" s="69" t="n">
        <f aca="false">AW180</f>
        <v>62.4</v>
      </c>
      <c r="AX223" s="69" t="n">
        <f aca="false">AX180</f>
        <v>62.5</v>
      </c>
      <c r="AY223" s="69" t="n">
        <f aca="false">AY180</f>
        <v>62.5</v>
      </c>
      <c r="AZ223" s="69" t="n">
        <f aca="false">AZ180</f>
        <v>62.6</v>
      </c>
      <c r="BA223" s="69" t="n">
        <f aca="false">BA180</f>
        <v>62.7</v>
      </c>
      <c r="BB223" s="69" t="n">
        <f aca="false">BB180</f>
        <v>62.6</v>
      </c>
      <c r="BC223" s="69" t="n">
        <f aca="false">BC180</f>
        <v>62.6</v>
      </c>
      <c r="BD223" s="69" t="n">
        <f aca="false">BD180</f>
        <v>62.5</v>
      </c>
      <c r="BE223" s="69" t="n">
        <f aca="false">BE180</f>
        <v>62.5</v>
      </c>
      <c r="BF223" s="69" t="n">
        <f aca="false">BF180</f>
        <v>62.3</v>
      </c>
      <c r="BG223" s="69" t="n">
        <f aca="false">BG180</f>
        <v>62.5</v>
      </c>
      <c r="BH223" s="69" t="n">
        <f aca="false">BH180</f>
        <v>62.2</v>
      </c>
      <c r="BI223" s="69" t="n">
        <f aca="false">BI180</f>
        <v>62.1</v>
      </c>
      <c r="BJ223" s="69" t="n">
        <f aca="false">BJ180</f>
        <v>62</v>
      </c>
      <c r="BK223" s="69" t="n">
        <f aca="false">BK180</f>
        <v>62</v>
      </c>
      <c r="BL223" s="69" t="n">
        <f aca="false">BL180</f>
        <v>62.1</v>
      </c>
      <c r="BM223" s="69" t="n">
        <f aca="false">BM180</f>
        <v>62</v>
      </c>
      <c r="BN223" s="69" t="n">
        <f aca="false">BN180</f>
        <v>61.6</v>
      </c>
      <c r="BO223" s="69" t="n">
        <f aca="false">BO180</f>
        <v>61.3</v>
      </c>
      <c r="BP223" s="69" t="n">
        <f aca="false">BP180</f>
        <v>61.3</v>
      </c>
      <c r="BQ223" s="69" t="n">
        <f aca="false">BQ180</f>
        <v>61.6</v>
      </c>
      <c r="BR223" s="69" t="n">
        <f aca="false">BR180</f>
        <v>61</v>
      </c>
      <c r="BS223" s="69" t="n">
        <f aca="false">BS180</f>
        <v>60.4</v>
      </c>
      <c r="BT223" s="69" t="n">
        <f aca="false">BT180</f>
        <v>60.4</v>
      </c>
      <c r="BU223" s="69" t="n">
        <f aca="false">BU180</f>
        <v>60.5</v>
      </c>
      <c r="BV223" s="69" t="n">
        <f aca="false">BV180</f>
        <v>60.6</v>
      </c>
      <c r="BW223" s="69" t="n">
        <f aca="false">BW180</f>
        <v>60.4</v>
      </c>
      <c r="BX223" s="69" t="n">
        <f aca="false">BX180</f>
        <v>60.2</v>
      </c>
      <c r="BY223" s="63" t="n">
        <f aca="false">BY180</f>
        <v>65.08147025</v>
      </c>
      <c r="BZ223" s="63" t="n">
        <f aca="false">BZ180</f>
        <v>71.153543</v>
      </c>
      <c r="CA223" s="63" t="n">
        <f aca="false">CA180</f>
        <v>64.2087533125</v>
      </c>
      <c r="CB223" s="63" t="n">
        <f aca="false">CB180</f>
        <v>71.329402</v>
      </c>
      <c r="CC223" s="63" t="n">
        <f aca="false">CC180</f>
        <v>71.479402</v>
      </c>
      <c r="CD223" s="63" t="n">
        <f aca="false">CD180</f>
        <v>70.5439241926701</v>
      </c>
      <c r="CE223" s="63" t="n">
        <f aca="false">CE180</f>
        <v>67.9415070302915</v>
      </c>
      <c r="CF223" s="6"/>
    </row>
    <row r="224" customFormat="false" ht="15" hidden="false" customHeight="true" outlineLevel="0" collapsed="false">
      <c r="B224" s="59" t="s">
        <v>399</v>
      </c>
      <c r="C224" s="64" t="n">
        <f aca="false">IF(AND(ISNUMBER(C222),ISNUMBER(C223)),IFERROR(C222/C223,""),"")</f>
        <v>5.27186969817745</v>
      </c>
      <c r="D224" s="64" t="n">
        <f aca="false">IF(AND(ISNUMBER(D222),ISNUMBER(D223)),IFERROR(D222/D223,""),"")</f>
        <v>6.07135471757502</v>
      </c>
      <c r="E224" s="64" t="n">
        <f aca="false">IF(AND(ISNUMBER(E222),ISNUMBER(E223)),IFERROR(E222/E223,""),"")</f>
        <v>4.15333573092204</v>
      </c>
      <c r="F224" s="64" t="n">
        <f aca="false">IF(AND(ISNUMBER(F222),ISNUMBER(F223)),IFERROR(F222/F223,""),"")</f>
        <v>1.92760180995475</v>
      </c>
      <c r="G224" s="64" t="n">
        <f aca="false">IF(AND(ISNUMBER(G222),ISNUMBER(G223)),IFERROR(G222/G223,""),"")</f>
        <v>2.11816192560175</v>
      </c>
      <c r="H224" s="64" t="n">
        <f aca="false">IF(AND(ISNUMBER(H222),ISNUMBER(H223)),IFERROR(H222/H223,""),"")</f>
        <v>2.03</v>
      </c>
      <c r="I224" s="64" t="n">
        <f aca="false">IF(AND(ISNUMBER(I222),ISNUMBER(I223)),IFERROR(I222/I223,""),"")</f>
        <v>2.29</v>
      </c>
      <c r="J224" s="64" t="n">
        <f aca="false">IF(AND(ISNUMBER(J222),ISNUMBER(J223)),IFERROR(J222/J223,""),"")</f>
        <v>-0.602173913043478</v>
      </c>
      <c r="K224" s="64" t="n">
        <f aca="false">IF(AND(ISNUMBER(K222),ISNUMBER(K223)),IFERROR(K222/K223,""),"")</f>
        <v>0.885529157667388</v>
      </c>
      <c r="L224" s="64" t="n">
        <f aca="false">IF(AND(ISNUMBER(L222),ISNUMBER(L223)),IFERROR(L222/L223,""),"")</f>
        <v>1.55723542116631</v>
      </c>
      <c r="M224" s="64" t="n">
        <f aca="false">IF(AND(ISNUMBER(M222),ISNUMBER(M223)),IFERROR(M222/M223,""),"")</f>
        <v>0.782327586206897</v>
      </c>
      <c r="N224" s="64" t="n">
        <f aca="false">IF(AND(ISNUMBER(N222),ISNUMBER(N223)),IFERROR(N222/N223,""),"")</f>
        <v>2.63714902807775</v>
      </c>
      <c r="O224" s="64" t="n">
        <f aca="false">IF(AND(ISNUMBER(O222),ISNUMBER(O223)),IFERROR(O222/O223,""),"")</f>
        <v>-0.35</v>
      </c>
      <c r="P224" s="64" t="n">
        <f aca="false">IF(AND(ISNUMBER(P222),ISNUMBER(P223)),IFERROR(P222/P223,""),"")</f>
        <v>1.34</v>
      </c>
      <c r="Q224" s="64" t="n">
        <f aca="false">IF(AND(ISNUMBER(Q222),ISNUMBER(Q223)),IFERROR(Q222/Q223,""),"")</f>
        <v>1.45</v>
      </c>
      <c r="R224" s="64" t="n">
        <f aca="false">IF(AND(ISNUMBER(R222),ISNUMBER(R223)),IFERROR(R222/R223,""),"")</f>
        <v>0.989999999999999</v>
      </c>
      <c r="S224" s="64" t="n">
        <f aca="false">IF(AND(ISNUMBER(S222),ISNUMBER(S223)),IFERROR(S222/S223,""),"")</f>
        <v>3.74</v>
      </c>
      <c r="T224" s="64" t="n">
        <f aca="false">IF(AND(ISNUMBER(T222),ISNUMBER(T223)),IFERROR(T222/T223,""),"")</f>
        <v>0.0901033973412105</v>
      </c>
      <c r="U224" s="64" t="n">
        <f aca="false">IF(AND(ISNUMBER(U222),ISNUMBER(U223)),IFERROR(U222/U223,""),"")</f>
        <v>1.21153846153846</v>
      </c>
      <c r="V224" s="64" t="n">
        <f aca="false">IF(AND(ISNUMBER(V222),ISNUMBER(V223)),IFERROR(V222/V223,""),"")</f>
        <v>2.04</v>
      </c>
      <c r="W224" s="64" t="n">
        <f aca="false">IF(AND(ISNUMBER(W222),ISNUMBER(W223)),IFERROR(W222/W223,""),"")</f>
        <v>1.15000528065107</v>
      </c>
      <c r="X224" s="64" t="n">
        <f aca="false">IF(AND(ISNUMBER(X222),ISNUMBER(X223)),IFERROR(X222/X223,""),"")</f>
        <v>4.49999423616571</v>
      </c>
      <c r="Y224" s="64" t="n">
        <f aca="false">IF(AND(ISNUMBER(Y222),ISNUMBER(Y223)),IFERROR(Y222/Y223,""),"")</f>
        <v>0.698757763975154</v>
      </c>
      <c r="Z224" s="64" t="n">
        <f aca="false">IF(AND(ISNUMBER(Z222),ISNUMBER(Z223)),IFERROR(Z222/Z223,""),"")</f>
        <v>1.91379310344827</v>
      </c>
      <c r="AA224" s="64" t="n">
        <f aca="false">IF(AND(ISNUMBER(AA222),ISNUMBER(AA223)),IFERROR(AA222/AA223,""),"")</f>
        <v>2.50392464678179</v>
      </c>
      <c r="AB224" s="64" t="n">
        <f aca="false">IF(AND(ISNUMBER(AB222),ISNUMBER(AB223)),IFERROR(AB222/AB223,""),"")</f>
        <v>1.55748031496063</v>
      </c>
      <c r="AC224" s="64" t="n">
        <f aca="false">IF(AND(ISNUMBER(AC222),ISNUMBER(AC223)),IFERROR(AC222/AC223,""),"")</f>
        <v>6.65727699530516</v>
      </c>
      <c r="AD224" s="64" t="n">
        <f aca="false">IF(AND(ISNUMBER(AD222),ISNUMBER(AD223)),IFERROR(AD222/AD223,""),"")</f>
        <v>0.668246445497631</v>
      </c>
      <c r="AE224" s="64" t="n">
        <f aca="false">IF(AND(ISNUMBER(AE222),ISNUMBER(AE223)),IFERROR(AE222/AE223,""),"")</f>
        <v>2.25515055467512</v>
      </c>
      <c r="AF224" s="64" t="n">
        <f aca="false">IF(AND(ISNUMBER(AF222),ISNUMBER(AF223)),IFERROR(AF222/AF223,""),"")</f>
        <v>2.39715189873418</v>
      </c>
      <c r="AG224" s="64" t="n">
        <f aca="false">IF(AND(ISNUMBER(AG222),ISNUMBER(AG223)),IFERROR(AG222/AG223,""),"")</f>
        <v>1.88</v>
      </c>
      <c r="AH224" s="64" t="n">
        <f aca="false">IF(AND(ISNUMBER(AH222),ISNUMBER(AH223)),IFERROR(AH222/AH223,""),"")</f>
        <v>7.18</v>
      </c>
      <c r="AI224" s="64" t="n">
        <f aca="false">IF(AND(ISNUMBER(AI222),ISNUMBER(AI223)),IFERROR(AI222/AI223,""),"")</f>
        <v>0.158227848101265</v>
      </c>
      <c r="AJ224" s="64" t="n">
        <f aca="false">IF(AND(ISNUMBER(AJ222),ISNUMBER(AJ223)),IFERROR(AJ222/AJ223,""),"")</f>
        <v>3.24999791490963</v>
      </c>
      <c r="AK224" s="64" t="n">
        <f aca="false">IF(AND(ISNUMBER(AK222),ISNUMBER(AK223)),IFERROR(AK222/AK223,""),"")</f>
        <v>3.06234821979831</v>
      </c>
      <c r="AL224" s="64" t="n">
        <f aca="false">IF(AND(ISNUMBER(AL222),ISNUMBER(AL223)),IFERROR(AL222/AL223,""),"")</f>
        <v>1.66179189351965</v>
      </c>
      <c r="AM224" s="64" t="n">
        <f aca="false">IF(AND(ISNUMBER(AM222),ISNUMBER(AM223)),IFERROR(AM222/AM223,""),"")</f>
        <v>8.10307579379653</v>
      </c>
      <c r="AN224" s="64" t="n">
        <f aca="false">IF(AND(ISNUMBER(AN222),ISNUMBER(AN223)),IFERROR(AN222/AN223,""),"")</f>
        <v>0.68219252273922</v>
      </c>
      <c r="AO224" s="64" t="n">
        <f aca="false">IF(AND(ISNUMBER(AO222),ISNUMBER(AO223)),IFERROR(AO222/AO223,""),"")</f>
        <v>3.02087053571429</v>
      </c>
      <c r="AP224" s="64" t="n">
        <f aca="false">IF(AND(ISNUMBER(AP222),ISNUMBER(AP223)),IFERROR(AP222/AP223,""),"")</f>
        <v>3.9665916814244</v>
      </c>
      <c r="AQ224" s="64" t="n">
        <f aca="false">IF(AND(ISNUMBER(AQ222),ISNUMBER(AQ223)),IFERROR(AQ222/AQ223,""),"")</f>
        <v>2.0906378157563</v>
      </c>
      <c r="AR224" s="64" t="n">
        <f aca="false">IF(AND(ISNUMBER(AR222),ISNUMBER(AR223)),IFERROR(AR222/AR223,""),"")</f>
        <v>9.75785361186414</v>
      </c>
      <c r="AS224" s="64" t="n">
        <f aca="false">IF(AND(ISNUMBER(AS222),ISNUMBER(AS223)),IFERROR(AS222/AS223,""),"")</f>
        <v>0.414400000000001</v>
      </c>
      <c r="AT224" s="64" t="n">
        <f aca="false">IF(AND(ISNUMBER(AT222),ISNUMBER(AT223)),IFERROR(AT222/AT223,""),"")</f>
        <v>3.49277688603531</v>
      </c>
      <c r="AU224" s="64" t="n">
        <f aca="false">IF(AND(ISNUMBER(AU222),ISNUMBER(AU223)),IFERROR(AU222/AU223,""),"")</f>
        <v>4.71794871794872</v>
      </c>
      <c r="AV224" s="64" t="n">
        <f aca="false">IF(AND(ISNUMBER(AV222),ISNUMBER(AV223)),IFERROR(AV222/AV223,""),"")</f>
        <v>2.928</v>
      </c>
      <c r="AW224" s="64" t="n">
        <f aca="false">IF(AND(ISNUMBER(AW222),ISNUMBER(AW223)),IFERROR(AW222/AW223,""),"")</f>
        <v>11.5544871794872</v>
      </c>
      <c r="AX224" s="64" t="n">
        <f aca="false">IF(AND(ISNUMBER(AX222),ISNUMBER(AX223)),IFERROR(AX222/AX223,""),"")</f>
        <v>1.0448</v>
      </c>
      <c r="AY224" s="64" t="n">
        <f aca="false">IF(AND(ISNUMBER(AY222),ISNUMBER(AY223)),IFERROR(AY222/AY223,""),"")</f>
        <v>3.81000752516488</v>
      </c>
      <c r="AZ224" s="64" t="n">
        <f aca="false">IF(AND(ISNUMBER(AZ222),ISNUMBER(AZ223)),IFERROR(AZ222/AZ223,""),"")</f>
        <v>4.24999917667872</v>
      </c>
      <c r="BA224" s="64" t="n">
        <f aca="false">IF(AND(ISNUMBER(BA222),ISNUMBER(BA223)),IFERROR(BA222/BA223,""),"")</f>
        <v>3.15</v>
      </c>
      <c r="BB224" s="64" t="n">
        <f aca="false">IF(AND(ISNUMBER(BB222),ISNUMBER(BB223)),IFERROR(BB222/BB223,""),"")</f>
        <v>12.2799955932577</v>
      </c>
      <c r="BC224" s="64" t="n">
        <f aca="false">IF(AND(ISNUMBER(BC222),ISNUMBER(BC223)),IFERROR(BC222/BC223,""),"")</f>
        <v>0.409442904597675</v>
      </c>
      <c r="BD224" s="64" t="n">
        <f aca="false">IF(AND(ISNUMBER(BD222),ISNUMBER(BD223)),IFERROR(BD222/BD223,""),"")</f>
        <v>3.95999475409836</v>
      </c>
      <c r="BE224" s="64" t="n">
        <f aca="false">IF(AND(ISNUMBER(BE222),ISNUMBER(BE223)),IFERROR(BE222/BE223,""),"")</f>
        <v>4.68999813390929</v>
      </c>
      <c r="BF224" s="64" t="n">
        <f aca="false">IF(AND(ISNUMBER(BF222),ISNUMBER(BF223)),IFERROR(BF222/BF223,""),"")</f>
        <v>3.04000723344746</v>
      </c>
      <c r="BG224" s="64" t="n">
        <f aca="false">IF(AND(ISNUMBER(BG222),ISNUMBER(BG223)),IFERROR(BG222/BG223,""),"")</f>
        <v>12.0699990761617</v>
      </c>
      <c r="BH224" s="64" t="n">
        <f aca="false">IF(AND(ISNUMBER(BH222),ISNUMBER(BH223)),IFERROR(BH222/BH223,""),"")</f>
        <v>2.16933989029695</v>
      </c>
      <c r="BI224" s="64" t="n">
        <f aca="false">IF(AND(ISNUMBER(BI222),ISNUMBER(BI223)),IFERROR(BI222/BI223,""),"")</f>
        <v>5.60251878507212</v>
      </c>
      <c r="BJ224" s="64" t="n">
        <f aca="false">IF(AND(ISNUMBER(BJ222),ISNUMBER(BJ223)),IFERROR(BJ222/BJ223,""),"")</f>
        <v>6.98271795545628</v>
      </c>
      <c r="BK224" s="64" t="n">
        <f aca="false">IF(AND(ISNUMBER(BK222),ISNUMBER(BK223)),IFERROR(BK222/BK223,""),"")</f>
        <v>4.74320595678228</v>
      </c>
      <c r="BL224" s="64" t="n">
        <f aca="false">IF(AND(ISNUMBER(BL222),ISNUMBER(BL223)),IFERROR(BL222/BL223,""),"")</f>
        <v>19.4784142628578</v>
      </c>
      <c r="BM224" s="64" t="n">
        <f aca="false">IF(AND(ISNUMBER(BM222),ISNUMBER(BM223)),IFERROR(BM222/BM223,""),"")</f>
        <v>1.77357758817356</v>
      </c>
      <c r="BN224" s="64" t="n">
        <f aca="false">IF(AND(ISNUMBER(BN222),ISNUMBER(BN223)),IFERROR(BN222/BN223,""),"")</f>
        <v>5.27309384164223</v>
      </c>
      <c r="BO224" s="64" t="n">
        <f aca="false">IF(AND(ISNUMBER(BO222),ISNUMBER(BO223)),IFERROR(BO222/BO223,""),"")</f>
        <v>5.94755551123047</v>
      </c>
      <c r="BP224" s="64" t="n">
        <f aca="false">IF(AND(ISNUMBER(BP222),ISNUMBER(BP223)),IFERROR(BP222/BP223,""),"")</f>
        <v>4.80967147128551</v>
      </c>
      <c r="BQ224" s="64" t="n">
        <f aca="false">IF(AND(ISNUMBER(BQ222),ISNUMBER(BQ223)),IFERROR(BQ222/BQ223,""),"")</f>
        <v>17.1461589258199</v>
      </c>
      <c r="BR224" s="64" t="n">
        <f aca="false">IF(AND(ISNUMBER(BR222),ISNUMBER(BR223)),IFERROR(BR222/BR223,""),"")</f>
        <v>1.7</v>
      </c>
      <c r="BS224" s="64" t="n">
        <f aca="false">IF(AND(ISNUMBER(BS222),ISNUMBER(BS223)),IFERROR(BS222/BS223,""),"")</f>
        <v>4.84</v>
      </c>
      <c r="BT224" s="64" t="n">
        <f aca="false">IF(AND(ISNUMBER(BT222),ISNUMBER(BT223)),IFERROR(BT222/BT223,""),"")</f>
        <v>6.13620309050773</v>
      </c>
      <c r="BU224" s="64" t="n">
        <f aca="false">IF(AND(ISNUMBER(BU222),ISNUMBER(BU223)),IFERROR(BU222/BU223,""),"")</f>
        <v>4.21013655617761</v>
      </c>
      <c r="BV224" s="64" t="n">
        <f aca="false">IF(AND(ISNUMBER(BV222),ISNUMBER(BV223)),IFERROR(BV222/BV223,""),"")</f>
        <v>16.8429893560319</v>
      </c>
      <c r="BW224" s="64" t="n">
        <f aca="false">IF(AND(ISNUMBER(BW222),ISNUMBER(BW223)),IFERROR(BW222/BW223,""),"")</f>
        <v>1.92999971698647</v>
      </c>
      <c r="BX224" s="64" t="n">
        <f aca="false">IF(AND(ISNUMBER(BX222),ISNUMBER(BX223)),IFERROR(BX222/BX223,""),"")</f>
        <v>5</v>
      </c>
      <c r="BY224" s="64" t="n">
        <f aca="false">IFERROR(BY222/BY223,"")</f>
        <v>6.18151713504484</v>
      </c>
      <c r="BZ224" s="64" t="n">
        <f aca="false">IFERROR(BZ222/BZ223,"")</f>
        <v>3.77063781381167</v>
      </c>
      <c r="CA224" s="64" t="n">
        <f aca="false">IFERROR(CA222/CA223,"")</f>
        <v>16.9473535945589</v>
      </c>
      <c r="CB224" s="64" t="n">
        <f aca="false">IFERROR(CB222/CB223,"")</f>
        <v>18.3358474632609</v>
      </c>
      <c r="CC224" s="64" t="n">
        <f aca="false">IFERROR(CC222/CC223,"")</f>
        <v>22.6332935653248</v>
      </c>
      <c r="CD224" s="64" t="n">
        <f aca="false">IFERROR(CD222/CD223,"")</f>
        <v>26.76338487215</v>
      </c>
      <c r="CE224" s="64" t="n">
        <f aca="false">IFERROR(CE222/CE223,"")</f>
        <v>31.028136144784</v>
      </c>
      <c r="CF224" s="6"/>
      <c r="CH224" s="21" t="n">
        <f aca="false">IFERROR((CE224/BV224)^(1/5)-1,"n/m")</f>
        <v>0.129971013281329</v>
      </c>
      <c r="CI224" s="21" t="n">
        <f aca="false">IFERROR((BV224/AW224)^(1/5)-1,"n/m")</f>
        <v>0.0782853377698651</v>
      </c>
      <c r="CJ224" s="21" t="n">
        <f aca="false">IFERROR((BV224/X224)^(1/10)-1,"n/m")</f>
        <v>0.141092160413828</v>
      </c>
      <c r="CK224" s="21" t="n">
        <f aca="false">IFERROR((BV224/C224)^(1/19)-1,"n/m")</f>
        <v>0.0630415439347318</v>
      </c>
    </row>
    <row r="225" customFormat="false" ht="15" hidden="false" customHeight="true" outlineLevel="0" collapsed="false">
      <c r="B225" s="42" t="s">
        <v>400</v>
      </c>
      <c r="H225" s="28" t="n">
        <v>2.03</v>
      </c>
      <c r="I225" s="28" t="n">
        <v>2.29</v>
      </c>
      <c r="O225" s="28" t="n">
        <v>-0.35</v>
      </c>
      <c r="P225" s="28" t="n">
        <v>1.34</v>
      </c>
      <c r="Q225" s="28" t="n">
        <v>1.45</v>
      </c>
      <c r="R225" s="28" t="n">
        <v>0.99</v>
      </c>
      <c r="S225" s="28" t="n">
        <v>3.74</v>
      </c>
      <c r="V225" s="28" t="n">
        <v>2.04</v>
      </c>
      <c r="W225" s="28" t="n">
        <v>1.15</v>
      </c>
      <c r="X225" s="28" t="n">
        <v>4.5</v>
      </c>
      <c r="AG225" s="28" t="n">
        <v>1.88</v>
      </c>
      <c r="AH225" s="28" t="n">
        <v>7.18</v>
      </c>
      <c r="AJ225" s="28" t="n">
        <v>3.25</v>
      </c>
      <c r="AY225" s="28" t="n">
        <v>3.81</v>
      </c>
      <c r="AZ225" s="28" t="n">
        <v>4.25</v>
      </c>
      <c r="BA225" s="28" t="n">
        <v>3.15</v>
      </c>
      <c r="BB225" s="28" t="n">
        <v>12.28</v>
      </c>
      <c r="BD225" s="28" t="n">
        <v>3.96</v>
      </c>
      <c r="BE225" s="28" t="n">
        <v>4.69</v>
      </c>
      <c r="BF225" s="28" t="n">
        <v>3.04</v>
      </c>
      <c r="BG225" s="28" t="n">
        <v>12.07</v>
      </c>
      <c r="BR225" s="28" t="n">
        <v>1.7</v>
      </c>
      <c r="BS225" s="28" t="n">
        <v>4.84</v>
      </c>
      <c r="BW225" s="28" t="n">
        <v>1.93</v>
      </c>
      <c r="BX225" s="28" t="n">
        <v>5</v>
      </c>
      <c r="BY225" s="6"/>
      <c r="BZ225" s="6"/>
      <c r="CA225" s="6"/>
      <c r="CB225" s="6"/>
      <c r="CC225" s="6"/>
      <c r="CD225" s="6"/>
      <c r="CE225" s="6"/>
      <c r="CF225" s="6"/>
    </row>
    <row r="226" customFormat="false" ht="15" hidden="false" customHeight="true" outlineLevel="0" collapsed="false">
      <c r="B226" s="61" t="s">
        <v>401</v>
      </c>
      <c r="C226" s="40" t="str">
        <f aca="false">IF(ISNUMBER(C225),ROUND(C224-C225,2),"n/p")</f>
        <v>n/p</v>
      </c>
      <c r="D226" s="40" t="str">
        <f aca="false">IF(ISNUMBER(D225),ROUND(D224-D225,2),"n/p")</f>
        <v>n/p</v>
      </c>
      <c r="E226" s="40" t="str">
        <f aca="false">IF(ISNUMBER(E225),ROUND(E224-E225,2),"n/p")</f>
        <v>n/p</v>
      </c>
      <c r="F226" s="40" t="str">
        <f aca="false">IF(ISNUMBER(F225),ROUND(F224-F225,2),"n/p")</f>
        <v>n/p</v>
      </c>
      <c r="G226" s="40" t="str">
        <f aca="false">IF(ISNUMBER(G225),ROUND(G224-G225,2),"n/p")</f>
        <v>n/p</v>
      </c>
      <c r="H226" s="40" t="n">
        <f aca="false">IF(ISNUMBER(H225),ROUND(H224-H225,2),"n/p")</f>
        <v>0</v>
      </c>
      <c r="I226" s="40" t="n">
        <f aca="false">IF(ISNUMBER(I225),ROUND(I224-I225,2),"n/p")</f>
        <v>0</v>
      </c>
      <c r="J226" s="40" t="str">
        <f aca="false">IF(ISNUMBER(J225),ROUND(J224-J225,2),"n/p")</f>
        <v>n/p</v>
      </c>
      <c r="K226" s="40" t="str">
        <f aca="false">IF(ISNUMBER(K225),ROUND(K224-K225,2),"n/p")</f>
        <v>n/p</v>
      </c>
      <c r="L226" s="40" t="str">
        <f aca="false">IF(ISNUMBER(L225),ROUND(L224-L225,2),"n/p")</f>
        <v>n/p</v>
      </c>
      <c r="M226" s="40" t="str">
        <f aca="false">IF(ISNUMBER(M225),ROUND(M224-M225,2),"n/p")</f>
        <v>n/p</v>
      </c>
      <c r="N226" s="40" t="str">
        <f aca="false">IF(ISNUMBER(N225),ROUND(N224-N225,2),"n/p")</f>
        <v>n/p</v>
      </c>
      <c r="O226" s="40" t="n">
        <f aca="false">IF(ISNUMBER(O225),ROUND(O224-O225,2),"n/p")</f>
        <v>0</v>
      </c>
      <c r="P226" s="40" t="n">
        <f aca="false">IF(ISNUMBER(P225),ROUND(P224-P225,2),"n/p")</f>
        <v>0</v>
      </c>
      <c r="Q226" s="40" t="n">
        <f aca="false">IF(ISNUMBER(Q225),ROUND(Q224-Q225,2),"n/p")</f>
        <v>0</v>
      </c>
      <c r="R226" s="40" t="n">
        <f aca="false">IF(ISNUMBER(R225),ROUND(R224-R225,2),"n/p")</f>
        <v>0</v>
      </c>
      <c r="S226" s="40" t="n">
        <f aca="false">IF(ISNUMBER(S225),ROUND(S224-S225,2),"n/p")</f>
        <v>0</v>
      </c>
      <c r="T226" s="40" t="str">
        <f aca="false">IF(ISNUMBER(T225),ROUND(T224-T225,2),"n/p")</f>
        <v>n/p</v>
      </c>
      <c r="U226" s="40" t="str">
        <f aca="false">IF(ISNUMBER(U225),ROUND(U224-U225,2),"n/p")</f>
        <v>n/p</v>
      </c>
      <c r="V226" s="40" t="n">
        <f aca="false">IF(ISNUMBER(V225),ROUND(V224-V225,2),"n/p")</f>
        <v>0</v>
      </c>
      <c r="W226" s="40" t="n">
        <f aca="false">IF(ISNUMBER(W225),ROUND(W224-W225,2),"n/p")</f>
        <v>0</v>
      </c>
      <c r="X226" s="40" t="n">
        <f aca="false">IF(ISNUMBER(X225),ROUND(X224-X225,2),"n/p")</f>
        <v>-0</v>
      </c>
      <c r="Y226" s="40" t="str">
        <f aca="false">IF(ISNUMBER(Y225),ROUND(Y224-Y225,2),"n/p")</f>
        <v>n/p</v>
      </c>
      <c r="Z226" s="40" t="str">
        <f aca="false">IF(ISNUMBER(Z225),ROUND(Z224-Z225,2),"n/p")</f>
        <v>n/p</v>
      </c>
      <c r="AA226" s="40" t="str">
        <f aca="false">IF(ISNUMBER(AA225),ROUND(AA224-AA225,2),"n/p")</f>
        <v>n/p</v>
      </c>
      <c r="AB226" s="40" t="str">
        <f aca="false">IF(ISNUMBER(AB225),ROUND(AB224-AB225,2),"n/p")</f>
        <v>n/p</v>
      </c>
      <c r="AC226" s="40" t="str">
        <f aca="false">IF(ISNUMBER(AC225),ROUND(AC224-AC225,2),"n/p")</f>
        <v>n/p</v>
      </c>
      <c r="AD226" s="40" t="str">
        <f aca="false">IF(ISNUMBER(AD225),ROUND(AD224-AD225,2),"n/p")</f>
        <v>n/p</v>
      </c>
      <c r="AE226" s="40" t="str">
        <f aca="false">IF(ISNUMBER(AE225),ROUND(AE224-AE225,2),"n/p")</f>
        <v>n/p</v>
      </c>
      <c r="AF226" s="40" t="str">
        <f aca="false">IF(ISNUMBER(AF225),ROUND(AF224-AF225,2),"n/p")</f>
        <v>n/p</v>
      </c>
      <c r="AG226" s="40" t="n">
        <f aca="false">IF(ISNUMBER(AG225),ROUND(AG224-AG225,2),"n/p")</f>
        <v>0</v>
      </c>
      <c r="AH226" s="40" t="n">
        <f aca="false">IF(ISNUMBER(AH225),ROUND(AH224-AH225,2),"n/p")</f>
        <v>0</v>
      </c>
      <c r="AI226" s="40" t="str">
        <f aca="false">IF(ISNUMBER(AI225),ROUND(AI224-AI225,2),"n/p")</f>
        <v>n/p</v>
      </c>
      <c r="AJ226" s="40" t="n">
        <f aca="false">IF(ISNUMBER(AJ225),ROUND(AJ224-AJ225,2),"n/p")</f>
        <v>-0</v>
      </c>
      <c r="AK226" s="40" t="str">
        <f aca="false">IF(ISNUMBER(AK225),ROUND(AK224-AK225,2),"n/p")</f>
        <v>n/p</v>
      </c>
      <c r="AL226" s="40" t="str">
        <f aca="false">IF(ISNUMBER(AL225),ROUND(AL224-AL225,2),"n/p")</f>
        <v>n/p</v>
      </c>
      <c r="AM226" s="40" t="str">
        <f aca="false">IF(ISNUMBER(AM225),ROUND(AM224-AM225,2),"n/p")</f>
        <v>n/p</v>
      </c>
      <c r="AN226" s="40" t="str">
        <f aca="false">IF(ISNUMBER(AN225),ROUND(AN224-AN225,2),"n/p")</f>
        <v>n/p</v>
      </c>
      <c r="AO226" s="40" t="str">
        <f aca="false">IF(ISNUMBER(AO225),ROUND(AO224-AO225,2),"n/p")</f>
        <v>n/p</v>
      </c>
      <c r="AP226" s="40" t="str">
        <f aca="false">IF(ISNUMBER(AP225),ROUND(AP224-AP225,2),"n/p")</f>
        <v>n/p</v>
      </c>
      <c r="AQ226" s="40" t="str">
        <f aca="false">IF(ISNUMBER(AQ225),ROUND(AQ224-AQ225,2),"n/p")</f>
        <v>n/p</v>
      </c>
      <c r="AR226" s="40" t="str">
        <f aca="false">IF(ISNUMBER(AR225),ROUND(AR224-AR225,2),"n/p")</f>
        <v>n/p</v>
      </c>
      <c r="AS226" s="40" t="str">
        <f aca="false">IF(ISNUMBER(AS225),ROUND(AS224-AS225,2),"n/p")</f>
        <v>n/p</v>
      </c>
      <c r="AT226" s="40" t="str">
        <f aca="false">IF(ISNUMBER(AT225),ROUND(AT224-AT225,2),"n/p")</f>
        <v>n/p</v>
      </c>
      <c r="AU226" s="40" t="str">
        <f aca="false">IF(ISNUMBER(AU225),ROUND(AU224-AU225,2),"n/p")</f>
        <v>n/p</v>
      </c>
      <c r="AV226" s="40" t="str">
        <f aca="false">IF(ISNUMBER(AV225),ROUND(AV224-AV225,2),"n/p")</f>
        <v>n/p</v>
      </c>
      <c r="AW226" s="40" t="str">
        <f aca="false">IF(ISNUMBER(AW225),ROUND(AW224-AW225,2),"n/p")</f>
        <v>n/p</v>
      </c>
      <c r="AX226" s="40" t="str">
        <f aca="false">IF(ISNUMBER(AX225),ROUND(AX224-AX225,2),"n/p")</f>
        <v>n/p</v>
      </c>
      <c r="AY226" s="40" t="n">
        <f aca="false">IF(ISNUMBER(AY225),ROUND(AY224-AY225,2),"n/p")</f>
        <v>0</v>
      </c>
      <c r="AZ226" s="40" t="n">
        <f aca="false">IF(ISNUMBER(AZ225),ROUND(AZ224-AZ225,2),"n/p")</f>
        <v>-0</v>
      </c>
      <c r="BA226" s="40" t="n">
        <f aca="false">IF(ISNUMBER(BA225),ROUND(BA224-BA225,2),"n/p")</f>
        <v>0</v>
      </c>
      <c r="BB226" s="40" t="n">
        <f aca="false">IF(ISNUMBER(BB225),ROUND(BB224-BB225,2),"n/p")</f>
        <v>-0</v>
      </c>
      <c r="BC226" s="40" t="str">
        <f aca="false">IF(ISNUMBER(BC225),ROUND(BC224-BC225,2),"n/p")</f>
        <v>n/p</v>
      </c>
      <c r="BD226" s="40" t="n">
        <f aca="false">IF(ISNUMBER(BD225),ROUND(BD224-BD225,2),"n/p")</f>
        <v>-0</v>
      </c>
      <c r="BE226" s="40" t="n">
        <f aca="false">IF(ISNUMBER(BE225),ROUND(BE224-BE225,2),"n/p")</f>
        <v>-0</v>
      </c>
      <c r="BF226" s="40" t="n">
        <f aca="false">IF(ISNUMBER(BF225),ROUND(BF224-BF225,2),"n/p")</f>
        <v>0</v>
      </c>
      <c r="BG226" s="40" t="n">
        <f aca="false">IF(ISNUMBER(BG225),ROUND(BG224-BG225,2),"n/p")</f>
        <v>-0</v>
      </c>
      <c r="BH226" s="40" t="str">
        <f aca="false">IF(ISNUMBER(BH225),ROUND(BH224-BH225,2),"n/p")</f>
        <v>n/p</v>
      </c>
      <c r="BI226" s="40" t="str">
        <f aca="false">IF(ISNUMBER(BI225),ROUND(BI224-BI225,2),"n/p")</f>
        <v>n/p</v>
      </c>
      <c r="BJ226" s="40" t="str">
        <f aca="false">IF(ISNUMBER(BJ225),ROUND(BJ224-BJ225,2),"n/p")</f>
        <v>n/p</v>
      </c>
      <c r="BK226" s="40" t="str">
        <f aca="false">IF(ISNUMBER(BK225),ROUND(BK224-BK225,2),"n/p")</f>
        <v>n/p</v>
      </c>
      <c r="BL226" s="40" t="str">
        <f aca="false">IF(ISNUMBER(BL225),ROUND(BL224-BL225,2),"n/p")</f>
        <v>n/p</v>
      </c>
      <c r="BM226" s="40" t="str">
        <f aca="false">IF(ISNUMBER(BM225),ROUND(BM224-BM225,2),"n/p")</f>
        <v>n/p</v>
      </c>
      <c r="BN226" s="40" t="str">
        <f aca="false">IF(ISNUMBER(BN225),ROUND(BN224-BN225,2),"n/p")</f>
        <v>n/p</v>
      </c>
      <c r="BO226" s="40" t="str">
        <f aca="false">IF(ISNUMBER(BO225),ROUND(BO224-BO225,2),"n/p")</f>
        <v>n/p</v>
      </c>
      <c r="BP226" s="40" t="str">
        <f aca="false">IF(ISNUMBER(BP225),ROUND(BP224-BP225,2),"n/p")</f>
        <v>n/p</v>
      </c>
      <c r="BQ226" s="40" t="str">
        <f aca="false">IF(ISNUMBER(BQ225),ROUND(BQ224-BQ225,2),"n/p")</f>
        <v>n/p</v>
      </c>
      <c r="BR226" s="40" t="n">
        <f aca="false">IF(ISNUMBER(BR225),ROUND(BR224-BR225,2),"n/p")</f>
        <v>0</v>
      </c>
      <c r="BS226" s="40" t="n">
        <f aca="false">IF(ISNUMBER(BS225),ROUND(BS224-BS225,2),"n/p")</f>
        <v>0</v>
      </c>
      <c r="BT226" s="40" t="str">
        <f aca="false">IF(ISNUMBER(BT225),ROUND(BT224-BT225,2),"n/p")</f>
        <v>n/p</v>
      </c>
      <c r="BU226" s="40" t="str">
        <f aca="false">IF(ISNUMBER(BU225),ROUND(BU224-BU225,2),"n/p")</f>
        <v>n/p</v>
      </c>
      <c r="BV226" s="40" t="str">
        <f aca="false">IF(ISNUMBER(BV225),ROUND(BV224-BV225,2),"n/p")</f>
        <v>n/p</v>
      </c>
      <c r="BW226" s="40" t="n">
        <f aca="false">IF(ISNUMBER(BW225),ROUND(BW224-BW225,2),"n/p")</f>
        <v>-0</v>
      </c>
      <c r="BX226" s="40" t="n">
        <f aca="false">IF(ISNUMBER(BX225),ROUND(BX224-BX225,2),"n/p")</f>
        <v>0</v>
      </c>
      <c r="BY226" s="6"/>
      <c r="BZ226" s="6"/>
      <c r="CA226" s="6"/>
      <c r="CB226" s="6"/>
      <c r="CC226" s="6"/>
      <c r="CD226" s="6"/>
      <c r="CE226" s="6"/>
      <c r="CF226" s="6"/>
    </row>
    <row r="227" customFormat="false" ht="15" hidden="false" customHeight="true" outlineLevel="0" collapsed="false">
      <c r="B227" s="67" t="s">
        <v>402</v>
      </c>
      <c r="O227" s="68" t="s">
        <v>403</v>
      </c>
      <c r="Q227" s="68" t="s">
        <v>404</v>
      </c>
      <c r="V227" s="68" t="s">
        <v>405</v>
      </c>
      <c r="AG227" s="68" t="s">
        <v>406</v>
      </c>
      <c r="AJ227" s="68" t="s">
        <v>407</v>
      </c>
      <c r="AY227" s="68" t="s">
        <v>408</v>
      </c>
      <c r="BW227" s="68" t="s">
        <v>409</v>
      </c>
      <c r="BY227" s="6"/>
      <c r="BZ227" s="6"/>
      <c r="CA227" s="6"/>
      <c r="CB227" s="6"/>
      <c r="CC227" s="6"/>
      <c r="CD227" s="6"/>
      <c r="CE227" s="6"/>
      <c r="CF227" s="6"/>
    </row>
    <row r="228" customFormat="false" ht="15" hidden="false" customHeight="true" outlineLevel="0" collapsed="false"/>
    <row r="229" customFormat="false" ht="15" hidden="false" customHeight="true" outlineLevel="0" collapsed="false">
      <c r="B229" s="11" t="s">
        <v>410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 t="s">
        <v>411</v>
      </c>
    </row>
    <row r="230" customFormat="false" ht="15" hidden="false" customHeight="true" outlineLevel="0" collapsed="false">
      <c r="B230" s="23" t="s">
        <v>109</v>
      </c>
      <c r="D230" s="24" t="n">
        <f aca="false">IF(AND(ISNUMBER(D152),ISNUMBER(C152)),IFERROR(D152/C152-1,""),"")</f>
        <v>0.000317258883248739</v>
      </c>
      <c r="E230" s="24" t="n">
        <f aca="false">IF(AND(ISNUMBER(E152),ISNUMBER(D152)),IFERROR(E152/D152-1,""),"")</f>
        <v>-0.0394182411308958</v>
      </c>
      <c r="F230" s="24" t="n">
        <f aca="false">IF(AND(ISNUMBER(F152),ISNUMBER(E152)),IFERROR(F152/E152-1,""),"")</f>
        <v>-0.196924673364464</v>
      </c>
      <c r="G230" s="24" t="n">
        <f aca="false">IF(AND(ISNUMBER(G152),ISNUMBER(F152)),IFERROR(G152/F152-1,""),"")</f>
        <v>0.0471631622224833</v>
      </c>
      <c r="H230" s="24" t="n">
        <f aca="false">IF(AND(ISNUMBER(H152),ISNUMBER(G152)),IFERROR(H152/G152-1,""),"")</f>
        <v>-0.038700992764597</v>
      </c>
      <c r="I230" s="24" t="n">
        <f aca="false">IF(AND(ISNUMBER(I152),ISNUMBER(H152)),IFERROR(I152/H152-1,""),"")</f>
        <v>0.188867495186417</v>
      </c>
      <c r="N230" s="24" t="n">
        <f aca="false">IF(AND(ISNUMBER(N152),ISNUMBER(I152)),IFERROR(N152/I152-1,""),"")</f>
        <v>0.0578621908127208</v>
      </c>
      <c r="O230" s="24" t="n">
        <f aca="false">IF(AND(ISNUMBER(O152),ISNUMBER(J152)),IFERROR(O152/J152-1,""),"")</f>
        <v>0.113506493506494</v>
      </c>
      <c r="P230" s="24" t="n">
        <f aca="false">IF(AND(ISNUMBER(P152),ISNUMBER(K152)),IFERROR(P152/K152-1,""),"")</f>
        <v>0.189266038741781</v>
      </c>
      <c r="Q230" s="24" t="n">
        <f aca="false">IF(AND(ISNUMBER(Q152),ISNUMBER(L152)),IFERROR(Q152/L152-1,""),"")</f>
        <v>0.508642717571021</v>
      </c>
      <c r="R230" s="24" t="n">
        <f aca="false">IF(AND(ISNUMBER(R152),ISNUMBER(M152)),IFERROR(R152/M152-1,""),"")</f>
        <v>0.571192660550459</v>
      </c>
      <c r="S230" s="24" t="n">
        <f aca="false">IF(AND(ISNUMBER(S152),ISNUMBER(N152)),IFERROR(S152/N152-1,""),"")</f>
        <v>0.372303409881698</v>
      </c>
      <c r="T230" s="24" t="n">
        <f aca="false">IF(AND(ISNUMBER(T152),ISNUMBER(O152)),IFERROR(T152/O152-1,""),"")</f>
        <v>0.612782831817122</v>
      </c>
      <c r="U230" s="24" t="n">
        <f aca="false">IF(AND(ISNUMBER(U152),ISNUMBER(P152)),IFERROR(U152/P152-1,""),"")</f>
        <v>0.376867901972504</v>
      </c>
      <c r="V230" s="24" t="n">
        <f aca="false">IF(AND(ISNUMBER(V152),ISNUMBER(Q152)),IFERROR(V152/Q152-1,""),"")</f>
        <v>0.0782106207033975</v>
      </c>
      <c r="W230" s="24" t="n">
        <f aca="false">IF(AND(ISNUMBER(W152),ISNUMBER(R152)),IFERROR(W152/R152-1,""),"")</f>
        <v>-0.0136634357117832</v>
      </c>
      <c r="X230" s="24" t="n">
        <f aca="false">IF(AND(ISNUMBER(X152),ISNUMBER(S152)),IFERROR(X152/S152-1,""),"")</f>
        <v>0.196619337390128</v>
      </c>
      <c r="Y230" s="24" t="n">
        <f aca="false">IF(AND(ISNUMBER(Y152),ISNUMBER(T152)),IFERROR(Y152/T152-1,""),"")</f>
        <v>0.140873589817761</v>
      </c>
      <c r="Z230" s="24" t="n">
        <f aca="false">IF(AND(ISNUMBER(Z152),ISNUMBER(U152)),IFERROR(Z152/U152-1,""),"")</f>
        <v>0.0606685478619491</v>
      </c>
      <c r="AA230" s="24" t="n">
        <f aca="false">IF(AND(ISNUMBER(AA152),ISNUMBER(V152)),IFERROR(AA152/V152-1,""),"")</f>
        <v>0.0200517464424321</v>
      </c>
      <c r="AB230" s="24" t="n">
        <f aca="false">IF(AND(ISNUMBER(AB152),ISNUMBER(W152)),IFERROR(AB152/W152-1,""),"")</f>
        <v>0.123372010419133</v>
      </c>
      <c r="AC230" s="24" t="n">
        <f aca="false">IF(AND(ISNUMBER(AC152),ISNUMBER(X152)),IFERROR(AC152/X152-1,""),"")</f>
        <v>0.0788789693750707</v>
      </c>
      <c r="AD230" s="24" t="n">
        <f aca="false">IF(AND(ISNUMBER(AD152),ISNUMBER(Y152)),IFERROR(AD152/Y152-1,""),"")</f>
        <v>0.0698529411764706</v>
      </c>
      <c r="AE230" s="24" t="n">
        <f aca="false">IF(AND(ISNUMBER(AE152),ISNUMBER(Z152)),IFERROR(AE152/Z152-1,""),"")</f>
        <v>0.0882021897063339</v>
      </c>
      <c r="AF230" s="24" t="n">
        <f aca="false">IF(AND(ISNUMBER(AF152),ISNUMBER(AA152)),IFERROR(AF152/AA152-1,""),"")</f>
        <v>-0.0146752423226741</v>
      </c>
      <c r="AG230" s="24" t="n">
        <f aca="false">IF(AND(ISNUMBER(AG152),ISNUMBER(AB152)),IFERROR(AG152/AB152-1,""),"")</f>
        <v>0.0228709949409782</v>
      </c>
      <c r="AH230" s="24" t="n">
        <f aca="false">IF(AND(ISNUMBER(AH152),ISNUMBER(AC152)),IFERROR(AH152/AC152-1,""),"")</f>
        <v>0.0384413952026814</v>
      </c>
      <c r="AI230" s="24" t="n">
        <f aca="false">IF(AND(ISNUMBER(AI152),ISNUMBER(AD152)),IFERROR(AI152/AD152-1,""),"")</f>
        <v>-0.0496504325157009</v>
      </c>
      <c r="AJ230" s="24" t="n">
        <f aca="false">IF(AND(ISNUMBER(AJ152),ISNUMBER(AE152)),IFERROR(AJ152/AE152-1,""),"")</f>
        <v>0.130609308885755</v>
      </c>
      <c r="AK230" s="24" t="n">
        <f aca="false">IF(AND(ISNUMBER(AK152),ISNUMBER(AF152)),IFERROR(AK152/AF152-1,""),"")</f>
        <v>0.121301829548589</v>
      </c>
      <c r="AL230" s="24" t="n">
        <f aca="false">IF(AND(ISNUMBER(AL152),ISNUMBER(AG152)),IFERROR(AL152/AG152-1,""),"")</f>
        <v>0.0512292632663576</v>
      </c>
      <c r="AM230" s="24" t="n">
        <f aca="false">IF(AND(ISNUMBER(AM152),ISNUMBER(AH152)),IFERROR(AM152/AH152-1,""),"")</f>
        <v>0.0702705769618721</v>
      </c>
      <c r="AN230" s="24" t="n">
        <f aca="false">IF(AND(ISNUMBER(AN152),ISNUMBER(AI152)),IFERROR(AN152/AI152-1,""),"")</f>
        <v>0.170766832917706</v>
      </c>
      <c r="AO230" s="24" t="n">
        <f aca="false">IF(AND(ISNUMBER(AO152),ISNUMBER(AJ152)),IFERROR(AO152/AJ152-1,""),"")</f>
        <v>0.0640924881258613</v>
      </c>
      <c r="AP230" s="24" t="n">
        <f aca="false">IF(AND(ISNUMBER(AP152),ISNUMBER(AK152)),IFERROR(AP152/AK152-1,""),"")</f>
        <v>0.164479682529271</v>
      </c>
      <c r="AQ230" s="24" t="n">
        <f aca="false">IF(AND(ISNUMBER(AQ152),ISNUMBER(AL152)),IFERROR(AQ152/AL152-1,""),"")</f>
        <v>0.0786224120727139</v>
      </c>
      <c r="AR230" s="24" t="n">
        <f aca="false">IF(AND(ISNUMBER(AR152),ISNUMBER(AM152)),IFERROR(AR152/AM152-1,""),"")</f>
        <v>0.11658862017334</v>
      </c>
      <c r="AS230" s="24" t="n">
        <f aca="false">IF(AND(ISNUMBER(AS152),ISNUMBER(AN152)),IFERROR(AS152/AN152-1,""),"")</f>
        <v>0.0204961899132545</v>
      </c>
      <c r="AT230" s="24" t="n">
        <f aca="false">IF(AND(ISNUMBER(AT152),ISNUMBER(AO152)),IFERROR(AT152/AO152-1,""),"")</f>
        <v>-0.00693100569924388</v>
      </c>
      <c r="AU230" s="24" t="n">
        <f aca="false">IF(AND(ISNUMBER(AU152),ISNUMBER(AP152)),IFERROR(AU152/AP152-1,""),"")</f>
        <v>-0.0695978020709088</v>
      </c>
      <c r="AV230" s="24" t="n">
        <f aca="false">IF(AND(ISNUMBER(AV152),ISNUMBER(AQ152)),IFERROR(AV152/AQ152-1,""),"")</f>
        <v>0.0719446034731877</v>
      </c>
      <c r="AW230" s="24" t="n">
        <f aca="false">IF(AND(ISNUMBER(AW152),ISNUMBER(AR152)),IFERROR(AW152/AR152-1,""),"")</f>
        <v>-0.00194087566874546</v>
      </c>
      <c r="AX230" s="24" t="n">
        <f aca="false">IF(AND(ISNUMBER(AX152),ISNUMBER(AS152)),IFERROR(AX152/AS152-1,""),"")</f>
        <v>0.0252556877478605</v>
      </c>
      <c r="AY230" s="24" t="n">
        <f aca="false">IF(AND(ISNUMBER(AY152),ISNUMBER(AT152)),IFERROR(AY152/AT152-1,""),"")</f>
        <v>0.0844482921454433</v>
      </c>
      <c r="AZ230" s="24" t="n">
        <f aca="false">IF(AND(ISNUMBER(AZ152),ISNUMBER(AU152)),IFERROR(AZ152/AU152-1,""),"")</f>
        <v>0.178522778870894</v>
      </c>
      <c r="BA230" s="24" t="n">
        <f aca="false">IF(AND(ISNUMBER(BA152),ISNUMBER(AV152)),IFERROR(BA152/AV152-1,""),"")</f>
        <v>0.268565615462869</v>
      </c>
      <c r="BB230" s="24" t="n">
        <f aca="false">IF(AND(ISNUMBER(BB152),ISNUMBER(AW152)),IFERROR(BB152/AW152-1,""),"")</f>
        <v>0.144633078923444</v>
      </c>
      <c r="BC230" s="24" t="n">
        <f aca="false">IF(AND(ISNUMBER(BC152),ISNUMBER(AX152)),IFERROR(BC152/AX152-1,""),"")</f>
        <v>0.252850162866449</v>
      </c>
      <c r="BD230" s="24" t="n">
        <f aca="false">IF(AND(ISNUMBER(BD152),ISNUMBER(AY152)),IFERROR(BD152/AY152-1,""),"")</f>
        <v>0.191450758400464</v>
      </c>
      <c r="BE230" s="24" t="n">
        <f aca="false">IF(AND(ISNUMBER(BE152),ISNUMBER(AZ152)),IFERROR(BE152/AZ152-1,""),"")</f>
        <v>0.163359660951647</v>
      </c>
      <c r="BF230" s="24" t="n">
        <f aca="false">IF(AND(ISNUMBER(BF152),ISNUMBER(BA152)),IFERROR(BF152/BA152-1,""),"")</f>
        <v>-0.0132985832665063</v>
      </c>
      <c r="BG230" s="24" t="n">
        <f aca="false">IF(AND(ISNUMBER(BG152),ISNUMBER(BB152)),IFERROR(BG152/BB152-1,""),"")</f>
        <v>0.137920206871075</v>
      </c>
      <c r="BH230" s="24" t="n">
        <f aca="false">IF(AND(ISNUMBER(BH152),ISNUMBER(BC152)),IFERROR(BH152/BC152-1,""),"")</f>
        <v>0.100178745531362</v>
      </c>
      <c r="BI230" s="24" t="n">
        <f aca="false">IF(AND(ISNUMBER(BI152),ISNUMBER(BD152)),IFERROR(BI152/BD152-1,""),"")</f>
        <v>0.109094231589206</v>
      </c>
      <c r="BJ230" s="24" t="n">
        <f aca="false">IF(AND(ISNUMBER(BJ152),ISNUMBER(BE152)),IFERROR(BJ152/BE152-1,""),"")</f>
        <v>0.100678920351051</v>
      </c>
      <c r="BK230" s="24" t="n">
        <f aca="false">IF(AND(ISNUMBER(BK152),ISNUMBER(BF152)),IFERROR(BK152/BF152-1,""),"")</f>
        <v>0.0891974263460889</v>
      </c>
      <c r="BL230" s="24" t="n">
        <f aca="false">IF(AND(ISNUMBER(BL152),ISNUMBER(BG152)),IFERROR(BL152/BG152-1,""),"")</f>
        <v>0.100069797263298</v>
      </c>
      <c r="BM230" s="24" t="n">
        <f aca="false">IF(AND(ISNUMBER(BM152),ISNUMBER(BH152)),IFERROR(BM152/BH152-1,""),"")</f>
        <v>-0.0761391330034709</v>
      </c>
      <c r="BN230" s="24" t="n">
        <f aca="false">IF(AND(ISNUMBER(BN152),ISNUMBER(BI152)),IFERROR(BN152/BI152-1,""),"")</f>
        <v>-0.031195079086116</v>
      </c>
      <c r="BO230" s="24" t="n">
        <f aca="false">IF(AND(ISNUMBER(BO152),ISNUMBER(BJ152)),IFERROR(BO152/BJ152-1,""),"")</f>
        <v>-0.0527054811694498</v>
      </c>
      <c r="BP230" s="24" t="n">
        <f aca="false">IF(AND(ISNUMBER(BP152),ISNUMBER(BK152)),IFERROR(BP152/BK152-1,""),"")</f>
        <v>0.014799154334038</v>
      </c>
      <c r="BQ230" s="24" t="n">
        <f aca="false">IF(AND(ISNUMBER(BQ152),ISNUMBER(BL152)),IFERROR(BQ152/BL152-1,""),"")</f>
        <v>-0.035589919140648</v>
      </c>
      <c r="BR230" s="24" t="n">
        <f aca="false">IF(AND(ISNUMBER(BR152),ISNUMBER(BM152)),IFERROR(BR152/BM152-1,""),"")</f>
        <v>-0.0711430855315748</v>
      </c>
      <c r="BS230" s="24" t="n">
        <f aca="false">IF(AND(ISNUMBER(BS152),ISNUMBER(BN152)),IFERROR(BS152/BN152-1,""),"")</f>
        <v>-0.0878684807256236</v>
      </c>
      <c r="BT230" s="24" t="n">
        <f aca="false">IF(AND(ISNUMBER(BT152),ISNUMBER(BO152)),IFERROR(BT152/BO152-1,""),"")</f>
        <v>-0.0227633668607729</v>
      </c>
      <c r="BU230" s="24" t="n">
        <f aca="false">IF(AND(ISNUMBER(BU152),ISNUMBER(BP152)),IFERROR(BU152/BP152-1,""),"")</f>
        <v>-0.0600490196078431</v>
      </c>
      <c r="BV230" s="24" t="n">
        <f aca="false">IF(AND(ISNUMBER(BV152),ISNUMBER(BQ152)),IFERROR(BV152/BQ152-1,""),"")</f>
        <v>-0.0590575275397797</v>
      </c>
      <c r="BW230" s="24" t="n">
        <f aca="false">IF(AND(ISNUMBER(BW152),ISNUMBER(BR152)),IFERROR(BW152/BR152-1,""),"")</f>
        <v>0.172117039586919</v>
      </c>
      <c r="BX230" s="24" t="n">
        <f aca="false">IF(AND(ISNUMBER(BX152),ISNUMBER(BS152)),IFERROR(BX152/BS152-1,""),"")</f>
        <v>0.210068365444375</v>
      </c>
      <c r="BY230" s="25" t="n">
        <f aca="false">IFERROR(BY152/BT152-1,"")</f>
        <v>0.292947043265385</v>
      </c>
      <c r="BZ230" s="25" t="n">
        <f aca="false">IFERROR(BZ152/BU152-1,"")</f>
        <v>0.482189348418949</v>
      </c>
      <c r="CA230" s="25" t="n">
        <f aca="false">IFERROR(CA152/BV152-1,"")</f>
        <v>0.295846943470336</v>
      </c>
      <c r="CB230" s="25" t="n">
        <f aca="false">IFERROR(CB152/CA152-1,"")</f>
        <v>0.231804996244099</v>
      </c>
      <c r="CC230" s="25" t="n">
        <f aca="false">IFERROR(CC152/CB152-1,"")</f>
        <v>0.0800331575751534</v>
      </c>
      <c r="CD230" s="25" t="n">
        <f aca="false">IFERROR(CD152/CC152-1,"")</f>
        <v>0.0840499295607189</v>
      </c>
      <c r="CE230" s="25" t="n">
        <f aca="false">IFERROR(CE152/CD152-1,"")</f>
        <v>0.086321148983165</v>
      </c>
      <c r="CF230" s="6"/>
    </row>
    <row r="231" customFormat="false" ht="15" hidden="false" customHeight="true" outlineLevel="0" collapsed="false">
      <c r="B231" s="23" t="s">
        <v>412</v>
      </c>
      <c r="D231" s="24" t="n">
        <f aca="false">D12</f>
        <v>-0.0814348329890675</v>
      </c>
      <c r="E231" s="24" t="n">
        <f aca="false">E12</f>
        <v>-0.125988613801652</v>
      </c>
      <c r="F231" s="24" t="n">
        <f aca="false">F12</f>
        <v>-0.22562203884409</v>
      </c>
      <c r="G231" s="24" t="n">
        <f aca="false">G12</f>
        <v>0.0535327914684647</v>
      </c>
      <c r="H231" s="24" t="n">
        <f aca="false">H12</f>
        <v>-0.0379441107017315</v>
      </c>
      <c r="I231" s="24" t="n">
        <f aca="false">I12</f>
        <v>0.0260405839742872</v>
      </c>
      <c r="J231" s="24" t="n">
        <f aca="false">J12</f>
        <v>0</v>
      </c>
      <c r="K231" s="24" t="n">
        <f aca="false">K12</f>
        <v>0</v>
      </c>
      <c r="L231" s="24" t="n">
        <f aca="false">L12</f>
        <v>0</v>
      </c>
      <c r="M231" s="24" t="n">
        <f aca="false">M12</f>
        <v>0</v>
      </c>
      <c r="N231" s="24" t="n">
        <f aca="false">N12</f>
        <v>0.000794819646071421</v>
      </c>
      <c r="O231" s="24" t="n">
        <f aca="false">O12</f>
        <v>0.0807761534746916</v>
      </c>
      <c r="P231" s="24" t="n">
        <f aca="false">P12</f>
        <v>0.127263261410308</v>
      </c>
      <c r="Q231" s="24" t="n">
        <f aca="false">Q12</f>
        <v>0.138174661250031</v>
      </c>
      <c r="R231" s="24" t="n">
        <f aca="false">R12</f>
        <v>0.187674891885017</v>
      </c>
      <c r="S231" s="24" t="n">
        <f aca="false">S12</f>
        <v>0.137168796181667</v>
      </c>
      <c r="T231" s="24" t="n">
        <f aca="false">T12</f>
        <v>0.171290466712702</v>
      </c>
      <c r="U231" s="24" t="n">
        <f aca="false">U12</f>
        <v>0.0777184789859908</v>
      </c>
      <c r="V231" s="24" t="n">
        <f aca="false">V12</f>
        <v>0.0535171924534994</v>
      </c>
      <c r="W231" s="24" t="n">
        <f aca="false">W12</f>
        <v>0.0174297188755019</v>
      </c>
      <c r="X231" s="24" t="n">
        <f aca="false">X12</f>
        <v>0.0710167750770283</v>
      </c>
      <c r="Y231" s="24" t="n">
        <f aca="false">Y12</f>
        <v>0.132785407129977</v>
      </c>
      <c r="Z231" s="24" t="n">
        <f aca="false">Z12</f>
        <v>0.0131181106111469</v>
      </c>
      <c r="AA231" s="24" t="n">
        <f aca="false">AA12</f>
        <v>-0.0480208749815871</v>
      </c>
      <c r="AB231" s="24" t="n">
        <f aca="false">AB12</f>
        <v>0.00439462119417922</v>
      </c>
      <c r="AC231" s="24" t="n">
        <f aca="false">AC12</f>
        <v>0.0140900896293361</v>
      </c>
      <c r="AD231" s="24" t="n">
        <f aca="false">AD12</f>
        <v>-0.00165314556865148</v>
      </c>
      <c r="AE231" s="24" t="n">
        <f aca="false">AE12</f>
        <v>0.020421111998872</v>
      </c>
      <c r="AF231" s="24" t="n">
        <f aca="false">AF12</f>
        <v>-0.031698313402153</v>
      </c>
      <c r="AG231" s="24" t="n">
        <f aca="false">AG12</f>
        <v>-0.00812198700482081</v>
      </c>
      <c r="AH231" s="24" t="n">
        <f aca="false">AH12</f>
        <v>-0.00585023892678371</v>
      </c>
      <c r="AI231" s="24" t="n">
        <f aca="false">AI12</f>
        <v>-0.0794517187452086</v>
      </c>
      <c r="AJ231" s="24" t="n">
        <f aca="false">AJ12</f>
        <v>0.112751306911084</v>
      </c>
      <c r="AK231" s="24" t="n">
        <f aca="false">AK12</f>
        <v>0.148818628010501</v>
      </c>
      <c r="AL231" s="24" t="n">
        <f aca="false">AL12</f>
        <v>0.113978551429024</v>
      </c>
      <c r="AM231" s="24" t="n">
        <f aca="false">AM12</f>
        <v>0.083311139012543</v>
      </c>
      <c r="AN231" s="24" t="n">
        <f aca="false">AN12</f>
        <v>0.242038640906063</v>
      </c>
      <c r="AO231" s="24" t="n">
        <f aca="false">AO12</f>
        <v>0.100043461164345</v>
      </c>
      <c r="AP231" s="24" t="n">
        <f aca="false">AP12</f>
        <v>0.126082982274859</v>
      </c>
      <c r="AQ231" s="24" t="n">
        <f aca="false">AQ12</f>
        <v>0.0414957437222867</v>
      </c>
      <c r="AR231" s="24" t="n">
        <f aca="false">AR12</f>
        <v>0.118768877754103</v>
      </c>
      <c r="AS231" s="24" t="n">
        <f aca="false">AS12</f>
        <v>0.02719519390656</v>
      </c>
      <c r="AT231" s="24" t="n">
        <f aca="false">AT12</f>
        <v>-0.0367429872255564</v>
      </c>
      <c r="AU231" s="24" t="n">
        <f aca="false">AU12</f>
        <v>-0.0859199915297605</v>
      </c>
      <c r="AV231" s="24" t="n">
        <f aca="false">AV12</f>
        <v>0.0290736060833732</v>
      </c>
      <c r="AW231" s="24" t="n">
        <f aca="false">AW12</f>
        <v>-0.0242039282986093</v>
      </c>
      <c r="AX231" s="24" t="n">
        <f aca="false">AX12</f>
        <v>-0.031331592689295</v>
      </c>
      <c r="AY231" s="24" t="n">
        <f aca="false">AY12</f>
        <v>0.033203125</v>
      </c>
      <c r="AZ231" s="24" t="n">
        <f aca="false">AZ12</f>
        <v>0.1003861003861</v>
      </c>
      <c r="BA231" s="24" t="n">
        <f aca="false">BA12</f>
        <v>0.199115044247788</v>
      </c>
      <c r="BB231" s="24" t="n">
        <f aca="false">BB12</f>
        <v>0.0788203753351207</v>
      </c>
      <c r="BC231" s="24" t="n">
        <f aca="false">BC12</f>
        <v>0.134770889487871</v>
      </c>
      <c r="BD231" s="24" t="n">
        <f aca="false">BD12</f>
        <v>0.0926275992438563</v>
      </c>
      <c r="BE231" s="24" t="n">
        <f aca="false">BE12</f>
        <v>0.0561403508771929</v>
      </c>
      <c r="BF231" s="24" t="n">
        <f aca="false">BF12</f>
        <v>-0.119926199261993</v>
      </c>
      <c r="BG231" s="24" t="n">
        <f aca="false">BG12</f>
        <v>0.0323061630218688</v>
      </c>
      <c r="BH231" s="24" t="n">
        <f aca="false">BH12</f>
        <v>-0.00950118764845598</v>
      </c>
      <c r="BI231" s="24" t="n">
        <f aca="false">BI12</f>
        <v>-0.0570934256055363</v>
      </c>
      <c r="BJ231" s="24" t="n">
        <f aca="false">BJ12</f>
        <v>-0.0714285714285715</v>
      </c>
      <c r="BK231" s="24" t="n">
        <f aca="false">BK12</f>
        <v>-0.0230607966457024</v>
      </c>
      <c r="BL231" s="24" t="n">
        <f aca="false">BL12</f>
        <v>-0.0428502648050071</v>
      </c>
      <c r="BM231" s="24" t="n">
        <f aca="false">BM12</f>
        <v>-0.122302158273381</v>
      </c>
      <c r="BN231" s="24" t="n">
        <f aca="false">BN12</f>
        <v>-0.0275229357798165</v>
      </c>
      <c r="BO231" s="24" t="n">
        <f aca="false">BO12</f>
        <v>-0.0393559928443649</v>
      </c>
      <c r="BP231" s="24" t="n">
        <f aca="false">BP12</f>
        <v>0.0278969957081545</v>
      </c>
      <c r="BQ231" s="24" t="n">
        <f aca="false">BQ12</f>
        <v>-0.0387323943661972</v>
      </c>
      <c r="BR231" s="24" t="n">
        <f aca="false">BR12</f>
        <v>0.0655737704918031</v>
      </c>
      <c r="BS231" s="24" t="n">
        <f aca="false">BS12</f>
        <v>-0.00566037735849057</v>
      </c>
      <c r="BT231" s="24" t="n">
        <f aca="false">BT12</f>
        <v>0.0782122905027931</v>
      </c>
      <c r="BU231" s="24" t="n">
        <f aca="false">BU12</f>
        <v>0.0208768267223383</v>
      </c>
      <c r="BV231" s="24" t="n">
        <f aca="false">BV12</f>
        <v>0.0387231815803244</v>
      </c>
      <c r="BW231" s="24" t="n">
        <f aca="false">BW12</f>
        <v>0.125641025641026</v>
      </c>
      <c r="BX231" s="24" t="n">
        <f aca="false">BX12</f>
        <v>0.16888045540797</v>
      </c>
      <c r="BY231" s="25" t="n">
        <f aca="false">BY12</f>
        <v>0.216110163294789</v>
      </c>
      <c r="BZ231" s="25" t="n">
        <f aca="false">BZ12</f>
        <v>0.216110163294789</v>
      </c>
      <c r="CA231" s="25" t="n">
        <f aca="false">CA12</f>
        <v>0.185796299445257</v>
      </c>
      <c r="CB231" s="25" t="n">
        <f aca="false">CB12</f>
        <v>0.03</v>
      </c>
      <c r="CC231" s="25" t="n">
        <f aca="false">CC12</f>
        <v>0.03</v>
      </c>
      <c r="CD231" s="25" t="n">
        <f aca="false">CD12</f>
        <v>0.025</v>
      </c>
      <c r="CE231" s="25" t="n">
        <f aca="false">CE12</f>
        <v>0.025</v>
      </c>
      <c r="CF231" s="6"/>
    </row>
    <row r="232" customFormat="false" ht="15" hidden="false" customHeight="true" outlineLevel="0" collapsed="false">
      <c r="B232" s="23" t="s">
        <v>413</v>
      </c>
      <c r="C232" s="24" t="n">
        <f aca="false">C14</f>
        <v>0</v>
      </c>
      <c r="D232" s="24" t="str">
        <f aca="false">D14</f>
        <v/>
      </c>
      <c r="E232" s="24" t="str">
        <f aca="false">E14</f>
        <v/>
      </c>
      <c r="F232" s="24" t="str">
        <f aca="false">F14</f>
        <v/>
      </c>
      <c r="G232" s="24" t="str">
        <f aca="false">G14</f>
        <v/>
      </c>
      <c r="H232" s="24" t="str">
        <f aca="false">H14</f>
        <v/>
      </c>
      <c r="I232" s="24" t="str">
        <f aca="false">I14</f>
        <v/>
      </c>
      <c r="J232" s="24" t="n">
        <f aca="false">J14</f>
        <v>0</v>
      </c>
      <c r="K232" s="24" t="n">
        <f aca="false">K14</f>
        <v>0</v>
      </c>
      <c r="L232" s="24" t="n">
        <f aca="false">L14</f>
        <v>0</v>
      </c>
      <c r="M232" s="24" t="n">
        <f aca="false">M14</f>
        <v>0</v>
      </c>
      <c r="N232" s="24" t="n">
        <f aca="false">N14</f>
        <v>0.0290416263310747</v>
      </c>
      <c r="O232" s="24" t="n">
        <f aca="false">O14</f>
        <v>-0.0136736554238833</v>
      </c>
      <c r="P232" s="24" t="n">
        <f aca="false">P14</f>
        <v>0.0496183206106871</v>
      </c>
      <c r="Q232" s="24" t="str">
        <f aca="false">Q14</f>
        <v/>
      </c>
      <c r="R232" s="24" t="str">
        <f aca="false">R14</f>
        <v/>
      </c>
      <c r="S232" s="24" t="str">
        <f aca="false">S14</f>
        <v/>
      </c>
      <c r="T232" s="24" t="str">
        <f aca="false">T14</f>
        <v/>
      </c>
      <c r="U232" s="24" t="str">
        <f aca="false">U14</f>
        <v/>
      </c>
      <c r="V232" s="24" t="str">
        <f aca="false">V14</f>
        <v/>
      </c>
      <c r="W232" s="24" t="str">
        <f aca="false">W14</f>
        <v/>
      </c>
      <c r="X232" s="24" t="str">
        <f aca="false">X14</f>
        <v/>
      </c>
      <c r="Y232" s="24" t="str">
        <f aca="false">Y14</f>
        <v/>
      </c>
      <c r="Z232" s="24" t="str">
        <f aca="false">Z14</f>
        <v/>
      </c>
      <c r="AA232" s="24" t="str">
        <f aca="false">AA14</f>
        <v/>
      </c>
      <c r="AB232" s="24" t="str">
        <f aca="false">AB14</f>
        <v/>
      </c>
      <c r="AC232" s="24" t="str">
        <f aca="false">AC14</f>
        <v/>
      </c>
      <c r="AD232" s="24" t="n">
        <f aca="false">AD14</f>
        <v>0.0529141104294479</v>
      </c>
      <c r="AE232" s="24" t="n">
        <f aca="false">AE14</f>
        <v>0.0359937402190924</v>
      </c>
      <c r="AF232" s="24" t="n">
        <f aca="false">AF14</f>
        <v>0.0493343774471418</v>
      </c>
      <c r="AG232" s="24" t="n">
        <f aca="false">AG14</f>
        <v>0.0399079048349962</v>
      </c>
      <c r="AH232" s="24" t="n">
        <f aca="false">AH14</f>
        <v>0.0450310559006211</v>
      </c>
      <c r="AI232" s="24" t="n">
        <f aca="false">AI14</f>
        <v>0.0225782957028404</v>
      </c>
      <c r="AJ232" s="24" t="n">
        <f aca="false">AJ14</f>
        <v>0.0347432024169183</v>
      </c>
      <c r="AK232" s="24" t="n">
        <f aca="false">AK14</f>
        <v>0.0149253731343284</v>
      </c>
      <c r="AL232" s="24" t="n">
        <f aca="false">AL14</f>
        <v>0.00442804428044274</v>
      </c>
      <c r="AM232" s="24" t="n">
        <f aca="false">AM14</f>
        <v>0.0185735512630014</v>
      </c>
      <c r="AN232" s="24" t="n">
        <f aca="false">AN14</f>
        <v>0.0227920227920229</v>
      </c>
      <c r="AO232" s="24" t="n">
        <f aca="false">AO14</f>
        <v>0.0350364963503651</v>
      </c>
      <c r="AP232" s="24" t="n">
        <f aca="false">AP14</f>
        <v>0.0566176470588236</v>
      </c>
      <c r="AQ232" s="24" t="n">
        <f aca="false">AQ14</f>
        <v>0.0565760470242469</v>
      </c>
      <c r="AR232" s="24" t="n">
        <f aca="false">AR14</f>
        <v>0.0452224653537563</v>
      </c>
      <c r="AS232" s="24" t="n">
        <f aca="false">AS14</f>
        <v>0.0306406685236769</v>
      </c>
      <c r="AT232" s="24" t="n">
        <f aca="false">AT14</f>
        <v>0.0338504936530324</v>
      </c>
      <c r="AU232" s="24" t="n">
        <f aca="false">AU14</f>
        <v>0.0264439805149619</v>
      </c>
      <c r="AV232" s="24" t="n">
        <f aca="false">AV14</f>
        <v>0.0347705146036161</v>
      </c>
      <c r="AW232" s="24" t="n">
        <f aca="false">AW14</f>
        <v>0.0307048150732727</v>
      </c>
      <c r="AX232" s="24" t="n">
        <f aca="false">AX14</f>
        <v>0.0344594594594594</v>
      </c>
      <c r="AY232" s="24" t="n">
        <f aca="false">AY14</f>
        <v>0.0279672578444747</v>
      </c>
      <c r="AZ232" s="24" t="n">
        <f aca="false">AZ14</f>
        <v>0.0122033898305085</v>
      </c>
      <c r="BA232" s="24" t="n">
        <f aca="false">BA14</f>
        <v>0.0141129032258065</v>
      </c>
      <c r="BB232" s="24" t="n">
        <f aca="false">BB14</f>
        <v>0.020988490182803</v>
      </c>
      <c r="BC232" s="24" t="n">
        <f aca="false">BC14</f>
        <v>0.0561724363161333</v>
      </c>
      <c r="BD232" s="24" t="n">
        <f aca="false">BD14</f>
        <v>0.0842733908427338</v>
      </c>
      <c r="BE232" s="24" t="n">
        <f aca="false">BE14</f>
        <v>0.115204286671132</v>
      </c>
      <c r="BF232" s="24" t="n">
        <f aca="false">BF14</f>
        <v>0.165009940357853</v>
      </c>
      <c r="BG232" s="24" t="n">
        <f aca="false">BG14</f>
        <v>0.106100795755968</v>
      </c>
      <c r="BH232" s="24" t="n">
        <f aca="false">BH14</f>
        <v>0.22634508348794</v>
      </c>
      <c r="BI232" s="24" t="n">
        <f aca="false">BI14</f>
        <v>0.185434516523868</v>
      </c>
      <c r="BJ232" s="24" t="n">
        <f aca="false">BJ14</f>
        <v>0.2</v>
      </c>
      <c r="BK232" s="24" t="n">
        <f aca="false">BK14</f>
        <v>0.150170648464164</v>
      </c>
      <c r="BL232" s="24" t="n">
        <f aca="false">BL14</f>
        <v>0.189448441247002</v>
      </c>
      <c r="BM232" s="24" t="n">
        <f aca="false">BM14</f>
        <v>0.122541603630862</v>
      </c>
      <c r="BN232" s="24" t="n">
        <f aca="false">BN14</f>
        <v>0.11564274651523</v>
      </c>
      <c r="BO232" s="24" t="n">
        <f aca="false">BO14</f>
        <v>0.077077077077077</v>
      </c>
      <c r="BP232" s="24" t="n">
        <f aca="false">BP14</f>
        <v>0.0855588526211673</v>
      </c>
      <c r="BQ232" s="24" t="n">
        <f aca="false">BQ14</f>
        <v>0.0987903225806452</v>
      </c>
      <c r="BR232" s="24" t="n">
        <f aca="false">BR14</f>
        <v>0.0678346810422281</v>
      </c>
      <c r="BS232" s="24" t="n">
        <f aca="false">BS14</f>
        <v>0.0740397963905599</v>
      </c>
      <c r="BT232" s="24" t="n">
        <f aca="false">BT14</f>
        <v>0.0799256505576207</v>
      </c>
      <c r="BU232" s="24" t="n">
        <f aca="false">BU14</f>
        <v>0.0528473804100227</v>
      </c>
      <c r="BV232" s="24" t="n">
        <f aca="false">BV14</f>
        <v>0.0688073394495412</v>
      </c>
      <c r="BW232" s="24" t="n">
        <f aca="false">BW14</f>
        <v>-0.0029448885149348</v>
      </c>
      <c r="BX232" s="24" t="n">
        <f aca="false">BX14</f>
        <v>-0.020249892287807</v>
      </c>
      <c r="BY232" s="25" t="n">
        <f aca="false">BY14</f>
        <v>-0.020249892287807</v>
      </c>
      <c r="BZ232" s="25" t="n">
        <f aca="false">BZ14</f>
        <v>-0.020249892287807</v>
      </c>
      <c r="CA232" s="25" t="n">
        <f aca="false">CA14</f>
        <v>-0.0170349400252824</v>
      </c>
      <c r="CB232" s="25" t="n">
        <f aca="false">CB14</f>
        <v>0.06</v>
      </c>
      <c r="CC232" s="25" t="n">
        <f aca="false">CC14</f>
        <v>0.055</v>
      </c>
      <c r="CD232" s="25" t="n">
        <f aca="false">CD14</f>
        <v>0.05</v>
      </c>
      <c r="CE232" s="25" t="n">
        <f aca="false">CE14</f>
        <v>0.05</v>
      </c>
      <c r="CF232" s="6"/>
    </row>
    <row r="233" customFormat="false" ht="15" hidden="false" customHeight="true" outlineLevel="0" collapsed="false">
      <c r="B233" s="23" t="s">
        <v>414</v>
      </c>
      <c r="D233" s="24" t="n">
        <f aca="false">IF(AND(ISNUMBER(D204),ISNUMBER(C204)),IFERROR(D204/C204-1,""),"")</f>
        <v>0.10392523364486</v>
      </c>
      <c r="E233" s="24" t="n">
        <f aca="false">IF(AND(ISNUMBER(E204),ISNUMBER(D204)),IFERROR(E204/D204-1,""),"")</f>
        <v>-0.15729766339316</v>
      </c>
      <c r="F233" s="24" t="n">
        <f aca="false">IF(AND(ISNUMBER(F204),ISNUMBER(E204)),IFERROR(F204/E204-1,""),"")</f>
        <v>-0.268434800080369</v>
      </c>
      <c r="G233" s="24" t="n">
        <f aca="false">IF(AND(ISNUMBER(G204),ISNUMBER(F204)),IFERROR(G204/F204-1,""),"")</f>
        <v>0.0291128810766275</v>
      </c>
      <c r="H233" s="24" t="n">
        <f aca="false">IF(AND(ISNUMBER(H204),ISNUMBER(G204)),IFERROR(H204/G204-1,""),"")</f>
        <v>-0.103549506271684</v>
      </c>
      <c r="I233" s="24" t="n">
        <f aca="false">IF(AND(ISNUMBER(I204),ISNUMBER(H204)),IFERROR(I204/H204-1,""),"")</f>
        <v>-0.017862459065198</v>
      </c>
      <c r="N233" s="24" t="n">
        <f aca="false">IF(AND(ISNUMBER(N204),ISNUMBER(I204)),IFERROR(N204/I204-1,""),"")</f>
        <v>0.182782661412549</v>
      </c>
      <c r="O233" s="24" t="n">
        <f aca="false">IF(AND(ISNUMBER(O204),ISNUMBER(J204)),IFERROR(O204/J204-1,""),"")</f>
        <v>0.216080402010051</v>
      </c>
      <c r="P233" s="24" t="n">
        <f aca="false">IF(AND(ISNUMBER(P204),ISNUMBER(K204)),IFERROR(P204/K204-1,""),"")</f>
        <v>0.240888888888889</v>
      </c>
      <c r="Q233" s="24" t="n">
        <f aca="false">IF(AND(ISNUMBER(Q204),ISNUMBER(L204)),IFERROR(Q204/L204-1,""),"")</f>
        <v>0.218997361477573</v>
      </c>
      <c r="R233" s="24" t="n">
        <f aca="false">IF(AND(ISNUMBER(R204),ISNUMBER(M204)),IFERROR(R204/M204-1,""),"")</f>
        <v>0.77140169332079</v>
      </c>
      <c r="S233" s="24" t="n">
        <f aca="false">IF(AND(ISNUMBER(S204),ISNUMBER(N204)),IFERROR(S204/N204-1,""),"")</f>
        <v>0.376217324449001</v>
      </c>
      <c r="T233" s="24" t="n">
        <f aca="false">IF(AND(ISNUMBER(T204),ISNUMBER(O204)),IFERROR(T204/O204-1,""),"")</f>
        <v>2.76859504132231</v>
      </c>
      <c r="U233" s="24" t="n">
        <f aca="false">IF(AND(ISNUMBER(U204),ISNUMBER(P204)),IFERROR(U204/P204-1,""),"")</f>
        <v>0.487034383954154</v>
      </c>
      <c r="V233" s="24" t="n">
        <f aca="false">IF(AND(ISNUMBER(V204),ISNUMBER(Q204)),IFERROR(V204/Q204-1,""),"")</f>
        <v>0.346737012987013</v>
      </c>
      <c r="W233" s="24" t="n">
        <f aca="false">IF(AND(ISNUMBER(W204),ISNUMBER(R204)),IFERROR(W204/R204-1,""),"")</f>
        <v>0.0116834838024431</v>
      </c>
      <c r="X233" s="24" t="n">
        <f aca="false">IF(AND(ISNUMBER(X204),ISNUMBER(S204)),IFERROR(X204/S204-1,""),"")</f>
        <v>0.427746741154561</v>
      </c>
      <c r="Y233" s="24" t="n">
        <f aca="false">IF(AND(ISNUMBER(Y204),ISNUMBER(T204)),IFERROR(Y204/T204-1,""),"")</f>
        <v>0.673245614035087</v>
      </c>
      <c r="Z233" s="24" t="n">
        <f aca="false">IF(AND(ISNUMBER(Z204),ISNUMBER(U204)),IFERROR(Z204/U204-1,""),"")</f>
        <v>0.283780528927213</v>
      </c>
      <c r="AA233" s="24" t="n">
        <f aca="false">IF(AND(ISNUMBER(AA204),ISNUMBER(V204)),IFERROR(AA204/V204-1,""),"")</f>
        <v>0.297026241878519</v>
      </c>
      <c r="AB233" s="24" t="n">
        <f aca="false">IF(AND(ISNUMBER(AB204),ISNUMBER(W204)),IFERROR(AB204/W204-1,""),"")</f>
        <v>0.205774278215222</v>
      </c>
      <c r="AC233" s="24" t="n">
        <f aca="false">IF(AND(ISNUMBER(AC204),ISNUMBER(X204)),IFERROR(AC204/X204-1,""),"")</f>
        <v>0.267249250032607</v>
      </c>
      <c r="AD233" s="24" t="n">
        <f aca="false">IF(AND(ISNUMBER(AD204),ISNUMBER(Y204)),IFERROR(AD204/Y204-1,""),"")</f>
        <v>-0.0321100917431186</v>
      </c>
      <c r="AE233" s="24" t="n">
        <f aca="false">IF(AND(ISNUMBER(AE204),ISNUMBER(Z204)),IFERROR(AE204/Z204-1,""),"")</f>
        <v>0.0968105065666045</v>
      </c>
      <c r="AF233" s="24" t="n">
        <f aca="false">IF(AND(ISNUMBER(AF204),ISNUMBER(AA204)),IFERROR(AF204/AA204-1,""),"")</f>
        <v>-0.0644361833952916</v>
      </c>
      <c r="AG233" s="24" t="n">
        <f aca="false">IF(AND(ISNUMBER(AG204),ISNUMBER(AB204)),IFERROR(AG204/AB204-1,""),"")</f>
        <v>0.14235959947758</v>
      </c>
      <c r="AH233" s="24" t="n">
        <f aca="false">IF(AND(ISNUMBER(AH204),ISNUMBER(AC204)),IFERROR(AH204/AC204-1,""),"")</f>
        <v>0.033758748456155</v>
      </c>
      <c r="AI233" s="24" t="n">
        <f aca="false">IF(AND(ISNUMBER(AI204),ISNUMBER(AD204)),IFERROR(AI204/AD204-1,""),"")</f>
        <v>-0.165199729180772</v>
      </c>
      <c r="AJ233" s="24" t="n">
        <f aca="false">IF(AND(ISNUMBER(AJ204),ISNUMBER(AE204)),IFERROR(AJ204/AE204-1,""),"")</f>
        <v>0.29647280191584</v>
      </c>
      <c r="AK233" s="24" t="n">
        <f aca="false">IF(AND(ISNUMBER(AK204),ISNUMBER(AF204)),IFERROR(AK204/AF204-1,""),"")</f>
        <v>0.155576158940398</v>
      </c>
      <c r="AL233" s="24" t="n">
        <f aca="false">IF(AND(ISNUMBER(AL204),ISNUMBER(AG204)),IFERROR(AL204/AG204-1,""),"")</f>
        <v>-0.0402057926829266</v>
      </c>
      <c r="AM233" s="24" t="n">
        <f aca="false">IF(AND(ISNUMBER(AM204),ISNUMBER(AH204)),IFERROR(AM204/AH204-1,""),"")</f>
        <v>0.0989297092791717</v>
      </c>
      <c r="AN233" s="24" t="n">
        <f aca="false">IF(AND(ISNUMBER(AN204),ISNUMBER(AI204)),IFERROR(AN204/AI204-1,""),"")</f>
        <v>0.28860502838605</v>
      </c>
      <c r="AO233" s="24" t="n">
        <f aca="false">IF(AND(ISNUMBER(AO204),ISNUMBER(AJ204)),IFERROR(AO204/AJ204-1,""),"")</f>
        <v>-0.00129829348293631</v>
      </c>
      <c r="AP233" s="24" t="n">
        <f aca="false">IF(AND(ISNUMBER(AP204),ISNUMBER(AK204)),IFERROR(AP204/AK204-1,""),"")</f>
        <v>0.258140774362148</v>
      </c>
      <c r="AQ233" s="24" t="n">
        <f aca="false">IF(AND(ISNUMBER(AQ204),ISNUMBER(AL204)),IFERROR(AQ204/AL204-1,""),"")</f>
        <v>0.106928727417114</v>
      </c>
      <c r="AR233" s="24" t="n">
        <f aca="false">IF(AND(ISNUMBER(AR204),ISNUMBER(AM204)),IFERROR(AR204/AM204-1,""),"")</f>
        <v>0.13660878900853</v>
      </c>
      <c r="AS233" s="24" t="n">
        <f aca="false">IF(AND(ISNUMBER(AS204),ISNUMBER(AN204)),IFERROR(AS204/AN204-1,""),"")</f>
        <v>-0.0622148094533777</v>
      </c>
      <c r="AT233" s="24" t="n">
        <f aca="false">IF(AND(ISNUMBER(AT204),ISNUMBER(AO204)),IFERROR(AT204/AO204-1,""),"")</f>
        <v>0.0753909852113921</v>
      </c>
      <c r="AU233" s="24" t="n">
        <f aca="false">IF(AND(ISNUMBER(AU204),ISNUMBER(AP204)),IFERROR(AU204/AP204-1,""),"")</f>
        <v>0.142639800852254</v>
      </c>
      <c r="AV233" s="24" t="n">
        <f aca="false">IF(AND(ISNUMBER(AV204),ISNUMBER(AQ204)),IFERROR(AV204/AQ204-1,""),"")</f>
        <v>0.202023100652844</v>
      </c>
      <c r="AW233" s="24" t="n">
        <f aca="false">IF(AND(ISNUMBER(AW204),ISNUMBER(AR204)),IFERROR(AW204/AR204-1,""),"")</f>
        <v>0.110199761029661</v>
      </c>
      <c r="AX233" s="24" t="n">
        <f aca="false">IF(AND(ISNUMBER(AX204),ISNUMBER(AS204)),IFERROR(AX204/AS204-1,""),"")</f>
        <v>0.371812080536911</v>
      </c>
      <c r="AY233" s="24" t="n">
        <f aca="false">IF(AND(ISNUMBER(AY204),ISNUMBER(AT204)),IFERROR(AY204/AT204-1,""),"")</f>
        <v>0.0791154791154793</v>
      </c>
      <c r="AZ233" s="24" t="n">
        <f aca="false">IF(AND(ISNUMBER(AZ204),ISNUMBER(AU204)),IFERROR(AZ204/AU204-1,""),"")</f>
        <v>-0.0233207095874034</v>
      </c>
      <c r="BA233" s="24" t="n">
        <f aca="false">IF(AND(ISNUMBER(BA204),ISNUMBER(AV204)),IFERROR(BA204/AV204-1,""),"")</f>
        <v>0.174873172187407</v>
      </c>
      <c r="BB233" s="24" t="n">
        <f aca="false">IF(AND(ISNUMBER(BB204),ISNUMBER(AW204)),IFERROR(BB204/AW204-1,""),"")</f>
        <v>0.097429638139001</v>
      </c>
      <c r="BC233" s="24" t="n">
        <f aca="false">IF(AND(ISNUMBER(BC204),ISNUMBER(AX204)),IFERROR(BC204/AX204-1,""),"")</f>
        <v>-0.0352250489236791</v>
      </c>
      <c r="BD233" s="24" t="n">
        <f aca="false">IF(AND(ISNUMBER(BD204),ISNUMBER(AY204)),IFERROR(BD204/AY204-1,""),"")</f>
        <v>0.0890255009107468</v>
      </c>
      <c r="BE233" s="24" t="n">
        <f aca="false">IF(AND(ISNUMBER(BE204),ISNUMBER(AZ204)),IFERROR(BE204/AZ204-1,""),"")</f>
        <v>0.0879591836734697</v>
      </c>
      <c r="BF233" s="24" t="n">
        <f aca="false">IF(AND(ISNUMBER(BF204),ISNUMBER(BA204)),IFERROR(BF204/BA204-1,""),"")</f>
        <v>-0.00508001016002013</v>
      </c>
      <c r="BG233" s="24" t="n">
        <f aca="false">IF(AND(ISNUMBER(BG204),ISNUMBER(BB204)),IFERROR(BG204/BB204-1,""),"")</f>
        <v>0.0469741576709193</v>
      </c>
      <c r="BH233" s="24" t="n">
        <f aca="false">IF(AND(ISNUMBER(BH204),ISNUMBER(BC204)),IFERROR(BH204/BC204-1,""),"")</f>
        <v>0.642494929006085</v>
      </c>
      <c r="BI233" s="24" t="n">
        <f aca="false">IF(AND(ISNUMBER(BI204),ISNUMBER(BD204)),IFERROR(BI204/BD204-1,""),"")</f>
        <v>0.246288939995818</v>
      </c>
      <c r="BJ233" s="24" t="n">
        <f aca="false">IF(AND(ISNUMBER(BJ204),ISNUMBER(BE204)),IFERROR(BJ204/BE204-1,""),"")</f>
        <v>0.322828737572688</v>
      </c>
      <c r="BK233" s="24" t="n">
        <f aca="false">IF(AND(ISNUMBER(BK204),ISNUMBER(BF204)),IFERROR(BK204/BF204-1,""),"")</f>
        <v>0.283124840439111</v>
      </c>
      <c r="BL233" s="24" t="n">
        <f aca="false">IF(AND(ISNUMBER(BL204),ISNUMBER(BG204)),IFERROR(BL204/BG204-1,""),"")</f>
        <v>0.329563206898706</v>
      </c>
      <c r="BM233" s="24" t="n">
        <f aca="false">IF(AND(ISNUMBER(BM204),ISNUMBER(BH204)),IFERROR(BM204/BH204-1,""),"")</f>
        <v>-0.101574560049398</v>
      </c>
      <c r="BN233" s="24" t="n">
        <f aca="false">IF(AND(ISNUMBER(BN204),ISNUMBER(BI204)),IFERROR(BN204/BI204-1,""),"")</f>
        <v>-0.0202986076161716</v>
      </c>
      <c r="BO233" s="24" t="n">
        <f aca="false">IF(AND(ISNUMBER(BO204),ISNUMBER(BJ204)),IFERROR(BO204/BJ204-1,""),"")</f>
        <v>-0.0839478162223484</v>
      </c>
      <c r="BP233" s="24" t="n">
        <f aca="false">IF(AND(ISNUMBER(BP204),ISNUMBER(BK204)),IFERROR(BP204/BK204-1,""),"")</f>
        <v>0.0843613211301235</v>
      </c>
      <c r="BQ233" s="24" t="n">
        <f aca="false">IF(AND(ISNUMBER(BQ204),ISNUMBER(BL204)),IFERROR(BQ204/BL204-1,""),"")</f>
        <v>-0.0289984490294681</v>
      </c>
      <c r="BR233" s="24" t="n">
        <f aca="false">IF(AND(ISNUMBER(BR204),ISNUMBER(BM204)),IFERROR(BR204/BM204-1,""),"")</f>
        <v>0.0962199312714778</v>
      </c>
      <c r="BS233" s="24" t="n">
        <f aca="false">IF(AND(ISNUMBER(BS204),ISNUMBER(BN204)),IFERROR(BS204/BN204-1,""),"")</f>
        <v>-0.0325342465753424</v>
      </c>
      <c r="BT233" s="24" t="n">
        <f aca="false">IF(AND(ISNUMBER(BT204),ISNUMBER(BO204)),IFERROR(BT204/BO204-1,""),"")</f>
        <v>0.0325077399380804</v>
      </c>
      <c r="BU233" s="24" t="n">
        <f aca="false">IF(AND(ISNUMBER(BU204),ISNUMBER(BP204)),IFERROR(BU204/BP204-1,""),"")</f>
        <v>-0.055045871559633</v>
      </c>
      <c r="BV233" s="24" t="n">
        <f aca="false">IF(AND(ISNUMBER(BV204),ISNUMBER(BQ204)),IFERROR(BV204/BQ204-1,""),"")</f>
        <v>-0.00048402710551787</v>
      </c>
      <c r="BW233" s="24" t="n">
        <f aca="false">IF(AND(ISNUMBER(BW204),ISNUMBER(BR204)),IFERROR(BW204/BR204-1,""),"")</f>
        <v>0.141065830721003</v>
      </c>
      <c r="BX233" s="24" t="n">
        <f aca="false">IF(AND(ISNUMBER(BX204),ISNUMBER(BS204)),IFERROR(BX204/BS204-1,""),"")</f>
        <v>0.129203539823009</v>
      </c>
      <c r="BY233" s="25" t="n">
        <f aca="false">IFERROR(BY204/BT204-1,"")</f>
        <v>0.320322328254096</v>
      </c>
      <c r="BZ233" s="25" t="n">
        <f aca="false">IFERROR(BZ204/BU204-1,"")</f>
        <v>0.605646378175885</v>
      </c>
      <c r="CA233" s="25" t="n">
        <f aca="false">IFERROR(CA204/BV204-1,"")</f>
        <v>0.312136986782597</v>
      </c>
      <c r="CB233" s="25" t="n">
        <f aca="false">IFERROR(CB204/CA204-1,"")</f>
        <v>0.325799577898058</v>
      </c>
      <c r="CC233" s="25" t="n">
        <f aca="false">IFERROR(CC204/CB204-1,"")</f>
        <v>0.115642948218182</v>
      </c>
      <c r="CD233" s="25" t="n">
        <f aca="false">IFERROR(CD204/CC204-1,"")</f>
        <v>0.100739150525431</v>
      </c>
      <c r="CE233" s="25" t="n">
        <f aca="false">IFERROR(CE204/CD204-1,"")</f>
        <v>0.0906182120193553</v>
      </c>
      <c r="CF233" s="6"/>
    </row>
    <row r="234" customFormat="false" ht="15" hidden="false" customHeight="true" outlineLevel="0" collapsed="false">
      <c r="B234" s="23" t="s">
        <v>415</v>
      </c>
      <c r="D234" s="24" t="n">
        <f aca="false">IF(AND(ISNUMBER(D160),ISNUMBER(C160)),IFERROR(D160/C160-1,""),"")</f>
        <v>0.115979381443299</v>
      </c>
      <c r="E234" s="24" t="n">
        <f aca="false">IF(AND(ISNUMBER(E160),ISNUMBER(D160)),IFERROR(E160/D160-1,""),"")</f>
        <v>-0.253348729792148</v>
      </c>
      <c r="F234" s="24" t="n">
        <f aca="false">IF(AND(ISNUMBER(F160),ISNUMBER(E160)),IFERROR(F160/E160-1,""),"")</f>
        <v>-0.419733993195175</v>
      </c>
      <c r="G234" s="24" t="n">
        <f aca="false">IF(AND(ISNUMBER(G160),ISNUMBER(F160)),IFERROR(G160/F160-1,""),"")</f>
        <v>0.0469083155650332</v>
      </c>
      <c r="H234" s="24" t="n">
        <f aca="false">IF(AND(ISNUMBER(H160),ISNUMBER(G160)),IFERROR(H160/G160-1,""),"")</f>
        <v>-0.180244399185336</v>
      </c>
      <c r="I234" s="24" t="n">
        <f aca="false">IF(AND(ISNUMBER(I160),ISNUMBER(H160)),IFERROR(I160/H160-1,""),"")</f>
        <v>-0.0372670807453425</v>
      </c>
      <c r="N234" s="24" t="n">
        <f aca="false">IF(AND(ISNUMBER(N160),ISNUMBER(I160)),IFERROR(N160/I160-1,""),"")</f>
        <v>0.406451612903227</v>
      </c>
      <c r="O234" s="24" t="n">
        <f aca="false">IF(AND(ISNUMBER(O160),ISNUMBER(J160)),IFERROR(O160/J160-1,""),"")</f>
        <v>-0.326271186440678</v>
      </c>
      <c r="P234" s="24" t="n">
        <f aca="false">IF(AND(ISNUMBER(P160),ISNUMBER(K160)),IFERROR(P160/K160-1,""),"")</f>
        <v>0.386167146974062</v>
      </c>
      <c r="Q234" s="24" t="n">
        <f aca="false">IF(AND(ISNUMBER(Q160),ISNUMBER(L160)),IFERROR(Q160/L160-1,""),"")</f>
        <v>0.0661764705882362</v>
      </c>
      <c r="R234" s="24" t="n">
        <f aca="false">IF(AND(ISNUMBER(R160),ISNUMBER(M160)),IFERROR(R160/M160-1,""),"")</f>
        <v>0.888535031847133</v>
      </c>
      <c r="S234" s="24" t="n">
        <f aca="false">IF(AND(ISNUMBER(S160),ISNUMBER(N160)),IFERROR(S160/N160-1,""),"")</f>
        <v>0.444495412844037</v>
      </c>
      <c r="T234" s="24" t="n">
        <f aca="false">IF(AND(ISNUMBER(T160),ISNUMBER(O160)),IFERROR(T160/O160-1,""),"")</f>
        <v>-2.61006289308176</v>
      </c>
      <c r="U234" s="24" t="n">
        <f aca="false">IF(AND(ISNUMBER(U160),ISNUMBER(P160)),IFERROR(U160/P160-1,""),"")</f>
        <v>0.424116424116423</v>
      </c>
      <c r="V234" s="24" t="n">
        <f aca="false">IF(AND(ISNUMBER(V160),ISNUMBER(Q160)),IFERROR(V160/Q160-1,""),"")</f>
        <v>0.547413793103448</v>
      </c>
      <c r="W234" s="24" t="n">
        <f aca="false">IF(AND(ISNUMBER(W160),ISNUMBER(R160)),IFERROR(W160/R160-1,""),"")</f>
        <v>0.158516020236089</v>
      </c>
      <c r="X234" s="24" t="n">
        <f aca="false">IF(AND(ISNUMBER(X160),ISNUMBER(S160)),IFERROR(X160/S160-1,""),"")</f>
        <v>0.522388059701491</v>
      </c>
      <c r="Y234" s="24" t="n">
        <f aca="false">IF(AND(ISNUMBER(Y160),ISNUMBER(T160)),IFERROR(Y160/T160-1,""),"")</f>
        <v>2.2734375</v>
      </c>
      <c r="Z234" s="24" t="n">
        <f aca="false">IF(AND(ISNUMBER(Z160),ISNUMBER(U160)),IFERROR(Z160/U160-1,""),"")</f>
        <v>0.37007299270073</v>
      </c>
      <c r="AA234" s="24" t="n">
        <f aca="false">IF(AND(ISNUMBER(AA160),ISNUMBER(V160)),IFERROR(AA160/V160-1,""),"")</f>
        <v>0.339275766016714</v>
      </c>
      <c r="AB234" s="24" t="n">
        <f aca="false">IF(AND(ISNUMBER(AB160),ISNUMBER(W160)),IFERROR(AB160/W160-1,""),"")</f>
        <v>0.131732168850071</v>
      </c>
      <c r="AC234" s="24" t="n">
        <f aca="false">IF(AND(ISNUMBER(AC160),ISNUMBER(X160)),IFERROR(AC160/X160-1,""),"")</f>
        <v>0.39194826866917</v>
      </c>
      <c r="AD234" s="24" t="n">
        <f aca="false">IF(AND(ISNUMBER(AD160),ISNUMBER(Y160)),IFERROR(AD160/Y160-1,""),"")</f>
        <v>-0.0787589498806669</v>
      </c>
      <c r="AE234" s="24" t="n">
        <f aca="false">IF(AND(ISNUMBER(AE160),ISNUMBER(Z160)),IFERROR(AE160/Z160-1,""),"")</f>
        <v>0.134256792754396</v>
      </c>
      <c r="AF234" s="24" t="n">
        <f aca="false">IF(AND(ISNUMBER(AF160),ISNUMBER(AA160)),IFERROR(AF160/AA160-1,""),"")</f>
        <v>-0.0557404326123131</v>
      </c>
      <c r="AG234" s="24" t="n">
        <f aca="false">IF(AND(ISNUMBER(AG160),ISNUMBER(AB160)),IFERROR(AG160/AB160-1,""),"")</f>
        <v>0.179421221864953</v>
      </c>
      <c r="AH234" s="24" t="n">
        <f aca="false">IF(AND(ISNUMBER(AH160),ISNUMBER(AC160)),IFERROR(AH160/AC160-1,""),"")</f>
        <v>0.0496028772665968</v>
      </c>
      <c r="AI234" s="24" t="n">
        <f aca="false">IF(AND(ISNUMBER(AI160),ISNUMBER(AD160)),IFERROR(AI160/AD160-1,""),"")</f>
        <v>-0.493523316062177</v>
      </c>
      <c r="AJ234" s="24" t="n">
        <f aca="false">IF(AND(ISNUMBER(AJ160),ISNUMBER(AE160)),IFERROR(AJ160/AE160-1,""),"")</f>
        <v>0.239798027242837</v>
      </c>
      <c r="AK234" s="24" t="n">
        <f aca="false">IF(AND(ISNUMBER(AK160),ISNUMBER(AF160)),IFERROR(AK160/AF160-1,""),"")</f>
        <v>0.0601850220264322</v>
      </c>
      <c r="AL234" s="24" t="n">
        <f aca="false">IF(AND(ISNUMBER(AL160),ISNUMBER(AG160)),IFERROR(AL160/AG160-1,""),"")</f>
        <v>-0.198249727371865</v>
      </c>
      <c r="AM234" s="24" t="n">
        <f aca="false">IF(AND(ISNUMBER(AM160),ISNUMBER(AH160)),IFERROR(AM160/AH160-1,""),"")</f>
        <v>-0.0137964020559679</v>
      </c>
      <c r="AN234" s="24" t="n">
        <f aca="false">IF(AND(ISNUMBER(AN160),ISNUMBER(AI160)),IFERROR(AN160/AI160-1,""),"")</f>
        <v>0.770358056265986</v>
      </c>
      <c r="AO234" s="24" t="n">
        <f aca="false">IF(AND(ISNUMBER(AO160),ISNUMBER(AJ160)),IFERROR(AO160/AJ160-1,""),"")</f>
        <v>0.0830791845517953</v>
      </c>
      <c r="AP234" s="24" t="n">
        <f aca="false">IF(AND(ISNUMBER(AP160),ISNUMBER(AK160)),IFERROR(AP160/AK160-1,""),"")</f>
        <v>0.43463862180153</v>
      </c>
      <c r="AQ234" s="24" t="n">
        <f aca="false">IF(AND(ISNUMBER(AQ160),ISNUMBER(AL160)),IFERROR(AQ160/AL160-1,""),"")</f>
        <v>0.255221332825539</v>
      </c>
      <c r="AR234" s="24" t="n">
        <f aca="false">IF(AND(ISNUMBER(AR160),ISNUMBER(AM160)),IFERROR(AR160/AM160-1,""),"")</f>
        <v>0.281144632472272</v>
      </c>
      <c r="AS234" s="24" t="n">
        <f aca="false">IF(AND(ISNUMBER(AS160),ISNUMBER(AN160)),IFERROR(AS160/AN160-1,""),"")</f>
        <v>-0.164993282385402</v>
      </c>
      <c r="AT234" s="24" t="n">
        <f aca="false">IF(AND(ISNUMBER(AT160),ISNUMBER(AO160)),IFERROR(AT160/AO160-1,""),"")</f>
        <v>0.0717708704990165</v>
      </c>
      <c r="AU234" s="24" t="n">
        <f aca="false">IF(AND(ISNUMBER(AU160),ISNUMBER(AP160)),IFERROR(AU160/AP160-1,""),"")</f>
        <v>0.160274920857433</v>
      </c>
      <c r="AV234" s="24" t="n">
        <f aca="false">IF(AND(ISNUMBER(AV160),ISNUMBER(AQ160)),IFERROR(AV160/AQ160-1,""),"")</f>
        <v>0.303577523852867</v>
      </c>
      <c r="AW234" s="24" t="n">
        <f aca="false">IF(AND(ISNUMBER(AW160),ISNUMBER(AR160)),IFERROR(AW160/AR160-1,""),"")</f>
        <v>0.136129926073582</v>
      </c>
      <c r="AX234" s="24" t="n">
        <f aca="false">IF(AND(ISNUMBER(AX160),ISNUMBER(AS160)),IFERROR(AX160/AS160-1,""),"")</f>
        <v>0.717993079584771</v>
      </c>
      <c r="AY234" s="24" t="n">
        <f aca="false">IF(AND(ISNUMBER(AY160),ISNUMBER(AT160)),IFERROR(AY160/AT160-1,""),"")</f>
        <v>0.00359007832898262</v>
      </c>
      <c r="AZ234" s="24" t="n">
        <f aca="false">IF(AND(ISNUMBER(AZ160),ISNUMBER(AU160)),IFERROR(AZ160/AU160-1,""),"")</f>
        <v>-0.109086370444334</v>
      </c>
      <c r="BA234" s="24" t="n">
        <f aca="false">IF(AND(ISNUMBER(BA160),ISNUMBER(AV160)),IFERROR(BA160/AV160-1,""),"")</f>
        <v>-0.12718204488778</v>
      </c>
      <c r="BB234" s="24" t="n">
        <f aca="false">IF(AND(ISNUMBER(BB160),ISNUMBER(AW160)),IFERROR(BB160/AW160-1,""),"")</f>
        <v>-0.0314302765068626</v>
      </c>
      <c r="BC234" s="24" t="n">
        <f aca="false">IF(AND(ISNUMBER(BC160),ISNUMBER(AX160)),IFERROR(BC160/AX160-1,""),"")</f>
        <v>-0.396777442094663</v>
      </c>
      <c r="BD234" s="24" t="n">
        <f aca="false">IF(AND(ISNUMBER(BD160),ISNUMBER(AY160)),IFERROR(BD160/AY160-1,""),"")</f>
        <v>0.556422764227642</v>
      </c>
      <c r="BE234" s="24" t="n">
        <f aca="false">IF(AND(ISNUMBER(BE160),ISNUMBER(AZ160)),IFERROR(BE160/AZ160-1,""),"")</f>
        <v>0.13729335948445</v>
      </c>
      <c r="BF234" s="24" t="n">
        <f aca="false">IF(AND(ISNUMBER(BF160),ISNUMBER(BA160)),IFERROR(BF160/BA160-1,""),"")</f>
        <v>0.249047619047619</v>
      </c>
      <c r="BG234" s="24" t="n">
        <f aca="false">IF(AND(ISNUMBER(BG160),ISNUMBER(BB160)),IFERROR(BG160/BB160-1,""),"")</f>
        <v>0.239166153214212</v>
      </c>
      <c r="BH234" s="24" t="n">
        <f aca="false">IF(AND(ISNUMBER(BH160),ISNUMBER(BC160)),IFERROR(BH160/BC160-1,""),"")</f>
        <v>2.2737896494157</v>
      </c>
      <c r="BI234" s="24" t="n">
        <f aca="false">IF(AND(ISNUMBER(BI160),ISNUMBER(BD160)),IFERROR(BI160/BD160-1,""),"")</f>
        <v>-0.0319682407020481</v>
      </c>
      <c r="BJ234" s="24" t="n">
        <f aca="false">IF(AND(ISNUMBER(BJ160),ISNUMBER(BE160)),IFERROR(BJ160/BE160-1,""),"")</f>
        <v>0.395910322739591</v>
      </c>
      <c r="BK234" s="24" t="n">
        <f aca="false">IF(AND(ISNUMBER(BK160),ISNUMBER(BF160)),IFERROR(BK160/BF160-1,""),"")</f>
        <v>0.411361036980556</v>
      </c>
      <c r="BL234" s="24" t="n">
        <f aca="false">IF(AND(ISNUMBER(BL160),ISNUMBER(BG160)),IFERROR(BL160/BG160-1,""),"")</f>
        <v>0.322615397364713</v>
      </c>
      <c r="BM234" s="24" t="n">
        <f aca="false">IF(AND(ISNUMBER(BM160),ISNUMBER(BH160)),IFERROR(BM160/BH160-1,""),"")</f>
        <v>6.24630290668027</v>
      </c>
      <c r="BN234" s="24" t="n">
        <f aca="false">IF(AND(ISNUMBER(BN160),ISNUMBER(BI160)),IFERROR(BN160/BI160-1,""),"")</f>
        <v>-0.140945391754802</v>
      </c>
      <c r="BO234" s="24" t="n">
        <f aca="false">IF(AND(ISNUMBER(BO160),ISNUMBER(BJ160)),IFERROR(BO160/BJ160-1,""),"")</f>
        <v>-0.136957289092834</v>
      </c>
      <c r="BP234" s="24" t="n">
        <f aca="false">IF(AND(ISNUMBER(BP160),ISNUMBER(BK160)),IFERROR(BP160/BK160-1,""),"")</f>
        <v>0.0777957860615883</v>
      </c>
      <c r="BQ234" s="24" t="n">
        <f aca="false">IF(AND(ISNUMBER(BQ160),ISNUMBER(BL160)),IFERROR(BQ160/BL160-1,""),"")</f>
        <v>0.696115288220552</v>
      </c>
      <c r="BR234" s="24" t="n">
        <f aca="false">IF(AND(ISNUMBER(BR160),ISNUMBER(BM160)),IFERROR(BR160/BM160-1,""),"")</f>
        <v>-0.874032371569317</v>
      </c>
      <c r="BS234" s="24" t="n">
        <f aca="false">IF(AND(ISNUMBER(BS160),ISNUMBER(BN160)),IFERROR(BS160/BN160-1,""),"")</f>
        <v>0.0376884422110553</v>
      </c>
      <c r="BT234" s="24" t="n">
        <f aca="false">IF(AND(ISNUMBER(BT160),ISNUMBER(BO160)),IFERROR(BT160/BO160-1,""),"")</f>
        <v>0.0327198364008181</v>
      </c>
      <c r="BU234" s="24" t="n">
        <f aca="false">IF(AND(ISNUMBER(BU160),ISNUMBER(BP160)),IFERROR(BU160/BP160-1,""),"")</f>
        <v>-0.145363408521303</v>
      </c>
      <c r="BV234" s="24" t="n">
        <f aca="false">IF(AND(ISNUMBER(BV160),ISNUMBER(BQ160)),IFERROR(BV160/BQ160-1,""),"")</f>
        <v>-0.469154045068341</v>
      </c>
      <c r="BW234" s="24" t="n">
        <f aca="false">IF(AND(ISNUMBER(BW160),ISNUMBER(BR160)),IFERROR(BW160/BR160-1,""),"")</f>
        <v>-0.0949720670391061</v>
      </c>
      <c r="BX234" s="24" t="n">
        <f aca="false">IF(AND(ISNUMBER(BX160),ISNUMBER(BS160)),IFERROR(BX160/BS160-1,""),"")</f>
        <v>-0.0992736077481841</v>
      </c>
      <c r="BY234" s="25" t="n">
        <f aca="false">IFERROR(BY160/BT160-1,"")</f>
        <v>0.022962294038684</v>
      </c>
      <c r="BZ234" s="25" t="n">
        <f aca="false">IFERROR(BZ160/BU160-1,"")</f>
        <v>0.280687511997476</v>
      </c>
      <c r="CA234" s="25" t="n">
        <f aca="false">IFERROR(CA160/BV160-1,"")</f>
        <v>0.035010716827192</v>
      </c>
      <c r="CB234" s="25" t="n">
        <f aca="false">IFERROR(CB160/CA160-1,"")</f>
        <v>0.493794971889194</v>
      </c>
      <c r="CC234" s="25" t="n">
        <f aca="false">IFERROR(CC160/CB160-1,"")</f>
        <v>0.15736959100775</v>
      </c>
      <c r="CD234" s="25" t="n">
        <f aca="false">IFERROR(CD160/CC160-1,"")</f>
        <v>0.120423736990818</v>
      </c>
      <c r="CE234" s="25" t="n">
        <f aca="false">IFERROR(CE160/CD160-1,"")</f>
        <v>0.102149862732431</v>
      </c>
      <c r="CF234" s="6"/>
    </row>
    <row r="235" customFormat="false" ht="15" hidden="false" customHeight="true" outlineLevel="0" collapsed="false">
      <c r="B235" s="23" t="s">
        <v>416</v>
      </c>
      <c r="D235" s="24" t="n">
        <f aca="false">IF(AND(ISNUMBER(D172),ISNUMBER(C172)),IFERROR(D172/C172-1,""),"")</f>
        <v>0.0704971475142622</v>
      </c>
      <c r="E235" s="24" t="n">
        <f aca="false">IF(AND(ISNUMBER(E172),ISNUMBER(D172)),IFERROR(E172/D172-1,""),"")</f>
        <v>-0.328892272554245</v>
      </c>
      <c r="F235" s="24" t="n">
        <f aca="false">IF(AND(ISNUMBER(F172),ISNUMBER(E172)),IFERROR(F172/E172-1,""),"")</f>
        <v>-0.515031196823597</v>
      </c>
      <c r="G235" s="24" t="n">
        <f aca="false">IF(AND(ISNUMBER(G172),ISNUMBER(F172)),IFERROR(G172/F172-1,""),"")</f>
        <v>0.134502923976611</v>
      </c>
      <c r="H235" s="24" t="n">
        <f aca="false">IF(AND(ISNUMBER(H172),ISNUMBER(G172)),IFERROR(H172/G172-1,""),"")</f>
        <v>-0.150515463917526</v>
      </c>
      <c r="I235" s="24" t="n">
        <f aca="false">IF(AND(ISNUMBER(I172),ISNUMBER(H172)),IFERROR(I172/H172-1,""),"")</f>
        <v>0.025485436893202</v>
      </c>
      <c r="N235" s="24" t="n">
        <f aca="false">IF(AND(ISNUMBER(N172),ISNUMBER(I172)),IFERROR(N172/I172-1,""),"")</f>
        <v>0.435502958579884</v>
      </c>
      <c r="O235" s="24" t="n">
        <f aca="false">IF(AND(ISNUMBER(O172),ISNUMBER(J172)),IFERROR(O172/J172-1,""),"")</f>
        <v>-0.223021582733813</v>
      </c>
      <c r="P235" s="24" t="n">
        <f aca="false">IF(AND(ISNUMBER(P172),ISNUMBER(K172)),IFERROR(P172/K172-1,""),"")</f>
        <v>0.440677966101693</v>
      </c>
      <c r="Q235" s="24" t="n">
        <f aca="false">IF(AND(ISNUMBER(Q172),ISNUMBER(L172)),IFERROR(Q172/L172-1,""),"")</f>
        <v>-0.25208913649025</v>
      </c>
      <c r="R235" s="24" t="n">
        <f aca="false">IF(AND(ISNUMBER(R172),ISNUMBER(M172)),IFERROR(R172/M172-1,""),"")</f>
        <v>0.777777777777776</v>
      </c>
      <c r="S235" s="24" t="n">
        <f aca="false">IF(AND(ISNUMBER(S172),ISNUMBER(N172)),IFERROR(S172/N172-1,""),"")</f>
        <v>0.282769991755978</v>
      </c>
      <c r="T235" s="24" t="n">
        <f aca="false">IF(AND(ISNUMBER(T172),ISNUMBER(O172)),IFERROR(T172/O172-1,""),"")</f>
        <v>-1.28240740740741</v>
      </c>
      <c r="U235" s="24" t="n">
        <f aca="false">IF(AND(ISNUMBER(U172),ISNUMBER(P172)),IFERROR(U172/P172-1,""),"")</f>
        <v>0.376470588235292</v>
      </c>
      <c r="V235" s="24" t="n">
        <f aca="false">IF(AND(ISNUMBER(V172),ISNUMBER(Q172)),IFERROR(V172/Q172-1,""),"")</f>
        <v>1.18808193668529</v>
      </c>
      <c r="W235" s="24" t="n">
        <f aca="false">IF(AND(ISNUMBER(W172),ISNUMBER(R172)),IFERROR(W172/R172-1,""),"")</f>
        <v>0.300000000000002</v>
      </c>
      <c r="X235" s="24" t="n">
        <f aca="false">IF(AND(ISNUMBER(X172),ISNUMBER(S172)),IFERROR(X172/S172-1,""),"")</f>
        <v>0.856041131105395</v>
      </c>
      <c r="Y235" s="24" t="n">
        <f aca="false">IF(AND(ISNUMBER(Y172),ISNUMBER(T172)),IFERROR(Y172/T172-1,""),"")</f>
        <v>6.37704918032791</v>
      </c>
      <c r="Z235" s="24" t="n">
        <f aca="false">IF(AND(ISNUMBER(Z172),ISNUMBER(U172)),IFERROR(Z172/U172-1,""),"")</f>
        <v>0.490842490842491</v>
      </c>
      <c r="AA235" s="24" t="n">
        <f aca="false">IF(AND(ISNUMBER(AA172),ISNUMBER(V172)),IFERROR(AA172/V172-1,""),"")</f>
        <v>0.357446808510639</v>
      </c>
      <c r="AB235" s="24" t="n">
        <f aca="false">IF(AND(ISNUMBER(AB172),ISNUMBER(W172)),IFERROR(AB172/W172-1,""),"")</f>
        <v>0.188701923076921</v>
      </c>
      <c r="AC235" s="24" t="n">
        <f aca="false">IF(AND(ISNUMBER(AC172),ISNUMBER(X172)),IFERROR(AC172/X172-1,""),"")</f>
        <v>0.472991689750693</v>
      </c>
      <c r="AD235" s="24" t="n">
        <f aca="false">IF(AND(ISNUMBER(AD172),ISNUMBER(Y172)),IFERROR(AD172/Y172-1,""),"")</f>
        <v>-0.0599999999999974</v>
      </c>
      <c r="AE235" s="24" t="n">
        <f aca="false">IF(AND(ISNUMBER(AE172),ISNUMBER(Z172)),IFERROR(AE172/Z172-1,""),"")</f>
        <v>0.165438165438166</v>
      </c>
      <c r="AF235" s="24" t="n">
        <f aca="false">IF(AND(ISNUMBER(AF172),ISNUMBER(AA172)),IFERROR(AF172/AA172-1,""),"")</f>
        <v>-0.0501567398119126</v>
      </c>
      <c r="AG235" s="24" t="n">
        <f aca="false">IF(AND(ISNUMBER(AG172),ISNUMBER(AB172)),IFERROR(AG172/AB172-1,""),"")</f>
        <v>2.8139534883721</v>
      </c>
      <c r="AH235" s="24" t="n">
        <f aca="false">IF(AND(ISNUMBER(AH172),ISNUMBER(AC172)),IFERROR(AH172/AC172-1,""),"")</f>
        <v>0.676774800188059</v>
      </c>
      <c r="AI235" s="24" t="n">
        <f aca="false">IF(AND(ISNUMBER(AI172),ISNUMBER(AD172)),IFERROR(AI172/AD172-1,""),"")</f>
        <v>-0.763593380614658</v>
      </c>
      <c r="AJ235" s="24" t="n">
        <f aca="false">IF(AND(ISNUMBER(AJ172),ISNUMBER(AE172)),IFERROR(AJ172/AE172-1,""),"")</f>
        <v>0.302719606465214</v>
      </c>
      <c r="AK235" s="24" t="n">
        <f aca="false">IF(AND(ISNUMBER(AK172),ISNUMBER(AF172)),IFERROR(AK172/AF172-1,""),"")</f>
        <v>0.189577557755776</v>
      </c>
      <c r="AL235" s="24" t="n">
        <f aca="false">IF(AND(ISNUMBER(AL172),ISNUMBER(AG172)),IFERROR(AL172/AG172-1,""),"")</f>
        <v>-0.749793213149523</v>
      </c>
      <c r="AM235" s="24" t="n">
        <f aca="false">IF(AND(ISNUMBER(AM172),ISNUMBER(AH172)),IFERROR(AM172/AH172-1,""),"")</f>
        <v>-0.341093509042478</v>
      </c>
      <c r="AN235" s="24" t="n">
        <f aca="false">IF(AND(ISNUMBER(AN172),ISNUMBER(AI172)),IFERROR(AN172/AI172-1,""),"")</f>
        <v>3.28260000000001</v>
      </c>
      <c r="AO235" s="24" t="n">
        <f aca="false">IF(AND(ISNUMBER(AO172),ISNUMBER(AJ172)),IFERROR(AO172/AJ172-1,""),"")</f>
        <v>0.0220739358172806</v>
      </c>
      <c r="AP235" s="24" t="n">
        <f aca="false">IF(AND(ISNUMBER(AP172),ISNUMBER(AK172)),IFERROR(AP172/AK172-1,""),"")</f>
        <v>0.379539565311479</v>
      </c>
      <c r="AQ235" s="24" t="n">
        <f aca="false">IF(AND(ISNUMBER(AQ172),ISNUMBER(AL172)),IFERROR(AQ172/AL172-1,""),"")</f>
        <v>0.38818368687618</v>
      </c>
      <c r="AR235" s="24" t="n">
        <f aca="false">IF(AND(ISNUMBER(AR172),ISNUMBER(AM172)),IFERROR(AR172/AM172-1,""),"")</f>
        <v>0.301952348733398</v>
      </c>
      <c r="AS235" s="24" t="n">
        <f aca="false">IF(AND(ISNUMBER(AS172),ISNUMBER(AN172)),IFERROR(AS172/AN172-1,""),"")</f>
        <v>-0.395227198430858</v>
      </c>
      <c r="AT235" s="24" t="n">
        <f aca="false">IF(AND(ISNUMBER(AT172),ISNUMBER(AO172)),IFERROR(AT172/AO172-1,""),"")</f>
        <v>0.148472837245142</v>
      </c>
      <c r="AU235" s="24" t="n">
        <f aca="false">IF(AND(ISNUMBER(AU172),ISNUMBER(AP172)),IFERROR(AU172/AP172-1,""),"")</f>
        <v>0.184126907514218</v>
      </c>
      <c r="AV235" s="24" t="n">
        <f aca="false">IF(AND(ISNUMBER(AV172),ISNUMBER(AQ172)),IFERROR(AV172/AQ172-1,""),"")</f>
        <v>0.396797288839359</v>
      </c>
      <c r="AW235" s="24" t="n">
        <f aca="false">IF(AND(ISNUMBER(AW172),ISNUMBER(AR172)),IFERROR(AW172/AR172-1,""),"")</f>
        <v>0.178268223527777</v>
      </c>
      <c r="AX235" s="24" t="n">
        <f aca="false">IF(AND(ISNUMBER(AX172),ISNUMBER(AS172)),IFERROR(AX172/AS172-1,""),"")</f>
        <v>1.52123552123551</v>
      </c>
      <c r="AY235" s="24" t="n">
        <f aca="false">IF(AND(ISNUMBER(AY172),ISNUMBER(AT172)),IFERROR(AY172/AT172-1,""),"")</f>
        <v>0.0376838235294126</v>
      </c>
      <c r="AZ235" s="24" t="n">
        <f aca="false">IF(AND(ISNUMBER(AZ172),ISNUMBER(AU172)),IFERROR(AZ172/AU172-1,""),"")</f>
        <v>-0.135190217391305</v>
      </c>
      <c r="BA235" s="24" t="n">
        <f aca="false">IF(AND(ISNUMBER(BA172),ISNUMBER(AV172)),IFERROR(BA172/AV172-1,""),"")</f>
        <v>-0.143169398907103</v>
      </c>
      <c r="BB235" s="24" t="n">
        <f aca="false">IF(AND(ISNUMBER(BB172),ISNUMBER(AW172)),IFERROR(BB172/AW172-1,""),"")</f>
        <v>-0.0256588072122045</v>
      </c>
      <c r="BC235" s="24" t="n">
        <f aca="false">IF(AND(ISNUMBER(BC172),ISNUMBER(AX172)),IFERROR(BC172/AX172-1,""),"")</f>
        <v>-0.67228177641654</v>
      </c>
      <c r="BD235" s="24" t="n">
        <f aca="false">IF(AND(ISNUMBER(BD172),ISNUMBER(AY172)),IFERROR(BD172/AY172-1,""),"")</f>
        <v>0.62311780336581</v>
      </c>
      <c r="BE235" s="24" t="n">
        <f aca="false">IF(AND(ISNUMBER(BE172),ISNUMBER(AZ172)),IFERROR(BE172/AZ172-1,""),"")</f>
        <v>0.159858601728202</v>
      </c>
      <c r="BF235" s="24" t="n">
        <f aca="false">IF(AND(ISNUMBER(BF172),ISNUMBER(BA172)),IFERROR(BF172/BA172-1,""),"")</f>
        <v>0.170918367346939</v>
      </c>
      <c r="BG235" s="24" t="n">
        <f aca="false">IF(AND(ISNUMBER(BG172),ISNUMBER(BB172)),IFERROR(BG172/BB172-1,""),"")</f>
        <v>0.233879003558719</v>
      </c>
      <c r="BH235" s="24" t="n">
        <f aca="false">IF(AND(ISNUMBER(BH172),ISNUMBER(BC172)),IFERROR(BH172/BC172-1,""),"")</f>
        <v>4.6728971962617</v>
      </c>
      <c r="BI235" s="24" t="n">
        <f aca="false">IF(AND(ISNUMBER(BI172),ISNUMBER(BD172)),IFERROR(BI172/BD172-1,""),"")</f>
        <v>-0.049658935879946</v>
      </c>
      <c r="BJ235" s="24" t="n">
        <f aca="false">IF(AND(ISNUMBER(BJ172),ISNUMBER(BE172)),IFERROR(BJ172/BE172-1,""),"")</f>
        <v>0.411107348459194</v>
      </c>
      <c r="BK235" s="24" t="n">
        <f aca="false">IF(AND(ISNUMBER(BK172),ISNUMBER(BF172)),IFERROR(BK172/BF172-1,""),"")</f>
        <v>0.538671023965141</v>
      </c>
      <c r="BL235" s="24" t="n">
        <f aca="false">IF(AND(ISNUMBER(BL172),ISNUMBER(BG172)),IFERROR(BL172/BG172-1,""),"")</f>
        <v>0.348523304107059</v>
      </c>
      <c r="BM235" s="24" t="n">
        <f aca="false">IF(AND(ISNUMBER(BM172),ISNUMBER(BH172)),IFERROR(BM172/BH172-1,""),"")</f>
        <v>7.60790774299836</v>
      </c>
      <c r="BN235" s="24" t="n">
        <f aca="false">IF(AND(ISNUMBER(BN172),ISNUMBER(BI172)),IFERROR(BN172/BI172-1,""),"")</f>
        <v>-0.155900086132644</v>
      </c>
      <c r="BO235" s="24" t="n">
        <f aca="false">IF(AND(ISNUMBER(BO172),ISNUMBER(BJ172)),IFERROR(BO172/BJ172-1,""),"")</f>
        <v>-0.128869690424766</v>
      </c>
      <c r="BP235" s="24" t="n">
        <f aca="false">IF(AND(ISNUMBER(BP172),ISNUMBER(BK172)),IFERROR(BP172/BK172-1,""),"")</f>
        <v>0.0407079646017701</v>
      </c>
      <c r="BQ235" s="24" t="n">
        <f aca="false">IF(AND(ISNUMBER(BQ172),ISNUMBER(BL172)),IFERROR(BQ172/BL172-1,""),"")</f>
        <v>0.706732825733597</v>
      </c>
      <c r="BR235" s="24" t="n">
        <f aca="false">IF(AND(ISNUMBER(BR172),ISNUMBER(BM172)),IFERROR(BR172/BM172-1,""),"")</f>
        <v>-0.888995215311005</v>
      </c>
      <c r="BS235" s="24" t="n">
        <f aca="false">IF(AND(ISNUMBER(BS172),ISNUMBER(BN172)),IFERROR(BS172/BN172-1,""),"")</f>
        <v>0.115646258503401</v>
      </c>
      <c r="BT235" s="24" t="n">
        <f aca="false">IF(AND(ISNUMBER(BT172),ISNUMBER(BO172)),IFERROR(BT172/BO172-1,""),"")</f>
        <v>0.140495867768595</v>
      </c>
      <c r="BU235" s="24" t="n">
        <f aca="false">IF(AND(ISNUMBER(BU172),ISNUMBER(BP172)),IFERROR(BU172/BP172-1,""),"")</f>
        <v>-0.0510204081632653</v>
      </c>
      <c r="BV235" s="24" t="n">
        <f aca="false">IF(AND(ISNUMBER(BV172),ISNUMBER(BQ172)),IFERROR(BV172/BQ172-1,""),"")</f>
        <v>-0.430075187969925</v>
      </c>
      <c r="BW235" s="24" t="n">
        <f aca="false">IF(AND(ISNUMBER(BW172),ISNUMBER(BR172)),IFERROR(BW172/BR172-1,""),"")</f>
        <v>12.0431034482759</v>
      </c>
      <c r="BX235" s="24" t="n">
        <f aca="false">IF(AND(ISNUMBER(BX172),ISNUMBER(BS172)),IFERROR(BX172/BS172-1,""),"")</f>
        <v>-0.234756097560976</v>
      </c>
      <c r="BY235" s="25" t="n">
        <f aca="false">IFERROR(BY172/BT172-1,"")</f>
        <v>-0.195646803081435</v>
      </c>
      <c r="BZ235" s="25" t="n">
        <f aca="false">IFERROR(BZ172/BU172-1,"")</f>
        <v>-0.181884445080735</v>
      </c>
      <c r="CA235" s="25" t="n">
        <f aca="false">IFERROR(CA172/BV172-1,"")</f>
        <v>1.04508044269724</v>
      </c>
      <c r="CB235" s="25" t="n">
        <f aca="false">IFERROR(CB172/CA172-1,"")</f>
        <v>-0.445809503153526</v>
      </c>
      <c r="CC235" s="25" t="n">
        <f aca="false">IFERROR(CC172/CB172-1,"")</f>
        <v>0.249472694720499</v>
      </c>
      <c r="CD235" s="25" t="n">
        <f aca="false">IFERROR(CD172/CC172-1,"")</f>
        <v>0.167801693338869</v>
      </c>
      <c r="CE235" s="25" t="n">
        <f aca="false">IFERROR(CE172/CD172-1,"")</f>
        <v>0.117058350342895</v>
      </c>
      <c r="CF235" s="6"/>
    </row>
    <row r="236" customFormat="false" ht="15" hidden="false" customHeight="true" outlineLevel="0" collapsed="false">
      <c r="B236" s="23" t="s">
        <v>417</v>
      </c>
      <c r="D236" s="24" t="n">
        <f aca="false">IF(AND(ISNUMBER(D224),ISNUMBER(C224)),IFERROR(D224/C224-1,""),"")</f>
        <v>0.151651134259627</v>
      </c>
      <c r="E236" s="24" t="n">
        <f aca="false">IF(AND(ISNUMBER(E224),ISNUMBER(D224)),IFERROR(E224/D224-1,""),"")</f>
        <v>-0.315912852382155</v>
      </c>
      <c r="F236" s="24" t="n">
        <f aca="false">IF(AND(ISNUMBER(F224),ISNUMBER(E224)),IFERROR(F224/E224-1,""),"")</f>
        <v>-0.535890682854377</v>
      </c>
      <c r="G236" s="24" t="n">
        <f aca="false">IF(AND(ISNUMBER(G224),ISNUMBER(F224)),IFERROR(G224/F224-1,""),"")</f>
        <v>0.0988586515445729</v>
      </c>
      <c r="H236" s="24" t="n">
        <f aca="false">IF(AND(ISNUMBER(H224),ISNUMBER(G224)),IFERROR(H224/G224-1,""),"")</f>
        <v>-0.0416219008264461</v>
      </c>
      <c r="I236" s="24" t="n">
        <f aca="false">IF(AND(ISNUMBER(I224),ISNUMBER(H224)),IFERROR(I224/H224-1,""),"")</f>
        <v>0.128078817733988</v>
      </c>
      <c r="N236" s="24" t="n">
        <f aca="false">IF(AND(ISNUMBER(N224),ISNUMBER(I224)),IFERROR(N224/I224-1,""),"")</f>
        <v>0.151593462042689</v>
      </c>
      <c r="O236" s="24" t="n">
        <f aca="false">IF(AND(ISNUMBER(O224),ISNUMBER(J224)),IFERROR(O224/J224-1,""),"")</f>
        <v>-0.418772563176895</v>
      </c>
      <c r="P236" s="24" t="n">
        <f aca="false">IF(AND(ISNUMBER(P224),ISNUMBER(K224)),IFERROR(P224/K224-1,""),"")</f>
        <v>0.51321951219512</v>
      </c>
      <c r="Q236" s="24" t="n">
        <f aca="false">IF(AND(ISNUMBER(Q224),ISNUMBER(L224)),IFERROR(Q224/L224-1,""),"")</f>
        <v>-0.0688626907073497</v>
      </c>
      <c r="R236" s="24" t="n">
        <f aca="false">IF(AND(ISNUMBER(R224),ISNUMBER(M224)),IFERROR(R224/M224-1,""),"")</f>
        <v>0.265454545454545</v>
      </c>
      <c r="S236" s="24" t="n">
        <f aca="false">IF(AND(ISNUMBER(S224),ISNUMBER(N224)),IFERROR(S224/N224-1,""),"")</f>
        <v>0.418198198198199</v>
      </c>
      <c r="T236" s="24" t="n">
        <f aca="false">IF(AND(ISNUMBER(T224),ISNUMBER(O224)),IFERROR(T224/O224-1,""),"")</f>
        <v>-1.25743827811774</v>
      </c>
      <c r="U236" s="24" t="n">
        <f aca="false">IF(AND(ISNUMBER(U224),ISNUMBER(P224)),IFERROR(U224/P224-1,""),"")</f>
        <v>-0.0958668197474178</v>
      </c>
      <c r="V236" s="24" t="n">
        <f aca="false">IF(AND(ISNUMBER(V224),ISNUMBER(Q224)),IFERROR(V224/Q224-1,""),"")</f>
        <v>0.406896551724138</v>
      </c>
      <c r="W236" s="24" t="n">
        <f aca="false">IF(AND(ISNUMBER(W224),ISNUMBER(R224)),IFERROR(W224/R224-1,""),"")</f>
        <v>0.161621495607146</v>
      </c>
      <c r="X236" s="24" t="n">
        <f aca="false">IF(AND(ISNUMBER(X224),ISNUMBER(S224)),IFERROR(X224/S224-1,""),"")</f>
        <v>0.203207015017569</v>
      </c>
      <c r="Y236" s="24" t="n">
        <f aca="false">IF(AND(ISNUMBER(Y224),ISNUMBER(T224)),IFERROR(Y224/T224-1,""),"")</f>
        <v>6.75506567559316</v>
      </c>
      <c r="Z236" s="24" t="n">
        <f aca="false">IF(AND(ISNUMBER(Z224),ISNUMBER(U224)),IFERROR(Z224/U224-1,""),"")</f>
        <v>0.579638752052545</v>
      </c>
      <c r="AA236" s="24" t="n">
        <f aca="false">IF(AND(ISNUMBER(AA224),ISNUMBER(V224)),IFERROR(AA224/V224-1,""),"")</f>
        <v>0.227414042540093</v>
      </c>
      <c r="AB236" s="24" t="n">
        <f aca="false">IF(AND(ISNUMBER(AB224),ISNUMBER(W224)),IFERROR(AB224/W224-1,""),"")</f>
        <v>0.354324489778745</v>
      </c>
      <c r="AC236" s="24" t="n">
        <f aca="false">IF(AND(ISNUMBER(AC224),ISNUMBER(X224)),IFERROR(AC224/X224-1,""),"")</f>
        <v>0.479396782734015</v>
      </c>
      <c r="AD236" s="24" t="n">
        <f aca="false">IF(AND(ISNUMBER(AD224),ISNUMBER(Y224)),IFERROR(AD224/Y224-1,""),"")</f>
        <v>-0.0436650868878329</v>
      </c>
      <c r="AE236" s="24" t="n">
        <f aca="false">IF(AND(ISNUMBER(AE224),ISNUMBER(Z224)),IFERROR(AE224/Z224-1,""),"")</f>
        <v>0.17836695649691</v>
      </c>
      <c r="AF236" s="24" t="n">
        <f aca="false">IF(AND(ISNUMBER(AF224),ISNUMBER(AA224)),IFERROR(AF224/AA224-1,""),"")</f>
        <v>-0.0426421570572598</v>
      </c>
      <c r="AG236" s="24" t="n">
        <f aca="false">IF(AND(ISNUMBER(AG224),ISNUMBER(AB224)),IFERROR(AG224/AB224-1,""),"")</f>
        <v>0.207077856420628</v>
      </c>
      <c r="AH236" s="24" t="n">
        <f aca="false">IF(AND(ISNUMBER(AH224),ISNUMBER(AC224)),IFERROR(AH224/AC224-1,""),"")</f>
        <v>0.0785190409026804</v>
      </c>
      <c r="AI236" s="24" t="n">
        <f aca="false">IF(AND(ISNUMBER(AI224),ISNUMBER(AD224)),IFERROR(AI224/AD224-1,""),"")</f>
        <v>-0.763219319508036</v>
      </c>
      <c r="AJ236" s="24" t="n">
        <f aca="false">IF(AND(ISNUMBER(AJ224),ISNUMBER(AE224)),IFERROR(AJ224/AE224-1,""),"")</f>
        <v>0.44114454273224</v>
      </c>
      <c r="AK236" s="24" t="n">
        <f aca="false">IF(AND(ISNUMBER(AK224),ISNUMBER(AF224)),IFERROR(AK224/AF224-1,""),"")</f>
        <v>0.277494438886161</v>
      </c>
      <c r="AL236" s="24" t="n">
        <f aca="false">IF(AND(ISNUMBER(AL224),ISNUMBER(AG224)),IFERROR(AL224/AG224-1,""),"")</f>
        <v>-0.116068141744865</v>
      </c>
      <c r="AM236" s="24" t="n">
        <f aca="false">IF(AND(ISNUMBER(AM224),ISNUMBER(AH224)),IFERROR(AM224/AH224-1,""),"")</f>
        <v>0.128562088272498</v>
      </c>
      <c r="AN236" s="24" t="n">
        <f aca="false">IF(AND(ISNUMBER(AN224),ISNUMBER(AI224)),IFERROR(AN224/AI224-1,""),"")</f>
        <v>3.31145674371188</v>
      </c>
      <c r="AO236" s="24" t="n">
        <f aca="false">IF(AND(ISNUMBER(AO224),ISNUMBER(AJ224)),IFERROR(AO224/AJ224-1,""),"")</f>
        <v>-0.0705007772910266</v>
      </c>
      <c r="AP236" s="24" t="n">
        <f aca="false">IF(AND(ISNUMBER(AP224),ISNUMBER(AK224)),IFERROR(AP224/AK224-1,""),"")</f>
        <v>0.295277805371736</v>
      </c>
      <c r="AQ236" s="24" t="n">
        <f aca="false">IF(AND(ISNUMBER(AQ224),ISNUMBER(AL224)),IFERROR(AQ224/AL224-1,""),"")</f>
        <v>0.258062350592143</v>
      </c>
      <c r="AR236" s="24" t="n">
        <f aca="false">IF(AND(ISNUMBER(AR224),ISNUMBER(AM224)),IFERROR(AR224/AM224-1,""),"")</f>
        <v>0.204216011324299</v>
      </c>
      <c r="AS236" s="24" t="n">
        <f aca="false">IF(AND(ISNUMBER(AS224),ISNUMBER(AN224)),IFERROR(AS224/AN224-1,""),"")</f>
        <v>-0.392546845374304</v>
      </c>
      <c r="AT236" s="24" t="n">
        <f aca="false">IF(AND(ISNUMBER(AT224),ISNUMBER(AO224)),IFERROR(AT224/AO224-1,""),"")</f>
        <v>0.15621535075466</v>
      </c>
      <c r="AU236" s="24" t="n">
        <f aca="false">IF(AND(ISNUMBER(AU224),ISNUMBER(AP224)),IFERROR(AU224/AP224-1,""),"")</f>
        <v>0.189421321091085</v>
      </c>
      <c r="AV236" s="24" t="n">
        <f aca="false">IF(AND(ISNUMBER(AV224),ISNUMBER(AQ224)),IFERROR(AV224/AQ224-1,""),"")</f>
        <v>0.400529531195137</v>
      </c>
      <c r="AW236" s="24" t="n">
        <f aca="false">IF(AND(ISNUMBER(AW224),ISNUMBER(AR224)),IFERROR(AW224/AR224-1,""),"")</f>
        <v>0.184121799638251</v>
      </c>
      <c r="AX236" s="24" t="n">
        <f aca="false">IF(AND(ISNUMBER(AX224),ISNUMBER(AS224)),IFERROR(AX224/AS224-1,""),"")</f>
        <v>1.52123552123551</v>
      </c>
      <c r="AY236" s="24" t="n">
        <f aca="false">IF(AND(ISNUMBER(AY224),ISNUMBER(AT224)),IFERROR(AY224/AT224-1,""),"")</f>
        <v>0.0908247647875542</v>
      </c>
      <c r="AZ236" s="24" t="n">
        <f aca="false">IF(AND(ISNUMBER(AZ224),ISNUMBER(AU224)),IFERROR(AZ224/AU224-1,""),"")</f>
        <v>-0.0991849571170107</v>
      </c>
      <c r="BA236" s="24" t="n">
        <f aca="false">IF(AND(ISNUMBER(BA224),ISNUMBER(AV224)),IFERROR(BA224/AV224-1,""),"")</f>
        <v>0.0758196721311486</v>
      </c>
      <c r="BB236" s="24" t="n">
        <f aca="false">IF(AND(ISNUMBER(BB224),ISNUMBER(AW224)),IFERROR(BB224/AW224-1,""),"")</f>
        <v>0.0627901872666854</v>
      </c>
      <c r="BC236" s="24" t="n">
        <f aca="false">IF(AND(ISNUMBER(BC224),ISNUMBER(AX224)),IFERROR(BC224/AX224-1,""),"")</f>
        <v>-0.608113605859805</v>
      </c>
      <c r="BD236" s="24" t="n">
        <f aca="false">IF(AND(ISNUMBER(BD224),ISNUMBER(AY224)),IFERROR(BD224/AY224-1,""),"")</f>
        <v>0.0393666490007774</v>
      </c>
      <c r="BE236" s="24" t="n">
        <f aca="false">IF(AND(ISNUMBER(BE224),ISNUMBER(AZ224)),IFERROR(BE224/AZ224-1,""),"")</f>
        <v>0.103529186463141</v>
      </c>
      <c r="BF236" s="24" t="n">
        <f aca="false">IF(AND(ISNUMBER(BF224),ISNUMBER(BA224)),IFERROR(BF224/BA224-1,""),"")</f>
        <v>-0.0349183385881071</v>
      </c>
      <c r="BG236" s="24" t="n">
        <f aca="false">IF(AND(ISNUMBER(BG224),ISNUMBER(BB224)),IFERROR(BG224/BB224-1,""),"")</f>
        <v>-0.0171006997112695</v>
      </c>
      <c r="BH236" s="24" t="n">
        <f aca="false">IF(AND(ISNUMBER(BH224),ISNUMBER(BC224)),IFERROR(BH224/BC224-1,""),"")</f>
        <v>4.29827203240603</v>
      </c>
      <c r="BI236" s="24" t="n">
        <f aca="false">IF(AND(ISNUMBER(BI224),ISNUMBER(BD224)),IFERROR(BI224/BD224-1,""),"")</f>
        <v>0.414779345168031</v>
      </c>
      <c r="BJ236" s="24" t="n">
        <f aca="false">IF(AND(ISNUMBER(BJ224),ISNUMBER(BE224)),IFERROR(BJ224/BE224-1,""),"")</f>
        <v>0.488853034923475</v>
      </c>
      <c r="BK236" s="24" t="n">
        <f aca="false">IF(AND(ISNUMBER(BK224),ISNUMBER(BF224)),IFERROR(BK224/BF224-1,""),"")</f>
        <v>0.560261404839929</v>
      </c>
      <c r="BL236" s="24" t="n">
        <f aca="false">IF(AND(ISNUMBER(BL224),ISNUMBER(BG224)),IFERROR(BL224/BG224-1,""),"")</f>
        <v>0.613787552090856</v>
      </c>
      <c r="BM236" s="24" t="n">
        <f aca="false">IF(AND(ISNUMBER(BM224),ISNUMBER(BH224)),IFERROR(BM224/BH224-1,""),"")</f>
        <v>-0.182434437265253</v>
      </c>
      <c r="BN236" s="24" t="n">
        <f aca="false">IF(AND(ISNUMBER(BN224),ISNUMBER(BI224)),IFERROR(BN224/BI224-1,""),"")</f>
        <v>-0.0587994357658629</v>
      </c>
      <c r="BO236" s="24" t="n">
        <f aca="false">IF(AND(ISNUMBER(BO224),ISNUMBER(BJ224)),IFERROR(BO224/BJ224-1,""),"")</f>
        <v>-0.148246349176531</v>
      </c>
      <c r="BP236" s="24" t="n">
        <f aca="false">IF(AND(ISNUMBER(BP224),ISNUMBER(BK224)),IFERROR(BP224/BK224-1,""),"")</f>
        <v>0.0140127827273002</v>
      </c>
      <c r="BQ236" s="24" t="n">
        <f aca="false">IF(AND(ISNUMBER(BQ224),ISNUMBER(BL224)),IFERROR(BQ224/BL224-1,""),"")</f>
        <v>-0.119735380178515</v>
      </c>
      <c r="BR236" s="24" t="n">
        <f aca="false">IF(AND(ISNUMBER(BR224),ISNUMBER(BM224)),IFERROR(BR224/BM224-1,""),"")</f>
        <v>-0.0414854070462934</v>
      </c>
      <c r="BS236" s="24" t="n">
        <f aca="false">IF(AND(ISNUMBER(BS224),ISNUMBER(BN224)),IFERROR(BS224/BN224-1,""),"")</f>
        <v>-0.0821327771984703</v>
      </c>
      <c r="BT236" s="24" t="n">
        <f aca="false">IF(AND(ISNUMBER(BT224),ISNUMBER(BO224)),IFERROR(BT224/BO224-1,""),"")</f>
        <v>0.031718506690865</v>
      </c>
      <c r="BU236" s="24" t="n">
        <f aca="false">IF(AND(ISNUMBER(BU224),ISNUMBER(BP224)),IFERROR(BU224/BP224-1,""),"")</f>
        <v>-0.124651947370463</v>
      </c>
      <c r="BV236" s="24" t="n">
        <f aca="false">IF(AND(ISNUMBER(BV224),ISNUMBER(BQ224)),IFERROR(BV224/BQ224-1,""),"")</f>
        <v>-0.0176814860459247</v>
      </c>
      <c r="BW236" s="24" t="n">
        <f aca="false">IF(AND(ISNUMBER(BW224),ISNUMBER(BR224)),IFERROR(BW224/BR224-1,""),"")</f>
        <v>0.135293951168513</v>
      </c>
      <c r="BX236" s="24" t="n">
        <f aca="false">IF(AND(ISNUMBER(BX224),ISNUMBER(BS224)),IFERROR(BX224/BS224-1,""),"")</f>
        <v>0.0330578512396693</v>
      </c>
      <c r="BY236" s="25" t="n">
        <f aca="false">IFERROR(BY224/BT224-1,"")</f>
        <v>0.00738470416782833</v>
      </c>
      <c r="BZ236" s="25" t="n">
        <f aca="false">IFERROR(BZ224/BU224-1,"")</f>
        <v>-0.104390614532693</v>
      </c>
      <c r="CA236" s="25" t="n">
        <f aca="false">IFERROR(CA224/BV224-1,"")</f>
        <v>0.00619630140000615</v>
      </c>
      <c r="CB236" s="25" t="n">
        <f aca="false">IFERROR(CB224/CA224-1,"")</f>
        <v>0.0819298341156782</v>
      </c>
      <c r="CC236" s="25" t="n">
        <f aca="false">IFERROR(CC224/CB224-1,"")</f>
        <v>0.234374010291839</v>
      </c>
      <c r="CD236" s="25" t="n">
        <f aca="false">IFERROR(CD224/CC224-1,"")</f>
        <v>0.182478581603903</v>
      </c>
      <c r="CE236" s="25" t="n">
        <f aca="false">IFERROR(CE224/CD224-1,"")</f>
        <v>0.159350220198489</v>
      </c>
      <c r="CF236" s="6"/>
    </row>
    <row r="237" customFormat="false" ht="15" hidden="false" customHeight="true" outlineLevel="0" collapsed="false">
      <c r="B237" s="26" t="s">
        <v>120</v>
      </c>
      <c r="C237" s="38" t="n">
        <f aca="false">IF(AND(ISNUMBER(C156),ISNUMBER(C152)),IFERROR(C156/C152,""),"")</f>
        <v>0.236811094996374</v>
      </c>
      <c r="D237" s="38" t="n">
        <f aca="false">IF(AND(ISNUMBER(D156),ISNUMBER(D152)),IFERROR(D156/D152,""),"")</f>
        <v>0.258710525123465</v>
      </c>
      <c r="E237" s="38" t="n">
        <f aca="false">IF(AND(ISNUMBER(E156),ISNUMBER(E152)),IFERROR(E156/E152,""),"")</f>
        <v>0.221876326588368</v>
      </c>
      <c r="F237" s="38" t="n">
        <f aca="false">IF(AND(ISNUMBER(F156),ISNUMBER(F152)),IFERROR(F156/F152,""),"")</f>
        <v>0.19834370962058</v>
      </c>
      <c r="G237" s="38" t="n">
        <f aca="false">IF(AND(ISNUMBER(G156),ISNUMBER(G152)),IFERROR(G156/G152,""),"")</f>
        <v>0.180604632901453</v>
      </c>
      <c r="H237" s="38" t="n">
        <f aca="false">IF(AND(ISNUMBER(H156),ISNUMBER(H152)),IFERROR(H156/H152,""),"")</f>
        <v>0.176206313087111</v>
      </c>
      <c r="I237" s="38" t="n">
        <f aca="false">IF(AND(ISNUMBER(I156),ISNUMBER(I152)),IFERROR(I156/I152,""),"")</f>
        <v>0.159943070278759</v>
      </c>
      <c r="J237" s="38" t="n">
        <f aca="false">IF(AND(ISNUMBER(J156),ISNUMBER(J152)),IFERROR(J156/J152,""),"")</f>
        <v>0.0327272727272728</v>
      </c>
      <c r="K237" s="38" t="n">
        <f aca="false">IF(AND(ISNUMBER(K156),ISNUMBER(K152)),IFERROR(K156/K152,""),"")</f>
        <v>0.189799182512884</v>
      </c>
      <c r="L237" s="38" t="n">
        <f aca="false">IF(AND(ISNUMBER(L156),ISNUMBER(L152)),IFERROR(L156/L152,""),"")</f>
        <v>0.21509093641966</v>
      </c>
      <c r="M237" s="38" t="n">
        <f aca="false">IF(AND(ISNUMBER(M156),ISNUMBER(M152)),IFERROR(M156/M152,""),"")</f>
        <v>0.185321100917431</v>
      </c>
      <c r="N237" s="38" t="n">
        <f aca="false">IF(AND(ISNUMBER(N156),ISNUMBER(N152)),IFERROR(N156/N152,""),"")</f>
        <v>0.16887033170958</v>
      </c>
      <c r="O237" s="38" t="n">
        <f aca="false">IF(AND(ISNUMBER(O156),ISNUMBER(O152)),IFERROR(O156/O152,""),"")</f>
        <v>0.0601819454163751</v>
      </c>
      <c r="P237" s="38" t="n">
        <f aca="false">IF(AND(ISNUMBER(P156),ISNUMBER(P152)),IFERROR(P156/P152,""),"")</f>
        <v>0.202630005977286</v>
      </c>
      <c r="Q237" s="38" t="n">
        <f aca="false">IF(AND(ISNUMBER(Q156),ISNUMBER(Q152)),IFERROR(Q156/Q152,""),"")</f>
        <v>0.194878947892797</v>
      </c>
      <c r="R237" s="38" t="n">
        <f aca="false">IF(AND(ISNUMBER(R156),ISNUMBER(R152)),IFERROR(R156/R152,""),"")</f>
        <v>0.193039822492117</v>
      </c>
      <c r="S237" s="38" t="n">
        <f aca="false">IF(AND(ISNUMBER(S156),ISNUMBER(S152)),IFERROR(S156/S152,""),"")</f>
        <v>0.176605814739689</v>
      </c>
      <c r="T237" s="38" t="n">
        <f aca="false">IF(AND(ISNUMBER(T156),ISNUMBER(T152)),IFERROR(T156/T152,""),"")</f>
        <v>0.107463118310674</v>
      </c>
      <c r="U237" s="38" t="n">
        <f aca="false">IF(AND(ISNUMBER(U156),ISNUMBER(U152)),IFERROR(U156/U152,""),"")</f>
        <v>0.217278055133492</v>
      </c>
      <c r="V237" s="38" t="n">
        <f aca="false">IF(AND(ISNUMBER(V156),ISNUMBER(V152)),IFERROR(V156/V152,""),"")</f>
        <v>0.242561448900388</v>
      </c>
      <c r="W237" s="38" t="n">
        <f aca="false">IF(AND(ISNUMBER(W156),ISNUMBER(W152)),IFERROR(W156/W152,""),"")</f>
        <v>0.218801799668482</v>
      </c>
      <c r="X237" s="38" t="n">
        <f aca="false">IF(AND(ISNUMBER(X156),ISNUMBER(X152)),IFERROR(X156/X152,""),"")</f>
        <v>0.203921347044864</v>
      </c>
      <c r="Y237" s="38" t="n">
        <f aca="false">IF(AND(ISNUMBER(Y156),ISNUMBER(Y152)),IFERROR(Y156/Y152,""),"")</f>
        <v>0.183316430020284</v>
      </c>
      <c r="Z237" s="38" t="n">
        <f aca="false">IF(AND(ISNUMBER(Z156),ISNUMBER(Z152)),IFERROR(Z156/Z152,""),"")</f>
        <v>0.252430164739589</v>
      </c>
      <c r="AA237" s="38" t="n">
        <f aca="false">IF(AND(ISNUMBER(AA156),ISNUMBER(AA152)),IFERROR(AA156/AA152,""),"")</f>
        <v>0.265060240963856</v>
      </c>
      <c r="AB237" s="38" t="n">
        <f aca="false">IF(AND(ISNUMBER(AB156),ISNUMBER(AB152)),IFERROR(AB156/AB152,""),"")</f>
        <v>0.237247048903879</v>
      </c>
      <c r="AC237" s="38" t="n">
        <f aca="false">IF(AND(ISNUMBER(AC156),ISNUMBER(AC152)),IFERROR(AC156/AC152,""),"")</f>
        <v>0.238032889913062</v>
      </c>
      <c r="AD237" s="38" t="n">
        <f aca="false">IF(AND(ISNUMBER(AD156),ISNUMBER(AD152)),IFERROR(AD156/AD152,""),"")</f>
        <v>0.174309752340325</v>
      </c>
      <c r="AE237" s="38" t="n">
        <f aca="false">IF(AND(ISNUMBER(AE156),ISNUMBER(AE152)),IFERROR(AE156/AE152,""),"")</f>
        <v>0.257733897508228</v>
      </c>
      <c r="AF237" s="38" t="n">
        <f aca="false">IF(AND(ISNUMBER(AF156),ISNUMBER(AF152)),IFERROR(AF156/AF152,""),"")</f>
        <v>0.268180564493886</v>
      </c>
      <c r="AG237" s="38" t="n">
        <f aca="false">IF(AND(ISNUMBER(AG156),ISNUMBER(AG152)),IFERROR(AG156/AG152,""),"")</f>
        <v>0.266975785677486</v>
      </c>
      <c r="AH237" s="38" t="n">
        <f aca="false">IF(AND(ISNUMBER(AH156),ISNUMBER(AH152)),IFERROR(AH156/AH152,""),"")</f>
        <v>0.245082711317329</v>
      </c>
      <c r="AI237" s="38" t="n">
        <f aca="false">IF(AND(ISNUMBER(AI156),ISNUMBER(AI152)),IFERROR(AI156/AI152,""),"")</f>
        <v>0.137655860349127</v>
      </c>
      <c r="AJ237" s="38" t="n">
        <f aca="false">IF(AND(ISNUMBER(AJ156),ISNUMBER(AJ152)),IFERROR(AJ156/AJ152,""),"")</f>
        <v>0.262738033754074</v>
      </c>
      <c r="AK237" s="38" t="n">
        <f aca="false">IF(AND(ISNUMBER(AK156),ISNUMBER(AK152)),IFERROR(AK156/AK152,""),"")</f>
        <v>0.256619986225444</v>
      </c>
      <c r="AL237" s="38" t="n">
        <f aca="false">IF(AND(ISNUMBER(AL156),ISNUMBER(AL152)),IFERROR(AL156/AL152,""),"")</f>
        <v>0.22277983725047</v>
      </c>
      <c r="AM237" s="38" t="n">
        <f aca="false">IF(AND(ISNUMBER(AM156),ISNUMBER(AM152)),IFERROR(AM156/AM152,""),"")</f>
        <v>0.227737193601248</v>
      </c>
      <c r="AN237" s="38" t="n">
        <f aca="false">IF(AND(ISNUMBER(AN156),ISNUMBER(AN152)),IFERROR(AN156/AN152,""),"")</f>
        <v>0.152197922158144</v>
      </c>
      <c r="AO237" s="38" t="n">
        <f aca="false">IF(AND(ISNUMBER(AO156),ISNUMBER(AO152)),IFERROR(AO156/AO152,""),"")</f>
        <v>0.278918269155618</v>
      </c>
      <c r="AP237" s="38" t="n">
        <f aca="false">IF(AND(ISNUMBER(AP156),ISNUMBER(AP152)),IFERROR(AP156/AP152,""),"")</f>
        <v>0.296177563605178</v>
      </c>
      <c r="AQ237" s="38" t="n">
        <f aca="false">IF(AND(ISNUMBER(AQ156),ISNUMBER(AQ152)),IFERROR(AQ156/AQ152,""),"")</f>
        <v>0.234989049735104</v>
      </c>
      <c r="AR237" s="38" t="n">
        <f aca="false">IF(AND(ISNUMBER(AR156),ISNUMBER(AR152)),IFERROR(AR156/AR152,""),"")</f>
        <v>0.248782996257938</v>
      </c>
      <c r="AS237" s="38" t="n">
        <f aca="false">IF(AND(ISNUMBER(AS156),ISNUMBER(AS152)),IFERROR(AS156/AS152,""),"")</f>
        <v>0.148611980797328</v>
      </c>
      <c r="AT237" s="38" t="n">
        <f aca="false">IF(AND(ISNUMBER(AT156),ISNUMBER(AT152)),IFERROR(AT156/AT152,""),"")</f>
        <v>0.299464819770187</v>
      </c>
      <c r="AU237" s="38" t="n">
        <f aca="false">IF(AND(ISNUMBER(AU156),ISNUMBER(AU152)),IFERROR(AU156/AU152,""),"")</f>
        <v>0.306114726804904</v>
      </c>
      <c r="AV237" s="38" t="n">
        <f aca="false">IF(AND(ISNUMBER(AV156),ISNUMBER(AV152)),IFERROR(AV156/AV152,""),"")</f>
        <v>0.275856222448287</v>
      </c>
      <c r="AW237" s="38" t="n">
        <f aca="false">IF(AND(ISNUMBER(AW156),ISNUMBER(AW152)),IFERROR(AW156/AW152,""),"")</f>
        <v>0.264868179031269</v>
      </c>
      <c r="AX237" s="38" t="n">
        <f aca="false">IF(AND(ISNUMBER(AX156),ISNUMBER(AX152)),IFERROR(AX156/AX152,""),"")</f>
        <v>0.177829804560261</v>
      </c>
      <c r="AY237" s="38" t="n">
        <f aca="false">IF(AND(ISNUMBER(AY156),ISNUMBER(AY152)),IFERROR(AY156/AY152,""),"")</f>
        <v>0.279483271645257</v>
      </c>
      <c r="AZ237" s="38" t="n">
        <f aca="false">IF(AND(ISNUMBER(AZ156),ISNUMBER(AZ152)),IFERROR(AZ156/AZ152,""),"")</f>
        <v>0.283760354459642</v>
      </c>
      <c r="BA237" s="38" t="n">
        <f aca="false">IF(AND(ISNUMBER(BA156),ISNUMBER(BA152)),IFERROR(BA156/BA152,""),"")</f>
        <v>0.231689387864207</v>
      </c>
      <c r="BB237" s="38" t="n">
        <f aca="false">IF(AND(ISNUMBER(BB156),ISNUMBER(BB152)),IFERROR(BB156/BB152,""),"")</f>
        <v>0.249057997783524</v>
      </c>
      <c r="BC237" s="38" t="n">
        <f aca="false">IF(AND(ISNUMBER(BC156),ISNUMBER(BC152)),IFERROR(BC156/BC152,""),"")</f>
        <v>0.126828079298017</v>
      </c>
      <c r="BD237" s="38" t="n">
        <f aca="false">IF(AND(ISNUMBER(BD156),ISNUMBER(BD152)),IFERROR(BD156/BD152,""),"")</f>
        <v>0.258999817262594</v>
      </c>
      <c r="BE237" s="38" t="n">
        <f aca="false">IF(AND(ISNUMBER(BE156),ISNUMBER(BE152)),IFERROR(BE156/BE152,""),"")</f>
        <v>0.269249875807253</v>
      </c>
      <c r="BF237" s="38" t="n">
        <f aca="false">IF(AND(ISNUMBER(BF156),ISNUMBER(BF152)),IFERROR(BF156/BF152,""),"")</f>
        <v>0.239891635624788</v>
      </c>
      <c r="BG237" s="38" t="n">
        <f aca="false">IF(AND(ISNUMBER(BG156),ISNUMBER(BG152)),IFERROR(BG156/BG152,""),"")</f>
        <v>0.231028941516386</v>
      </c>
      <c r="BH237" s="38" t="n">
        <f aca="false">IF(AND(ISNUMBER(BH156),ISNUMBER(BH152)),IFERROR(BH156/BH152,""),"")</f>
        <v>0.223617162691086</v>
      </c>
      <c r="BI237" s="38" t="n">
        <f aca="false">IF(AND(ISNUMBER(BI156),ISNUMBER(BI152)),IFERROR(BI156/BI152,""),"")</f>
        <v>0.307776801405975</v>
      </c>
      <c r="BJ237" s="38" t="n">
        <f aca="false">IF(AND(ISNUMBER(BJ156),ISNUMBER(BJ152)),IFERROR(BJ156/BJ152,""),"")</f>
        <v>0.339000050147936</v>
      </c>
      <c r="BK237" s="38" t="n">
        <f aca="false">IF(AND(ISNUMBER(BK156),ISNUMBER(BK152)),IFERROR(BK156/BK152,""),"")</f>
        <v>0.300646685735605</v>
      </c>
      <c r="BL237" s="38" t="n">
        <f aca="false">IF(AND(ISNUMBER(BL156),ISNUMBER(BL152)),IFERROR(BL156/BL152,""),"")</f>
        <v>0.298441834385882</v>
      </c>
      <c r="BM237" s="38" t="n">
        <f aca="false">IF(AND(ISNUMBER(BM156),ISNUMBER(BM152)),IFERROR(BM156/BM152,""),"")</f>
        <v>0.217426059152678</v>
      </c>
      <c r="BN237" s="38" t="n">
        <f aca="false">IF(AND(ISNUMBER(BN156),ISNUMBER(BN152)),IFERROR(BN156/BN152,""),"")</f>
        <v>0.293083900226757</v>
      </c>
      <c r="BO237" s="38" t="n">
        <f aca="false">IF(AND(ISNUMBER(BO156),ISNUMBER(BO152)),IFERROR(BO156/BO152,""),"")</f>
        <v>0.317098994176813</v>
      </c>
      <c r="BP237" s="38" t="n">
        <f aca="false">IF(AND(ISNUMBER(BP156),ISNUMBER(BP152)),IFERROR(BP156/BP152,""),"")</f>
        <v>0.299632352941176</v>
      </c>
      <c r="BQ237" s="38" t="n">
        <f aca="false">IF(AND(ISNUMBER(BQ156),ISNUMBER(BQ152)),IFERROR(BQ156/BQ152,""),"")</f>
        <v>0.287331701346389</v>
      </c>
      <c r="BR237" s="38" t="n">
        <f aca="false">IF(AND(ISNUMBER(BR156),ISNUMBER(BR152)),IFERROR(BR156/BR152,""),"")</f>
        <v>0.271084337349398</v>
      </c>
      <c r="BS237" s="38" t="n">
        <f aca="false">IF(AND(ISNUMBER(BS156),ISNUMBER(BS152)),IFERROR(BS156/BS152,""),"")</f>
        <v>0.308266003729024</v>
      </c>
      <c r="BT237" s="38" t="n">
        <f aca="false">IF(AND(ISNUMBER(BT156),ISNUMBER(BT152)),IFERROR(BT156/BT152,""),"")</f>
        <v>0.330985915492958</v>
      </c>
      <c r="BU237" s="38" t="n">
        <f aca="false">IF(AND(ISNUMBER(BU156),ISNUMBER(BU152)),IFERROR(BU156/BU152,""),"")</f>
        <v>0.305084745762712</v>
      </c>
      <c r="BV237" s="38" t="n">
        <f aca="false">IF(AND(ISNUMBER(BV156),ISNUMBER(BV152)),IFERROR(BV156/BV152,""),"")</f>
        <v>0.307154471544715</v>
      </c>
      <c r="BW237" s="38" t="n">
        <f aca="false">IF(AND(ISNUMBER(BW156),ISNUMBER(BW152)),IFERROR(BW156/BW152,""),"")</f>
        <v>0.227606461086637</v>
      </c>
      <c r="BX237" s="38" t="n">
        <f aca="false">IF(AND(ISNUMBER(BX156),ISNUMBER(BX152)),IFERROR(BX156/BX152,""),"")</f>
        <v>0.254237288135593</v>
      </c>
      <c r="BY237" s="25" t="n">
        <f aca="false">IFERROR(BY156/BY152,"")</f>
        <v>0.299090753199381</v>
      </c>
      <c r="BZ237" s="25" t="n">
        <f aca="false">IFERROR(BZ156/BZ152,"")</f>
        <v>0.269150408182488</v>
      </c>
      <c r="CA237" s="25" t="n">
        <f aca="false">IFERROR(CA156/CA152,"")</f>
        <v>0.267373916543142</v>
      </c>
      <c r="CB237" s="25" t="n">
        <f aca="false">IFERROR(CB156/CB152,"")</f>
        <v>0.300365921213765</v>
      </c>
      <c r="CC237" s="25" t="n">
        <f aca="false">IFERROR(CC156/CC152,"")</f>
        <v>0.315020796506709</v>
      </c>
      <c r="CD237" s="25" t="n">
        <f aca="false">IFERROR(CD156/CD152,"")</f>
        <v>0.323107649066353</v>
      </c>
      <c r="CE237" s="25" t="n">
        <f aca="false">IFERROR(CE156/CE152,"")</f>
        <v>0.326703082658652</v>
      </c>
      <c r="CF237" s="6"/>
      <c r="CH237" s="39" t="n">
        <f aca="false">IFERROR(AVERAGE(CA237,CB237,CC237,CD237,CE237),"n/m")</f>
        <v>0.306514273197724</v>
      </c>
      <c r="CI237" s="39" t="n">
        <f aca="false">IFERROR(AVERAGE(BB237,BG237,BL237,BQ237,BV237),"n/m")</f>
        <v>0.274602989315379</v>
      </c>
      <c r="CJ237" s="39" t="n">
        <f aca="false">IFERROR(AVERAGE(AC237,AH237,AM237,AR237,AW237,BB237,BG237,BL237,BQ237,BV237),"n/m")</f>
        <v>0.259751891669774</v>
      </c>
      <c r="CK237" s="39" t="n">
        <f aca="false">IFERROR(AVERAGE(C237,D237,E237,F237,G237,H237,I237,N237,S237,X237,AC237,AH237,AM237,AR237,AW237,BB237,BG237,BL237,BQ237,BV237),"n/m")</f>
        <v>0.228970604139399</v>
      </c>
    </row>
    <row r="238" customFormat="false" ht="15" hidden="false" customHeight="true" outlineLevel="0" collapsed="false">
      <c r="B238" s="26" t="s">
        <v>372</v>
      </c>
      <c r="C238" s="38" t="n">
        <f aca="false">IF(AND(ISNUMBER(C204),ISNUMBER(C152)),IFERROR(C204/C152,""),"")</f>
        <v>0.242476432197244</v>
      </c>
      <c r="D238" s="38" t="n">
        <f aca="false">IF(AND(ISNUMBER(D204),ISNUMBER(D152)),IFERROR(D204/D152,""),"")</f>
        <v>0.267590956458701</v>
      </c>
      <c r="E238" s="38" t="n">
        <f aca="false">IF(AND(ISNUMBER(E204),ISNUMBER(E152)),IFERROR(E204/E152,""),"")</f>
        <v>0.234753077685015</v>
      </c>
      <c r="F238" s="38" t="n">
        <f aca="false">IF(AND(ISNUMBER(F204),ISNUMBER(F152)),IFERROR(F204/F152,""),"")</f>
        <v>0.213849406789616</v>
      </c>
      <c r="G238" s="38" t="n">
        <f aca="false">IF(AND(ISNUMBER(G204),ISNUMBER(G152)),IFERROR(G204/G152,""),"")</f>
        <v>0.210163217230355</v>
      </c>
      <c r="H238" s="38" t="n">
        <f aca="false">IF(AND(ISNUMBER(H204),ISNUMBER(H152)),IFERROR(H204/H152,""),"")</f>
        <v>0.195985763463446</v>
      </c>
      <c r="I238" s="38" t="n">
        <f aca="false">IF(AND(ISNUMBER(I204),ISNUMBER(I152)),IFERROR(I204/I152,""),"")</f>
        <v>0.161906164114645</v>
      </c>
      <c r="J238" s="38" t="n">
        <f aca="false">IF(AND(ISNUMBER(J204),ISNUMBER(J152)),IFERROR(J204/J152,""),"")</f>
        <v>0.0516883116883117</v>
      </c>
      <c r="K238" s="38" t="n">
        <f aca="false">IF(AND(ISNUMBER(K204),ISNUMBER(K152)),IFERROR(K204/K152,""),"")</f>
        <v>0.199928914163853</v>
      </c>
      <c r="L238" s="38" t="n">
        <f aca="false">IF(AND(ISNUMBER(L204),ISNUMBER(L152)),IFERROR(L204/L152,""),"")</f>
        <v>0.227867127611604</v>
      </c>
      <c r="M238" s="38" t="n">
        <f aca="false">IF(AND(ISNUMBER(M204),ISNUMBER(M152)),IFERROR(M204/M152,""),"")</f>
        <v>0.195045871559633</v>
      </c>
      <c r="N238" s="38" t="n">
        <f aca="false">IF(AND(ISNUMBER(N204),ISNUMBER(N152)),IFERROR(N204/N152,""),"")</f>
        <v>0.181025284156808</v>
      </c>
      <c r="O238" s="38" t="n">
        <f aca="false">IF(AND(ISNUMBER(O204),ISNUMBER(O152)),IFERROR(O204/O152,""),"")</f>
        <v>0.0564497317471425</v>
      </c>
      <c r="P238" s="38" t="n">
        <f aca="false">IF(AND(ISNUMBER(P204),ISNUMBER(P152)),IFERROR(P204/P152,""),"")</f>
        <v>0.208607292289301</v>
      </c>
      <c r="Q238" s="38" t="n">
        <f aca="false">IF(AND(ISNUMBER(Q204),ISNUMBER(Q152)),IFERROR(Q204/Q152,""),"")</f>
        <v>0.184118760585832</v>
      </c>
      <c r="R238" s="38" t="n">
        <f aca="false">IF(AND(ISNUMBER(R204),ISNUMBER(R152)),IFERROR(R204/R152,""),"")</f>
        <v>0.219899567908443</v>
      </c>
      <c r="S238" s="38" t="n">
        <f aca="false">IF(AND(ISNUMBER(S204),ISNUMBER(S152)),IFERROR(S204/S152,""),"")</f>
        <v>0.181541582150102</v>
      </c>
      <c r="T238" s="38" t="n">
        <f aca="false">IF(AND(ISNUMBER(T204),ISNUMBER(T152)),IFERROR(T204/T152,""),"")</f>
        <v>0.131906277118889</v>
      </c>
      <c r="U238" s="38" t="n">
        <f aca="false">IF(AND(ISNUMBER(U204),ISNUMBER(U152)),IFERROR(U204/U152,""),"")</f>
        <v>0.225298458866942</v>
      </c>
      <c r="V238" s="38" t="n">
        <f aca="false">IF(AND(ISNUMBER(V204),ISNUMBER(V152)),IFERROR(V204/V152,""),"")</f>
        <v>0.229973202735169</v>
      </c>
      <c r="W238" s="38" t="n">
        <f aca="false">IF(AND(ISNUMBER(W204),ISNUMBER(W152)),IFERROR(W204/W152,""),"")</f>
        <v>0.225550556476439</v>
      </c>
      <c r="X238" s="38" t="n">
        <f aca="false">IF(AND(ISNUMBER(X204),ISNUMBER(X152)),IFERROR(X204/X152,""),"")</f>
        <v>0.216606396202961</v>
      </c>
      <c r="Y238" s="38" t="n">
        <f aca="false">IF(AND(ISNUMBER(Y204),ISNUMBER(Y152)),IFERROR(Y204/Y152,""),"")</f>
        <v>0.193458417849898</v>
      </c>
      <c r="Z238" s="38" t="n">
        <f aca="false">IF(AND(ISNUMBER(Z204),ISNUMBER(Z152)),IFERROR(Z204/Z152,""),"")</f>
        <v>0.272690064463317</v>
      </c>
      <c r="AA238" s="38" t="n">
        <f aca="false">IF(AND(ISNUMBER(AA204),ISNUMBER(AA152)),IFERROR(AA204/AA152,""),"")</f>
        <v>0.292417791466618</v>
      </c>
      <c r="AB238" s="38" t="n">
        <f aca="false">IF(AND(ISNUMBER(AB204),ISNUMBER(AB152)),IFERROR(AB204/AB152,""),"")</f>
        <v>0.242095278246206</v>
      </c>
      <c r="AC238" s="38" t="n">
        <f aca="false">IF(AND(ISNUMBER(AC204),ISNUMBER(AC152)),IFERROR(AC204/AC152,""),"")</f>
        <v>0.254425473970881</v>
      </c>
      <c r="AD238" s="38" t="n">
        <f aca="false">IF(AND(ISNUMBER(AD204),ISNUMBER(AD152)),IFERROR(AD204/AD152,""),"")</f>
        <v>0.175020737054153</v>
      </c>
      <c r="AE238" s="38" t="n">
        <f aca="false">IF(AND(ISNUMBER(AE204),ISNUMBER(AE152)),IFERROR(AE204/AE152,""),"")</f>
        <v>0.274847202632816</v>
      </c>
      <c r="AF238" s="38" t="n">
        <f aca="false">IF(AND(ISNUMBER(AF204),ISNUMBER(AF152)),IFERROR(AF204/AF152,""),"")</f>
        <v>0.277650087340259</v>
      </c>
      <c r="AG238" s="38" t="n">
        <f aca="false">IF(AND(ISNUMBER(AG204),ISNUMBER(AG152)),IFERROR(AG204/AG152,""),"")</f>
        <v>0.270376094796497</v>
      </c>
      <c r="AH238" s="38" t="n">
        <f aca="false">IF(AND(ISNUMBER(AH204),ISNUMBER(AH152)),IFERROR(AH204/AH152,""),"")</f>
        <v>0.253278192455114</v>
      </c>
      <c r="AI238" s="38" t="n">
        <f aca="false">IF(AND(ISNUMBER(AI204),ISNUMBER(AI152)),IFERROR(AI204/AI152,""),"")</f>
        <v>0.153740648379052</v>
      </c>
      <c r="AJ238" s="38" t="n">
        <f aca="false">IF(AND(ISNUMBER(AJ204),ISNUMBER(AJ152)),IFERROR(AJ204/AJ152,""),"")</f>
        <v>0.315168042661238</v>
      </c>
      <c r="AK238" s="38" t="n">
        <f aca="false">IF(AND(ISNUMBER(AK204),ISNUMBER(AK152)),IFERROR(AK204/AK152,""),"")</f>
        <v>0.286136892853629</v>
      </c>
      <c r="AL238" s="38" t="n">
        <f aca="false">IF(AND(ISNUMBER(AL204),ISNUMBER(AL152)),IFERROR(AL204/AL152,""),"")</f>
        <v>0.246859004644105</v>
      </c>
      <c r="AM238" s="38" t="n">
        <f aca="false">IF(AND(ISNUMBER(AM204),ISNUMBER(AM152)),IFERROR(AM204/AM152,""),"")</f>
        <v>0.260060340247369</v>
      </c>
      <c r="AN238" s="38" t="n">
        <f aca="false">IF(AND(ISNUMBER(AN204),ISNUMBER(AN152)),IFERROR(AN204/AN152,""),"")</f>
        <v>0.169214712100154</v>
      </c>
      <c r="AO238" s="38" t="n">
        <f aca="false">IF(AND(ISNUMBER(AO204),ISNUMBER(AO152)),IFERROR(AO204/AO152,""),"")</f>
        <v>0.295800285743762</v>
      </c>
      <c r="AP238" s="38" t="n">
        <f aca="false">IF(AND(ISNUMBER(AP204),ISNUMBER(AP152)),IFERROR(AP204/AP152,""),"")</f>
        <v>0.309151372367886</v>
      </c>
      <c r="AQ238" s="38" t="n">
        <f aca="false">IF(AND(ISNUMBER(AQ204),ISNUMBER(AQ152)),IFERROR(AQ204/AQ152,""),"")</f>
        <v>0.253337331770308</v>
      </c>
      <c r="AR238" s="38" t="n">
        <f aca="false">IF(AND(ISNUMBER(AR204),ISNUMBER(AR152)),IFERROR(AR204/AR152,""),"")</f>
        <v>0.264723160398878</v>
      </c>
      <c r="AS238" s="38" t="n">
        <f aca="false">IF(AND(ISNUMBER(AS204),ISNUMBER(AS152)),IFERROR(AS204/AS152,""),"")</f>
        <v>0.155499895637654</v>
      </c>
      <c r="AT238" s="38" t="n">
        <f aca="false">IF(AND(ISNUMBER(AT204),ISNUMBER(AT152)),IFERROR(AT204/AT152,""),"")</f>
        <v>0.320321108137888</v>
      </c>
      <c r="AU238" s="38" t="n">
        <f aca="false">IF(AND(ISNUMBER(AU204),ISNUMBER(AU152)),IFERROR(AU204/AU152,""),"")</f>
        <v>0.379673074012411</v>
      </c>
      <c r="AV238" s="38" t="n">
        <f aca="false">IF(AND(ISNUMBER(AV204),ISNUMBER(AV152)),IFERROR(AV204/AV152,""),"")</f>
        <v>0.284079348931841</v>
      </c>
      <c r="AW238" s="38" t="n">
        <f aca="false">IF(AND(ISNUMBER(AW204),ISNUMBER(AW152)),IFERROR(AW204/AW152,""),"")</f>
        <v>0.294467113469629</v>
      </c>
      <c r="AX238" s="38" t="n">
        <f aca="false">IF(AND(ISNUMBER(AX204),ISNUMBER(AX152)),IFERROR(AX204/AX152,""),"")</f>
        <v>0.208061889250814</v>
      </c>
      <c r="AY238" s="38" t="n">
        <f aca="false">IF(AND(ISNUMBER(AY204),ISNUMBER(AY152)),IFERROR(AY204/AY152,""),"")</f>
        <v>0.318745917700849</v>
      </c>
      <c r="AZ238" s="38" t="n">
        <f aca="false">IF(AND(ISNUMBER(AZ204),ISNUMBER(AZ152)),IFERROR(AZ204/AZ152,""),"")</f>
        <v>0.314647145700893</v>
      </c>
      <c r="BA238" s="38" t="n">
        <f aca="false">IF(AND(ISNUMBER(BA204),ISNUMBER(BA152)),IFERROR(BA204/BA152,""),"")</f>
        <v>0.263098102111735</v>
      </c>
      <c r="BB238" s="38" t="n">
        <f aca="false">IF(AND(ISNUMBER(BB204),ISNUMBER(BB152)),IFERROR(BB204/BB152,""),"")</f>
        <v>0.282323605467307</v>
      </c>
      <c r="BC238" s="38" t="n">
        <f aca="false">IF(AND(ISNUMBER(BC204),ISNUMBER(BC152)),IFERROR(BC204/BC152,""),"")</f>
        <v>0.160220994475138</v>
      </c>
      <c r="BD238" s="38" t="n">
        <f aca="false">IF(AND(ISNUMBER(BD204),ISNUMBER(BD152)),IFERROR(BD204/BD152,""),"")</f>
        <v>0.291344338186027</v>
      </c>
      <c r="BE238" s="38" t="n">
        <f aca="false">IF(AND(ISNUMBER(BE204),ISNUMBER(BE152)),IFERROR(BE204/BE152,""),"")</f>
        <v>0.294254015565491</v>
      </c>
      <c r="BF238" s="38" t="n">
        <f aca="false">IF(AND(ISNUMBER(BF204),ISNUMBER(BF152)),IFERROR(BF204/BF152,""),"")</f>
        <v>0.265289536065019</v>
      </c>
      <c r="BG238" s="38" t="n">
        <f aca="false">IF(AND(ISNUMBER(BG204),ISNUMBER(BG152)),IFERROR(BG204/BG152,""),"")</f>
        <v>0.259759442920447</v>
      </c>
      <c r="BH238" s="38" t="n">
        <f aca="false">IF(AND(ISNUMBER(BH204),ISNUMBER(BH152)),IFERROR(BH204/BH152,""),"")</f>
        <v>0.239199468281515</v>
      </c>
      <c r="BI238" s="38" t="n">
        <f aca="false">IF(AND(ISNUMBER(BI204),ISNUMBER(BI152)),IFERROR(BI204/BI152,""),"")</f>
        <v>0.327383567662566</v>
      </c>
      <c r="BJ238" s="38" t="n">
        <f aca="false">IF(AND(ISNUMBER(BJ204),ISNUMBER(BJ152)),IFERROR(BJ204/BJ152,""),"")</f>
        <v>0.353643247580362</v>
      </c>
      <c r="BK238" s="38" t="n">
        <f aca="false">IF(AND(ISNUMBER(BK204),ISNUMBER(BK152)),IFERROR(BK204/BK152,""),"")</f>
        <v>0.312523317995274</v>
      </c>
      <c r="BL238" s="38" t="n">
        <f aca="false">IF(AND(ISNUMBER(BL204),ISNUMBER(BL152)),IFERROR(BL204/BL152,""),"")</f>
        <v>0.31394971374609</v>
      </c>
      <c r="BM238" s="38" t="n">
        <f aca="false">IF(AND(ISNUMBER(BM204),ISNUMBER(BM152)),IFERROR(BM204/BM152,""),"")</f>
        <v>0.232613908872902</v>
      </c>
      <c r="BN238" s="38" t="n">
        <f aca="false">IF(AND(ISNUMBER(BN204),ISNUMBER(BN152)),IFERROR(BN204/BN152,""),"")</f>
        <v>0.331065759637188</v>
      </c>
      <c r="BO238" s="38" t="n">
        <f aca="false">IF(AND(ISNUMBER(BO204),ISNUMBER(BO152)),IFERROR(BO204/BO152,""),"")</f>
        <v>0.341979883536263</v>
      </c>
      <c r="BP238" s="38" t="n">
        <f aca="false">IF(AND(ISNUMBER(BP204),ISNUMBER(BP152)),IFERROR(BP204/BP152,""),"")</f>
        <v>0.333946078431373</v>
      </c>
      <c r="BQ238" s="38" t="n">
        <f aca="false">IF(AND(ISNUMBER(BQ204),ISNUMBER(BQ152)),IFERROR(BQ204/BQ152,""),"")</f>
        <v>0.31609547123623</v>
      </c>
      <c r="BR238" s="38" t="n">
        <f aca="false">IF(AND(ISNUMBER(BR204),ISNUMBER(BR152)),IFERROR(BR204/BR152,""),"")</f>
        <v>0.274526678141136</v>
      </c>
      <c r="BS238" s="38" t="n">
        <f aca="false">IF(AND(ISNUMBER(BS204),ISNUMBER(BS152)),IFERROR(BS204/BS152,""),"")</f>
        <v>0.351149782473586</v>
      </c>
      <c r="BT238" s="38" t="n">
        <f aca="false">IF(AND(ISNUMBER(BT204),ISNUMBER(BT152)),IFERROR(BT204/BT152,""),"")</f>
        <v>0.361321776814735</v>
      </c>
      <c r="BU238" s="38" t="n">
        <f aca="false">IF(AND(ISNUMBER(BU204),ISNUMBER(BU152)),IFERROR(BU204/BU152,""),"")</f>
        <v>0.335723598435463</v>
      </c>
      <c r="BV238" s="38" t="n">
        <f aca="false">IF(AND(ISNUMBER(BV204),ISNUMBER(BV152)),IFERROR(BV204/BV152,""),"")</f>
        <v>0.335772357723577</v>
      </c>
      <c r="BW238" s="38" t="n">
        <f aca="false">IF(AND(ISNUMBER(BW204),ISNUMBER(BW152)),IFERROR(BW204/BW152,""),"")</f>
        <v>0.267254038179148</v>
      </c>
      <c r="BX238" s="38" t="n">
        <f aca="false">IF(AND(ISNUMBER(BX204),ISNUMBER(BX152)),IFERROR(BX204/BX152,""),"")</f>
        <v>0.327683615819209</v>
      </c>
      <c r="BY238" s="25" t="n">
        <f aca="false">IFERROR(BY204/BY152,"")</f>
        <v>0.368971963776723</v>
      </c>
      <c r="BZ238" s="25" t="n">
        <f aca="false">IFERROR(BZ204/BZ152,"")</f>
        <v>0.36368725795465</v>
      </c>
      <c r="CA238" s="25" t="n">
        <f aca="false">IFERROR(CA204/CA152,"")</f>
        <v>0.339993339435915</v>
      </c>
      <c r="CB238" s="25" t="n">
        <f aca="false">IFERROR(CB204/CB152,"")</f>
        <v>0.365937000813205</v>
      </c>
      <c r="CC238" s="25" t="n">
        <f aca="false">IFERROR(CC204/CC152,"")</f>
        <v>0.378002315564053</v>
      </c>
      <c r="CD238" s="25" t="n">
        <f aca="false">IFERROR(CD204/CD152,"")</f>
        <v>0.383821756161386</v>
      </c>
      <c r="CE238" s="25" t="n">
        <f aca="false">IFERROR(CE204/CE152,"")</f>
        <v>0.385340005421681</v>
      </c>
      <c r="CF238" s="6"/>
      <c r="CH238" s="39" t="n">
        <f aca="false">IFERROR(AVERAGE(CA238,CB238,CC238,CD238,CE238),"n/m")</f>
        <v>0.370618883479248</v>
      </c>
      <c r="CI238" s="39" t="n">
        <f aca="false">IFERROR(AVERAGE(BB238,BG238,BL238,BQ238,BV238),"n/m")</f>
        <v>0.30158011821873</v>
      </c>
      <c r="CJ238" s="39" t="n">
        <f aca="false">IFERROR(AVERAGE(AC238,AH238,AM238,AR238,AW238,BB238,BG238,BL238,BQ238,BV238),"n/m")</f>
        <v>0.283485487163552</v>
      </c>
      <c r="CK238" s="39" t="n">
        <f aca="false">IFERROR(AVERAGE(C238,D238,E238,F238,G238,H238,I238,N238,S238,X238,AC238,AH238,AM238,AR238,AW238,BB238,BG238,BL238,BQ238,BV238),"n/m")</f>
        <v>0.247037657604221</v>
      </c>
    </row>
    <row r="239" customFormat="false" ht="15" hidden="false" customHeight="true" outlineLevel="0" collapsed="false">
      <c r="B239" s="26" t="s">
        <v>418</v>
      </c>
      <c r="D239" s="38" t="n">
        <f aca="false">IFERROR((D204-C204)/(D152-C152),"")</f>
        <v>79.4285714285919</v>
      </c>
      <c r="E239" s="38" t="n">
        <f aca="false">IFERROR((E204-D204)/(E152-D152),"")</f>
        <v>1.06781609195402</v>
      </c>
      <c r="F239" s="38" t="n">
        <f aca="false">IFERROR((F204-E204)/(F152-E152),"")</f>
        <v>0.32</v>
      </c>
      <c r="G239" s="38" t="n">
        <f aca="false">IFERROR((G204-F204)/(G152-F152),"")</f>
        <v>0.13200498132005</v>
      </c>
      <c r="H239" s="38" t="n">
        <f aca="false">IFERROR((H204-G204)/(H152-G152),"")</f>
        <v>0.562318840579711</v>
      </c>
      <c r="I239" s="38" t="n">
        <f aca="false">IFERROR((I204-H204)/(I152-H152),"")</f>
        <v>-0.0185356811862836</v>
      </c>
      <c r="N239" s="38" t="n">
        <f aca="false">IFERROR((N204-I204)/(N152-I152),"")</f>
        <v>0.51145038167939</v>
      </c>
      <c r="O239" s="38" t="n">
        <f aca="false">IFERROR((O204-J204)/(O152-J152),"")</f>
        <v>0.0983981693363847</v>
      </c>
      <c r="P239" s="38" t="n">
        <f aca="false">IFERROR((P204-K204)/(P152-K152),"")</f>
        <v>0.254460093896714</v>
      </c>
      <c r="Q239" s="38" t="n">
        <f aca="false">IFERROR((Q204-L204)/(Q152-L152),"")</f>
        <v>0.0981087470449173</v>
      </c>
      <c r="R239" s="38" t="n">
        <f aca="false">IFERROR((R204-M204)/(R152-M152),"")</f>
        <v>0.263411500160617</v>
      </c>
      <c r="S239" s="38" t="n">
        <f aca="false">IFERROR((S204-N204)/(S152-N152),"")</f>
        <v>0.182928348909658</v>
      </c>
      <c r="T239" s="38" t="n">
        <f aca="false">IFERROR((T204-O204)/(T152-O152),"")</f>
        <v>0.255043776170537</v>
      </c>
      <c r="U239" s="38" t="n">
        <f aca="false">IFERROR((U204-P204)/(U152-P152),"")</f>
        <v>0.269587628865979</v>
      </c>
      <c r="V239" s="38" t="n">
        <f aca="false">IFERROR((V204-Q204)/(V152-Q152),"")</f>
        <v>0.816267515923567</v>
      </c>
      <c r="W239" s="38" t="n">
        <f aca="false">IFERROR((W204-R204)/(W152-R152),"")</f>
        <v>-0.188034188034191</v>
      </c>
      <c r="X239" s="38" t="n">
        <f aca="false">IFERROR((X204-S204)/(X152-S152),"")</f>
        <v>0.394944979367262</v>
      </c>
      <c r="Y239" s="38" t="n">
        <f aca="false">IFERROR((Y204-T204)/(Y152-T152),"")</f>
        <v>0.630390143737166</v>
      </c>
      <c r="Z239" s="38" t="n">
        <f aca="false">IFERROR((Z204-U204)/(Z152-U152),"")</f>
        <v>1.05384615384615</v>
      </c>
      <c r="AA239" s="38" t="n">
        <f aca="false">IFERROR((AA204-V204)/(AA152-V152),"")</f>
        <v>3.40658986175115</v>
      </c>
      <c r="AB239" s="38" t="n">
        <f aca="false">IFERROR((AB204-W204)/(AB152-W152),"")</f>
        <v>0.37619961612284</v>
      </c>
      <c r="AC239" s="38" t="n">
        <f aca="false">IFERROR((AC204-X204)/(AC152-X152),"")</f>
        <v>0.733882521489971</v>
      </c>
      <c r="AD239" s="38" t="n">
        <f aca="false">IFERROR((AD204-Y204)/(AD152-Y152),"")</f>
        <v>-0.088929219600724</v>
      </c>
      <c r="AE239" s="38" t="n">
        <f aca="false">IFERROR((AE204-Z204)/(AE152-Z152),"")</f>
        <v>0.299303944315546</v>
      </c>
      <c r="AF239" s="38" t="n">
        <f aca="false">IFERROR((AF204-AA204)/(AF152-AA152),"")</f>
        <v>1.28395061728395</v>
      </c>
      <c r="AG239" s="38" t="n">
        <f aca="false">IFERROR((AG204-AB204)/(AG152-AB152),"")</f>
        <v>1.50691244239631</v>
      </c>
      <c r="AH239" s="38" t="n">
        <f aca="false">IFERROR((AH204-AC204)/(AH152-AC152),"")</f>
        <v>0.223433242506814</v>
      </c>
      <c r="AI239" s="38" t="n">
        <f aca="false">IFERROR((AI204-AD204)/(AI152-AD152),"")</f>
        <v>0.582338902147973</v>
      </c>
      <c r="AJ239" s="38" t="n">
        <f aca="false">IFERROR((AJ204-AE204)/(AJ152-AE152),"")</f>
        <v>0.623881413648374</v>
      </c>
      <c r="AK239" s="38" t="n">
        <f aca="false">IFERROR((AK204-AF204)/(AK152-AF152),"")</f>
        <v>0.356101258147643</v>
      </c>
      <c r="AL239" s="38" t="n">
        <f aca="false">IFERROR((AL204-AG204)/(AL152-AG152),"")</f>
        <v>-0.212196789895007</v>
      </c>
      <c r="AM239" s="38" t="n">
        <f aca="false">IFERROR((AM204-AH204)/(AM152-AH152),"")</f>
        <v>0.356575099133368</v>
      </c>
      <c r="AN239" s="38" t="n">
        <f aca="false">IFERROR((AN204-AI204)/(AN152-AI152),"")</f>
        <v>0.259829871125552</v>
      </c>
      <c r="AO239" s="38" t="n">
        <f aca="false">IFERROR((AO204-AJ204)/(AO152-AJ152),"")</f>
        <v>-0.00638422111204925</v>
      </c>
      <c r="AP239" s="38" t="n">
        <f aca="false">IFERROR((AP204-AK204)/(AP152-AK152),"")</f>
        <v>0.449074304856285</v>
      </c>
      <c r="AQ239" s="38" t="n">
        <f aca="false">IFERROR((AQ204-AL204)/(AQ152-AL152),"")</f>
        <v>0.335735301451155</v>
      </c>
      <c r="AR239" s="38" t="n">
        <f aca="false">IFERROR((AR204-AM204)/(AR152-AM152),"")</f>
        <v>0.304716944908686</v>
      </c>
      <c r="AS239" s="38" t="n">
        <f aca="false">IFERROR((AS204-AN204)/(AS152-AN152),"")</f>
        <v>-0.513639906469208</v>
      </c>
      <c r="AT239" s="38" t="n">
        <f aca="false">IFERROR((AT204-AO204)/(AT152-AO152),"")</f>
        <v>-3.21752368064946</v>
      </c>
      <c r="AU239" s="38" t="n">
        <f aca="false">IFERROR((AU204-AP204)/(AU152-AP152),"")</f>
        <v>-0.633601764360724</v>
      </c>
      <c r="AV239" s="38" t="n">
        <f aca="false">IFERROR((AV204-AQ204)/(AV152-AQ152),"")</f>
        <v>0.711380573449537</v>
      </c>
      <c r="AW239" s="38" t="n">
        <f aca="false">IFERROR((AW204-AR204)/(AW152-AR152),"")</f>
        <v>-15.0305501195907</v>
      </c>
      <c r="AX239" s="38" t="n">
        <f aca="false">IFERROR((AX204-AS204)/(AX152-AS152),"")</f>
        <v>2.28925619834711</v>
      </c>
      <c r="AY239" s="38" t="n">
        <f aca="false">IFERROR((AY204-AT204)/(AY152-AT152),"")</f>
        <v>0.300093196644921</v>
      </c>
      <c r="AZ239" s="38" t="n">
        <f aca="false">IFERROR((AZ204-AU204)/(AZ152-AU152),"")</f>
        <v>-0.0495972869860122</v>
      </c>
      <c r="BA239" s="38" t="n">
        <f aca="false">IFERROR((BA204-AV204)/(BA152-AV152),"")</f>
        <v>0.184974747474748</v>
      </c>
      <c r="BB239" s="38" t="n">
        <f aca="false">IFERROR((BB204-AW204)/(BB152-AW152),"")</f>
        <v>0.19836281245432</v>
      </c>
      <c r="BC239" s="38" t="n">
        <f aca="false">IFERROR((BC204-AX204)/(BC152-AX152),"")</f>
        <v>-0.0289855072463768</v>
      </c>
      <c r="BD239" s="38" t="n">
        <f aca="false">IFERROR((BD204-AY204)/(BD152-AY152),"")</f>
        <v>0.148218347232752</v>
      </c>
      <c r="BE239" s="38" t="n">
        <f aca="false">IFERROR((BE204-AZ204)/(BE152-AZ152),"")</f>
        <v>0.169418238993711</v>
      </c>
      <c r="BF239" s="38" t="n">
        <f aca="false">IFERROR((BF204-BA204)/(BF152-BA152),"")</f>
        <v>0.100502512562811</v>
      </c>
      <c r="BG239" s="38" t="n">
        <f aca="false">IFERROR((BG204-BB204)/(BG152-BB152),"")</f>
        <v>0.0961564215883222</v>
      </c>
      <c r="BH239" s="38" t="n">
        <f aca="false">IFERROR((BH204-BC204)/(BH152-BC152),"")</f>
        <v>1.02757502027575</v>
      </c>
      <c r="BI239" s="38" t="n">
        <f aca="false">IFERROR((BI204-BD204)/(BI152-BD152),"")</f>
        <v>0.657733109994416</v>
      </c>
      <c r="BJ239" s="38" t="n">
        <f aca="false">IFERROR((BJ204-BE204)/(BJ152-BE152),"")</f>
        <v>0.943530701754387</v>
      </c>
      <c r="BK239" s="38" t="n">
        <f aca="false">IFERROR((BK204-BF204)/(BK152-BF152),"")</f>
        <v>0.842065299924069</v>
      </c>
      <c r="BL239" s="38" t="n">
        <f aca="false">IFERROR((BL204-BG204)/(BL152-BG152),"")</f>
        <v>0.855474452554743</v>
      </c>
      <c r="BM239" s="38" t="n">
        <f aca="false">IFERROR((BM204-BH204)/(BM152-BH152),"")</f>
        <v>0.319107662463627</v>
      </c>
      <c r="BN239" s="38" t="n">
        <f aca="false">IFERROR((BN204-BI204)/(BN152-BI152),"")</f>
        <v>0.213028169014083</v>
      </c>
      <c r="BO239" s="38" t="n">
        <f aca="false">IFERROR((BO204-BJ204)/(BO152-BJ152),"")</f>
        <v>0.56327307326356</v>
      </c>
      <c r="BP239" s="38" t="n">
        <f aca="false">IFERROR((BP204-BK204)/(BP152-BK152),"")</f>
        <v>1.78151260504202</v>
      </c>
      <c r="BQ239" s="38" t="n">
        <f aca="false">IFERROR((BQ204-BL204)/(BQ152-BL152),"")</f>
        <v>0.255804311774459</v>
      </c>
      <c r="BR239" s="38" t="n">
        <f aca="false">IFERROR((BR204-BM204)/(BR152-BM152),"")</f>
        <v>-0.314606741573034</v>
      </c>
      <c r="BS239" s="38" t="n">
        <f aca="false">IFERROR((BS204-BN204)/(BS152-BN152),"")</f>
        <v>0.12258064516129</v>
      </c>
      <c r="BT239" s="38" t="n">
        <f aca="false">IFERROR((BT204-BO204)/(BT152-BO152),"")</f>
        <v>-0.488372093023256</v>
      </c>
      <c r="BU239" s="38" t="n">
        <f aca="false">IFERROR((BU204-BP204)/(BU152-BP152),"")</f>
        <v>0.306122448979592</v>
      </c>
      <c r="BV239" s="38" t="n">
        <f aca="false">IFERROR((BV204-BQ204)/(BV152-BQ152),"")</f>
        <v>0.00259067357512953</v>
      </c>
      <c r="BW239" s="38" t="n">
        <f aca="false">IFERROR((BW204-BR204)/(BW152-BR152),"")</f>
        <v>0.225</v>
      </c>
      <c r="BX239" s="38" t="n">
        <f aca="false">IFERROR((BX204-BS204)/(BX152-BS152),"")</f>
        <v>0.215976331360947</v>
      </c>
      <c r="BY239" s="25" t="n">
        <f aca="false">IFERROR((BY204-BT204)/(BY152-BT152),"")</f>
        <v>0.395086536829636</v>
      </c>
      <c r="BZ239" s="25" t="n">
        <f aca="false">IFERROR((BZ204-BU204)/(BZ152-BU152),"")</f>
        <v>0.421680367115764</v>
      </c>
      <c r="CA239" s="25" t="n">
        <f aca="false">IFERROR((CA204-BV204)/(CA152-BV152),"")</f>
        <v>0.354260790242825</v>
      </c>
      <c r="CB239" s="25" t="n">
        <f aca="false">IFERROR((CB204-CA204)/(CB152-CA152),"")</f>
        <v>0.477857200108524</v>
      </c>
      <c r="CC239" s="25" t="n">
        <f aca="false">IFERROR((CC204-CB204)/(CC152-CB152),"")</f>
        <v>0.528756267006218</v>
      </c>
      <c r="CD239" s="25" t="n">
        <f aca="false">IFERROR((CD204-CC204)/(CD152-CC152),"")</f>
        <v>0.4530596559163</v>
      </c>
      <c r="CE239" s="25" t="n">
        <f aca="false">IFERROR((CE204-CD204)/(CE152-CD152),"")</f>
        <v>0.402928386463635</v>
      </c>
      <c r="CF239" s="6"/>
    </row>
    <row r="240" customFormat="false" ht="15" hidden="false" customHeight="true" outlineLevel="0" collapsed="false">
      <c r="B240" s="26" t="s">
        <v>419</v>
      </c>
      <c r="C240" s="38" t="n">
        <f aca="false">IF(AND(ISNUMBER(C160),ISNUMBER(C152)),IFERROR(C160/C152,""),"")</f>
        <v>0.175852066715011</v>
      </c>
      <c r="D240" s="38" t="n">
        <f aca="false">IF(AND(ISNUMBER(D160),ISNUMBER(D152)),IFERROR(D160/D152,""),"")</f>
        <v>0.1961850391917</v>
      </c>
      <c r="E240" s="38" t="n">
        <f aca="false">IF(AND(ISNUMBER(E160),ISNUMBER(E152)),IFERROR(E160/E152,""),"")</f>
        <v>0.152492806943069</v>
      </c>
      <c r="F240" s="38" t="n">
        <f aca="false">IF(AND(ISNUMBER(F160),ISNUMBER(F152)),IFERROR(F160/F152,""),"")</f>
        <v>0.110184423822389</v>
      </c>
      <c r="G240" s="38" t="n">
        <f aca="false">IF(AND(ISNUMBER(G160),ISNUMBER(G152)),IFERROR(G160/G152,""),"")</f>
        <v>0.110157608390824</v>
      </c>
      <c r="H240" s="38" t="n">
        <f aca="false">IF(AND(ISNUMBER(H160),ISNUMBER(H152)),IFERROR(H160/H152,""),"")</f>
        <v>0.0939378026722679</v>
      </c>
      <c r="I240" s="38" t="n">
        <f aca="false">IF(AND(ISNUMBER(I160),ISNUMBER(I152)),IFERROR(I160/I152,""),"")</f>
        <v>0.0760698861405575</v>
      </c>
      <c r="J240" s="38" t="n">
        <f aca="false">IF(AND(ISNUMBER(J160),ISNUMBER(J152)),IFERROR(J160/J152,""),"")</f>
        <v>-0.0612987012987013</v>
      </c>
      <c r="K240" s="38" t="n">
        <f aca="false">IF(AND(ISNUMBER(K160),ISNUMBER(K152)),IFERROR(K160/K152,""),"")</f>
        <v>0.123333925715301</v>
      </c>
      <c r="L240" s="38" t="n">
        <f aca="false">IF(AND(ISNUMBER(L160),ISNUMBER(L152)),IFERROR(L160/L152,""),"")</f>
        <v>0.163535247256877</v>
      </c>
      <c r="M240" s="38" t="n">
        <f aca="false">IF(AND(ISNUMBER(M160),ISNUMBER(M152)),IFERROR(M160/M152,""),"")</f>
        <v>0.115229357798165</v>
      </c>
      <c r="N240" s="38" t="n">
        <f aca="false">IF(AND(ISNUMBER(N160),ISNUMBER(N152)),IFERROR(N160/N152,""),"")</f>
        <v>0.101136627232661</v>
      </c>
      <c r="O240" s="38" t="n">
        <f aca="false">IF(AND(ISNUMBER(O160),ISNUMBER(O152)),IFERROR(O160/O152,""),"")</f>
        <v>-0.0370888733379986</v>
      </c>
      <c r="P240" s="38" t="n">
        <f aca="false">IF(AND(ISNUMBER(P160),ISNUMBER(P152)),IFERROR(P160/P152,""),"")</f>
        <v>0.143753735803945</v>
      </c>
      <c r="Q240" s="38" t="n">
        <f aca="false">IF(AND(ISNUMBER(Q160),ISNUMBER(Q152)),IFERROR(Q160/Q152,""),"")</f>
        <v>0.115572382185912</v>
      </c>
      <c r="R240" s="38" t="n">
        <f aca="false">IF(AND(ISNUMBER(R160),ISNUMBER(R152)),IFERROR(R160/R152,""),"")</f>
        <v>0.138502861146794</v>
      </c>
      <c r="S240" s="38" t="n">
        <f aca="false">IF(AND(ISNUMBER(S160),ISNUMBER(S152)),IFERROR(S160/S152,""),"")</f>
        <v>0.106457065584855</v>
      </c>
      <c r="T240" s="38" t="n">
        <f aca="false">IF(AND(ISNUMBER(T160),ISNUMBER(T152)),IFERROR(T160/T152,""),"")</f>
        <v>0.0370263234017934</v>
      </c>
      <c r="U240" s="38" t="n">
        <f aca="false">IF(AND(ISNUMBER(U160),ISNUMBER(U152)),IFERROR(U160/U152,""),"")</f>
        <v>0.148686780985457</v>
      </c>
      <c r="V240" s="38" t="n">
        <f aca="false">IF(AND(ISNUMBER(V160),ISNUMBER(V152)),IFERROR(V160/V152,""),"")</f>
        <v>0.165865828867123</v>
      </c>
      <c r="W240" s="38" t="n">
        <f aca="false">IF(AND(ISNUMBER(W160),ISNUMBER(W152)),IFERROR(W160/W152,""),"")</f>
        <v>0.162680558844423</v>
      </c>
      <c r="X240" s="38" t="n">
        <f aca="false">IF(AND(ISNUMBER(X160),ISNUMBER(X152)),IFERROR(X160/X152,""),"")</f>
        <v>0.135439032659057</v>
      </c>
      <c r="Y240" s="38" t="n">
        <f aca="false">IF(AND(ISNUMBER(Y160),ISNUMBER(Y152)),IFERROR(Y160/Y152,""),"")</f>
        <v>0.106237322515213</v>
      </c>
      <c r="Z240" s="38" t="n">
        <f aca="false">IF(AND(ISNUMBER(Z160),ISNUMBER(Z152)),IFERROR(Z160/Z152,""),"")</f>
        <v>0.192059756471912</v>
      </c>
      <c r="AA240" s="38" t="n">
        <f aca="false">IF(AND(ISNUMBER(AA160),ISNUMBER(AA152)),IFERROR(AA160/AA152,""),"")</f>
        <v>0.217773349035239</v>
      </c>
      <c r="AB240" s="38" t="n">
        <f aca="false">IF(AND(ISNUMBER(AB160),ISNUMBER(AB152)),IFERROR(AB160/AB152,""),"")</f>
        <v>0.163891231028668</v>
      </c>
      <c r="AC240" s="38" t="n">
        <f aca="false">IF(AND(ISNUMBER(AC160),ISNUMBER(AC152)),IFERROR(AC160/AC152,""),"")</f>
        <v>0.174740756258511</v>
      </c>
      <c r="AD240" s="38" t="n">
        <f aca="false">IF(AND(ISNUMBER(AD160),ISNUMBER(AD152)),IFERROR(AD160/AD152,""),"")</f>
        <v>0.0914800331792867</v>
      </c>
      <c r="AE240" s="38" t="n">
        <f aca="false">IF(AND(ISNUMBER(AE160),ISNUMBER(AE152)),IFERROR(AE160/AE152,""),"")</f>
        <v>0.200188058298072</v>
      </c>
      <c r="AF240" s="38" t="n">
        <f aca="false">IF(AND(ISNUMBER(AF160),ISNUMBER(AF152)),IFERROR(AF160/AF152,""),"")</f>
        <v>0.208697251080261</v>
      </c>
      <c r="AG240" s="38" t="n">
        <f aca="false">IF(AND(ISNUMBER(AG160),ISNUMBER(AG152)),IFERROR(AG160/AG152,""),"")</f>
        <v>0.188974755280783</v>
      </c>
      <c r="AH240" s="38" t="n">
        <f aca="false">IF(AND(ISNUMBER(AH160),ISNUMBER(AH152)),IFERROR(AH160/AH152,""),"")</f>
        <v>0.176618922735526</v>
      </c>
      <c r="AI240" s="38" t="n">
        <f aca="false">IF(AND(ISNUMBER(AI160),ISNUMBER(AI152)),IFERROR(AI160/AI152,""),"")</f>
        <v>0.0487531172069825</v>
      </c>
      <c r="AJ240" s="38" t="n">
        <f aca="false">IF(AND(ISNUMBER(AJ160),ISNUMBER(AJ152)),IFERROR(AJ160/AJ152,""),"")</f>
        <v>0.219521242046136</v>
      </c>
      <c r="AK240" s="38" t="n">
        <f aca="false">IF(AND(ISNUMBER(AK160),ISNUMBER(AK152)),IFERROR(AK160/AK152,""),"")</f>
        <v>0.197322160637565</v>
      </c>
      <c r="AL240" s="38" t="n">
        <f aca="false">IF(AND(ISNUMBER(AL160),ISNUMBER(AL152)),IFERROR(AL160/AL152,""),"")</f>
        <v>0.144127039515084</v>
      </c>
      <c r="AM240" s="38" t="n">
        <f aca="false">IF(AND(ISNUMBER(AM160),ISNUMBER(AM152)),IFERROR(AM160/AM152,""),"")</f>
        <v>0.162745964260007</v>
      </c>
      <c r="AN240" s="38" t="n">
        <f aca="false">IF(AND(ISNUMBER(AN160),ISNUMBER(AN152)),IFERROR(AN160/AN152,""),"")</f>
        <v>0.0737213178480332</v>
      </c>
      <c r="AO240" s="38" t="n">
        <f aca="false">IF(AND(ISNUMBER(AO160),ISNUMBER(AO152)),IFERROR(AO160/AO152,""),"")</f>
        <v>0.223438178993144</v>
      </c>
      <c r="AP240" s="38" t="n">
        <f aca="false">IF(AND(ISNUMBER(AP160),ISNUMBER(AP152)),IFERROR(AP160/AP152,""),"")</f>
        <v>0.24310084309338</v>
      </c>
      <c r="AQ240" s="38" t="n">
        <f aca="false">IF(AND(ISNUMBER(AQ160),ISNUMBER(AQ152)),IFERROR(AQ160/AQ152,""),"")</f>
        <v>0.167724434993593</v>
      </c>
      <c r="AR240" s="38" t="n">
        <f aca="false">IF(AND(ISNUMBER(AR160),ISNUMBER(AR152)),IFERROR(AR160/AR152,""),"")</f>
        <v>0.186730470650744</v>
      </c>
      <c r="AS240" s="38" t="n">
        <f aca="false">IF(AND(ISNUMBER(AS160),ISNUMBER(AS152)),IFERROR(AS160/AS152,""),"")</f>
        <v>0.060321436025882</v>
      </c>
      <c r="AT240" s="38" t="n">
        <f aca="false">IF(AND(ISNUMBER(AT160),ISNUMBER(AT152)),IFERROR(AT160/AT152,""),"")</f>
        <v>0.241145915315599</v>
      </c>
      <c r="AU240" s="38" t="n">
        <f aca="false">IF(AND(ISNUMBER(AU160),ISNUMBER(AU152)),IFERROR(AU160/AU152,""),"")</f>
        <v>0.303163311639171</v>
      </c>
      <c r="AV240" s="38" t="n">
        <f aca="false">IF(AND(ISNUMBER(AV160),ISNUMBER(AV152)),IFERROR(AV160/AV152,""),"")</f>
        <v>0.203967446592065</v>
      </c>
      <c r="AW240" s="38" t="n">
        <f aca="false">IF(AND(ISNUMBER(AW160),ISNUMBER(AW152)),IFERROR(AW160/AW152,""),"")</f>
        <v>0.212562633459481</v>
      </c>
      <c r="AX240" s="38" t="n">
        <f aca="false">IF(AND(ISNUMBER(AX160),ISNUMBER(AX152)),IFERROR(AX160/AX152,""),"")</f>
        <v>0.101078990228013</v>
      </c>
      <c r="AY240" s="38" t="n">
        <f aca="false">IF(AND(ISNUMBER(AY160),ISNUMBER(AY152)),IFERROR(AY160/AY152,""),"")</f>
        <v>0.223165686914871</v>
      </c>
      <c r="AZ240" s="38" t="n">
        <f aca="false">IF(AND(ISNUMBER(AZ160),ISNUMBER(AZ152)),IFERROR(AZ160/AZ152,""),"")</f>
        <v>0.229178706736017</v>
      </c>
      <c r="BA240" s="38" t="n">
        <f aca="false">IF(AND(ISNUMBER(BA160),ISNUMBER(BA152)),IFERROR(BA160/BA152,""),"")</f>
        <v>0.140336808340016</v>
      </c>
      <c r="BB240" s="38" t="n">
        <f aca="false">IF(AND(ISNUMBER(BB160),ISNUMBER(BB152)),IFERROR(BB160/BB152,""),"")</f>
        <v>0.179867011451792</v>
      </c>
      <c r="BC240" s="38" t="n">
        <f aca="false">IF(AND(ISNUMBER(BC160),ISNUMBER(BC152)),IFERROR(BC160/BC152,""),"")</f>
        <v>0.0486675333116671</v>
      </c>
      <c r="BD240" s="38" t="n">
        <f aca="false">IF(AND(ISNUMBER(BD160),ISNUMBER(BD152)),IFERROR(BD160/BD152,""),"")</f>
        <v>0.291527075592374</v>
      </c>
      <c r="BE240" s="38" t="n">
        <f aca="false">IF(AND(ISNUMBER(BE160),ISNUMBER(BE152)),IFERROR(BE160/BE152,""),"")</f>
        <v>0.224043715846995</v>
      </c>
      <c r="BF240" s="38" t="n">
        <f aca="false">IF(AND(ISNUMBER(BF160),ISNUMBER(BF152)),IFERROR(BF160/BF152,""),"")</f>
        <v>0.177649847612597</v>
      </c>
      <c r="BG240" s="38" t="n">
        <f aca="false">IF(AND(ISNUMBER(BG160),ISNUMBER(BG152)),IFERROR(BG160/BG152,""),"")</f>
        <v>0.19587059912023</v>
      </c>
      <c r="BH240" s="38" t="n">
        <f aca="false">IF(AND(ISNUMBER(BH160),ISNUMBER(BH152)),IFERROR(BH160/BH152,""),"")</f>
        <v>0.144819437264604</v>
      </c>
      <c r="BI240" s="38" t="n">
        <f aca="false">IF(AND(ISNUMBER(BI160),ISNUMBER(BI152)),IFERROR(BI160/BI152,""),"")</f>
        <v>0.254448594024605</v>
      </c>
      <c r="BJ240" s="38" t="n">
        <f aca="false">IF(AND(ISNUMBER(BJ160),ISNUMBER(BJ152)),IFERROR(BJ160/BJ152,""),"")</f>
        <v>0.284138207712753</v>
      </c>
      <c r="BK240" s="38" t="n">
        <f aca="false">IF(AND(ISNUMBER(BK160),ISNUMBER(BK152)),IFERROR(BK160/BK152,""),"")</f>
        <v>0.230195249347096</v>
      </c>
      <c r="BL240" s="38" t="n">
        <f aca="false">IF(AND(ISNUMBER(BL160),ISNUMBER(BL152)),IFERROR(BL160/BL152,""),"")</f>
        <v>0.235495484861005</v>
      </c>
      <c r="BM240" s="38" t="n">
        <f aca="false">IF(AND(ISNUMBER(BM160),ISNUMBER(BM152)),IFERROR(BM160/BM152,""),"")</f>
        <v>1.13589128697042</v>
      </c>
      <c r="BN240" s="38" t="n">
        <f aca="false">IF(AND(ISNUMBER(BN160),ISNUMBER(BN152)),IFERROR(BN160/BN152,""),"")</f>
        <v>0.22562358276644</v>
      </c>
      <c r="BO240" s="38" t="n">
        <f aca="false">IF(AND(ISNUMBER(BO160),ISNUMBER(BO152)),IFERROR(BO160/BO152,""),"")</f>
        <v>0.258867125463208</v>
      </c>
      <c r="BP240" s="38" t="n">
        <f aca="false">IF(AND(ISNUMBER(BP160),ISNUMBER(BP152)),IFERROR(BP160/BP152,""),"")</f>
        <v>0.244485294117647</v>
      </c>
      <c r="BQ240" s="38" t="n">
        <f aca="false">IF(AND(ISNUMBER(BQ160),ISNUMBER(BQ152)),IFERROR(BQ160/BQ152,""),"")</f>
        <v>0.414167686658507</v>
      </c>
      <c r="BR240" s="38" t="n">
        <f aca="false">IF(AND(ISNUMBER(BR160),ISNUMBER(BR152)),IFERROR(BR160/BR152,""),"")</f>
        <v>0.154044750430293</v>
      </c>
      <c r="BS240" s="38" t="n">
        <f aca="false">IF(AND(ISNUMBER(BS160),ISNUMBER(BS152)),IFERROR(BS160/BS152,""),"")</f>
        <v>0.256681168427595</v>
      </c>
      <c r="BT240" s="38" t="n">
        <f aca="false">IF(AND(ISNUMBER(BT160),ISNUMBER(BT152)),IFERROR(BT160/BT152,""),"")</f>
        <v>0.273564463705309</v>
      </c>
      <c r="BU240" s="38" t="n">
        <f aca="false">IF(AND(ISNUMBER(BU160),ISNUMBER(BU152)),IFERROR(BU160/BU152,""),"")</f>
        <v>0.222294654498044</v>
      </c>
      <c r="BV240" s="38" t="n">
        <f aca="false">IF(AND(ISNUMBER(BV160),ISNUMBER(BV152)),IFERROR(BV160/BV152,""),"")</f>
        <v>0.233658536585366</v>
      </c>
      <c r="BW240" s="38" t="n">
        <f aca="false">IF(AND(ISNUMBER(BW160),ISNUMBER(BW152)),IFERROR(BW160/BW152,""),"")</f>
        <v>0.118942731277533</v>
      </c>
      <c r="BX240" s="38" t="n">
        <f aca="false">IF(AND(ISNUMBER(BX160),ISNUMBER(BX152)),IFERROR(BX160/BX152,""),"")</f>
        <v>0.191063174114022</v>
      </c>
      <c r="BY240" s="25" t="n">
        <f aca="false">IFERROR(BY160/BY152,"")</f>
        <v>0.216440520759987</v>
      </c>
      <c r="BZ240" s="25" t="n">
        <f aca="false">IFERROR(BZ160/BZ152,"")</f>
        <v>0.192073967002339</v>
      </c>
      <c r="CA240" s="25" t="n">
        <f aca="false">IFERROR(CA160/CA152,"")</f>
        <v>0.186626276091184</v>
      </c>
      <c r="CB240" s="25" t="n">
        <f aca="false">IFERROR(CB160/CB152,"")</f>
        <v>0.226319420441911</v>
      </c>
      <c r="CC240" s="25" t="n">
        <f aca="false">IFERROR(CC160/CC152,"")</f>
        <v>0.242525160673819</v>
      </c>
      <c r="CD240" s="25" t="n">
        <f aca="false">IFERROR(CD160/CD152,"")</f>
        <v>0.25066275955257</v>
      </c>
      <c r="CE240" s="25" t="n">
        <f aca="false">IFERROR(CE160/CE152,"")</f>
        <v>0.254315150074721</v>
      </c>
      <c r="CF240" s="6"/>
      <c r="CH240" s="39" t="n">
        <f aca="false">IFERROR(AVERAGE(CA240,CB240,CC240,CD240,CE240),"n/m")</f>
        <v>0.232089753366841</v>
      </c>
      <c r="CI240" s="39" t="n">
        <f aca="false">IFERROR(AVERAGE(BB240,BG240,BL240,BQ240,BV240),"n/m")</f>
        <v>0.25181186373538</v>
      </c>
      <c r="CJ240" s="39" t="n">
        <f aca="false">IFERROR(AVERAGE(AC240,AH240,AM240,AR240,AW240,BB240,BG240,BL240,BQ240,BV240),"n/m")</f>
        <v>0.217245806604117</v>
      </c>
      <c r="CK240" s="39" t="n">
        <f aca="false">IFERROR(AVERAGE(C240,D240,E240,F240,G240,H240,I240,N240,S240,X240,AC240,AH240,AM240,AR240,AW240,BB240,BG240,BL240,BQ240,BV240),"n/m")</f>
        <v>0.171518521269678</v>
      </c>
    </row>
    <row r="241" customFormat="false" ht="15" hidden="false" customHeight="true" outlineLevel="0" collapsed="false">
      <c r="B241" s="26" t="s">
        <v>420</v>
      </c>
      <c r="C241" s="38" t="n">
        <f aca="false">IF(AND(ISNUMBER(C172),ISNUMBER(C152)),IFERROR(C172/C152,""),"")</f>
        <v>0.111221899927484</v>
      </c>
      <c r="D241" s="38" t="n">
        <f aca="false">IF(AND(ISNUMBER(D172),ISNUMBER(D152)),IFERROR(D172/D152,""),"")</f>
        <v>0.11902496488605</v>
      </c>
      <c r="E241" s="38" t="n">
        <f aca="false">IF(AND(ISNUMBER(E172),ISNUMBER(E152)),IFERROR(E172/E152,""),"")</f>
        <v>0.0831564548842035</v>
      </c>
      <c r="F241" s="38" t="n">
        <f aca="false">IF(AND(ISNUMBER(F172),ISNUMBER(F152)),IFERROR(F172/F152,""),"")</f>
        <v>0.050217314695172</v>
      </c>
      <c r="G241" s="38" t="n">
        <f aca="false">IF(AND(ISNUMBER(G172),ISNUMBER(G152)),IFERROR(G172/G152,""),"")</f>
        <v>0.0544057434516798</v>
      </c>
      <c r="H241" s="38" t="n">
        <f aca="false">IF(AND(ISNUMBER(H172),ISNUMBER(H152)),IFERROR(H172/H152,""),"")</f>
        <v>0.0480774841005893</v>
      </c>
      <c r="I241" s="38" t="n">
        <f aca="false">IF(AND(ISNUMBER(I172),ISNUMBER(I152)),IFERROR(I172/I152,""),"")</f>
        <v>0.0414703572830781</v>
      </c>
      <c r="J241" s="38" t="n">
        <f aca="false">IF(AND(ISNUMBER(J172),ISNUMBER(J152)),IFERROR(J172/J152,""),"")</f>
        <v>-0.0722077922077922</v>
      </c>
      <c r="K241" s="38" t="n">
        <f aca="false">IF(AND(ISNUMBER(K172),ISNUMBER(K152)),IFERROR(K172/K152,""),"")</f>
        <v>0.0733961258219301</v>
      </c>
      <c r="L241" s="38" t="n">
        <f aca="false">IF(AND(ISNUMBER(L172),ISNUMBER(L152)),IFERROR(L172/L152,""),"")</f>
        <v>0.107921238539005</v>
      </c>
      <c r="M241" s="38" t="n">
        <f aca="false">IF(AND(ISNUMBER(M172),ISNUMBER(M152)),IFERROR(M172/M152,""),"")</f>
        <v>0.0660550458715596</v>
      </c>
      <c r="N241" s="38" t="n">
        <f aca="false">IF(AND(ISNUMBER(N172),ISNUMBER(N152)),IFERROR(N172/N152,""),"")</f>
        <v>0.0562746462537694</v>
      </c>
      <c r="O241" s="38" t="n">
        <f aca="false">IF(AND(ISNUMBER(O172),ISNUMBER(O152)),IFERROR(O172/O152,""),"")</f>
        <v>-0.0503848845346396</v>
      </c>
      <c r="P241" s="38" t="n">
        <f aca="false">IF(AND(ISNUMBER(P172),ISNUMBER(P152)),IFERROR(P172/P152,""),"")</f>
        <v>0.0889121338912134</v>
      </c>
      <c r="Q241" s="38" t="n">
        <f aca="false">IF(AND(ISNUMBER(Q172),ISNUMBER(Q152)),IFERROR(Q172/Q152,""),"")</f>
        <v>0.0535020424429611</v>
      </c>
      <c r="R241" s="38" t="n">
        <f aca="false">IF(AND(ISNUMBER(R172),ISNUMBER(R152)),IFERROR(R172/R152,""),"")</f>
        <v>0.0747401611584724</v>
      </c>
      <c r="S241" s="38" t="n">
        <f aca="false">IF(AND(ISNUMBER(S172),ISNUMBER(S152)),IFERROR(S172/S152,""),"")</f>
        <v>0.0526031102096011</v>
      </c>
      <c r="T241" s="38" t="n">
        <f aca="false">IF(AND(ISNUMBER(T172),ISNUMBER(T152)),IFERROR(T172/T152,""),"")</f>
        <v>0.00882267862308353</v>
      </c>
      <c r="U241" s="38" t="n">
        <f aca="false">IF(AND(ISNUMBER(U172),ISNUMBER(U152)),IFERROR(U172/U152,""),"")</f>
        <v>0.088886477100065</v>
      </c>
      <c r="V241" s="38" t="n">
        <f aca="false">IF(AND(ISNUMBER(V172),ISNUMBER(V152)),IFERROR(V172/V152,""),"")</f>
        <v>0.108575124745888</v>
      </c>
      <c r="W241" s="38" t="n">
        <f aca="false">IF(AND(ISNUMBER(W172),ISNUMBER(W152)),IFERROR(W172/W152,""),"")</f>
        <v>0.098508169547715</v>
      </c>
      <c r="X241" s="38" t="n">
        <f aca="false">IF(AND(ISNUMBER(X172),ISNUMBER(X152)),IFERROR(X172/X152,""),"")</f>
        <v>0.0815911402418352</v>
      </c>
      <c r="Y241" s="38" t="n">
        <f aca="false">IF(AND(ISNUMBER(Y172),ISNUMBER(Y152)),IFERROR(Y172/Y152,""),"")</f>
        <v>0.057048681541582</v>
      </c>
      <c r="Z241" s="38" t="n">
        <f aca="false">IF(AND(ISNUMBER(Z172),ISNUMBER(Z152)),IFERROR(Z172/Z152,""),"")</f>
        <v>0.124936048296327</v>
      </c>
      <c r="AA241" s="38" t="n">
        <f aca="false">IF(AND(ISNUMBER(AA172),ISNUMBER(AA152)),IFERROR(AA172/AA152,""),"")</f>
        <v>0.14448772533744</v>
      </c>
      <c r="AB241" s="38" t="n">
        <f aca="false">IF(AND(ISNUMBER(AB172),ISNUMBER(AB152)),IFERROR(AB172/AB152,""),"")</f>
        <v>0.104236930860034</v>
      </c>
      <c r="AC241" s="38" t="n">
        <f aca="false">IF(AND(ISNUMBER(AC172),ISNUMBER(AC152)),IFERROR(AC172/AC152,""),"")</f>
        <v>0.111396250130931</v>
      </c>
      <c r="AD241" s="38" t="n">
        <f aca="false">IF(AND(ISNUMBER(AD172),ISNUMBER(AD152)),IFERROR(AD172/AD152,""),"")</f>
        <v>0.05012442232492</v>
      </c>
      <c r="AE241" s="38" t="n">
        <f aca="false">IF(AND(ISNUMBER(AE172),ISNUMBER(AE152)),IFERROR(AE172/AE152,""),"")</f>
        <v>0.133803479078514</v>
      </c>
      <c r="AF241" s="38" t="n">
        <f aca="false">IF(AND(ISNUMBER(AF172),ISNUMBER(AF152)),IFERROR(AF172/AF152,""),"")</f>
        <v>0.139284729245196</v>
      </c>
      <c r="AG241" s="38" t="n">
        <f aca="false">IF(AND(ISNUMBER(AG172),ISNUMBER(AG152)),IFERROR(AG172/AG152,""),"")</f>
        <v>0.388665636269964</v>
      </c>
      <c r="AH241" s="38" t="n">
        <f aca="false">IF(AND(ISNUMBER(AH172),ISNUMBER(AH152)),IFERROR(AH172/AH152,""),"")</f>
        <v>0.1798718983256</v>
      </c>
      <c r="AI241" s="38" t="n">
        <f aca="false">IF(AND(ISNUMBER(AI172),ISNUMBER(AI152)),IFERROR(AI172/AI152,""),"")</f>
        <v>0.0124688279301745</v>
      </c>
      <c r="AJ241" s="38" t="n">
        <f aca="false">IF(AND(ISNUMBER(AJ172),ISNUMBER(AJ152)),IFERROR(AJ172/AJ152,""),"")</f>
        <v>0.154172103695683</v>
      </c>
      <c r="AK241" s="38" t="n">
        <f aca="false">IF(AND(ISNUMBER(AK172),ISNUMBER(AK152)),IFERROR(AK172/AK152,""),"")</f>
        <v>0.147765734151061</v>
      </c>
      <c r="AL241" s="38" t="n">
        <f aca="false">IF(AND(ISNUMBER(AL172),ISNUMBER(AL152)),IFERROR(AL172/AL152,""),"")</f>
        <v>0.0925076797311947</v>
      </c>
      <c r="AM241" s="38" t="n">
        <f aca="false">IF(AND(ISNUMBER(AM172),ISNUMBER(AM152)),IFERROR(AM172/AM152,""),"")</f>
        <v>0.110737194779308</v>
      </c>
      <c r="AN241" s="38" t="n">
        <f aca="false">IF(AND(ISNUMBER(AN172),ISNUMBER(AN152)),IFERROR(AN172/AN152,""),"")</f>
        <v>0.0456102795128627</v>
      </c>
      <c r="AO241" s="38" t="n">
        <f aca="false">IF(AND(ISNUMBER(AO172),ISNUMBER(AO152)),IFERROR(AO172/AO152,""),"")</f>
        <v>0.148084203747182</v>
      </c>
      <c r="AP241" s="38" t="n">
        <f aca="false">IF(AND(ISNUMBER(AP172),ISNUMBER(AP152)),IFERROR(AP172/AP152,""),"")</f>
        <v>0.175055588961349</v>
      </c>
      <c r="AQ241" s="38" t="n">
        <f aca="false">IF(AND(ISNUMBER(AQ172),ISNUMBER(AQ152)),IFERROR(AQ172/AQ152,""),"")</f>
        <v>0.119057095862527</v>
      </c>
      <c r="AR241" s="38" t="n">
        <f aca="false">IF(AND(ISNUMBER(AR172),ISNUMBER(AR152)),IFERROR(AR172/AR152,""),"")</f>
        <v>0.129120562604951</v>
      </c>
      <c r="AS241" s="38" t="n">
        <f aca="false">IF(AND(ISNUMBER(AS172),ISNUMBER(AS152)),IFERROR(AS172/AS152,""),"")</f>
        <v>0.0270298476309748</v>
      </c>
      <c r="AT241" s="38" t="n">
        <f aca="false">IF(AND(ISNUMBER(AT172),ISNUMBER(AT152)),IFERROR(AT172/AT152,""),"")</f>
        <v>0.17125767354006</v>
      </c>
      <c r="AU241" s="38" t="n">
        <f aca="false">IF(AND(ISNUMBER(AU172),ISNUMBER(AU152)),IFERROR(AU172/AU152,""),"")</f>
        <v>0.222794006356894</v>
      </c>
      <c r="AV241" s="38" t="n">
        <f aca="false">IF(AND(ISNUMBER(AV172),ISNUMBER(AV152)),IFERROR(AV172/AV152,""),"")</f>
        <v>0.155137334689725</v>
      </c>
      <c r="AW241" s="38" t="n">
        <f aca="false">IF(AND(ISNUMBER(AW172),ISNUMBER(AW152)),IFERROR(AW172/AW152,""),"")</f>
        <v>0.152434512357555</v>
      </c>
      <c r="AX241" s="38" t="n">
        <f aca="false">IF(AND(ISNUMBER(AX172),ISNUMBER(AX152)),IFERROR(AX172/AX152,""),"")</f>
        <v>0.0664698697068403</v>
      </c>
      <c r="AY241" s="38" t="n">
        <f aca="false">IF(AND(ISNUMBER(AY172),ISNUMBER(AY152)),IFERROR(AY172/AY152,""),"")</f>
        <v>0.163872559692285</v>
      </c>
      <c r="AZ241" s="38" t="n">
        <f aca="false">IF(AND(ISNUMBER(AZ172),ISNUMBER(AZ152)),IFERROR(AZ172/AZ152,""),"")</f>
        <v>0.163488088358056</v>
      </c>
      <c r="BA241" s="38" t="n">
        <f aca="false">IF(AND(ISNUMBER(BA172),ISNUMBER(BA152)),IFERROR(BA172/BA152,""),"")</f>
        <v>0.104784816893879</v>
      </c>
      <c r="BB241" s="38" t="n">
        <f aca="false">IF(AND(ISNUMBER(BB172),ISNUMBER(BB152)),IFERROR(BB172/BB152,""),"")</f>
        <v>0.129756187661618</v>
      </c>
      <c r="BC241" s="38" t="n">
        <f aca="false">IF(AND(ISNUMBER(BC172),ISNUMBER(BC152)),IFERROR(BC172/BC152,""),"")</f>
        <v>0.0173870653233668</v>
      </c>
      <c r="BD241" s="38" t="n">
        <f aca="false">IF(AND(ISNUMBER(BD172),ISNUMBER(BD152)),IFERROR(BD172/BD152,""),"")</f>
        <v>0.223244198087349</v>
      </c>
      <c r="BE241" s="38" t="n">
        <f aca="false">IF(AND(ISNUMBER(BE172),ISNUMBER(BE152)),IFERROR(BE172/BE152,""),"")</f>
        <v>0.162996081028868</v>
      </c>
      <c r="BF241" s="38" t="n">
        <f aca="false">IF(AND(ISNUMBER(BF172),ISNUMBER(BF152)),IFERROR(BF172/BF152,""),"")</f>
        <v>0.124348120555367</v>
      </c>
      <c r="BG241" s="38" t="n">
        <f aca="false">IF(AND(ISNUMBER(BG172),ISNUMBER(BG152)),IFERROR(BG172/BG152,""),"")</f>
        <v>0.140698297271414</v>
      </c>
      <c r="BH241" s="38" t="n">
        <f aca="false">IF(AND(ISNUMBER(BH172),ISNUMBER(BH152)),IFERROR(BH172/BH152,""),"")</f>
        <v>0.0896536444871132</v>
      </c>
      <c r="BI241" s="38" t="n">
        <f aca="false">IF(AND(ISNUMBER(BI172),ISNUMBER(BI152)),IFERROR(BI172/BI152,""),"")</f>
        <v>0.191289543057996</v>
      </c>
      <c r="BJ241" s="38" t="n">
        <f aca="false">IF(AND(ISNUMBER(BJ172),ISNUMBER(BJ152)),IFERROR(BJ172/BJ152,""),"")</f>
        <v>0.20896645103054</v>
      </c>
      <c r="BK241" s="38" t="n">
        <f aca="false">IF(AND(ISNUMBER(BK172),ISNUMBER(BK152)),IFERROR(BK172/BK152,""),"")</f>
        <v>0.175662231065788</v>
      </c>
      <c r="BL241" s="38" t="n">
        <f aca="false">IF(AND(ISNUMBER(BL172),ISNUMBER(BL152)),IFERROR(BL172/BL152,""),"")</f>
        <v>0.172475358555155</v>
      </c>
      <c r="BM241" s="38" t="n">
        <f aca="false">IF(AND(ISNUMBER(BM172),ISNUMBER(BM152)),IFERROR(BM172/BM152,""),"")</f>
        <v>0.83533173461231</v>
      </c>
      <c r="BN241" s="38" t="n">
        <f aca="false">IF(AND(ISNUMBER(BN172),ISNUMBER(BN152)),IFERROR(BN172/BN152,""),"")</f>
        <v>0.166666666666667</v>
      </c>
      <c r="BO241" s="38" t="n">
        <f aca="false">IF(AND(ISNUMBER(BO172),ISNUMBER(BO152)),IFERROR(BO172/BO152,""),"")</f>
        <v>0.192165166754897</v>
      </c>
      <c r="BP241" s="38" t="n">
        <f aca="false">IF(AND(ISNUMBER(BP172),ISNUMBER(BP152)),IFERROR(BP172/BP152,""),"")</f>
        <v>0.180147058823529</v>
      </c>
      <c r="BQ241" s="38" t="n">
        <f aca="false">IF(AND(ISNUMBER(BQ172),ISNUMBER(BQ152)),IFERROR(BQ172/BQ152,""),"")</f>
        <v>0.305232558139535</v>
      </c>
      <c r="BR241" s="38" t="n">
        <f aca="false">IF(AND(ISNUMBER(BR172),ISNUMBER(BR152)),IFERROR(BR172/BR152,""),"")</f>
        <v>0.0998278829604131</v>
      </c>
      <c r="BS241" s="38" t="n">
        <f aca="false">IF(AND(ISNUMBER(BS172),ISNUMBER(BS152)),IFERROR(BS172/BS152,""),"")</f>
        <v>0.203853325046613</v>
      </c>
      <c r="BT241" s="38" t="n">
        <f aca="false">IF(AND(ISNUMBER(BT172),ISNUMBER(BT152)),IFERROR(BT172/BT152,""),"")</f>
        <v>0.224268689057421</v>
      </c>
      <c r="BU241" s="38" t="n">
        <f aca="false">IF(AND(ISNUMBER(BU172),ISNUMBER(BU152)),IFERROR(BU172/BU152,""),"")</f>
        <v>0.181877444589309</v>
      </c>
      <c r="BV241" s="38" t="n">
        <f aca="false">IF(AND(ISNUMBER(BV172),ISNUMBER(BV152)),IFERROR(BV172/BV152,""),"")</f>
        <v>0.184878048780488</v>
      </c>
      <c r="BW241" s="38" t="n">
        <f aca="false">IF(AND(ISNUMBER(BW172),ISNUMBER(BW152)),IFERROR(BW172/BW152,""),"")</f>
        <v>1.11086637298091</v>
      </c>
      <c r="BX241" s="38" t="n">
        <f aca="false">IF(AND(ISNUMBER(BX172),ISNUMBER(BX152)),IFERROR(BX172/BX152,""),"")</f>
        <v>0.128916281458654</v>
      </c>
      <c r="BY241" s="25" t="n">
        <f aca="false">IFERROR(BY172/BY152,"")</f>
        <v>0.139519431945556</v>
      </c>
      <c r="BZ241" s="25" t="n">
        <f aca="false">IFERROR(BZ172/BZ152,"")</f>
        <v>0.100389850099923</v>
      </c>
      <c r="CA241" s="25" t="n">
        <f aca="false">IFERROR(CA172/CA152,"")</f>
        <v>0.291770940812237</v>
      </c>
      <c r="CB241" s="25" t="n">
        <f aca="false">IFERROR(CB172/CB152,"")</f>
        <v>0.13126808475946</v>
      </c>
      <c r="CC241" s="25" t="n">
        <f aca="false">IFERROR(CC172/CC152,"")</f>
        <v>0.151861900206326</v>
      </c>
      <c r="CD241" s="25" t="n">
        <f aca="false">IFERROR(CD172/CD152,"")</f>
        <v>0.163594479717802</v>
      </c>
      <c r="CE241" s="25" t="n">
        <f aca="false">IFERROR(CE172/CE152,"")</f>
        <v>0.168223347036765</v>
      </c>
      <c r="CF241" s="6"/>
      <c r="CH241" s="39" t="n">
        <f aca="false">IFERROR(AVERAGE(CA241,CB241,CC241,CD241,CE241),"n/m")</f>
        <v>0.181343750506518</v>
      </c>
      <c r="CI241" s="39" t="n">
        <f aca="false">IFERROR(AVERAGE(BB241,BG241,BL241,BQ241,BV241),"n/m")</f>
        <v>0.186608090081642</v>
      </c>
      <c r="CJ241" s="39" t="n">
        <f aca="false">IFERROR(AVERAGE(AC241,AH241,AM241,AR241,AW241,BB241,BG241,BL241,BQ241,BV241),"n/m")</f>
        <v>0.161660086860656</v>
      </c>
      <c r="CK241" s="39" t="n">
        <f aca="false">IFERROR(AVERAGE(C241,D241,E241,F241,G241,H241,I241,N241,S241,X241,AC241,AH241,AM241,AR241,AW241,BB241,BG241,BL241,BQ241,BV241),"n/m")</f>
        <v>0.115732199227001</v>
      </c>
    </row>
    <row r="242" customFormat="false" ht="15" hidden="false" customHeight="true" outlineLevel="0" collapsed="false">
      <c r="B242" s="26" t="s">
        <v>421</v>
      </c>
      <c r="C242" s="38" t="n">
        <f aca="false">IF(AND(ISNUMBER(C157),ISNUMBER(C152)),IFERROR(C157/C152,""),"")</f>
        <v>0.0668056562726613</v>
      </c>
      <c r="D242" s="38" t="n">
        <f aca="false">IF(AND(ISNUMBER(D157),ISNUMBER(D152)),IFERROR(D157/D152,""),"")</f>
        <v>0.0707262924199175</v>
      </c>
      <c r="E242" s="38" t="n">
        <f aca="false">IF(AND(ISNUMBER(E157),ISNUMBER(E152)),IFERROR(E157/E152,""),"")</f>
        <v>0.0716475637941607</v>
      </c>
      <c r="F242" s="38" t="n">
        <f aca="false">IF(AND(ISNUMBER(F157),ISNUMBER(F152)),IFERROR(F157/F152,""),"")</f>
        <v>0.0821097145542112</v>
      </c>
      <c r="G242" s="38" t="n">
        <f aca="false">IF(AND(ISNUMBER(G157),ISNUMBER(G152)),IFERROR(G157/G152,""),"")</f>
        <v>0.0748219193448875</v>
      </c>
      <c r="H242" s="38" t="n">
        <f aca="false">IF(AND(ISNUMBER(H157),ISNUMBER(H152)),IFERROR(H157/H152,""),"")</f>
        <v>0.0724079584573196</v>
      </c>
      <c r="I242" s="38" t="n">
        <f aca="false">IF(AND(ISNUMBER(I157),ISNUMBER(I152)),IFERROR(I157/I152,""),"")</f>
        <v>0.0679230467216333</v>
      </c>
      <c r="J242" s="38" t="n">
        <f aca="false">IF(AND(ISNUMBER(J157),ISNUMBER(J152)),IFERROR(J157/J152,""),"")</f>
        <v>0.0976623376623377</v>
      </c>
      <c r="K242" s="38" t="n">
        <f aca="false">IF(AND(ISNUMBER(K157),ISNUMBER(K152)),IFERROR(K157/K152,""),"")</f>
        <v>0.0671761151590545</v>
      </c>
      <c r="L242" s="38" t="n">
        <f aca="false">IF(AND(ISNUMBER(L157),ISNUMBER(L152)),IFERROR(L157/L152,""),"")</f>
        <v>0.0557643168495416</v>
      </c>
      <c r="M242" s="38" t="n">
        <f aca="false">IF(AND(ISNUMBER(M157),ISNUMBER(M152)),IFERROR(M157/M152,""),"")</f>
        <v>0.0688073394495413</v>
      </c>
      <c r="N242" s="38" t="n">
        <f aca="false">IF(AND(ISNUMBER(N157),ISNUMBER(N152)),IFERROR(N157/N152,""),"")</f>
        <v>0.0696358153560659</v>
      </c>
      <c r="O242" s="38" t="n">
        <f aca="false">IF(AND(ISNUMBER(O157),ISNUMBER(O152)),IFERROR(O157/O152,""),"")</f>
        <v>0.0797760671798461</v>
      </c>
      <c r="P242" s="38" t="n">
        <f aca="false">IF(AND(ISNUMBER(P157),ISNUMBER(P152)),IFERROR(P157/P152,""),"")</f>
        <v>0.0546921697549313</v>
      </c>
      <c r="Q242" s="38" t="n">
        <f aca="false">IF(AND(ISNUMBER(Q157),ISNUMBER(Q152)),IFERROR(Q157/Q152,""),"")</f>
        <v>0.0482215801534323</v>
      </c>
      <c r="R242" s="38" t="n">
        <f aca="false">IF(AND(ISNUMBER(R157),ISNUMBER(R152)),IFERROR(R157/R152,""),"")</f>
        <v>0.0583907509050566</v>
      </c>
      <c r="S242" s="38" t="n">
        <f aca="false">IF(AND(ISNUMBER(S157),ISNUMBER(S152)),IFERROR(S157/S152,""),"")</f>
        <v>0.0572008113590264</v>
      </c>
      <c r="T242" s="38" t="n">
        <f aca="false">IF(AND(ISNUMBER(T157),ISNUMBER(T152)),IFERROR(T157/T152,""),"")</f>
        <v>0.0715938675151866</v>
      </c>
      <c r="U242" s="38" t="n">
        <f aca="false">IF(AND(ISNUMBER(U157),ISNUMBER(U152)),IFERROR(U157/U152,""),"")</f>
        <v>0.0616453223355763</v>
      </c>
      <c r="V242" s="38" t="n">
        <f aca="false">IF(AND(ISNUMBER(V157),ISNUMBER(V152)),IFERROR(V157/V152,""),"")</f>
        <v>0.0507299944557383</v>
      </c>
      <c r="W242" s="38" t="n">
        <f aca="false">IF(AND(ISNUMBER(W157),ISNUMBER(W152)),IFERROR(W157/W152,""),"")</f>
        <v>0.0676059673218091</v>
      </c>
      <c r="X242" s="38" t="n">
        <f aca="false">IF(AND(ISNUMBER(X157),ISNUMBER(X152)),IFERROR(X157/X152,""),"")</f>
        <v>0.0616453836591705</v>
      </c>
      <c r="Y242" s="38" t="n">
        <f aca="false">IF(AND(ISNUMBER(Y157),ISNUMBER(Y152)),IFERROR(Y157/Y152,""),"")</f>
        <v>0.0759381338742394</v>
      </c>
      <c r="Z242" s="38" t="n">
        <f aca="false">IF(AND(ISNUMBER(Z157),ISNUMBER(Z152)),IFERROR(Z157/Z152,""),"")</f>
        <v>0.0629284764146117</v>
      </c>
      <c r="AA242" s="38" t="n">
        <f aca="false">IF(AND(ISNUMBER(AA157),ISNUMBER(AA152)),IFERROR(AA157/AA152,""),"")</f>
        <v>0.0510009964670713</v>
      </c>
      <c r="AB242" s="38" t="n">
        <f aca="false">IF(AND(ISNUMBER(AB157),ISNUMBER(AB152)),IFERROR(AB157/AB152,""),"")</f>
        <v>0.0740935919055649</v>
      </c>
      <c r="AC242" s="38" t="n">
        <f aca="false">IF(AND(ISNUMBER(AC157),ISNUMBER(AC152)),IFERROR(AC157/AC152,""),"")</f>
        <v>0.0649418665549387</v>
      </c>
      <c r="AD242" s="38" t="n">
        <f aca="false">IF(AND(ISNUMBER(AD157),ISNUMBER(AD152)),IFERROR(AD157/AD152,""),"")</f>
        <v>0.0823557293518189</v>
      </c>
      <c r="AE242" s="38" t="n">
        <f aca="false">IF(AND(ISNUMBER(AE157),ISNUMBER(AE152)),IFERROR(AE157/AE152,""),"")</f>
        <v>0.0643159379407616</v>
      </c>
      <c r="AF242" s="38" t="n">
        <f aca="false">IF(AND(ISNUMBER(AF157),ISNUMBER(AF152)),IFERROR(AF157/AF152,""),"")</f>
        <v>0.0525880297876253</v>
      </c>
      <c r="AG242" s="38" t="n">
        <f aca="false">IF(AND(ISNUMBER(AG157),ISNUMBER(AG152)),IFERROR(AG157/AG152,""),"")</f>
        <v>0.0690365790829469</v>
      </c>
      <c r="AH242" s="38" t="n">
        <f aca="false">IF(AND(ISNUMBER(AH157),ISNUMBER(AH152)),IFERROR(AH157/AH152,""),"")</f>
        <v>0.0660934032681057</v>
      </c>
      <c r="AI242" s="38" t="n">
        <f aca="false">IF(AND(ISNUMBER(AI157),ISNUMBER(AI152)),IFERROR(AI157/AI152,""),"")</f>
        <v>0.0874064837905237</v>
      </c>
      <c r="AJ242" s="38" t="n">
        <f aca="false">IF(AND(ISNUMBER(AJ157),ISNUMBER(AJ152)),IFERROR(AJ157/AJ152,""),"")</f>
        <v>0.0591066389554916</v>
      </c>
      <c r="AK242" s="38" t="n">
        <f aca="false">IF(AND(ISNUMBER(AK157),ISNUMBER(AK152)),IFERROR(AK157/AK152,""),"")</f>
        <v>0.0561157390705454</v>
      </c>
      <c r="AL242" s="38" t="n">
        <f aca="false">IF(AND(ISNUMBER(AL157),ISNUMBER(AL152)),IFERROR(AL157/AL152,""),"")</f>
        <v>0.0695165150977536</v>
      </c>
      <c r="AM242" s="38" t="n">
        <f aca="false">IF(AND(ISNUMBER(AM157),ISNUMBER(AM152)),IFERROR(AM157/AM152,""),"")</f>
        <v>0.0661019045700492</v>
      </c>
      <c r="AN242" s="38" t="n">
        <f aca="false">IF(AND(ISNUMBER(AN157),ISNUMBER(AN152)),IFERROR(AN157/AN152,""),"")</f>
        <v>0.0833820577130959</v>
      </c>
      <c r="AO242" s="38" t="n">
        <f aca="false">IF(AND(ISNUMBER(AO157),ISNUMBER(AO152)),IFERROR(AO157/AO152,""),"")</f>
        <v>0.0565719502168089</v>
      </c>
      <c r="AP242" s="38" t="n">
        <f aca="false">IF(AND(ISNUMBER(AP157),ISNUMBER(AP152)),IFERROR(AP157/AP152,""),"")</f>
        <v>0.0551179161919836</v>
      </c>
      <c r="AQ242" s="38" t="n">
        <f aca="false">IF(AND(ISNUMBER(AQ157),ISNUMBER(AQ152)),IFERROR(AQ157/AQ152,""),"")</f>
        <v>0.066975636796525</v>
      </c>
      <c r="AR242" s="38" t="n">
        <f aca="false">IF(AND(ISNUMBER(AR157),ISNUMBER(AR152)),IFERROR(AR157/AR152,""),"")</f>
        <v>0.0638638407561945</v>
      </c>
      <c r="AS242" s="38" t="n">
        <f aca="false">IF(AND(ISNUMBER(AS157),ISNUMBER(AS152)),IFERROR(AS157/AS152,""),"")</f>
        <v>0.0821331663535796</v>
      </c>
      <c r="AT242" s="38" t="n">
        <f aca="false">IF(AND(ISNUMBER(AT157),ISNUMBER(AT152)),IFERROR(AT157/AT152,""),"")</f>
        <v>0.0560365181803872</v>
      </c>
      <c r="AU242" s="38" t="n">
        <f aca="false">IF(AND(ISNUMBER(AU157),ISNUMBER(AU152)),IFERROR(AU157/AU152,""),"")</f>
        <v>0.0538065687906765</v>
      </c>
      <c r="AV242" s="38" t="n">
        <f aca="false">IF(AND(ISNUMBER(AV157),ISNUMBER(AV152)),IFERROR(AV157/AV152,""),"")</f>
        <v>0.0719735503560529</v>
      </c>
      <c r="AW242" s="38" t="n">
        <f aca="false">IF(AND(ISNUMBER(AW157),ISNUMBER(AW152)),IFERROR(AW157/AW152,""),"")</f>
        <v>0.0646736717478171</v>
      </c>
      <c r="AX242" s="38" t="n">
        <f aca="false">IF(AND(ISNUMBER(AX157),ISNUMBER(AX152)),IFERROR(AX157/AX152,""),"")</f>
        <v>0.0812296416938111</v>
      </c>
      <c r="AY242" s="38" t="n">
        <f aca="false">IF(AND(ISNUMBER(AY157),ISNUMBER(AY152)),IFERROR(AY157/AY152,""),"")</f>
        <v>0.0598011466724726</v>
      </c>
      <c r="AZ242" s="38" t="n">
        <f aca="false">IF(AND(ISNUMBER(AZ157),ISNUMBER(AZ152)),IFERROR(AZ157/AZ152,""),"")</f>
        <v>0.0552237847556669</v>
      </c>
      <c r="BA242" s="38" t="n">
        <f aca="false">IF(AND(ISNUMBER(BA157),ISNUMBER(BA152)),IFERROR(BA157/BA152,""),"")</f>
        <v>0.0687650360866079</v>
      </c>
      <c r="BB242" s="38" t="n">
        <f aca="false">IF(AND(ISNUMBER(BB157),ISNUMBER(BB152)),IFERROR(BB157/BB152,""),"")</f>
        <v>0.06483191725157</v>
      </c>
      <c r="BC242" s="38" t="n">
        <f aca="false">IF(AND(ISNUMBER(BC157),ISNUMBER(BC152)),IFERROR(BC157/BC152,""),"")</f>
        <v>0.0788917777055574</v>
      </c>
      <c r="BD242" s="38" t="n">
        <f aca="false">IF(AND(ISNUMBER(BD157),ISNUMBER(BD152)),IFERROR(BD157/BD152,""),"")</f>
        <v>0.0634098800024365</v>
      </c>
      <c r="BE242" s="38" t="n">
        <f aca="false">IF(AND(ISNUMBER(BE157),ISNUMBER(BE152)),IFERROR(BE157/BE152,""),"")</f>
        <v>0.0523817409063311</v>
      </c>
      <c r="BF242" s="38" t="n">
        <f aca="false">IF(AND(ISNUMBER(BF157),ISNUMBER(BF152)),IFERROR(BF157/BF152,""),"")</f>
        <v>0.0682018286488317</v>
      </c>
      <c r="BG242" s="38" t="n">
        <f aca="false">IF(AND(ISNUMBER(BG157),ISNUMBER(BG152)),IFERROR(BG157/BG152,""),"")</f>
        <v>0.064392033372831</v>
      </c>
      <c r="BH242" s="38" t="n">
        <f aca="false">IF(AND(ISNUMBER(BH157),ISNUMBER(BH152)),IFERROR(BH157/BH152,""),"")</f>
        <v>0.0770253304778081</v>
      </c>
      <c r="BI242" s="38" t="n">
        <f aca="false">IF(AND(ISNUMBER(BI157),ISNUMBER(BI152)),IFERROR(BI157/BI152,""),"")</f>
        <v>0.0612917398945519</v>
      </c>
      <c r="BJ242" s="38" t="n">
        <f aca="false">IF(AND(ISNUMBER(BJ157),ISNUMBER(BJ152)),IFERROR(BJ157/BJ152,""),"")</f>
        <v>0.0542099192618224</v>
      </c>
      <c r="BK242" s="38" t="n">
        <f aca="false">IF(AND(ISNUMBER(BK157),ISNUMBER(BK152)),IFERROR(BK157/BK152,""),"")</f>
        <v>0.0738092277079965</v>
      </c>
      <c r="BL242" s="38" t="n">
        <f aca="false">IF(AND(ISNUMBER(BL157),ISNUMBER(BL152)),IFERROR(BL157/BL152,""),"")</f>
        <v>0.0653367172283539</v>
      </c>
      <c r="BM242" s="38" t="n">
        <f aca="false">IF(AND(ISNUMBER(BM157),ISNUMBER(BM152)),IFERROR(BM157/BM152,""),"")</f>
        <v>0.0943245403677058</v>
      </c>
      <c r="BN242" s="38" t="n">
        <f aca="false">IF(AND(ISNUMBER(BN157),ISNUMBER(BN152)),IFERROR(BN157/BN152,""),"")</f>
        <v>0.0663265306122449</v>
      </c>
      <c r="BO242" s="38" t="n">
        <f aca="false">IF(AND(ISNUMBER(BO157),ISNUMBER(BO152)),IFERROR(BO157/BO152,""),"")</f>
        <v>0.0555849655902594</v>
      </c>
      <c r="BP242" s="38" t="n">
        <f aca="false">IF(AND(ISNUMBER(BP157),ISNUMBER(BP152)),IFERROR(BP157/BP152,""),"")</f>
        <v>0.0643382352941176</v>
      </c>
      <c r="BQ242" s="38" t="n">
        <f aca="false">IF(AND(ISNUMBER(BQ157),ISNUMBER(BQ152)),IFERROR(BQ157/BQ152,""),"")</f>
        <v>0.068390452876377</v>
      </c>
      <c r="BR242" s="38" t="n">
        <f aca="false">IF(AND(ISNUMBER(BR157),ISNUMBER(BR152)),IFERROR(BR157/BR152,""),"")</f>
        <v>0.107573149741824</v>
      </c>
      <c r="BS242" s="38" t="n">
        <f aca="false">IF(AND(ISNUMBER(BS157),ISNUMBER(BS152)),IFERROR(BS157/BS152,""),"")</f>
        <v>0.0646364201367309</v>
      </c>
      <c r="BT242" s="38" t="n">
        <f aca="false">IF(AND(ISNUMBER(BT157),ISNUMBER(BT152)),IFERROR(BT157/BT152,""),"")</f>
        <v>0.0595882990249187</v>
      </c>
      <c r="BU242" s="38" t="n">
        <f aca="false">IF(AND(ISNUMBER(BU157),ISNUMBER(BU152)),IFERROR(BU157/BU152,""),"")</f>
        <v>0.0671447196870926</v>
      </c>
      <c r="BV242" s="38" t="n">
        <f aca="false">IF(AND(ISNUMBER(BV157),ISNUMBER(BV152)),IFERROR(BV157/BV152,""),"")</f>
        <v>0.0720325203252033</v>
      </c>
      <c r="BW242" s="38" t="n">
        <f aca="false">IF(AND(ISNUMBER(BW157),ISNUMBER(BW152)),IFERROR(BW157/BW152,""),"")</f>
        <v>0.0976505139500734</v>
      </c>
      <c r="BX242" s="38" t="n">
        <f aca="false">IF(AND(ISNUMBER(BX157),ISNUMBER(BX152)),IFERROR(BX157/BX152,""),"")</f>
        <v>0.0595788392398562</v>
      </c>
      <c r="BY242" s="25" t="n">
        <f aca="false">IFERROR(BY157/BY152,"")</f>
        <v>0.0577212511464051</v>
      </c>
      <c r="BZ242" s="25" t="n">
        <f aca="false">IFERROR(BZ157/BZ152,"")</f>
        <v>0.0671805828206066</v>
      </c>
      <c r="CA242" s="25" t="n">
        <f aca="false">IFERROR(CA157/CA152,"")</f>
        <v>0.0676978206480818</v>
      </c>
      <c r="CB242" s="25" t="n">
        <f aca="false">IFERROR(CB157/CB152,"")</f>
        <v>0.0735371708172002</v>
      </c>
      <c r="CC242" s="25" t="n">
        <f aca="false">IFERROR(CC157/CC152,"")</f>
        <v>0.0734388104957803</v>
      </c>
      <c r="CD242" s="25" t="n">
        <f aca="false">IFERROR(CD157/CD152,"")</f>
        <v>0.0733149367663781</v>
      </c>
      <c r="CE242" s="25" t="n">
        <f aca="false">IFERROR(CE157/CE152,"")</f>
        <v>0.0731888442235592</v>
      </c>
      <c r="CF242" s="6"/>
      <c r="CH242" s="39" t="n">
        <f aca="false">IFERROR(AVERAGE(CA242,CB242,CC242,CD242,CE242),"n/m")</f>
        <v>0.0722355165901999</v>
      </c>
      <c r="CI242" s="39" t="n">
        <f aca="false">IFERROR(AVERAGE(BB242,BG242,BL242,BQ242,BV242),"n/m")</f>
        <v>0.066996728210867</v>
      </c>
      <c r="CJ242" s="39" t="n">
        <f aca="false">IFERROR(AVERAGE(AC242,AH242,AM242,AR242,AW242,BB242,BG242,BL242,BQ242,BV242),"n/m")</f>
        <v>0.066065832795144</v>
      </c>
      <c r="CK242" s="39" t="n">
        <f aca="false">IFERROR(AVERAGE(C242,D242,E242,F242,G242,H242,I242,N242,S242,X242,AC242,AH242,AM242,AR242,AW242,BB242,BG242,BL242,BQ242,BV242),"n/m")</f>
        <v>0.0677791244945247</v>
      </c>
    </row>
    <row r="243" customFormat="false" ht="15" hidden="false" customHeight="true" outlineLevel="0" collapsed="false">
      <c r="B243" s="23" t="s">
        <v>422</v>
      </c>
      <c r="D243" s="24" t="str">
        <f aca="false">IF(AND(ISNUMBER(D21),ISNUMBER(C21)),IFERROR(D21/C21-1,""),"")</f>
        <v/>
      </c>
      <c r="E243" s="24" t="str">
        <f aca="false">IF(AND(ISNUMBER(E21),ISNUMBER(D21)),IFERROR(E21/D21-1,""),"")</f>
        <v/>
      </c>
      <c r="F243" s="24" t="str">
        <f aca="false">IF(AND(ISNUMBER(F21),ISNUMBER(E21)),IFERROR(F21/E21-1,""),"")</f>
        <v/>
      </c>
      <c r="G243" s="24" t="str">
        <f aca="false">IF(AND(ISNUMBER(G21),ISNUMBER(F21)),IFERROR(G21/F21-1,""),"")</f>
        <v/>
      </c>
      <c r="H243" s="24" t="str">
        <f aca="false">IF(AND(ISNUMBER(H21),ISNUMBER(G21)),IFERROR(H21/G21-1,""),"")</f>
        <v/>
      </c>
      <c r="I243" s="24" t="str">
        <f aca="false">IF(AND(ISNUMBER(I21),ISNUMBER(H21)),IFERROR(I21/H21-1,""),"")</f>
        <v/>
      </c>
      <c r="N243" s="24" t="n">
        <f aca="false">IF(AND(ISNUMBER(N21),ISNUMBER(I21)),IFERROR(N21/I21-1,""),"")</f>
        <v>0.0760358511350505</v>
      </c>
      <c r="O243" s="24" t="n">
        <f aca="false">IF(AND(ISNUMBER(O21),ISNUMBER(J21)),IFERROR(O21/J21-1,""),"")</f>
        <v>3.45006470031857</v>
      </c>
      <c r="P243" s="24" t="n">
        <f aca="false">IF(AND(ISNUMBER(P21),ISNUMBER(K21)),IFERROR(P21/K21-1,""),"")</f>
        <v>0.125464293474906</v>
      </c>
      <c r="Q243" s="24" t="n">
        <f aca="false">IF(AND(ISNUMBER(Q21),ISNUMBER(L21)),IFERROR(Q21/L21-1,""),"")</f>
        <v>-0.0312666079222512</v>
      </c>
      <c r="R243" s="24" t="n">
        <f aca="false">IF(AND(ISNUMBER(R21),ISNUMBER(M21)),IFERROR(R21/M21-1,""),"")</f>
        <v>0.139505394012866</v>
      </c>
      <c r="S243" s="24" t="n">
        <f aca="false">IF(AND(ISNUMBER(S21),ISNUMBER(N21)),IFERROR(S21/N21-1,""),"")</f>
        <v>0.0999847997789731</v>
      </c>
      <c r="T243" s="24" t="n">
        <f aca="false">IF(AND(ISNUMBER(T21),ISNUMBER(O21)),IFERROR(T21/O21-1,""),"")</f>
        <v>2.49956737246758</v>
      </c>
      <c r="U243" s="24" t="n">
        <f aca="false">IF(AND(ISNUMBER(U21),ISNUMBER(P21)),IFERROR(U21/P21-1,""),"")</f>
        <v>0.271787945882653</v>
      </c>
      <c r="V243" s="24" t="n">
        <f aca="false">IF(AND(ISNUMBER(V21),ISNUMBER(Q21)),IFERROR(V21/Q21-1,""),"")</f>
        <v>0.321562057718586</v>
      </c>
      <c r="W243" s="24" t="n">
        <f aca="false">IF(AND(ISNUMBER(W21),ISNUMBER(R21)),IFERROR(W21/R21-1,""),"")</f>
        <v>0.269625540620857</v>
      </c>
      <c r="X243" s="24" t="n">
        <f aca="false">IF(AND(ISNUMBER(X21),ISNUMBER(S21)),IFERROR(X21/S21-1,""),"")</f>
        <v>0.345369495506801</v>
      </c>
      <c r="Y243" s="24" t="n">
        <f aca="false">IF(AND(ISNUMBER(Y21),ISNUMBER(T21)),IFERROR(Y21/T21-1,""),"")</f>
        <v>0.729310057966578</v>
      </c>
      <c r="Z243" s="24" t="n">
        <f aca="false">IF(AND(ISNUMBER(Z21),ISNUMBER(U21)),IFERROR(Z21/U21-1,""),"")</f>
        <v>0.182735474090132</v>
      </c>
      <c r="AA243" s="24" t="n">
        <f aca="false">IF(AND(ISNUMBER(AA21),ISNUMBER(V21)),IFERROR(AA21/V21-1,""),"")</f>
        <v>0.0940799150365739</v>
      </c>
      <c r="AB243" s="24" t="n">
        <f aca="false">IF(AND(ISNUMBER(AB21),ISNUMBER(W21)),IFERROR(AB21/W21-1,""),"")</f>
        <v>0.110504369346855</v>
      </c>
      <c r="AC243" s="24" t="n">
        <f aca="false">IF(AND(ISNUMBER(AC21),ISNUMBER(X21)),IFERROR(AC21/X21-1,""),"")</f>
        <v>0.171501997169429</v>
      </c>
      <c r="AD243" s="24" t="n">
        <f aca="false">IF(AND(ISNUMBER(AD21),ISNUMBER(Y21)),IFERROR(AD21/Y21-1,""),"")</f>
        <v>-0.0205756902508935</v>
      </c>
      <c r="AE243" s="24" t="n">
        <f aca="false">IF(AND(ISNUMBER(AE21),ISNUMBER(Z21)),IFERROR(AE21/Z21-1,""),"")</f>
        <v>0.0342326179298949</v>
      </c>
      <c r="AF243" s="24" t="n">
        <f aca="false">IF(AND(ISNUMBER(AF21),ISNUMBER(AA21)),IFERROR(AF21/AA21-1,""),"")</f>
        <v>0.12227957190729</v>
      </c>
      <c r="AG243" s="24" t="n">
        <f aca="false">IF(AND(ISNUMBER(AG21),ISNUMBER(AB21)),IFERROR(AG21/AB21-1,""),"")</f>
        <v>0.193109347448765</v>
      </c>
      <c r="AH243" s="24" t="n">
        <f aca="false">IF(AND(ISNUMBER(AH21),ISNUMBER(AC21)),IFERROR(AH21/AC21-1,""),"")</f>
        <v>0.0912797048318552</v>
      </c>
      <c r="AI243" s="24" t="n">
        <f aca="false">IF(AND(ISNUMBER(AI21),ISNUMBER(AD21)),IFERROR(AI21/AD21-1,""),"")</f>
        <v>-0.273967418106298</v>
      </c>
      <c r="AJ243" s="24" t="n">
        <f aca="false">IF(AND(ISNUMBER(AJ21),ISNUMBER(AE21)),IFERROR(AJ21/AE21-1,""),"")</f>
        <v>0.0283724309856452</v>
      </c>
      <c r="AK243" s="24" t="n">
        <f aca="false">IF(AND(ISNUMBER(AK21),ISNUMBER(AF21)),IFERROR(AK21/AF21-1,""),"")</f>
        <v>-0.0319287390052884</v>
      </c>
      <c r="AL243" s="24" t="n">
        <f aca="false">IF(AND(ISNUMBER(AL21),ISNUMBER(AG21)),IFERROR(AL21/AG21-1,""),"")</f>
        <v>-0.186725596625443</v>
      </c>
      <c r="AM243" s="24" t="n">
        <f aca="false">IF(AND(ISNUMBER(AM21),ISNUMBER(AH21)),IFERROR(AM21/AH21-1,""),"")</f>
        <v>-0.0694522254410435</v>
      </c>
      <c r="AN243" s="24" t="n">
        <f aca="false">IF(AND(ISNUMBER(AN21),ISNUMBER(AI21)),IFERROR(AN21/AI21-1,""),"")</f>
        <v>0.482073417206519</v>
      </c>
      <c r="AO243" s="24" t="n">
        <f aca="false">IF(AND(ISNUMBER(AO21),ISNUMBER(AJ21)),IFERROR(AO21/AJ21-1,""),"")</f>
        <v>0.151185777410019</v>
      </c>
      <c r="AP243" s="24" t="n">
        <f aca="false">IF(AND(ISNUMBER(AP21),ISNUMBER(AK21)),IFERROR(AP21/AK21-1,""),"")</f>
        <v>0.219077094955141</v>
      </c>
      <c r="AQ243" s="24" t="n">
        <f aca="false">IF(AND(ISNUMBER(AQ21),ISNUMBER(AL21)),IFERROR(AQ21/AL21-1,""),"")</f>
        <v>0.126021639044529</v>
      </c>
      <c r="AR243" s="24" t="n">
        <f aca="false">IF(AND(ISNUMBER(AR21),ISNUMBER(AM21)),IFERROR(AR21/AM21-1,""),"")</f>
        <v>0.190124521779143</v>
      </c>
      <c r="AS243" s="24" t="n">
        <f aca="false">IF(AND(ISNUMBER(AS21),ISNUMBER(AN21)),IFERROR(AS21/AN21-1,""),"")</f>
        <v>-0.0680058146595725</v>
      </c>
      <c r="AT243" s="24" t="n">
        <f aca="false">IF(AND(ISNUMBER(AT21),ISNUMBER(AO21)),IFERROR(AT21/AO21-1,""),"")</f>
        <v>0.106596615948485</v>
      </c>
      <c r="AU243" s="24" t="n">
        <f aca="false">IF(AND(ISNUMBER(AU21),ISNUMBER(AP21)),IFERROR(AU21/AP21-1,""),"")</f>
        <v>0.063793698066442</v>
      </c>
      <c r="AV243" s="24" t="n">
        <f aca="false">IF(AND(ISNUMBER(AV21),ISNUMBER(AQ21)),IFERROR(AV21/AQ21-1,""),"")</f>
        <v>0.1805428346892</v>
      </c>
      <c r="AW243" s="24" t="n">
        <f aca="false">IF(AND(ISNUMBER(AW21),ISNUMBER(AR21)),IFERROR(AW21/AR21-1,""),"")</f>
        <v>0.0763258582646571</v>
      </c>
      <c r="AX243" s="24" t="n">
        <f aca="false">IF(AND(ISNUMBER(AX21),ISNUMBER(AS21)),IFERROR(AX21/AS21-1,""),"")</f>
        <v>0.34624863641873</v>
      </c>
      <c r="AY243" s="24" t="n">
        <f aca="false">IF(AND(ISNUMBER(AY21),ISNUMBER(AT21)),IFERROR(AY21/AT21-1,""),"")</f>
        <v>-0.014078943656011</v>
      </c>
      <c r="AZ243" s="24" t="n">
        <f aca="false">IF(AND(ISNUMBER(AZ21),ISNUMBER(AU21)),IFERROR(AZ21/AU21-1,""),"")</f>
        <v>-0.046294166085224</v>
      </c>
      <c r="BA243" s="24" t="n">
        <f aca="false">IF(AND(ISNUMBER(BA21),ISNUMBER(AV21)),IFERROR(BA21/AV21-1,""),"")</f>
        <v>-0.130402572037248</v>
      </c>
      <c r="BB243" s="24" t="n">
        <f aca="false">IF(AND(ISNUMBER(BB21),ISNUMBER(AW21)),IFERROR(BB21/AW21-1,""),"")</f>
        <v>-0.011557057185467</v>
      </c>
      <c r="BC243" s="24" t="n">
        <f aca="false">IF(AND(ISNUMBER(BC21),ISNUMBER(AX21)),IFERROR(BC21/AX21-1,""),"")</f>
        <v>-0.262743331422175</v>
      </c>
      <c r="BD243" s="24" t="n">
        <f aca="false">IF(AND(ISNUMBER(BD21),ISNUMBER(AY21)),IFERROR(BD21/AY21-1,""),"")</f>
        <v>0.0359139130765429</v>
      </c>
      <c r="BE243" s="24" t="n">
        <f aca="false">IF(AND(ISNUMBER(BE21),ISNUMBER(AZ21)),IFERROR(BE21/AZ21-1,""),"")</f>
        <v>0.0677450492213847</v>
      </c>
      <c r="BF243" s="24" t="n">
        <f aca="false">IF(AND(ISNUMBER(BF21),ISNUMBER(BA21)),IFERROR(BF21/BA21-1,""),"")</f>
        <v>0.250889609267194</v>
      </c>
      <c r="BG243" s="24" t="n">
        <f aca="false">IF(AND(ISNUMBER(BG21),ISNUMBER(BB21)),IFERROR(BG21/BB21-1,""),"")</f>
        <v>0.0495373308864253</v>
      </c>
      <c r="BH243" s="24" t="n">
        <f aca="false">IF(AND(ISNUMBER(BH21),ISNUMBER(BC21)),IFERROR(BH21/BC21-1,""),"")</f>
        <v>1.35901798678819</v>
      </c>
      <c r="BI243" s="24" t="n">
        <f aca="false">IF(AND(ISNUMBER(BI21),ISNUMBER(BD21)),IFERROR(BI21/BD21-1,""),"")</f>
        <v>0.273003770671892</v>
      </c>
      <c r="BJ243" s="24" t="n">
        <f aca="false">IF(AND(ISNUMBER(BJ21),ISNUMBER(BE21)),IFERROR(BJ21/BE21-1,""),"")</f>
        <v>0.436549523742984</v>
      </c>
      <c r="BK243" s="24" t="n">
        <f aca="false">IF(AND(ISNUMBER(BK21),ISNUMBER(BF21)),IFERROR(BK21/BF21-1,""),"")</f>
        <v>0.407350009876632</v>
      </c>
      <c r="BL243" s="24" t="n">
        <f aca="false">IF(AND(ISNUMBER(BL21),ISNUMBER(BG21)),IFERROR(BL21/BG21-1,""),"")</f>
        <v>0.468729596799403</v>
      </c>
      <c r="BM243" s="24" t="n">
        <f aca="false">IF(AND(ISNUMBER(BM21),ISNUMBER(BH21)),IFERROR(BM21/BH21-1,""),"")</f>
        <v>0.143650897473854</v>
      </c>
      <c r="BN243" s="24" t="n">
        <f aca="false">IF(AND(ISNUMBER(BN21),ISNUMBER(BI21)),IFERROR(BN21/BI21-1,""),"")</f>
        <v>0.08680059213438</v>
      </c>
      <c r="BO243" s="24" t="n">
        <f aca="false">IF(AND(ISNUMBER(BO21),ISNUMBER(BJ21)),IFERROR(BO21/BJ21-1,""),"")</f>
        <v>0.0348255426196373</v>
      </c>
      <c r="BP243" s="24" t="n">
        <f aca="false">IF(AND(ISNUMBER(BP21),ISNUMBER(BK21)),IFERROR(BP21/BK21-1,""),"")</f>
        <v>0.122075433578527</v>
      </c>
      <c r="BQ243" s="24" t="n">
        <f aca="false">IF(AND(ISNUMBER(BQ21),ISNUMBER(BL21)),IFERROR(BQ21/BL21-1,""),"")</f>
        <v>0.0938136676472068</v>
      </c>
      <c r="BR243" s="24" t="n">
        <f aca="false">IF(AND(ISNUMBER(BR21),ISNUMBER(BM21)),IFERROR(BR21/BM21-1,""),"")</f>
        <v>0.16620534277438</v>
      </c>
      <c r="BS243" s="24" t="n">
        <f aca="false">IF(AND(ISNUMBER(BS21),ISNUMBER(BN21)),IFERROR(BS21/BN21-1,""),"")</f>
        <v>0.103183208767378</v>
      </c>
      <c r="BT243" s="24" t="n">
        <f aca="false">IF(AND(ISNUMBER(BT21),ISNUMBER(BO21)),IFERROR(BT21/BO21-1,""),"")</f>
        <v>0.124387820285329</v>
      </c>
      <c r="BU243" s="24" t="n">
        <f aca="false">IF(AND(ISNUMBER(BU21),ISNUMBER(BP21)),IFERROR(BU21/BP21-1,""),"")</f>
        <v>0.0855172637065575</v>
      </c>
      <c r="BV243" s="24" t="n">
        <f aca="false">IF(AND(ISNUMBER(BV21),ISNUMBER(BQ21)),IFERROR(BV21/BQ21-1,""),"")</f>
        <v>0.11420435877779</v>
      </c>
      <c r="BW243" s="24" t="n">
        <f aca="false">IF(AND(ISNUMBER(BW21),ISNUMBER(BR21)),IFERROR(BW21/BR21-1,""),"")</f>
        <v>-0.138537999585835</v>
      </c>
      <c r="BX243" s="24" t="n">
        <f aca="false">IF(AND(ISNUMBER(BX21),ISNUMBER(BS21)),IFERROR(BX21/BS21-1,""),"")</f>
        <v>-0.168355481727575</v>
      </c>
      <c r="BY243" s="25" t="n">
        <f aca="false">IFERROR(BY21/BT21-1,"")</f>
        <v>-0.0892832393185863</v>
      </c>
      <c r="BZ243" s="25" t="n">
        <f aca="false">IFERROR(BZ21/BU21-1,"")</f>
        <v>-0.0935800680175185</v>
      </c>
      <c r="CA243" s="25" t="n">
        <f aca="false">IFERROR(CA21/BV21-1,"")</f>
        <v>-0.116420852272816</v>
      </c>
      <c r="CB243" s="25" t="n">
        <f aca="false">IFERROR(CB21/CA21-1,"")</f>
        <v>0.168957923593521</v>
      </c>
      <c r="CC243" s="25" t="n">
        <f aca="false">IFERROR(CC21/CB21-1,"")</f>
        <v>0.0869696969696969</v>
      </c>
      <c r="CD243" s="25" t="n">
        <f aca="false">IFERROR(CD21/CC21-1,"")</f>
        <v>0.0808823529411764</v>
      </c>
      <c r="CE243" s="25" t="n">
        <f aca="false">IFERROR(CE21/CD21-1,"")</f>
        <v>0.0649999999999997</v>
      </c>
      <c r="CF243" s="6"/>
    </row>
    <row r="244" customFormat="false" ht="15" hidden="false" customHeight="true" outlineLevel="0" collapsed="false"/>
    <row r="245" customFormat="false" ht="15" hidden="false" customHeight="true" outlineLevel="0" collapsed="false">
      <c r="B245" s="11" t="s">
        <v>423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 t="s">
        <v>424</v>
      </c>
    </row>
    <row r="246" customFormat="false" ht="15" hidden="false" customHeight="true" outlineLevel="0" collapsed="false">
      <c r="B246" s="26" t="s">
        <v>330</v>
      </c>
      <c r="C246" s="36" t="n">
        <v>245.422</v>
      </c>
      <c r="D246" s="36" t="n">
        <v>262.749</v>
      </c>
      <c r="E246" s="36" t="n">
        <v>179.75</v>
      </c>
      <c r="F246" s="36" t="n">
        <v>88.164</v>
      </c>
      <c r="G246" s="36" t="n">
        <v>98.664</v>
      </c>
      <c r="H246" s="36" t="n">
        <v>83.573</v>
      </c>
      <c r="I246" s="36" t="n">
        <v>85.527</v>
      </c>
      <c r="J246" s="36" t="n">
        <v>-29.329</v>
      </c>
      <c r="K246" s="36" t="n">
        <v>41.567</v>
      </c>
      <c r="L246" s="36" t="n">
        <v>72.038</v>
      </c>
      <c r="M246" s="36" t="n">
        <v>35.156</v>
      </c>
      <c r="N246" s="36" t="n">
        <v>119.432</v>
      </c>
      <c r="O246" s="36" t="n">
        <v>-23.153</v>
      </c>
      <c r="P246" s="36" t="n">
        <v>59.625</v>
      </c>
      <c r="Q246" s="36" t="n">
        <v>53.833</v>
      </c>
      <c r="R246" s="36" t="n">
        <v>63.989</v>
      </c>
      <c r="S246" s="36" t="n">
        <v>154.294</v>
      </c>
      <c r="T246" s="36" t="n">
        <v>6.159</v>
      </c>
      <c r="U246" s="36" t="n">
        <v>81.979</v>
      </c>
      <c r="V246" s="36" t="n">
        <v>117.577</v>
      </c>
      <c r="W246" s="36" t="n">
        <v>83.223</v>
      </c>
      <c r="X246" s="36" t="n">
        <v>288.938</v>
      </c>
      <c r="Y246" s="36" t="n">
        <v>45.055</v>
      </c>
      <c r="Z246" s="36" t="n">
        <v>122.114</v>
      </c>
      <c r="AA246" s="36" t="n">
        <v>159.478</v>
      </c>
      <c r="AB246" s="36" t="n">
        <v>98.797</v>
      </c>
      <c r="AC246" s="36" t="n">
        <v>425.444</v>
      </c>
      <c r="AD246" s="36" t="n">
        <v>42.307</v>
      </c>
      <c r="AE246" s="36" t="n">
        <v>142.241</v>
      </c>
      <c r="AF246" s="36" t="n">
        <v>151.539</v>
      </c>
      <c r="AG246" s="36" t="n">
        <v>377.298</v>
      </c>
      <c r="AH246" s="36" t="n">
        <v>713.385</v>
      </c>
      <c r="AI246" s="36" t="n">
        <v>10.04</v>
      </c>
      <c r="AJ246" s="36" t="n">
        <v>185.503</v>
      </c>
      <c r="AK246" s="36" t="n">
        <v>180.353</v>
      </c>
      <c r="AL246" s="36" t="n">
        <v>94.48</v>
      </c>
      <c r="AM246" s="36" t="n">
        <v>470.376</v>
      </c>
      <c r="AN246" s="36" t="n">
        <v>42.826</v>
      </c>
      <c r="AO246" s="36" t="n">
        <v>189.47</v>
      </c>
      <c r="AP246" s="36" t="n">
        <v>248.622</v>
      </c>
      <c r="AQ246" s="36" t="n">
        <v>131.082</v>
      </c>
      <c r="AR246" s="36" t="n">
        <v>612</v>
      </c>
      <c r="AS246" s="36" t="n">
        <v>25.9</v>
      </c>
      <c r="AT246" s="36" t="n">
        <v>217.6</v>
      </c>
      <c r="AU246" s="36" t="n">
        <v>294.5</v>
      </c>
      <c r="AV246" s="36" t="n">
        <v>183.1</v>
      </c>
      <c r="AW246" s="36" t="n">
        <v>721.1</v>
      </c>
      <c r="AX246" s="36" t="n">
        <v>65.5</v>
      </c>
      <c r="AY246" s="36" t="n">
        <v>225.8</v>
      </c>
      <c r="AZ246" s="36" t="n">
        <v>254.6</v>
      </c>
      <c r="BA246" s="36" t="n">
        <v>156.9</v>
      </c>
      <c r="BB246" s="36" t="n">
        <v>702.8</v>
      </c>
      <c r="BC246" s="36" t="n">
        <v>21.3</v>
      </c>
      <c r="BD246" s="36" t="n">
        <v>366.4</v>
      </c>
      <c r="BE246" s="36" t="n">
        <v>295.3</v>
      </c>
      <c r="BF246" s="36" t="n">
        <v>183.8</v>
      </c>
      <c r="BG246" s="36" t="n">
        <v>866.8</v>
      </c>
      <c r="BH246" s="36" t="n">
        <v>121.6</v>
      </c>
      <c r="BI246" s="36" t="n">
        <v>348.6</v>
      </c>
      <c r="BJ246" s="36" t="n">
        <v>416.6</v>
      </c>
      <c r="BK246" s="36" t="n">
        <v>282.6</v>
      </c>
      <c r="BL246" s="36" t="n">
        <v>1169.4</v>
      </c>
      <c r="BM246" s="36" t="n">
        <v>1046</v>
      </c>
      <c r="BN246" s="36" t="n">
        <v>294</v>
      </c>
      <c r="BO246" s="36" t="n">
        <v>362</v>
      </c>
      <c r="BP246" s="36" t="n">
        <v>294</v>
      </c>
      <c r="BQ246" s="36" t="n">
        <v>1996</v>
      </c>
      <c r="BR246" s="36" t="n">
        <v>116</v>
      </c>
      <c r="BS246" s="36" t="n">
        <v>328</v>
      </c>
      <c r="BT246" s="36" t="n">
        <v>414</v>
      </c>
      <c r="BU246" s="36" t="n">
        <v>279</v>
      </c>
      <c r="BV246" s="36" t="n">
        <v>1137</v>
      </c>
      <c r="BW246" s="36" t="n">
        <v>1513</v>
      </c>
      <c r="BX246" s="36" t="n">
        <v>251</v>
      </c>
      <c r="BY246" s="6"/>
      <c r="BZ246" s="6"/>
      <c r="CA246" s="37" t="n">
        <f aca="false">CA170</f>
        <v>2325.25646334676</v>
      </c>
      <c r="CB246" s="37" t="n">
        <f aca="false">CB170</f>
        <v>1288.63503471762</v>
      </c>
      <c r="CC246" s="37" t="n">
        <f aca="false">CC170</f>
        <v>1610.11428933986</v>
      </c>
      <c r="CD246" s="37" t="n">
        <f aca="false">CD170</f>
        <v>1880.2941935602</v>
      </c>
      <c r="CE246" s="37" t="n">
        <f aca="false">CE170</f>
        <v>2100.39833001768</v>
      </c>
      <c r="CF246" s="6"/>
    </row>
    <row r="247" customFormat="false" ht="15" hidden="false" customHeight="true" outlineLevel="0" collapsed="false">
      <c r="B247" s="26" t="s">
        <v>425</v>
      </c>
      <c r="CF247" s="6"/>
    </row>
    <row r="248" customFormat="false" ht="15" hidden="false" customHeight="true" outlineLevel="0" collapsed="false">
      <c r="B248" s="26" t="s">
        <v>426</v>
      </c>
      <c r="C248" s="36" t="n">
        <v>141.429</v>
      </c>
      <c r="D248" s="36" t="n">
        <v>150.338</v>
      </c>
      <c r="E248" s="36" t="n">
        <v>171.129</v>
      </c>
      <c r="F248" s="36" t="n">
        <v>179.391</v>
      </c>
      <c r="G248" s="36" t="n">
        <v>181.537</v>
      </c>
      <c r="H248" s="36" t="n">
        <v>173.407</v>
      </c>
      <c r="I248" s="36" t="n">
        <v>177.211</v>
      </c>
      <c r="J248" s="36" t="n">
        <v>43.043</v>
      </c>
      <c r="K248" s="36" t="n">
        <v>42.949</v>
      </c>
      <c r="L248" s="36" t="n">
        <v>44.105</v>
      </c>
      <c r="M248" s="36" t="n">
        <v>43.664</v>
      </c>
      <c r="N248" s="36" t="n">
        <v>173.761</v>
      </c>
      <c r="O248" s="36" t="n">
        <v>42.466</v>
      </c>
      <c r="P248" s="36" t="n">
        <v>43.681</v>
      </c>
      <c r="Q248" s="36" t="n">
        <v>67.932</v>
      </c>
      <c r="R248" s="36" t="n">
        <v>68.667</v>
      </c>
      <c r="S248" s="36" t="n">
        <v>222.746</v>
      </c>
      <c r="T248" s="36" t="n">
        <v>67.268</v>
      </c>
      <c r="U248" s="36" t="n">
        <v>67.69</v>
      </c>
      <c r="V248" s="36" t="n">
        <v>64.977</v>
      </c>
      <c r="W248" s="36" t="n">
        <v>63.652</v>
      </c>
      <c r="X248" s="36" t="n">
        <v>263.587</v>
      </c>
      <c r="Y248" s="36" t="n">
        <v>68.41</v>
      </c>
      <c r="Z248" s="36" t="n">
        <v>71.207</v>
      </c>
      <c r="AA248" s="36" t="n">
        <v>72.38</v>
      </c>
      <c r="AB248" s="36" t="n">
        <v>73.256</v>
      </c>
      <c r="AC248" s="36" t="n">
        <v>285.253</v>
      </c>
      <c r="AD248" s="36" t="n">
        <v>70.376</v>
      </c>
      <c r="AE248" s="36" t="n">
        <v>75.726</v>
      </c>
      <c r="AF248" s="36" t="n">
        <v>75.316</v>
      </c>
      <c r="AG248" s="36" t="n">
        <v>75.744</v>
      </c>
      <c r="AH248" s="36" t="n">
        <v>297.162</v>
      </c>
      <c r="AI248" s="36" t="n">
        <v>76.821</v>
      </c>
      <c r="AJ248" s="36" t="n">
        <v>86.724</v>
      </c>
      <c r="AK248" s="36" t="n">
        <v>89.655</v>
      </c>
      <c r="AL248" s="36" t="n">
        <v>90.833</v>
      </c>
      <c r="AM248" s="36" t="n">
        <v>344.033</v>
      </c>
      <c r="AN248" s="36" t="n">
        <v>89.211</v>
      </c>
      <c r="AO248" s="36" t="n">
        <v>92.775</v>
      </c>
      <c r="AP248" s="36" t="n">
        <v>94.988</v>
      </c>
      <c r="AQ248" s="36" t="n">
        <v>94.526</v>
      </c>
      <c r="AR248" s="36" t="n">
        <v>371.5</v>
      </c>
      <c r="AS248" s="36" t="n">
        <v>95</v>
      </c>
      <c r="AT248" s="36" t="n">
        <v>98.4</v>
      </c>
      <c r="AU248" s="36" t="n">
        <v>98.8</v>
      </c>
      <c r="AV248" s="36" t="n">
        <v>101.3</v>
      </c>
      <c r="AW248" s="36" t="n">
        <v>393.5</v>
      </c>
      <c r="AX248" s="36" t="n">
        <v>98.6</v>
      </c>
      <c r="AY248" s="36" t="n">
        <v>107.9</v>
      </c>
      <c r="AZ248" s="36" t="n">
        <v>113.5</v>
      </c>
      <c r="BA248" s="36" t="n">
        <v>131.7</v>
      </c>
      <c r="BB248" s="36" t="n">
        <v>451.7</v>
      </c>
      <c r="BC248" s="36" t="n">
        <v>128.2</v>
      </c>
      <c r="BD248" s="36" t="n">
        <v>128.4</v>
      </c>
      <c r="BE248" s="36" t="n">
        <v>123.7</v>
      </c>
      <c r="BF248" s="36" t="n">
        <v>125.7</v>
      </c>
      <c r="BG248" s="36" t="n">
        <v>506</v>
      </c>
      <c r="BH248" s="36" t="n">
        <v>123.6</v>
      </c>
      <c r="BI248" s="36" t="n">
        <v>129.5</v>
      </c>
      <c r="BJ248" s="36" t="n">
        <v>131.5</v>
      </c>
      <c r="BK248" s="36" t="n">
        <v>128.6</v>
      </c>
      <c r="BL248" s="36" t="n">
        <v>513.2</v>
      </c>
      <c r="BM248" s="36" t="n">
        <v>130</v>
      </c>
      <c r="BN248" s="36" t="n">
        <v>142</v>
      </c>
      <c r="BO248" s="36" t="n">
        <v>152</v>
      </c>
      <c r="BP248" s="36" t="n">
        <v>149</v>
      </c>
      <c r="BQ248" s="36" t="n">
        <v>573</v>
      </c>
      <c r="BR248" s="36" t="n">
        <v>154</v>
      </c>
      <c r="BS248" s="36" t="n">
        <v>167</v>
      </c>
      <c r="BT248" s="36" t="n">
        <v>159</v>
      </c>
      <c r="BU248" s="36" t="n">
        <v>157</v>
      </c>
      <c r="BV248" s="36" t="n">
        <v>637</v>
      </c>
      <c r="BW248" s="36" t="n">
        <v>167</v>
      </c>
      <c r="BX248" s="36" t="n">
        <v>204</v>
      </c>
      <c r="BY248" s="6"/>
      <c r="BZ248" s="6"/>
      <c r="CA248" s="37" t="n">
        <f aca="false">CA176</f>
        <v>971.252477625388</v>
      </c>
      <c r="CB248" s="37" t="n">
        <f aca="false">CB176</f>
        <v>1330.60052227193</v>
      </c>
      <c r="CC248" s="37" t="n">
        <f aca="false">CC176</f>
        <v>1411.39518978434</v>
      </c>
      <c r="CD248" s="37" t="n">
        <f aca="false">CD176</f>
        <v>1505.48005394654</v>
      </c>
      <c r="CE248" s="37" t="n">
        <f aca="false">CE176</f>
        <v>1610.94644981958</v>
      </c>
      <c r="CF248" s="6"/>
    </row>
    <row r="249" customFormat="false" ht="15" hidden="false" customHeight="true" outlineLevel="0" collapsed="false">
      <c r="B249" s="26" t="s">
        <v>427</v>
      </c>
      <c r="C249" s="36" t="n">
        <v>13.438</v>
      </c>
      <c r="D249" s="36" t="n">
        <v>19.687</v>
      </c>
      <c r="E249" s="36" t="n">
        <v>21.865</v>
      </c>
      <c r="F249" s="36" t="n">
        <v>20.552</v>
      </c>
      <c r="G249" s="36" t="n">
        <v>14.675</v>
      </c>
      <c r="H249" s="36" t="n">
        <v>11.522</v>
      </c>
      <c r="I249" s="36" t="n">
        <v>7.781</v>
      </c>
      <c r="J249" s="36" t="n">
        <v>1.245</v>
      </c>
      <c r="K249" s="36" t="n">
        <v>2.736</v>
      </c>
      <c r="L249" s="36" t="n">
        <v>1.427</v>
      </c>
      <c r="M249" s="36" t="n">
        <v>1.6</v>
      </c>
      <c r="N249" s="36" t="n">
        <v>7.008</v>
      </c>
      <c r="O249" s="36" t="n">
        <v>1.409</v>
      </c>
      <c r="P249" s="36" t="n">
        <v>2.961</v>
      </c>
      <c r="Q249" s="36" t="n">
        <v>2.011</v>
      </c>
      <c r="R249" s="36" t="n">
        <v>2.612</v>
      </c>
      <c r="S249" s="36" t="n">
        <v>8.993</v>
      </c>
      <c r="T249" s="36" t="n">
        <v>2.907</v>
      </c>
      <c r="U249" s="36" t="n">
        <v>4.617</v>
      </c>
      <c r="V249" s="36" t="n">
        <v>3.198</v>
      </c>
      <c r="W249" s="36" t="n">
        <v>2.867</v>
      </c>
      <c r="X249" s="36" t="n">
        <v>13.589</v>
      </c>
      <c r="Y249" s="36" t="n">
        <v>7.228</v>
      </c>
      <c r="Z249" s="36" t="n">
        <v>5.573</v>
      </c>
      <c r="AA249" s="36" t="n">
        <v>4.366</v>
      </c>
      <c r="AB249" s="36" t="n">
        <v>3.314</v>
      </c>
      <c r="AC249" s="36" t="n">
        <v>20.481</v>
      </c>
      <c r="AD249" s="36" t="n">
        <v>10.275</v>
      </c>
      <c r="AE249" s="36" t="n">
        <v>7.452</v>
      </c>
      <c r="AF249" s="36" t="n">
        <v>5.971</v>
      </c>
      <c r="AG249" s="36" t="n">
        <v>6.762</v>
      </c>
      <c r="AH249" s="36" t="n">
        <v>30.46</v>
      </c>
      <c r="AI249" s="36" t="n">
        <v>9.76</v>
      </c>
      <c r="AJ249" s="36" t="n">
        <v>7.338</v>
      </c>
      <c r="AK249" s="36" t="n">
        <v>5.986</v>
      </c>
      <c r="AL249" s="36" t="n">
        <v>6.169</v>
      </c>
      <c r="AM249" s="36" t="n">
        <v>29.253</v>
      </c>
      <c r="AN249" s="36" t="n">
        <v>13.552</v>
      </c>
      <c r="AO249" s="36" t="n">
        <v>8.698</v>
      </c>
      <c r="AP249" s="36" t="n">
        <v>6.164</v>
      </c>
      <c r="AQ249" s="36" t="n">
        <v>5.686</v>
      </c>
      <c r="AR249" s="36" t="n">
        <v>34.1</v>
      </c>
      <c r="AS249" s="36" t="n">
        <v>12.5</v>
      </c>
      <c r="AT249" s="36" t="n">
        <v>7.2</v>
      </c>
      <c r="AU249" s="36" t="n">
        <v>2.7</v>
      </c>
      <c r="AV249" s="36" t="n">
        <v>7.6</v>
      </c>
      <c r="AW249" s="36" t="n">
        <v>30</v>
      </c>
      <c r="AX249" s="36" t="n">
        <v>10.9</v>
      </c>
      <c r="AY249" s="36" t="n">
        <v>9.9</v>
      </c>
      <c r="AZ249" s="36" t="n">
        <v>12.2</v>
      </c>
      <c r="BA249" s="36" t="n">
        <v>10</v>
      </c>
      <c r="BB249" s="36" t="n">
        <v>43</v>
      </c>
      <c r="BC249" s="36" t="n">
        <v>12</v>
      </c>
      <c r="BD249" s="36" t="n">
        <v>12.5</v>
      </c>
      <c r="BE249" s="36" t="n">
        <v>9.8</v>
      </c>
      <c r="BF249" s="36" t="n">
        <v>8.40000000000001</v>
      </c>
      <c r="BG249" s="36" t="n">
        <v>42.7</v>
      </c>
      <c r="BH249" s="36" t="n">
        <v>13.7</v>
      </c>
      <c r="BI249" s="36" t="n">
        <v>14</v>
      </c>
      <c r="BJ249" s="36" t="n">
        <v>11.3</v>
      </c>
      <c r="BK249" s="36" t="n">
        <v>11</v>
      </c>
      <c r="BL249" s="36" t="n">
        <v>50</v>
      </c>
      <c r="BM249" s="36" t="n">
        <v>15</v>
      </c>
      <c r="BN249" s="36" t="n">
        <v>18</v>
      </c>
      <c r="BO249" s="36" t="n">
        <v>15</v>
      </c>
      <c r="BP249" s="36" t="n">
        <v>10</v>
      </c>
      <c r="BQ249" s="36" t="n">
        <v>58</v>
      </c>
      <c r="BR249" s="36" t="n">
        <v>31</v>
      </c>
      <c r="BS249" s="36" t="n">
        <v>6</v>
      </c>
      <c r="BT249" s="36" t="n">
        <v>5</v>
      </c>
      <c r="BU249" s="36" t="n">
        <v>4</v>
      </c>
      <c r="BV249" s="36" t="n">
        <v>46</v>
      </c>
      <c r="BW249" s="36" t="n">
        <v>31</v>
      </c>
      <c r="BX249" s="36" t="n">
        <v>10</v>
      </c>
      <c r="BY249" s="6"/>
      <c r="BZ249" s="6"/>
      <c r="CA249" s="37" t="n">
        <f aca="false">CA177</f>
        <v>98.7451818664386</v>
      </c>
      <c r="CB249" s="37" t="n">
        <f aca="false">CB177</f>
        <v>68.7177333283461</v>
      </c>
      <c r="CC249" s="37" t="n">
        <f aca="false">CC177</f>
        <v>74.217430508021</v>
      </c>
      <c r="CD249" s="37" t="n">
        <f aca="false">CD177</f>
        <v>80.4554003143977</v>
      </c>
      <c r="CE249" s="37" t="n">
        <f aca="false">CE177</f>
        <v>87.400402911437</v>
      </c>
      <c r="CF249" s="6"/>
    </row>
    <row r="250" customFormat="false" ht="15" hidden="false" customHeight="true" outlineLevel="0" collapsed="false">
      <c r="B250" s="26" t="s">
        <v>428</v>
      </c>
      <c r="C250" s="36" t="n">
        <v>-7.96</v>
      </c>
      <c r="D250" s="36" t="n">
        <v>-11.259</v>
      </c>
      <c r="G250" s="36" t="n">
        <v>-4.492</v>
      </c>
      <c r="H250" s="36" t="n">
        <v>-15.494</v>
      </c>
      <c r="I250" s="36" t="n">
        <v>-0.956</v>
      </c>
      <c r="J250" s="36" t="n">
        <v>-0.662</v>
      </c>
      <c r="K250" s="36" t="n">
        <v>0.24</v>
      </c>
      <c r="L250" s="36" t="n">
        <v>-0.581</v>
      </c>
      <c r="M250" s="36" t="n">
        <v>-1.262</v>
      </c>
      <c r="N250" s="36" t="n">
        <v>-2.265</v>
      </c>
      <c r="O250" s="36" t="n">
        <v>-1.106</v>
      </c>
      <c r="P250" s="36" t="n">
        <v>-0.641</v>
      </c>
      <c r="Q250" s="36" t="n">
        <v>-46.068</v>
      </c>
      <c r="R250" s="36" t="n">
        <v>-4.482</v>
      </c>
      <c r="S250" s="36" t="n">
        <v>-52.297</v>
      </c>
      <c r="T250" s="36" t="n">
        <v>-1.576</v>
      </c>
      <c r="U250" s="36" t="n">
        <v>0.723</v>
      </c>
      <c r="Y250" s="36" t="n">
        <v>-0.1</v>
      </c>
      <c r="Z250" s="36" t="n">
        <v>-0.161</v>
      </c>
      <c r="AA250" s="36" t="n">
        <v>0.419</v>
      </c>
      <c r="AE250" s="36" t="n">
        <v>-17.514</v>
      </c>
      <c r="AF250" s="36" t="n">
        <v>-0.456</v>
      </c>
      <c r="AG250" s="36" t="n">
        <v>-1.396</v>
      </c>
      <c r="AH250" s="36" t="n">
        <v>-19.366</v>
      </c>
      <c r="AI250" s="36" t="n">
        <v>-0.951</v>
      </c>
      <c r="AJ250" s="36" t="n">
        <v>-32.576</v>
      </c>
      <c r="AK250" s="36" t="n">
        <v>-1.64</v>
      </c>
      <c r="AL250" s="36" t="n">
        <v>-4.093</v>
      </c>
      <c r="AM250" s="36" t="n">
        <v>-39.26</v>
      </c>
      <c r="AN250" s="36" t="n">
        <v>-2.413</v>
      </c>
      <c r="AO250" s="36" t="n">
        <v>-1.514</v>
      </c>
      <c r="AP250" s="36" t="n">
        <v>-1.023</v>
      </c>
      <c r="AQ250" s="36" t="n">
        <v>1.85</v>
      </c>
      <c r="AR250" s="36" t="n">
        <v>-3.1</v>
      </c>
      <c r="AS250" s="36" t="n">
        <v>-1.5</v>
      </c>
      <c r="AT250" s="36" t="n">
        <v>-1.6</v>
      </c>
      <c r="AU250" s="36" t="n">
        <v>-68.1</v>
      </c>
      <c r="AV250" s="36" t="n">
        <v>-1.8</v>
      </c>
      <c r="AW250" s="36" t="n">
        <v>-73</v>
      </c>
      <c r="AX250" s="36" t="n">
        <v>-3.8</v>
      </c>
      <c r="AY250" s="36" t="n">
        <v>-15.4</v>
      </c>
      <c r="AZ250" s="36" t="n">
        <v>-7.4</v>
      </c>
      <c r="BA250" s="36" t="n">
        <v>4.9</v>
      </c>
      <c r="BB250" s="36" t="n">
        <v>-21.7</v>
      </c>
      <c r="BC250" s="36" t="n">
        <v>-2.9</v>
      </c>
      <c r="BD250" s="36" t="n">
        <v>-171</v>
      </c>
      <c r="BE250" s="36" t="n">
        <v>-16.8</v>
      </c>
      <c r="BF250" s="36" t="n">
        <v>-5</v>
      </c>
      <c r="BG250" s="36" t="n">
        <v>-195.7</v>
      </c>
      <c r="BH250" s="36" t="n">
        <v>-1</v>
      </c>
      <c r="BI250" s="36" t="n">
        <v>-15.3</v>
      </c>
      <c r="BK250" s="36" t="n">
        <v>-1.9</v>
      </c>
      <c r="BL250" s="36" t="n">
        <v>-1.9</v>
      </c>
      <c r="BM250" s="36" t="n">
        <v>-1333</v>
      </c>
      <c r="BN250" s="36" t="n">
        <v>-3</v>
      </c>
      <c r="BO250" s="36" t="n">
        <v>-5</v>
      </c>
      <c r="BP250" s="36" t="n">
        <v>-28</v>
      </c>
      <c r="BQ250" s="36" t="n">
        <v>-1369</v>
      </c>
      <c r="BS250" s="36" t="n">
        <v>-15</v>
      </c>
      <c r="BT250" s="36" t="n">
        <v>-9</v>
      </c>
      <c r="BU250" s="36" t="n">
        <v>-1</v>
      </c>
      <c r="BV250" s="36" t="n">
        <v>-25</v>
      </c>
      <c r="BW250" s="36" t="n">
        <v>-1965</v>
      </c>
      <c r="BX250" s="36" t="n">
        <v>-12</v>
      </c>
      <c r="BY250" s="6"/>
      <c r="BZ250" s="6"/>
      <c r="CA250" s="37" t="n">
        <f aca="false">(BW250+BX250)</f>
        <v>-1977</v>
      </c>
      <c r="CB250" s="52" t="n">
        <v>0</v>
      </c>
      <c r="CC250" s="52" t="n">
        <v>0</v>
      </c>
      <c r="CD250" s="52" t="n">
        <v>0</v>
      </c>
      <c r="CE250" s="52" t="n">
        <v>0</v>
      </c>
      <c r="CF250" s="20" t="s">
        <v>429</v>
      </c>
    </row>
    <row r="251" customFormat="false" ht="15" hidden="false" customHeight="true" outlineLevel="0" collapsed="false">
      <c r="B251" s="26" t="s">
        <v>430</v>
      </c>
      <c r="C251" s="36" t="n">
        <v>17.156</v>
      </c>
      <c r="D251" s="36" t="n">
        <v>8.741</v>
      </c>
      <c r="E251" s="36" t="n">
        <v>23.848</v>
      </c>
      <c r="F251" s="36" t="n">
        <v>8.685</v>
      </c>
      <c r="G251" s="36" t="n">
        <v>1.708</v>
      </c>
      <c r="H251" s="36" t="n">
        <v>11.324</v>
      </c>
      <c r="I251" s="36" t="n">
        <v>13.929</v>
      </c>
      <c r="J251" s="36" t="n">
        <v>3.393</v>
      </c>
      <c r="K251" s="36" t="n">
        <v>5.889</v>
      </c>
      <c r="L251" s="36" t="n">
        <v>9.912</v>
      </c>
      <c r="M251" s="36" t="n">
        <v>4.919</v>
      </c>
      <c r="N251" s="36" t="n">
        <v>24.113</v>
      </c>
      <c r="O251" s="36" t="n">
        <v>-5.063</v>
      </c>
      <c r="P251" s="36" t="n">
        <v>-1.37</v>
      </c>
      <c r="Q251" s="36" t="n">
        <v>51.403</v>
      </c>
      <c r="R251" s="36" t="n">
        <v>5.322</v>
      </c>
      <c r="S251" s="36" t="n">
        <v>50.292</v>
      </c>
      <c r="T251" s="36" t="n">
        <v>27.774</v>
      </c>
      <c r="U251" s="36" t="n">
        <v>6.132</v>
      </c>
      <c r="V251" s="36" t="n">
        <v>9.38</v>
      </c>
      <c r="W251" s="36" t="n">
        <v>41.939</v>
      </c>
      <c r="X251" s="36" t="n">
        <v>85.225</v>
      </c>
      <c r="Y251" s="36" t="n">
        <v>17.988</v>
      </c>
      <c r="Z251" s="36" t="n">
        <v>16.401</v>
      </c>
      <c r="AA251" s="36" t="n">
        <v>25.445</v>
      </c>
      <c r="AB251" s="36" t="n">
        <v>7.21599999999999</v>
      </c>
      <c r="AC251" s="36" t="n">
        <v>67.05</v>
      </c>
      <c r="AD251" s="36" t="n">
        <v>2.827</v>
      </c>
      <c r="AE251" s="36" t="n">
        <v>-0.363</v>
      </c>
      <c r="AF251" s="36" t="n">
        <v>4.079</v>
      </c>
      <c r="AG251" s="36" t="n">
        <v>-245.599</v>
      </c>
      <c r="AH251" s="36" t="n">
        <v>-239.056</v>
      </c>
      <c r="AI251" s="36" t="n">
        <v>2.029</v>
      </c>
      <c r="AJ251" s="36" t="n">
        <v>12.957</v>
      </c>
      <c r="AK251" s="36" t="n">
        <v>53.847</v>
      </c>
      <c r="AL251" s="36" t="n">
        <v>16.23</v>
      </c>
      <c r="AM251" s="36" t="n">
        <v>85.063</v>
      </c>
      <c r="AN251" s="36" t="n">
        <v>4.781</v>
      </c>
      <c r="AO251" s="36" t="n">
        <v>-11.174</v>
      </c>
      <c r="AP251" s="36" t="n">
        <v>24.745</v>
      </c>
      <c r="AQ251" s="36" t="n">
        <v>11.048</v>
      </c>
      <c r="AR251" s="36" t="n">
        <v>29.4</v>
      </c>
      <c r="AS251" s="36" t="n">
        <v>3.2</v>
      </c>
      <c r="AT251" s="36" t="n">
        <v>3.4</v>
      </c>
      <c r="AU251" s="36" t="n">
        <v>18.2</v>
      </c>
      <c r="AV251" s="36" t="n">
        <v>19</v>
      </c>
      <c r="AW251" s="36" t="n">
        <v>43.8</v>
      </c>
      <c r="AX251" s="36" t="n">
        <v>-4.7</v>
      </c>
      <c r="AY251" s="36" t="n">
        <v>8.1</v>
      </c>
      <c r="AZ251" s="36" t="n">
        <v>22.3</v>
      </c>
      <c r="BA251" s="36" t="n">
        <v>66.5</v>
      </c>
      <c r="BB251" s="36" t="n">
        <v>92.2</v>
      </c>
      <c r="BC251" s="36" t="n">
        <v>5.2</v>
      </c>
      <c r="BD251" s="36" t="n">
        <v>-37.9</v>
      </c>
      <c r="BE251" s="36" t="n">
        <v>31.7</v>
      </c>
      <c r="BF251" s="36" t="n">
        <v>0.4</v>
      </c>
      <c r="BG251" s="36" t="n">
        <v>-0.6</v>
      </c>
      <c r="BH251" s="36" t="n">
        <v>6.3</v>
      </c>
      <c r="BI251" s="36" t="n">
        <v>-5.6</v>
      </c>
      <c r="BJ251" s="36" t="n">
        <v>-2.6</v>
      </c>
      <c r="BK251" s="36" t="n">
        <v>-34.2</v>
      </c>
      <c r="BL251" s="36" t="n">
        <v>-36.1</v>
      </c>
      <c r="BM251" s="36" t="n">
        <v>-95</v>
      </c>
      <c r="BN251" s="36" t="n">
        <v>5</v>
      </c>
      <c r="BO251" s="36" t="n">
        <v>11</v>
      </c>
      <c r="BP251" s="36" t="n">
        <v>34</v>
      </c>
      <c r="BQ251" s="36" t="n">
        <v>-45</v>
      </c>
      <c r="BR251" s="36" t="n">
        <v>3</v>
      </c>
      <c r="BS251" s="36" t="n">
        <v>6</v>
      </c>
      <c r="BT251" s="36" t="n">
        <v>66</v>
      </c>
      <c r="BU251" s="36" t="n">
        <v>-6</v>
      </c>
      <c r="BV251" s="36" t="n">
        <v>69</v>
      </c>
      <c r="BW251" s="36" t="n">
        <v>277</v>
      </c>
      <c r="BX251" s="36" t="n">
        <v>1</v>
      </c>
      <c r="BY251" s="6"/>
      <c r="BZ251" s="6"/>
      <c r="CA251" s="37" t="n">
        <f aca="false">(BW251+BX251)-(BY72+BZ72)*$CA$366</f>
        <v>245.282</v>
      </c>
      <c r="CB251" s="37" t="n">
        <f aca="false">-CB72*$CA$366</f>
        <v>-89.79</v>
      </c>
      <c r="CC251" s="37" t="n">
        <f aca="false">-CC72*$CA$366</f>
        <v>-89.79</v>
      </c>
      <c r="CD251" s="37" t="n">
        <f aca="false">-CD72*$CA$366</f>
        <v>-89.79</v>
      </c>
      <c r="CE251" s="37" t="n">
        <f aca="false">-CE72*$CA$366</f>
        <v>-89.79</v>
      </c>
      <c r="CF251" s="20" t="s">
        <v>431</v>
      </c>
    </row>
    <row r="252" customFormat="false" ht="15" hidden="false" customHeight="true" outlineLevel="0" collapsed="false">
      <c r="B252" s="26" t="s">
        <v>432</v>
      </c>
      <c r="C252" s="36" t="n">
        <v>-22.339</v>
      </c>
      <c r="D252" s="36" t="n">
        <v>-31.001</v>
      </c>
      <c r="E252" s="36" t="n">
        <v>-31.61</v>
      </c>
      <c r="F252" s="36" t="n">
        <v>0.548</v>
      </c>
      <c r="G252" s="36" t="n">
        <v>3.338</v>
      </c>
      <c r="H252" s="36" t="n">
        <v>1.598</v>
      </c>
      <c r="I252" s="36" t="n">
        <v>1.296</v>
      </c>
      <c r="J252" s="36" t="n">
        <v>0.09</v>
      </c>
      <c r="K252" s="36" t="n">
        <v>-2.139</v>
      </c>
      <c r="L252" s="36" t="n">
        <v>-0.68</v>
      </c>
      <c r="M252" s="36" t="n">
        <v>-0.068</v>
      </c>
      <c r="N252" s="36" t="n">
        <v>-2.797</v>
      </c>
      <c r="O252" s="36" t="n">
        <v>0.587</v>
      </c>
      <c r="P252" s="36" t="n">
        <v>0.718</v>
      </c>
      <c r="Q252" s="36" t="n">
        <v>-1.893</v>
      </c>
      <c r="R252" s="36" t="n">
        <v>2.875</v>
      </c>
      <c r="S252" s="36" t="n">
        <v>2.287</v>
      </c>
      <c r="T252" s="36" t="n">
        <v>1.083</v>
      </c>
      <c r="U252" s="36" t="n">
        <v>-1.479</v>
      </c>
      <c r="V252" s="36" t="n">
        <v>22.263</v>
      </c>
      <c r="W252" s="36" t="n">
        <v>-12.893</v>
      </c>
      <c r="X252" s="36" t="n">
        <v>8.121</v>
      </c>
      <c r="Y252" s="36" t="n">
        <v>-3.314</v>
      </c>
      <c r="Z252" s="36" t="n">
        <v>-6.401</v>
      </c>
      <c r="AA252" s="36" t="n">
        <v>-13.092</v>
      </c>
      <c r="AB252" s="36" t="n">
        <v>-1.463</v>
      </c>
      <c r="AC252" s="36" t="n">
        <v>-24.112</v>
      </c>
      <c r="AD252" s="36" t="n">
        <v>0.075</v>
      </c>
      <c r="AE252" s="36" t="n">
        <v>-4.468</v>
      </c>
      <c r="AF252" s="36" t="n">
        <v>-5.225</v>
      </c>
      <c r="AG252" s="36" t="n">
        <v>-3.539</v>
      </c>
      <c r="AH252" s="36" t="n">
        <v>-13.157</v>
      </c>
      <c r="AI252" s="36" t="n">
        <v>-2.269</v>
      </c>
      <c r="AJ252" s="36" t="n">
        <v>-2.488</v>
      </c>
      <c r="AK252" s="36" t="n">
        <v>2.65</v>
      </c>
      <c r="AL252" s="36" t="n">
        <v>10.186</v>
      </c>
      <c r="AM252" s="36" t="n">
        <v>8.079</v>
      </c>
      <c r="AN252" s="36" t="n">
        <v>0.495</v>
      </c>
      <c r="AO252" s="36" t="n">
        <v>14.397</v>
      </c>
      <c r="AP252" s="36" t="n">
        <v>-3.47</v>
      </c>
      <c r="AQ252" s="36" t="n">
        <v>-2.822</v>
      </c>
      <c r="AR252" s="36" t="n">
        <v>8.6</v>
      </c>
      <c r="AS252" s="36" t="n">
        <v>-0.4</v>
      </c>
      <c r="AT252" s="36" t="n">
        <v>1.6</v>
      </c>
      <c r="AU252" s="36" t="n">
        <v>-0.4</v>
      </c>
      <c r="AV252" s="36" t="n">
        <v>1.3</v>
      </c>
      <c r="AW252" s="36" t="n">
        <v>2.1</v>
      </c>
      <c r="AX252" s="36" t="n">
        <v>-4.7</v>
      </c>
      <c r="AY252" s="36" t="n">
        <v>-2.6</v>
      </c>
      <c r="AZ252" s="36" t="n">
        <v>-1</v>
      </c>
      <c r="BA252" s="36" t="n">
        <v>-6.6</v>
      </c>
      <c r="BB252" s="36" t="n">
        <v>-14.9</v>
      </c>
      <c r="BC252" s="36" t="n">
        <v>-0.9</v>
      </c>
      <c r="BD252" s="36" t="n">
        <v>-2.5</v>
      </c>
      <c r="BE252" s="36" t="n">
        <v>2.4</v>
      </c>
      <c r="BF252" s="36" t="n">
        <v>-10.7</v>
      </c>
      <c r="BG252" s="36" t="n">
        <v>-11.7</v>
      </c>
      <c r="BH252" s="36" t="n">
        <v>-1.7</v>
      </c>
      <c r="BI252" s="36" t="n">
        <v>-2.8</v>
      </c>
      <c r="BJ252" s="36" t="n">
        <v>17.1</v>
      </c>
      <c r="BK252" s="36" t="n">
        <v>-12.8</v>
      </c>
      <c r="BL252" s="36" t="n">
        <v>-16.5</v>
      </c>
      <c r="BM252" s="36" t="n">
        <v>47</v>
      </c>
      <c r="BN252" s="36" t="n">
        <v>-2</v>
      </c>
      <c r="BO252" s="36" t="n">
        <v>-4</v>
      </c>
      <c r="BP252" s="36" t="n">
        <v>-6</v>
      </c>
      <c r="BQ252" s="36" t="n">
        <v>35</v>
      </c>
      <c r="BR252" s="36" t="n">
        <v>0</v>
      </c>
      <c r="BS252" s="36" t="n">
        <v>-6</v>
      </c>
      <c r="BT252" s="36" t="n">
        <v>-1</v>
      </c>
      <c r="BU252" s="36" t="n">
        <v>20</v>
      </c>
      <c r="BV252" s="36" t="n">
        <v>13</v>
      </c>
      <c r="BW252" s="36" t="n">
        <v>3</v>
      </c>
      <c r="BX252" s="36" t="n">
        <v>-13</v>
      </c>
      <c r="BY252" s="6"/>
      <c r="BZ252" s="6"/>
      <c r="CA252" s="37" t="n">
        <f aca="false">(BW252+BX252)</f>
        <v>-10</v>
      </c>
      <c r="CB252" s="52" t="n">
        <v>0</v>
      </c>
      <c r="CC252" s="52" t="n">
        <v>0</v>
      </c>
      <c r="CD252" s="52" t="n">
        <v>0</v>
      </c>
      <c r="CE252" s="52" t="n">
        <v>0</v>
      </c>
      <c r="CF252" s="6"/>
    </row>
    <row r="253" customFormat="false" ht="15" hidden="false" customHeight="true" outlineLevel="0" collapsed="false">
      <c r="B253" s="26" t="s">
        <v>433</v>
      </c>
      <c r="C253" s="36" t="n">
        <v>-48.954</v>
      </c>
      <c r="D253" s="36" t="n">
        <v>-3.687</v>
      </c>
      <c r="E253" s="36" t="n">
        <v>-19.348</v>
      </c>
      <c r="F253" s="36" t="n">
        <v>21.028</v>
      </c>
      <c r="G253" s="36" t="n">
        <v>-25.622</v>
      </c>
      <c r="H253" s="36" t="n">
        <v>-6.836</v>
      </c>
      <c r="I253" s="36" t="n">
        <v>-62.099</v>
      </c>
      <c r="J253" s="36" t="n">
        <v>0.795</v>
      </c>
      <c r="K253" s="36" t="n">
        <v>-61.345</v>
      </c>
      <c r="L253" s="36" t="n">
        <v>-9.048</v>
      </c>
      <c r="M253" s="36" t="n">
        <v>59.297</v>
      </c>
      <c r="N253" s="36" t="n">
        <v>-10.301</v>
      </c>
      <c r="O253" s="36" t="n">
        <v>-8.528</v>
      </c>
      <c r="P253" s="36" t="n">
        <v>-41.223</v>
      </c>
      <c r="Q253" s="36" t="n">
        <v>4.04700000000001</v>
      </c>
      <c r="R253" s="36" t="n">
        <v>41.047</v>
      </c>
      <c r="S253" s="36" t="n">
        <v>-4.657</v>
      </c>
      <c r="T253" s="36" t="n">
        <v>-68.49</v>
      </c>
      <c r="U253" s="36" t="n">
        <v>-67.718</v>
      </c>
      <c r="V253" s="36" t="n">
        <v>-24.885</v>
      </c>
      <c r="W253" s="36" t="n">
        <v>74.784</v>
      </c>
      <c r="X253" s="36" t="n">
        <v>-86.309</v>
      </c>
      <c r="Y253" s="36" t="n">
        <v>-68.259</v>
      </c>
      <c r="Z253" s="36" t="n">
        <v>-72.37</v>
      </c>
      <c r="AA253" s="36" t="n">
        <v>-38.299</v>
      </c>
      <c r="AB253" s="36" t="n">
        <v>83.466</v>
      </c>
      <c r="AC253" s="36" t="n">
        <v>-95.462</v>
      </c>
      <c r="AD253" s="36" t="n">
        <v>-51.814</v>
      </c>
      <c r="AE253" s="36" t="n">
        <v>-47.521</v>
      </c>
      <c r="AF253" s="36" t="n">
        <v>-42.425</v>
      </c>
      <c r="AG253" s="36" t="n">
        <v>30.21</v>
      </c>
      <c r="AH253" s="36" t="n">
        <v>-111.55</v>
      </c>
      <c r="AI253" s="36" t="n">
        <v>9.582</v>
      </c>
      <c r="AJ253" s="36" t="n">
        <v>-124.437</v>
      </c>
      <c r="AK253" s="36" t="n">
        <v>-127.346</v>
      </c>
      <c r="AL253" s="36" t="n">
        <v>49.805</v>
      </c>
      <c r="AM253" s="36" t="n">
        <v>-192.396</v>
      </c>
      <c r="AN253" s="36" t="n">
        <v>-30.588</v>
      </c>
      <c r="AO253" s="36" t="n">
        <v>-76.785</v>
      </c>
      <c r="AP253" s="36" t="n">
        <v>-53.959</v>
      </c>
      <c r="AQ253" s="36" t="n">
        <v>74.932</v>
      </c>
      <c r="AR253" s="36" t="n">
        <v>-86.4</v>
      </c>
      <c r="AS253" s="36" t="n">
        <v>-28</v>
      </c>
      <c r="AT253" s="36" t="n">
        <v>-60.1</v>
      </c>
      <c r="AU253" s="36" t="n">
        <v>-34.9</v>
      </c>
      <c r="AV253" s="36" t="n">
        <v>55.6</v>
      </c>
      <c r="AW253" s="36" t="n">
        <v>-67.4</v>
      </c>
      <c r="AX253" s="36" t="n">
        <v>30.1</v>
      </c>
      <c r="AY253" s="36" t="n">
        <v>-84.4</v>
      </c>
      <c r="AZ253" s="36" t="n">
        <v>-55.1</v>
      </c>
      <c r="BA253" s="36" t="n">
        <v>-6</v>
      </c>
      <c r="BB253" s="36" t="n">
        <v>-115.4</v>
      </c>
      <c r="BC253" s="36" t="n">
        <v>7</v>
      </c>
      <c r="BD253" s="36" t="n">
        <v>-179.6</v>
      </c>
      <c r="BE253" s="36" t="n">
        <v>-171.6</v>
      </c>
      <c r="BF253" s="36" t="n">
        <v>127.9</v>
      </c>
      <c r="BG253" s="36" t="n">
        <v>-216.3</v>
      </c>
      <c r="BH253" s="36" t="n">
        <v>-102</v>
      </c>
      <c r="BI253" s="36" t="n">
        <v>-110.4</v>
      </c>
      <c r="BJ253" s="36" t="n">
        <v>-119.9</v>
      </c>
      <c r="BK253" s="36" t="n">
        <v>182.6</v>
      </c>
      <c r="BL253" s="36" t="n">
        <v>-149.7</v>
      </c>
      <c r="BM253" s="36" t="n">
        <v>362</v>
      </c>
      <c r="BN253" s="36" t="n">
        <v>-453</v>
      </c>
      <c r="BO253" s="36" t="n">
        <v>69</v>
      </c>
      <c r="BP253" s="36" t="n">
        <v>233</v>
      </c>
      <c r="BQ253" s="36" t="n">
        <v>211</v>
      </c>
      <c r="BR253" s="36" t="n">
        <v>-86</v>
      </c>
      <c r="BS253" s="36" t="n">
        <v>-99</v>
      </c>
      <c r="BT253" s="36" t="n">
        <v>-83</v>
      </c>
      <c r="BU253" s="36" t="n">
        <v>176</v>
      </c>
      <c r="BV253" s="36" t="n">
        <v>-92</v>
      </c>
      <c r="BW253" s="36" t="n">
        <v>201</v>
      </c>
      <c r="BX253" s="36" t="n">
        <v>-329</v>
      </c>
      <c r="BY253" s="6"/>
      <c r="BZ253" s="6"/>
      <c r="CA253" s="37" t="n">
        <f aca="false">(BW253+BX253)-(CA296-BX296-$CA$350)-(CA297-BX297-$CA$351)+(CA307-BX307-$CA$357)+(CA308-BX308)</f>
        <v>-80.3183040423801</v>
      </c>
      <c r="CB253" s="37" t="n">
        <f aca="false">-(CB296-CA296)-(CB297-CA297)+(CB307-CA307)+(CB308-CA308)</f>
        <v>-97.3137059909756</v>
      </c>
      <c r="CC253" s="37" t="n">
        <f aca="false">-(CC296-CB296)-(CC297-CB297)+(CC307-CB307)+(CC308-CB308)</f>
        <v>-143.724587745718</v>
      </c>
      <c r="CD253" s="37" t="n">
        <f aca="false">-(CD296-CC296)-(CD297-CC297)+(CD307-CC307)+(CD308-CC308)</f>
        <v>-174.370108469898</v>
      </c>
      <c r="CE253" s="37" t="n">
        <f aca="false">-(CE296-CD296)-(CE297-CD297)+(CE307-CD307)+(CE308-CD308)</f>
        <v>-202.307681858299</v>
      </c>
      <c r="CF253" s="20" t="s">
        <v>434</v>
      </c>
    </row>
    <row r="254" customFormat="false" ht="15" hidden="false" customHeight="true" outlineLevel="0" collapsed="false">
      <c r="B254" s="17" t="s">
        <v>435</v>
      </c>
      <c r="C254" s="33" t="n">
        <v>338.192</v>
      </c>
      <c r="D254" s="33" t="n">
        <v>395.568</v>
      </c>
      <c r="E254" s="33" t="n">
        <v>345.634</v>
      </c>
      <c r="F254" s="33" t="n">
        <v>318.368</v>
      </c>
      <c r="G254" s="33" t="n">
        <v>269.808</v>
      </c>
      <c r="H254" s="33" t="n">
        <v>259.094</v>
      </c>
      <c r="I254" s="33" t="n">
        <v>222.689</v>
      </c>
      <c r="J254" s="33" t="n">
        <v>18.575</v>
      </c>
      <c r="K254" s="33" t="n">
        <v>29.897</v>
      </c>
      <c r="L254" s="33" t="n">
        <v>117.173</v>
      </c>
      <c r="M254" s="33" t="n">
        <v>143.306</v>
      </c>
      <c r="N254" s="33" t="n">
        <v>308.951</v>
      </c>
      <c r="O254" s="33" t="n">
        <v>6.612</v>
      </c>
      <c r="P254" s="33" t="n">
        <v>63.751</v>
      </c>
      <c r="Q254" s="33" t="n">
        <v>131.265</v>
      </c>
      <c r="R254" s="33" t="n">
        <v>180.03</v>
      </c>
      <c r="S254" s="33" t="n">
        <v>381.658</v>
      </c>
      <c r="T254" s="33" t="n">
        <v>35.125</v>
      </c>
      <c r="U254" s="33" t="n">
        <v>91.944</v>
      </c>
      <c r="V254" s="33" t="n">
        <v>192.51</v>
      </c>
      <c r="W254" s="33" t="n">
        <v>253.572</v>
      </c>
      <c r="X254" s="33" t="n">
        <v>573.151</v>
      </c>
      <c r="Y254" s="33" t="n">
        <v>67.008</v>
      </c>
      <c r="Z254" s="33" t="n">
        <v>136.363</v>
      </c>
      <c r="AA254" s="33" t="n">
        <v>210.697</v>
      </c>
      <c r="AB254" s="33" t="n">
        <v>264.586</v>
      </c>
      <c r="AC254" s="33" t="n">
        <v>678.654</v>
      </c>
      <c r="AD254" s="33" t="n">
        <v>74.046</v>
      </c>
      <c r="AE254" s="33" t="n">
        <v>155.553</v>
      </c>
      <c r="AF254" s="33" t="n">
        <v>188.799</v>
      </c>
      <c r="AG254" s="33" t="n">
        <v>239.48</v>
      </c>
      <c r="AH254" s="33" t="n">
        <v>657.878</v>
      </c>
      <c r="AI254" s="33" t="n">
        <v>105.012</v>
      </c>
      <c r="AJ254" s="33" t="n">
        <v>133.021</v>
      </c>
      <c r="AK254" s="33" t="n">
        <v>203.505</v>
      </c>
      <c r="AL254" s="33" t="n">
        <v>263.61</v>
      </c>
      <c r="AM254" s="33" t="n">
        <v>705.148</v>
      </c>
      <c r="AN254" s="33" t="n">
        <v>117.864</v>
      </c>
      <c r="AO254" s="33" t="n">
        <v>215.867</v>
      </c>
      <c r="AP254" s="33" t="n">
        <v>316.067</v>
      </c>
      <c r="AQ254" s="33" t="n">
        <v>316.302</v>
      </c>
      <c r="AR254" s="33" t="n">
        <v>966.1</v>
      </c>
      <c r="AS254" s="33" t="n">
        <v>106.7</v>
      </c>
      <c r="AT254" s="33" t="n">
        <v>266.5</v>
      </c>
      <c r="AU254" s="33" t="n">
        <v>310.8</v>
      </c>
      <c r="AV254" s="33" t="n">
        <v>366.1</v>
      </c>
      <c r="AW254" s="33" t="n">
        <v>1050.1</v>
      </c>
      <c r="AX254" s="33" t="n">
        <v>191.9</v>
      </c>
      <c r="AY254" s="33" t="n">
        <v>249.3</v>
      </c>
      <c r="AZ254" s="33" t="n">
        <v>339.1</v>
      </c>
      <c r="BA254" s="33" t="n">
        <v>357.4</v>
      </c>
      <c r="BB254" s="33" t="n">
        <v>1137.7</v>
      </c>
      <c r="BC254" s="33" t="n">
        <v>169.9</v>
      </c>
      <c r="BD254" s="33" t="n">
        <v>116.3</v>
      </c>
      <c r="BE254" s="33" t="n">
        <v>274.5</v>
      </c>
      <c r="BF254" s="33" t="n">
        <v>430.5</v>
      </c>
      <c r="BG254" s="33" t="n">
        <v>991.2</v>
      </c>
      <c r="BH254" s="33" t="n">
        <v>160.5</v>
      </c>
      <c r="BI254" s="33" t="n">
        <v>358</v>
      </c>
      <c r="BJ254" s="33" t="n">
        <v>454</v>
      </c>
      <c r="BK254" s="33" t="n">
        <v>555.9</v>
      </c>
      <c r="BL254" s="33" t="n">
        <v>1528.4</v>
      </c>
      <c r="BM254" s="33" t="n">
        <v>172</v>
      </c>
      <c r="BN254" s="33" t="n">
        <v>1</v>
      </c>
      <c r="BO254" s="33" t="n">
        <v>600</v>
      </c>
      <c r="BP254" s="33" t="n">
        <v>686</v>
      </c>
      <c r="BQ254" s="33" t="n">
        <v>1459</v>
      </c>
      <c r="BR254" s="33" t="n">
        <v>218</v>
      </c>
      <c r="BS254" s="33" t="n">
        <v>387</v>
      </c>
      <c r="BT254" s="33" t="n">
        <v>551</v>
      </c>
      <c r="BU254" s="33" t="n">
        <v>629</v>
      </c>
      <c r="BV254" s="33" t="n">
        <v>1785</v>
      </c>
      <c r="BW254" s="33" t="n">
        <v>227</v>
      </c>
      <c r="BX254" s="33" t="n">
        <v>112</v>
      </c>
      <c r="BY254" s="57"/>
      <c r="BZ254" s="57"/>
      <c r="CA254" s="34" t="n">
        <f aca="false">SUM(CA246:CA253)</f>
        <v>1573.21781879621</v>
      </c>
      <c r="CB254" s="34" t="n">
        <f aca="false">SUM(CB246:CB253)</f>
        <v>2500.84958432691</v>
      </c>
      <c r="CC254" s="34" t="n">
        <f aca="false">SUM(CC246:CC253)</f>
        <v>2862.2123218865</v>
      </c>
      <c r="CD254" s="34" t="n">
        <f aca="false">SUM(CD246:CD253)</f>
        <v>3202.06953935125</v>
      </c>
      <c r="CE254" s="34" t="n">
        <f aca="false">SUM(CE246:CE253)</f>
        <v>3506.6475008904</v>
      </c>
      <c r="CF254" s="6"/>
      <c r="CH254" s="21" t="n">
        <f aca="false">IFERROR((CE254/BV254)^(1/5)-1,"n/m")</f>
        <v>0.144592189941267</v>
      </c>
      <c r="CI254" s="21" t="n">
        <f aca="false">IFERROR((BV254/AW254)^(1/5)-1,"n/m")</f>
        <v>0.111940406928108</v>
      </c>
      <c r="CJ254" s="21" t="n">
        <f aca="false">IFERROR((BV254/X254)^(1/10)-1,"n/m")</f>
        <v>0.120306656963917</v>
      </c>
      <c r="CK254" s="21" t="n">
        <f aca="false">IFERROR((BV254/C254)^(1/19)-1,"n/m")</f>
        <v>0.0915031521141905</v>
      </c>
    </row>
    <row r="255" customFormat="false" ht="15" hidden="false" customHeight="true" outlineLevel="0" collapsed="false">
      <c r="B255" s="26" t="s">
        <v>436</v>
      </c>
      <c r="C255" s="36" t="n">
        <v>-265.976</v>
      </c>
      <c r="D255" s="36" t="n">
        <v>-264.923</v>
      </c>
      <c r="E255" s="36" t="n">
        <v>-258.246</v>
      </c>
      <c r="F255" s="36" t="n">
        <v>-139.23</v>
      </c>
      <c r="G255" s="36" t="n">
        <v>-135.916</v>
      </c>
      <c r="H255" s="36" t="n">
        <v>-155.363</v>
      </c>
      <c r="I255" s="36" t="n">
        <v>-151.023</v>
      </c>
      <c r="J255" s="36" t="n">
        <v>-21.88</v>
      </c>
      <c r="K255" s="36" t="n">
        <v>-28.122</v>
      </c>
      <c r="L255" s="36" t="n">
        <v>-52.34</v>
      </c>
      <c r="M255" s="36" t="n">
        <v>-52.891</v>
      </c>
      <c r="N255" s="36" t="n">
        <v>-155.233</v>
      </c>
      <c r="O255" s="36" t="n">
        <v>-36.913</v>
      </c>
      <c r="P255" s="36" t="n">
        <v>-47.824</v>
      </c>
      <c r="Q255" s="36" t="n">
        <v>-53.833</v>
      </c>
      <c r="R255" s="36" t="n">
        <v>-93.613</v>
      </c>
      <c r="S255" s="36" t="n">
        <v>-232.183</v>
      </c>
      <c r="T255" s="36" t="n">
        <v>-56.085</v>
      </c>
      <c r="U255" s="36" t="n">
        <v>-71.905</v>
      </c>
      <c r="V255" s="36" t="n">
        <v>-84.457</v>
      </c>
      <c r="W255" s="36" t="n">
        <v>-105.785</v>
      </c>
      <c r="X255" s="36" t="n">
        <v>-318.232</v>
      </c>
      <c r="Y255" s="36" t="n">
        <v>-94.228</v>
      </c>
      <c r="Z255" s="36" t="n">
        <v>-116.331</v>
      </c>
      <c r="AA255" s="36" t="n">
        <v>-74.922</v>
      </c>
      <c r="AB255" s="36" t="n">
        <v>-101.786</v>
      </c>
      <c r="AC255" s="36" t="n">
        <v>-387.267</v>
      </c>
      <c r="AD255" s="36" t="n">
        <v>-102.095</v>
      </c>
      <c r="AE255" s="36" t="n">
        <v>-113.994</v>
      </c>
      <c r="AF255" s="36" t="n">
        <v>-92.656</v>
      </c>
      <c r="AG255" s="36" t="n">
        <v>-101.58</v>
      </c>
      <c r="AH255" s="36" t="n">
        <v>-410.325</v>
      </c>
      <c r="AI255" s="36" t="n">
        <v>-96.259</v>
      </c>
      <c r="AJ255" s="36" t="n">
        <v>-92.011</v>
      </c>
      <c r="AK255" s="36" t="n">
        <v>-73.885</v>
      </c>
      <c r="AL255" s="36" t="n">
        <v>-113.799</v>
      </c>
      <c r="AM255" s="36" t="n">
        <v>-375.954</v>
      </c>
      <c r="AN255" s="36" t="n">
        <v>-130.056</v>
      </c>
      <c r="AO255" s="36" t="n">
        <v>-77.396</v>
      </c>
      <c r="AP255" s="36" t="n">
        <v>-75.546</v>
      </c>
      <c r="AQ255" s="36" t="n">
        <v>-110.502</v>
      </c>
      <c r="AR255" s="36" t="n">
        <v>-393.5</v>
      </c>
      <c r="AS255" s="36" t="n">
        <v>-104.1</v>
      </c>
      <c r="AT255" s="36" t="n">
        <v>-71.6</v>
      </c>
      <c r="AU255" s="36" t="n">
        <v>-75.1</v>
      </c>
      <c r="AV255" s="36" t="n">
        <v>-108.9</v>
      </c>
      <c r="AW255" s="36" t="n">
        <v>-359.7</v>
      </c>
      <c r="AX255" s="36" t="n">
        <v>-110.3</v>
      </c>
      <c r="AY255" s="36" t="n">
        <v>-102.7</v>
      </c>
      <c r="AZ255" s="36" t="n">
        <v>-108.3</v>
      </c>
      <c r="BA255" s="36" t="n">
        <v>-101.8</v>
      </c>
      <c r="BB255" s="36" t="n">
        <v>-423.1</v>
      </c>
      <c r="BC255" s="36" t="n">
        <v>-139.8</v>
      </c>
      <c r="BD255" s="36" t="n">
        <v>-80.9</v>
      </c>
      <c r="BE255" s="36" t="n">
        <v>-88.4</v>
      </c>
      <c r="BF255" s="36" t="n">
        <v>-172.7</v>
      </c>
      <c r="BG255" s="36" t="n">
        <v>-481.8</v>
      </c>
      <c r="BH255" s="36" t="n">
        <v>-173.9</v>
      </c>
      <c r="BI255" s="36" t="n">
        <v>-119.5</v>
      </c>
      <c r="BJ255" s="36" t="n">
        <v>-170.7</v>
      </c>
      <c r="BK255" s="36" t="n">
        <v>-186.2</v>
      </c>
      <c r="BL255" s="36" t="n">
        <v>-650.3</v>
      </c>
      <c r="BM255" s="36" t="n">
        <v>-200</v>
      </c>
      <c r="BN255" s="36" t="n">
        <v>-139</v>
      </c>
      <c r="BO255" s="36" t="n">
        <v>-283</v>
      </c>
      <c r="BP255" s="36" t="n">
        <v>-233</v>
      </c>
      <c r="BQ255" s="36" t="n">
        <v>-855</v>
      </c>
      <c r="BR255" s="36" t="n">
        <v>-233</v>
      </c>
      <c r="BS255" s="36" t="n">
        <v>-179</v>
      </c>
      <c r="BT255" s="36" t="n">
        <v>-190</v>
      </c>
      <c r="BU255" s="36" t="n">
        <v>-205</v>
      </c>
      <c r="BV255" s="36" t="n">
        <v>-807</v>
      </c>
      <c r="BW255" s="36" t="n">
        <v>-186</v>
      </c>
      <c r="BX255" s="36" t="n">
        <v>-128</v>
      </c>
      <c r="BY255" s="6"/>
      <c r="BZ255" s="6"/>
      <c r="CA255" s="37" t="n">
        <f aca="false">-$CP$19-(BY68+BZ68)*$CA$367</f>
        <v>-635.251283210831</v>
      </c>
      <c r="CB255" s="37" t="n">
        <f aca="false">-CB152*CB279</f>
        <v>-834.42961898706</v>
      </c>
      <c r="CC255" s="37" t="n">
        <f aca="false">-CC152*CC279</f>
        <v>-901.211656168827</v>
      </c>
      <c r="CD255" s="37" t="n">
        <f aca="false">-CD152*CD279</f>
        <v>-976.958432389116</v>
      </c>
      <c r="CE255" s="37" t="n">
        <f aca="false">-CE152*CE279</f>
        <v>-1061.29060678174</v>
      </c>
      <c r="CF255" s="20" t="s">
        <v>437</v>
      </c>
    </row>
    <row r="256" customFormat="false" ht="15" hidden="false" customHeight="true" outlineLevel="0" collapsed="false">
      <c r="B256" s="26" t="s">
        <v>438</v>
      </c>
      <c r="C256" s="36" t="n">
        <v>-3.036</v>
      </c>
      <c r="D256" s="36" t="n">
        <v>-12.211</v>
      </c>
      <c r="E256" s="36" t="n">
        <v>-218.544</v>
      </c>
      <c r="F256" s="36" t="n">
        <v>-49.593</v>
      </c>
      <c r="G256" s="36" t="n">
        <v>-43.299</v>
      </c>
      <c r="H256" s="36" t="n">
        <v>-91.569</v>
      </c>
      <c r="I256" s="36" t="n">
        <v>-0.16</v>
      </c>
      <c r="J256" s="36" t="n">
        <v>-2.629</v>
      </c>
      <c r="K256" s="36" t="n">
        <v>-0.617</v>
      </c>
      <c r="L256" s="36" t="n">
        <v>-61.186</v>
      </c>
      <c r="M256" s="36" t="n">
        <v>-0.0459999999999923</v>
      </c>
      <c r="N256" s="36" t="n">
        <v>-64.478</v>
      </c>
      <c r="O256" s="36" t="n">
        <v>-0.05</v>
      </c>
      <c r="P256" s="36" t="n">
        <v>-0.067</v>
      </c>
      <c r="Q256" s="36" t="n">
        <v>-0.057</v>
      </c>
      <c r="R256" s="36" t="n">
        <v>-0.015</v>
      </c>
      <c r="S256" s="36" t="n">
        <v>-0.189</v>
      </c>
      <c r="T256" s="36" t="n">
        <v>-10.589</v>
      </c>
      <c r="U256" s="36" t="n">
        <v>-0.123999999999999</v>
      </c>
      <c r="V256" s="36" t="n">
        <v>-0.0350000000000001</v>
      </c>
      <c r="W256" s="36" t="n">
        <v>-32.467</v>
      </c>
      <c r="X256" s="36" t="n">
        <v>-43.215</v>
      </c>
      <c r="Y256" s="36" t="n">
        <v>-123</v>
      </c>
      <c r="Z256" s="36" t="n">
        <v>0</v>
      </c>
      <c r="AA256" s="36" t="n">
        <v>-55.689</v>
      </c>
      <c r="AB256" s="36" t="n">
        <v>-0.0790000000000077</v>
      </c>
      <c r="AC256" s="36" t="n">
        <v>-178.768</v>
      </c>
      <c r="AD256" s="36" t="n">
        <v>0</v>
      </c>
      <c r="AE256" s="36" t="n">
        <v>-2.2</v>
      </c>
      <c r="AF256" s="36" t="n">
        <v>-5</v>
      </c>
      <c r="AG256" s="36" t="n">
        <v>-4.895</v>
      </c>
      <c r="AH256" s="36" t="n">
        <v>-12.095</v>
      </c>
      <c r="AJ256" s="36" t="n">
        <v>-1645.698</v>
      </c>
      <c r="AK256" s="36" t="n">
        <v>5</v>
      </c>
      <c r="AL256" s="36" t="n">
        <v>-1.43899999999985</v>
      </c>
      <c r="AM256" s="36" t="n">
        <v>-1642.137</v>
      </c>
      <c r="AO256" s="36" t="n">
        <v>0</v>
      </c>
      <c r="AP256" s="36" t="n">
        <v>0</v>
      </c>
      <c r="AQ256" s="36" t="n">
        <v>0</v>
      </c>
      <c r="AR256" s="36" t="n">
        <v>0</v>
      </c>
      <c r="AT256" s="36" t="n">
        <v>-2.3</v>
      </c>
      <c r="AU256" s="36" t="n">
        <v>-61.7</v>
      </c>
      <c r="AV256" s="36" t="n">
        <v>-1.09999999999999</v>
      </c>
      <c r="AW256" s="36" t="n">
        <v>-65.1</v>
      </c>
      <c r="AY256" s="36" t="n">
        <v>-653.2</v>
      </c>
      <c r="AZ256" s="36" t="n">
        <v>-139.7</v>
      </c>
      <c r="BA256" s="36" t="n">
        <v>-2316.3</v>
      </c>
      <c r="BB256" s="36" t="n">
        <v>-3109.2</v>
      </c>
      <c r="BC256" s="36" t="n">
        <v>18.8</v>
      </c>
      <c r="BD256" s="36" t="n">
        <v>-7.8</v>
      </c>
      <c r="BE256" s="36" t="n">
        <v>0</v>
      </c>
      <c r="BF256" s="36" t="n">
        <v>0</v>
      </c>
      <c r="BG256" s="36" t="n">
        <v>11</v>
      </c>
      <c r="BH256" s="36" t="n">
        <v>0</v>
      </c>
      <c r="BI256" s="36" t="n">
        <v>0</v>
      </c>
      <c r="BJ256" s="36" t="n">
        <v>0</v>
      </c>
      <c r="BK256" s="36" t="n">
        <v>0</v>
      </c>
      <c r="BL256" s="36" t="n">
        <v>0</v>
      </c>
      <c r="BM256" s="36" t="n">
        <v>-488</v>
      </c>
      <c r="BN256" s="36" t="n">
        <v>-2050</v>
      </c>
      <c r="BO256" s="36" t="n">
        <v>0</v>
      </c>
      <c r="BP256" s="36" t="n">
        <v>-1104</v>
      </c>
      <c r="BQ256" s="36" t="n">
        <v>-3642</v>
      </c>
      <c r="BR256" s="36" t="n">
        <v>0</v>
      </c>
      <c r="BS256" s="36" t="n">
        <v>0</v>
      </c>
      <c r="BT256" s="36" t="n">
        <v>-577</v>
      </c>
      <c r="BU256" s="36" t="n">
        <v>-108</v>
      </c>
      <c r="BV256" s="36" t="n">
        <v>-685</v>
      </c>
      <c r="BW256" s="36" t="n">
        <v>20</v>
      </c>
      <c r="BX256" s="36" t="n">
        <v>-753</v>
      </c>
      <c r="BY256" s="6"/>
      <c r="BZ256" s="6"/>
      <c r="CA256" s="37" t="n">
        <f aca="false">(BW256+BX256)-($CA$346-$CA$347)</f>
        <v>-7929</v>
      </c>
      <c r="CB256" s="37" t="n">
        <f aca="false">-CB91</f>
        <v>-0</v>
      </c>
      <c r="CC256" s="37" t="n">
        <f aca="false">-CC91</f>
        <v>-500</v>
      </c>
      <c r="CD256" s="37" t="n">
        <f aca="false">-CD91</f>
        <v>-750</v>
      </c>
      <c r="CE256" s="37" t="n">
        <f aca="false">-CE91</f>
        <v>-750</v>
      </c>
      <c r="CF256" s="20" t="s">
        <v>439</v>
      </c>
    </row>
    <row r="257" customFormat="false" ht="15" hidden="false" customHeight="true" outlineLevel="0" collapsed="false">
      <c r="B257" s="26" t="s">
        <v>440</v>
      </c>
      <c r="C257" s="36" t="n">
        <v>30.589</v>
      </c>
      <c r="D257" s="36" t="n">
        <v>21.107</v>
      </c>
      <c r="E257" s="36" t="n">
        <v>26.028</v>
      </c>
      <c r="F257" s="36" t="n">
        <v>7.792</v>
      </c>
      <c r="G257" s="36" t="n">
        <v>5.033</v>
      </c>
      <c r="H257" s="36" t="n">
        <v>8.008</v>
      </c>
      <c r="I257" s="36" t="n">
        <v>9.973</v>
      </c>
      <c r="J257" s="36" t="n">
        <v>1.58</v>
      </c>
      <c r="K257" s="36" t="n">
        <v>0.294</v>
      </c>
      <c r="L257" s="36" t="n">
        <v>1.334</v>
      </c>
      <c r="M257" s="36" t="n">
        <v>5.356</v>
      </c>
      <c r="N257" s="36" t="n">
        <v>8.564</v>
      </c>
      <c r="O257" s="36" t="n">
        <v>1.401</v>
      </c>
      <c r="P257" s="36" t="n">
        <v>0.753</v>
      </c>
      <c r="Q257" s="36" t="n">
        <v>111.004</v>
      </c>
      <c r="R257" s="36" t="n">
        <v>8.827</v>
      </c>
      <c r="S257" s="36" t="n">
        <v>121.985</v>
      </c>
      <c r="T257" s="36" t="n">
        <v>1.475</v>
      </c>
      <c r="U257" s="36" t="n">
        <v>0.497</v>
      </c>
      <c r="V257" s="36" t="n">
        <v>420.073</v>
      </c>
      <c r="W257" s="36" t="n">
        <v>26.077</v>
      </c>
      <c r="X257" s="36" t="n">
        <v>448.122</v>
      </c>
      <c r="Y257" s="36" t="n">
        <v>3.415</v>
      </c>
      <c r="Z257" s="36" t="n">
        <v>1.059</v>
      </c>
      <c r="AA257" s="36" t="n">
        <v>0.742</v>
      </c>
      <c r="AB257" s="36" t="n">
        <v>1.26</v>
      </c>
      <c r="AC257" s="36" t="n">
        <v>6.476</v>
      </c>
      <c r="AD257" s="36" t="n">
        <v>0.539</v>
      </c>
      <c r="AE257" s="36" t="n">
        <v>31.55</v>
      </c>
      <c r="AF257" s="36" t="n">
        <v>1.049</v>
      </c>
      <c r="AG257" s="36" t="n">
        <v>2.803</v>
      </c>
      <c r="AH257" s="36" t="n">
        <v>35.941</v>
      </c>
      <c r="AI257" s="36" t="n">
        <v>2.528</v>
      </c>
      <c r="AJ257" s="36" t="n">
        <v>55.685</v>
      </c>
      <c r="AK257" s="36" t="n">
        <v>5.247</v>
      </c>
      <c r="AL257" s="36" t="n">
        <v>5.654</v>
      </c>
      <c r="AM257" s="36" t="n">
        <v>69.114</v>
      </c>
      <c r="AN257" s="36" t="n">
        <v>2.927</v>
      </c>
      <c r="AO257" s="36" t="n">
        <v>3.07</v>
      </c>
      <c r="AP257" s="36" t="n">
        <v>0.984</v>
      </c>
      <c r="AQ257" s="36" t="n">
        <v>1.419</v>
      </c>
      <c r="AR257" s="36" t="n">
        <v>8.4</v>
      </c>
      <c r="AS257" s="36" t="n">
        <v>15.9</v>
      </c>
      <c r="AT257" s="36" t="n">
        <v>2</v>
      </c>
      <c r="AU257" s="36" t="n">
        <v>123.3</v>
      </c>
      <c r="AV257" s="36" t="n">
        <v>1.10000000000002</v>
      </c>
      <c r="AW257" s="36" t="n">
        <v>142.3</v>
      </c>
      <c r="AX257" s="36" t="n">
        <v>12.2</v>
      </c>
      <c r="AY257" s="36" t="n">
        <v>19.7</v>
      </c>
      <c r="AZ257" s="36" t="n">
        <v>9.5</v>
      </c>
      <c r="BA257" s="36" t="n">
        <v>1.4</v>
      </c>
      <c r="BB257" s="36" t="n">
        <v>42.8</v>
      </c>
      <c r="BC257" s="36" t="n">
        <v>1</v>
      </c>
      <c r="BD257" s="36" t="n">
        <v>643.4</v>
      </c>
      <c r="BE257" s="36" t="n">
        <v>34.7000000000001</v>
      </c>
      <c r="BF257" s="36" t="n">
        <v>8</v>
      </c>
      <c r="BG257" s="36" t="n">
        <v>687.1</v>
      </c>
      <c r="BH257" s="36" t="n">
        <v>22.3</v>
      </c>
      <c r="BI257" s="36" t="n">
        <v>73.2</v>
      </c>
      <c r="BJ257" s="36" t="n">
        <v>2.8</v>
      </c>
      <c r="BK257" s="36" t="n">
        <v>328.2</v>
      </c>
      <c r="BL257" s="36" t="n">
        <v>426.5</v>
      </c>
      <c r="BM257" s="36" t="n">
        <v>2107</v>
      </c>
      <c r="BN257" s="36" t="n">
        <v>14</v>
      </c>
      <c r="BO257" s="36" t="n">
        <v>7</v>
      </c>
      <c r="BP257" s="36" t="n">
        <v>32</v>
      </c>
      <c r="BQ257" s="36" t="n">
        <v>2160</v>
      </c>
      <c r="BR257" s="36" t="n">
        <v>2</v>
      </c>
      <c r="BS257" s="36" t="n">
        <v>16</v>
      </c>
      <c r="BT257" s="36" t="n">
        <v>11</v>
      </c>
      <c r="BU257" s="36" t="n">
        <v>9</v>
      </c>
      <c r="BV257" s="36" t="n">
        <v>38</v>
      </c>
      <c r="BW257" s="36" t="n">
        <v>452</v>
      </c>
      <c r="BX257" s="36" t="n">
        <v>17</v>
      </c>
      <c r="BY257" s="6"/>
      <c r="BZ257" s="6"/>
      <c r="CA257" s="37" t="n">
        <f aca="false">(BW257+BX257)</f>
        <v>469</v>
      </c>
      <c r="CB257" s="52" t="n">
        <v>0</v>
      </c>
      <c r="CC257" s="52" t="n">
        <v>0</v>
      </c>
      <c r="CD257" s="52" t="n">
        <v>0</v>
      </c>
      <c r="CE257" s="52" t="n">
        <v>0</v>
      </c>
      <c r="CF257" s="6"/>
    </row>
    <row r="258" customFormat="false" ht="15" hidden="false" customHeight="true" outlineLevel="0" collapsed="false">
      <c r="B258" s="26" t="s">
        <v>441</v>
      </c>
      <c r="C258" s="36" t="n">
        <v>25</v>
      </c>
      <c r="D258" s="36" t="n">
        <v>0</v>
      </c>
      <c r="E258" s="36" t="n">
        <v>0</v>
      </c>
      <c r="F258" s="36" t="n">
        <v>-4</v>
      </c>
      <c r="G258" s="36" t="n">
        <v>0</v>
      </c>
      <c r="H258" s="36" t="n">
        <v>0</v>
      </c>
      <c r="I258" s="36" t="n">
        <v>-2</v>
      </c>
      <c r="J258" s="36" t="n">
        <v>0</v>
      </c>
      <c r="K258" s="36" t="n">
        <v>0</v>
      </c>
      <c r="L258" s="36" t="n">
        <v>-3.402</v>
      </c>
      <c r="M258" s="36" t="n">
        <v>0</v>
      </c>
      <c r="N258" s="36" t="n">
        <v>-3.402</v>
      </c>
      <c r="O258" s="36" t="n">
        <v>0</v>
      </c>
      <c r="P258" s="36" t="n">
        <v>0.529</v>
      </c>
      <c r="Q258" s="36" t="n">
        <v>60.208</v>
      </c>
      <c r="R258" s="36" t="n">
        <v>0.325</v>
      </c>
      <c r="S258" s="36" t="n">
        <v>61.062</v>
      </c>
      <c r="T258" s="36" t="n">
        <v>1.808</v>
      </c>
      <c r="U258" s="36" t="n">
        <v>0</v>
      </c>
      <c r="V258" s="36" t="n">
        <v>-0.107</v>
      </c>
      <c r="W258" s="36" t="n">
        <v>0.17</v>
      </c>
      <c r="X258" s="36" t="n">
        <v>1.871</v>
      </c>
      <c r="Y258" s="36" t="n">
        <v>3.446</v>
      </c>
      <c r="Z258" s="36" t="n">
        <v>0</v>
      </c>
      <c r="AA258" s="36" t="n">
        <v>0.8</v>
      </c>
      <c r="AB258" s="36" t="n">
        <v>0</v>
      </c>
      <c r="AC258" s="36" t="n">
        <v>4.246</v>
      </c>
      <c r="AD258" s="36" t="n">
        <v>0</v>
      </c>
      <c r="AE258" s="36" t="n">
        <v>0</v>
      </c>
      <c r="AF258" s="36" t="n">
        <v>-2.024</v>
      </c>
      <c r="AG258" s="36" t="n">
        <v>2.024</v>
      </c>
      <c r="AH258" s="36" t="n">
        <v>0</v>
      </c>
      <c r="AI258" s="36" t="n">
        <v>0.099</v>
      </c>
      <c r="AJ258" s="36" t="n">
        <v>0.325</v>
      </c>
      <c r="AK258" s="36" t="n">
        <v>0.347</v>
      </c>
      <c r="AL258" s="36" t="n">
        <v>0</v>
      </c>
      <c r="AM258" s="36" t="n">
        <v>0.771</v>
      </c>
      <c r="AN258" s="36" t="n">
        <v>-0.407</v>
      </c>
      <c r="AO258" s="36" t="n">
        <v>-0.023</v>
      </c>
      <c r="AP258" s="36" t="n">
        <v>-0.225</v>
      </c>
      <c r="AQ258" s="36" t="n">
        <v>-0.145</v>
      </c>
      <c r="AR258" s="36" t="n">
        <v>-0.8</v>
      </c>
      <c r="AS258" s="36" t="n">
        <v>-7.3</v>
      </c>
      <c r="AT258" s="36" t="n">
        <v>-3.4</v>
      </c>
      <c r="AU258" s="36" t="n">
        <v>-7.4</v>
      </c>
      <c r="AV258" s="36" t="n">
        <v>-109.1</v>
      </c>
      <c r="AW258" s="36" t="n">
        <v>-127.2</v>
      </c>
      <c r="AX258" s="36" t="n">
        <v>9.8</v>
      </c>
      <c r="AY258" s="36" t="n">
        <v>1.4</v>
      </c>
      <c r="AZ258" s="36" t="n">
        <v>2.7</v>
      </c>
      <c r="BA258" s="36" t="n">
        <v>1</v>
      </c>
      <c r="BB258" s="36" t="n">
        <v>14.9</v>
      </c>
      <c r="BC258" s="36" t="n">
        <v>-3</v>
      </c>
      <c r="BD258" s="36" t="n">
        <v>1.8</v>
      </c>
      <c r="BE258" s="36" t="n">
        <v>-704.2</v>
      </c>
      <c r="BF258" s="36" t="n">
        <v>5.3</v>
      </c>
      <c r="BG258" s="36" t="n">
        <v>-700.1</v>
      </c>
      <c r="BH258" s="36" t="n">
        <v>-0.8</v>
      </c>
      <c r="BI258" s="36" t="n">
        <v>1.4</v>
      </c>
      <c r="BJ258" s="36" t="n">
        <v>691.5</v>
      </c>
      <c r="BK258" s="36" t="n">
        <v>-9.6</v>
      </c>
      <c r="BL258" s="36" t="n">
        <v>682.5</v>
      </c>
      <c r="BM258" s="36" t="n">
        <v>6</v>
      </c>
      <c r="BN258" s="36" t="n">
        <v>-16</v>
      </c>
      <c r="BO258" s="36" t="n">
        <v>-22</v>
      </c>
      <c r="BP258" s="36" t="n">
        <v>-75</v>
      </c>
      <c r="BQ258" s="36" t="n">
        <v>-107</v>
      </c>
      <c r="BR258" s="36" t="n">
        <v>-31</v>
      </c>
      <c r="BS258" s="36" t="n">
        <v>-27</v>
      </c>
      <c r="BT258" s="36" t="n">
        <v>-5</v>
      </c>
      <c r="BU258" s="36" t="n">
        <v>-71</v>
      </c>
      <c r="BV258" s="36" t="n">
        <v>-134</v>
      </c>
      <c r="BW258" s="36" t="n">
        <v>7</v>
      </c>
      <c r="BX258" s="36" t="n">
        <v>3</v>
      </c>
      <c r="BY258" s="6"/>
      <c r="BZ258" s="6"/>
      <c r="CA258" s="37" t="n">
        <f aca="false">(BW258+BX258)</f>
        <v>10</v>
      </c>
      <c r="CB258" s="52" t="n">
        <v>0</v>
      </c>
      <c r="CC258" s="52" t="n">
        <v>0</v>
      </c>
      <c r="CD258" s="52" t="n">
        <v>0</v>
      </c>
      <c r="CE258" s="52" t="n">
        <v>0</v>
      </c>
      <c r="CF258" s="6"/>
    </row>
    <row r="259" customFormat="false" ht="15" hidden="false" customHeight="true" outlineLevel="0" collapsed="false">
      <c r="B259" s="17" t="s">
        <v>442</v>
      </c>
      <c r="C259" s="33" t="n">
        <v>-213.423</v>
      </c>
      <c r="D259" s="33" t="n">
        <v>-256.027</v>
      </c>
      <c r="E259" s="33" t="n">
        <v>-450.762</v>
      </c>
      <c r="F259" s="33" t="n">
        <v>-185.031</v>
      </c>
      <c r="G259" s="33" t="n">
        <v>-174.182</v>
      </c>
      <c r="H259" s="33" t="n">
        <v>-238.924</v>
      </c>
      <c r="I259" s="33" t="n">
        <v>-143.21</v>
      </c>
      <c r="J259" s="33" t="n">
        <v>-22.929</v>
      </c>
      <c r="K259" s="33" t="n">
        <v>-28.445</v>
      </c>
      <c r="L259" s="33" t="n">
        <v>-115.594</v>
      </c>
      <c r="M259" s="33" t="n">
        <v>-47.581</v>
      </c>
      <c r="N259" s="33" t="n">
        <v>-214.549</v>
      </c>
      <c r="O259" s="33" t="n">
        <v>-35.562</v>
      </c>
      <c r="P259" s="33" t="n">
        <v>-46.609</v>
      </c>
      <c r="Q259" s="33" t="n">
        <v>117.322</v>
      </c>
      <c r="R259" s="33" t="n">
        <v>-84.476</v>
      </c>
      <c r="S259" s="33" t="n">
        <v>-49.325</v>
      </c>
      <c r="T259" s="33" t="n">
        <v>-63.391</v>
      </c>
      <c r="U259" s="33" t="n">
        <v>-71.532</v>
      </c>
      <c r="V259" s="33" t="n">
        <v>335.474</v>
      </c>
      <c r="W259" s="33" t="n">
        <v>-112.005</v>
      </c>
      <c r="X259" s="33" t="n">
        <v>88.546</v>
      </c>
      <c r="Y259" s="33" t="n">
        <v>-210.367</v>
      </c>
      <c r="Z259" s="33" t="n">
        <v>-115.272</v>
      </c>
      <c r="AA259" s="33" t="n">
        <v>-129.069</v>
      </c>
      <c r="AB259" s="33" t="n">
        <v>-100.605</v>
      </c>
      <c r="AC259" s="33" t="n">
        <v>-555.313</v>
      </c>
      <c r="AD259" s="33" t="n">
        <v>-101.556</v>
      </c>
      <c r="AE259" s="33" t="n">
        <v>-84.644</v>
      </c>
      <c r="AF259" s="33" t="n">
        <v>-98.631</v>
      </c>
      <c r="AG259" s="33" t="n">
        <v>-101.648</v>
      </c>
      <c r="AH259" s="33" t="n">
        <v>-386.479</v>
      </c>
      <c r="AI259" s="33" t="n">
        <v>-93.632</v>
      </c>
      <c r="AJ259" s="33" t="n">
        <v>-1681.699</v>
      </c>
      <c r="AK259" s="33" t="n">
        <v>-63.2910000000002</v>
      </c>
      <c r="AL259" s="33" t="n">
        <v>-109.584</v>
      </c>
      <c r="AM259" s="33" t="n">
        <v>-1948.206</v>
      </c>
      <c r="AN259" s="33" t="n">
        <v>-127.536</v>
      </c>
      <c r="AO259" s="33" t="n">
        <v>-74.349</v>
      </c>
      <c r="AP259" s="33" t="n">
        <v>-74.787</v>
      </c>
      <c r="AQ259" s="33" t="n">
        <v>-109.228</v>
      </c>
      <c r="AR259" s="33" t="n">
        <v>-385.9</v>
      </c>
      <c r="AS259" s="33" t="n">
        <v>-95.5</v>
      </c>
      <c r="AT259" s="33" t="n">
        <v>-75.3</v>
      </c>
      <c r="AU259" s="33" t="n">
        <v>-20.9</v>
      </c>
      <c r="AV259" s="33" t="n">
        <v>-218</v>
      </c>
      <c r="AW259" s="33" t="n">
        <v>-409.7</v>
      </c>
      <c r="AX259" s="33" t="n">
        <v>-88.3</v>
      </c>
      <c r="AY259" s="33" t="n">
        <v>-734.8</v>
      </c>
      <c r="AZ259" s="33" t="n">
        <v>-235.8</v>
      </c>
      <c r="BA259" s="33" t="n">
        <v>-2415.7</v>
      </c>
      <c r="BB259" s="33" t="n">
        <v>-3474.6</v>
      </c>
      <c r="BC259" s="33" t="n">
        <v>-123</v>
      </c>
      <c r="BD259" s="33" t="n">
        <v>556.5</v>
      </c>
      <c r="BE259" s="33" t="n">
        <v>-757.9</v>
      </c>
      <c r="BF259" s="33" t="n">
        <v>-159.4</v>
      </c>
      <c r="BG259" s="33" t="n">
        <v>-483.8</v>
      </c>
      <c r="BH259" s="33" t="n">
        <v>-152.4</v>
      </c>
      <c r="BI259" s="33" t="n">
        <v>-44.9</v>
      </c>
      <c r="BJ259" s="33" t="n">
        <v>523.6</v>
      </c>
      <c r="BK259" s="33" t="n">
        <v>132.4</v>
      </c>
      <c r="BL259" s="33" t="n">
        <v>458.7</v>
      </c>
      <c r="BM259" s="33" t="n">
        <v>1425</v>
      </c>
      <c r="BN259" s="33" t="n">
        <v>-2191</v>
      </c>
      <c r="BO259" s="33" t="n">
        <v>-298</v>
      </c>
      <c r="BP259" s="33" t="n">
        <v>-1380</v>
      </c>
      <c r="BQ259" s="33" t="n">
        <v>-2444</v>
      </c>
      <c r="BR259" s="33" t="n">
        <v>-262</v>
      </c>
      <c r="BS259" s="33" t="n">
        <v>-190</v>
      </c>
      <c r="BT259" s="33" t="n">
        <v>-761</v>
      </c>
      <c r="BU259" s="33" t="n">
        <v>-375</v>
      </c>
      <c r="BV259" s="33" t="n">
        <v>-1588</v>
      </c>
      <c r="BW259" s="33" t="n">
        <v>293</v>
      </c>
      <c r="BX259" s="33" t="n">
        <v>-861</v>
      </c>
      <c r="BY259" s="57"/>
      <c r="BZ259" s="57"/>
      <c r="CA259" s="34" t="n">
        <f aca="false">SUM(CA255:CA258)</f>
        <v>-8085.25128321083</v>
      </c>
      <c r="CB259" s="34" t="n">
        <f aca="false">SUM(CB255:CB258)</f>
        <v>-834.42961898706</v>
      </c>
      <c r="CC259" s="34" t="n">
        <f aca="false">SUM(CC255:CC258)</f>
        <v>-1401.21165616883</v>
      </c>
      <c r="CD259" s="34" t="n">
        <f aca="false">SUM(CD255:CD258)</f>
        <v>-1726.95843238912</v>
      </c>
      <c r="CE259" s="34" t="n">
        <f aca="false">SUM(CE255:CE258)</f>
        <v>-1811.29060678174</v>
      </c>
      <c r="CF259" s="6"/>
    </row>
    <row r="260" customFormat="false" ht="15" hidden="false" customHeight="true" outlineLevel="0" collapsed="false">
      <c r="B260" s="26" t="s">
        <v>443</v>
      </c>
      <c r="C260" s="36" t="n">
        <v>0.537</v>
      </c>
      <c r="D260" s="36" t="n">
        <v>543.453</v>
      </c>
      <c r="E260" s="36" t="n">
        <v>297.837</v>
      </c>
      <c r="F260" s="36" t="n">
        <v>330</v>
      </c>
      <c r="G260" s="36" t="n">
        <v>200</v>
      </c>
      <c r="H260" s="36" t="n">
        <v>495</v>
      </c>
      <c r="I260" s="36" t="n">
        <v>181</v>
      </c>
      <c r="J260" s="36" t="n">
        <v>60</v>
      </c>
      <c r="K260" s="36" t="n">
        <v>235.5</v>
      </c>
      <c r="L260" s="36" t="n">
        <v>60</v>
      </c>
      <c r="M260" s="36" t="n">
        <v>248.917</v>
      </c>
      <c r="N260" s="36" t="n">
        <v>604.417</v>
      </c>
      <c r="O260" s="36" t="n">
        <v>60</v>
      </c>
      <c r="P260" s="36" t="n">
        <v>40</v>
      </c>
      <c r="Q260" s="36" t="n">
        <v>768.762</v>
      </c>
      <c r="R260" s="36" t="n">
        <v>0</v>
      </c>
      <c r="S260" s="36" t="n">
        <v>868.762</v>
      </c>
      <c r="T260" s="36" t="n">
        <v>0</v>
      </c>
      <c r="U260" s="36" t="n">
        <v>80</v>
      </c>
      <c r="V260" s="36" t="n">
        <v>150</v>
      </c>
      <c r="W260" s="36" t="n">
        <v>0</v>
      </c>
      <c r="X260" s="36" t="n">
        <v>230</v>
      </c>
      <c r="Y260" s="36" t="n">
        <v>210</v>
      </c>
      <c r="Z260" s="36" t="n">
        <v>70</v>
      </c>
      <c r="AA260" s="36" t="n">
        <v>80</v>
      </c>
      <c r="AB260" s="36" t="n">
        <v>200</v>
      </c>
      <c r="AC260" s="36" t="n">
        <v>560</v>
      </c>
      <c r="AD260" s="36" t="n">
        <v>205</v>
      </c>
      <c r="AE260" s="36" t="n">
        <v>736.244</v>
      </c>
      <c r="AF260" s="36" t="n">
        <v>70</v>
      </c>
      <c r="AG260" s="36" t="n">
        <v>1397.586</v>
      </c>
      <c r="AH260" s="36" t="n">
        <v>2408.83</v>
      </c>
      <c r="AI260" s="36" t="n">
        <v>0</v>
      </c>
      <c r="AJ260" s="36" t="n">
        <v>665</v>
      </c>
      <c r="AK260" s="36" t="n">
        <v>210</v>
      </c>
      <c r="AL260" s="36" t="n">
        <v>125</v>
      </c>
      <c r="AM260" s="36" t="n">
        <v>1000</v>
      </c>
      <c r="AN260" s="36" t="n">
        <v>125</v>
      </c>
      <c r="AO260" s="36" t="n">
        <v>40</v>
      </c>
      <c r="AP260" s="36" t="n">
        <v>80</v>
      </c>
      <c r="AQ260" s="36" t="n">
        <v>380</v>
      </c>
      <c r="AR260" s="36" t="n">
        <v>625</v>
      </c>
      <c r="AS260" s="36" t="n">
        <v>618</v>
      </c>
      <c r="AT260" s="36" t="n">
        <v>0</v>
      </c>
      <c r="AU260" s="36" t="n">
        <v>10.1</v>
      </c>
      <c r="AV260" s="36" t="n">
        <v>0</v>
      </c>
      <c r="AW260" s="36" t="n">
        <v>628.1</v>
      </c>
      <c r="AX260" s="36" t="n">
        <v>0</v>
      </c>
      <c r="AY260" s="36" t="n">
        <v>400</v>
      </c>
      <c r="AZ260" s="36" t="n">
        <v>2496.6</v>
      </c>
      <c r="BA260" s="36" t="n">
        <v>0.0999999999999091</v>
      </c>
      <c r="BB260" s="36" t="n">
        <v>2896.7</v>
      </c>
      <c r="BC260" s="36" t="n">
        <v>0</v>
      </c>
      <c r="BD260" s="36" t="n">
        <v>0</v>
      </c>
      <c r="BE260" s="36" t="n">
        <v>0</v>
      </c>
      <c r="BF260" s="36" t="n">
        <v>0</v>
      </c>
      <c r="BG260" s="36" t="n">
        <v>0</v>
      </c>
      <c r="BH260" s="36" t="n">
        <v>0</v>
      </c>
      <c r="BI260" s="36" t="n">
        <v>0</v>
      </c>
      <c r="BJ260" s="36" t="n">
        <v>0</v>
      </c>
      <c r="BK260" s="36" t="n">
        <v>0</v>
      </c>
      <c r="BL260" s="36" t="n">
        <v>0</v>
      </c>
      <c r="BM260" s="36" t="n">
        <v>0</v>
      </c>
      <c r="BN260" s="36" t="n">
        <v>0</v>
      </c>
      <c r="BO260" s="36" t="n">
        <v>490</v>
      </c>
      <c r="BP260" s="36" t="n">
        <v>2268</v>
      </c>
      <c r="BQ260" s="36" t="n">
        <v>2758</v>
      </c>
      <c r="BR260" s="36" t="n">
        <v>0</v>
      </c>
      <c r="BS260" s="36" t="n">
        <v>0</v>
      </c>
      <c r="BT260" s="36" t="n">
        <v>510</v>
      </c>
      <c r="BU260" s="36" t="n">
        <v>130</v>
      </c>
      <c r="BV260" s="36" t="n">
        <v>640</v>
      </c>
      <c r="BW260" s="36" t="n">
        <v>175</v>
      </c>
      <c r="BX260" s="36" t="n">
        <v>910</v>
      </c>
      <c r="BY260" s="6"/>
      <c r="BZ260" s="6"/>
      <c r="CA260" s="37" t="n">
        <f aca="false">(BW260+BX260)+$CA$376+MAX(0,CA382-BX382)</f>
        <v>7516.587978462</v>
      </c>
      <c r="CB260" s="37" t="n">
        <f aca="false">CB374+MAX(0,CB382-CA382)</f>
        <v>794</v>
      </c>
      <c r="CC260" s="37" t="n">
        <f aca="false">CC374+MAX(0,CC382-CB382)</f>
        <v>0</v>
      </c>
      <c r="CD260" s="37" t="n">
        <f aca="false">CD374+MAX(0,CD382-CC382)</f>
        <v>750</v>
      </c>
      <c r="CE260" s="37" t="n">
        <f aca="false">CE374+MAX(0,CE382-CD382)</f>
        <v>645.351628062581</v>
      </c>
      <c r="CF260" s="6"/>
    </row>
    <row r="261" customFormat="false" ht="15" hidden="false" customHeight="true" outlineLevel="0" collapsed="false">
      <c r="B261" s="26" t="s">
        <v>444</v>
      </c>
      <c r="C261" s="36" t="n">
        <v>-0.415</v>
      </c>
      <c r="D261" s="36" t="n">
        <v>-125.342</v>
      </c>
      <c r="E261" s="36" t="n">
        <v>-205.022</v>
      </c>
      <c r="F261" s="36" t="n">
        <v>-236.006</v>
      </c>
      <c r="G261" s="36" t="n">
        <v>-419.68</v>
      </c>
      <c r="H261" s="36" t="n">
        <v>-470.45</v>
      </c>
      <c r="I261" s="36" t="n">
        <v>-193.655</v>
      </c>
      <c r="J261" s="36" t="n">
        <v>-29.4</v>
      </c>
      <c r="K261" s="36" t="n">
        <v>-220.767</v>
      </c>
      <c r="L261" s="36" t="n">
        <v>-40.025</v>
      </c>
      <c r="M261" s="36" t="n">
        <v>-330.95</v>
      </c>
      <c r="N261" s="36" t="n">
        <v>-621.142</v>
      </c>
      <c r="O261" s="36" t="n">
        <v>-23.125</v>
      </c>
      <c r="P261" s="36" t="n">
        <v>-23.292</v>
      </c>
      <c r="Q261" s="36" t="n">
        <v>-977.635</v>
      </c>
      <c r="R261" s="36" t="n">
        <v>-33.2370000000001</v>
      </c>
      <c r="S261" s="36" t="n">
        <v>-1057.289</v>
      </c>
      <c r="T261" s="36" t="n">
        <v>-4.738</v>
      </c>
      <c r="U261" s="36" t="n">
        <v>-3.406</v>
      </c>
      <c r="V261" s="36" t="n">
        <v>-103.24</v>
      </c>
      <c r="W261" s="36" t="n">
        <v>-133.32</v>
      </c>
      <c r="X261" s="36" t="n">
        <v>-244.704</v>
      </c>
      <c r="Y261" s="36" t="n">
        <v>-26.39</v>
      </c>
      <c r="Z261" s="36" t="n">
        <v>-44.03</v>
      </c>
      <c r="AA261" s="36" t="n">
        <v>-97.847</v>
      </c>
      <c r="AB261" s="36" t="n">
        <v>-281.039</v>
      </c>
      <c r="AC261" s="36" t="n">
        <v>-449.306</v>
      </c>
      <c r="AD261" s="36" t="n">
        <v>-45.012</v>
      </c>
      <c r="AE261" s="36" t="n">
        <v>-800.011</v>
      </c>
      <c r="AF261" s="36" t="n">
        <v>-130.012</v>
      </c>
      <c r="AG261" s="36" t="n">
        <v>-90.013</v>
      </c>
      <c r="AH261" s="36" t="n">
        <v>-1065.048</v>
      </c>
      <c r="AI261" s="36" t="n">
        <v>-0.013</v>
      </c>
      <c r="AJ261" s="36" t="n">
        <v>-475.012</v>
      </c>
      <c r="AK261" s="36" t="n">
        <v>-220.014</v>
      </c>
      <c r="AL261" s="36" t="n">
        <v>-215.013</v>
      </c>
      <c r="AM261" s="36" t="n">
        <v>-910.052</v>
      </c>
      <c r="AN261" s="36" t="n">
        <v>-85</v>
      </c>
      <c r="AO261" s="36" t="n">
        <v>-85.028</v>
      </c>
      <c r="AP261" s="36" t="n">
        <v>-275.014</v>
      </c>
      <c r="AQ261" s="36" t="n">
        <v>-530.058</v>
      </c>
      <c r="AR261" s="36" t="n">
        <v>-975.1</v>
      </c>
      <c r="AS261" s="36" t="n">
        <v>-127</v>
      </c>
      <c r="AT261" s="36" t="n">
        <v>-510</v>
      </c>
      <c r="AU261" s="36" t="n">
        <v>-140</v>
      </c>
      <c r="AV261" s="36" t="n">
        <v>-0.100000000000023</v>
      </c>
      <c r="AW261" s="36" t="n">
        <v>-777.1</v>
      </c>
      <c r="AX261" s="36" t="n">
        <v>0</v>
      </c>
      <c r="AY261" s="36" t="n">
        <v>-160</v>
      </c>
      <c r="AZ261" s="36" t="n">
        <v>-240</v>
      </c>
      <c r="BA261" s="36" t="n">
        <v>-20.1</v>
      </c>
      <c r="BB261" s="36" t="n">
        <v>-420.1</v>
      </c>
      <c r="BC261" s="36" t="n">
        <v>0</v>
      </c>
      <c r="BD261" s="36" t="n">
        <v>-47.7</v>
      </c>
      <c r="BE261" s="36" t="n">
        <v>-6.8</v>
      </c>
      <c r="BF261" s="36" t="n">
        <v>0</v>
      </c>
      <c r="BG261" s="36" t="n">
        <v>-54.5</v>
      </c>
      <c r="BH261" s="36" t="n">
        <v>0</v>
      </c>
      <c r="BI261" s="36" t="n">
        <v>0</v>
      </c>
      <c r="BJ261" s="36" t="n">
        <v>-700</v>
      </c>
      <c r="BK261" s="36" t="n">
        <v>0</v>
      </c>
      <c r="BL261" s="36" t="n">
        <v>-700</v>
      </c>
      <c r="BM261" s="36" t="n">
        <v>0</v>
      </c>
      <c r="BN261" s="36" t="n">
        <v>0</v>
      </c>
      <c r="BO261" s="36" t="n">
        <v>-795</v>
      </c>
      <c r="BP261" s="36" t="n">
        <v>-895</v>
      </c>
      <c r="BQ261" s="36" t="n">
        <v>-1690</v>
      </c>
      <c r="BR261" s="36" t="n">
        <v>0</v>
      </c>
      <c r="BS261" s="36" t="n">
        <v>0</v>
      </c>
      <c r="BT261" s="36" t="n">
        <v>-405</v>
      </c>
      <c r="BU261" s="36" t="n">
        <v>-330</v>
      </c>
      <c r="BV261" s="36" t="n">
        <v>-735</v>
      </c>
      <c r="BW261" s="36" t="n">
        <v>-205</v>
      </c>
      <c r="BX261" s="36" t="n">
        <v>-255</v>
      </c>
      <c r="BY261" s="6"/>
      <c r="BZ261" s="6"/>
      <c r="CA261" s="37" t="n">
        <f aca="false">(BW261+BX261)+CA372+MIN(0,CA382-BX382)</f>
        <v>-460</v>
      </c>
      <c r="CB261" s="37" t="n">
        <f aca="false">CB372+MIN(0,CB382-CA382)</f>
        <v>-2173.9335885335</v>
      </c>
      <c r="CC261" s="37" t="n">
        <f aca="false">CC372+MIN(0,CC382-CB382)</f>
        <v>-206.654389928505</v>
      </c>
      <c r="CD261" s="37" t="n">
        <f aca="false">CD372+MIN(0,CD382-CC382)</f>
        <v>-750</v>
      </c>
      <c r="CE261" s="37" t="n">
        <f aca="false">CE372+MIN(0,CE382-CD382)</f>
        <v>-474</v>
      </c>
      <c r="CF261" s="20" t="s">
        <v>445</v>
      </c>
    </row>
    <row r="262" customFormat="false" ht="15" hidden="false" customHeight="true" outlineLevel="0" collapsed="false">
      <c r="B262" s="26" t="s">
        <v>446</v>
      </c>
      <c r="C262" s="36" t="n">
        <v>-46.421</v>
      </c>
      <c r="D262" s="36" t="n">
        <v>-53.61</v>
      </c>
      <c r="E262" s="36" t="n">
        <v>-62.511</v>
      </c>
      <c r="F262" s="36" t="n">
        <v>-71.178</v>
      </c>
      <c r="G262" s="36" t="n">
        <v>-73.55</v>
      </c>
      <c r="H262" s="36" t="n">
        <v>-73.648</v>
      </c>
      <c r="I262" s="36" t="n">
        <v>-73.767</v>
      </c>
      <c r="J262" s="36" t="n">
        <v>-18.503</v>
      </c>
      <c r="K262" s="36" t="n">
        <v>-18.565</v>
      </c>
      <c r="L262" s="36" t="n">
        <v>-18.558</v>
      </c>
      <c r="M262" s="36" t="n">
        <v>-18.571</v>
      </c>
      <c r="N262" s="36" t="n">
        <v>-74.197</v>
      </c>
      <c r="O262" s="36" t="n">
        <v>-18.604</v>
      </c>
      <c r="P262" s="36" t="n">
        <v>-18.65</v>
      </c>
      <c r="Q262" s="36" t="n">
        <v>-27.009</v>
      </c>
      <c r="R262" s="36" t="n">
        <v>-27.041</v>
      </c>
      <c r="S262" s="36" t="n">
        <v>-91.304</v>
      </c>
      <c r="T262" s="36" t="n">
        <v>-28.354</v>
      </c>
      <c r="U262" s="36" t="n">
        <v>-25.931</v>
      </c>
      <c r="V262" s="36" t="n">
        <v>-26.934</v>
      </c>
      <c r="W262" s="36" t="n">
        <v>-26.243</v>
      </c>
      <c r="X262" s="36" t="n">
        <v>-107.462</v>
      </c>
      <c r="Y262" s="36" t="n">
        <v>-25.847</v>
      </c>
      <c r="Z262" s="36" t="n">
        <v>-25.62</v>
      </c>
      <c r="AA262" s="36" t="n">
        <v>-26.828</v>
      </c>
      <c r="AB262" s="36" t="n">
        <v>-26.741</v>
      </c>
      <c r="AC262" s="36" t="n">
        <v>-105.036</v>
      </c>
      <c r="AD262" s="36" t="n">
        <v>-26.56</v>
      </c>
      <c r="AE262" s="36" t="n">
        <v>-26.575</v>
      </c>
      <c r="AF262" s="36" t="n">
        <v>-27.826</v>
      </c>
      <c r="AG262" s="36" t="n">
        <v>-27.891</v>
      </c>
      <c r="AH262" s="36" t="n">
        <v>-108.852</v>
      </c>
      <c r="AI262" s="36" t="n">
        <v>-27.885</v>
      </c>
      <c r="AJ262" s="36" t="n">
        <v>-27.91</v>
      </c>
      <c r="AK262" s="36" t="n">
        <v>-30.395</v>
      </c>
      <c r="AL262" s="36" t="n">
        <v>-30.246</v>
      </c>
      <c r="AM262" s="36" t="n">
        <v>-116.436</v>
      </c>
      <c r="AN262" s="36" t="n">
        <v>-30.395</v>
      </c>
      <c r="AO262" s="36" t="n">
        <v>-30.22</v>
      </c>
      <c r="AP262" s="36" t="n">
        <v>-34.612</v>
      </c>
      <c r="AQ262" s="36" t="n">
        <v>-34.573</v>
      </c>
      <c r="AR262" s="36" t="n">
        <v>-129.8</v>
      </c>
      <c r="AS262" s="36" t="n">
        <v>-34.8</v>
      </c>
      <c r="AT262" s="36" t="n">
        <v>-34.6</v>
      </c>
      <c r="AU262" s="36" t="n">
        <v>-35.4</v>
      </c>
      <c r="AV262" s="36" t="n">
        <v>-35.5</v>
      </c>
      <c r="AW262" s="36" t="n">
        <v>-140.3</v>
      </c>
      <c r="AX262" s="36" t="n">
        <v>-36.1</v>
      </c>
      <c r="AY262" s="36" t="n">
        <v>-35.7</v>
      </c>
      <c r="AZ262" s="36" t="n">
        <v>-37.9</v>
      </c>
      <c r="BA262" s="36" t="n">
        <v>-38.1</v>
      </c>
      <c r="BB262" s="36" t="n">
        <v>-147.8</v>
      </c>
      <c r="BC262" s="36" t="n">
        <v>-38.9</v>
      </c>
      <c r="BD262" s="36" t="n">
        <v>-38.1</v>
      </c>
      <c r="BE262" s="36" t="n">
        <v>-41.1</v>
      </c>
      <c r="BF262" s="36" t="n">
        <v>-41</v>
      </c>
      <c r="BG262" s="36" t="n">
        <v>-159.1</v>
      </c>
      <c r="BH262" s="36" t="n">
        <v>-41.6</v>
      </c>
      <c r="BI262" s="36" t="n">
        <v>-40.9</v>
      </c>
      <c r="BJ262" s="36" t="n">
        <v>-45.7</v>
      </c>
      <c r="BK262" s="36" t="n">
        <v>-45.8</v>
      </c>
      <c r="BL262" s="36" t="n">
        <v>-174</v>
      </c>
      <c r="BM262" s="36" t="n">
        <v>-46</v>
      </c>
      <c r="BN262" s="36" t="n">
        <v>-46</v>
      </c>
      <c r="BO262" s="36" t="n">
        <v>-49</v>
      </c>
      <c r="BP262" s="36" t="n">
        <v>-48</v>
      </c>
      <c r="BQ262" s="36" t="n">
        <v>-189</v>
      </c>
      <c r="BR262" s="36" t="n">
        <v>-49</v>
      </c>
      <c r="BS262" s="36" t="n">
        <v>-48</v>
      </c>
      <c r="BT262" s="36" t="n">
        <v>-50</v>
      </c>
      <c r="BU262" s="36" t="n">
        <v>-50</v>
      </c>
      <c r="BV262" s="36" t="n">
        <v>-197</v>
      </c>
      <c r="BW262" s="36" t="n">
        <v>-51</v>
      </c>
      <c r="BX262" s="36" t="n">
        <v>-51</v>
      </c>
      <c r="BY262" s="6"/>
      <c r="BZ262" s="6"/>
      <c r="CA262" s="37" t="n">
        <f aca="false">(BW262+BX262)-(BY186*BY179+BZ186*BZ179)</f>
        <v>-220.554514047375</v>
      </c>
      <c r="CB262" s="37" t="n">
        <f aca="false">-CB186*CB287</f>
        <v>-256.48637680636</v>
      </c>
      <c r="CC262" s="37" t="n">
        <f aca="false">-CC186*CC287</f>
        <v>-272.449101034742</v>
      </c>
      <c r="CD262" s="37" t="n">
        <f aca="false">-CD186*CD287</f>
        <v>-289.404001214026</v>
      </c>
      <c r="CE262" s="37" t="n">
        <f aca="false">-CE186*CE287</f>
        <v>-298.085793394818</v>
      </c>
      <c r="CF262" s="20" t="s">
        <v>447</v>
      </c>
    </row>
    <row r="263" customFormat="false" ht="15" hidden="false" customHeight="true" outlineLevel="0" collapsed="false">
      <c r="B263" s="26" t="s">
        <v>448</v>
      </c>
      <c r="C263" s="36" t="n">
        <v>-172.888</v>
      </c>
      <c r="D263" s="36" t="n">
        <v>-551.164</v>
      </c>
      <c r="E263" s="36" t="n">
        <v>-24.017</v>
      </c>
      <c r="F263" s="36" t="n">
        <v>0</v>
      </c>
      <c r="G263" s="36" t="n">
        <v>0</v>
      </c>
      <c r="U263" s="36" t="n">
        <v>-100</v>
      </c>
      <c r="V263" s="36" t="n">
        <v>-157.674</v>
      </c>
      <c r="Y263" s="36" t="n">
        <v>-150</v>
      </c>
      <c r="Z263" s="36" t="n">
        <v>-40</v>
      </c>
      <c r="AA263" s="36" t="n">
        <v>0</v>
      </c>
      <c r="AD263" s="36" t="n">
        <v>-99.999</v>
      </c>
      <c r="AE263" s="36" t="n">
        <v>0</v>
      </c>
      <c r="AF263" s="36" t="n">
        <v>0</v>
      </c>
      <c r="AI263" s="36" t="n">
        <v>0</v>
      </c>
      <c r="AJ263" s="36" t="n">
        <v>0</v>
      </c>
      <c r="AK263" s="36" t="n">
        <v>-60.377</v>
      </c>
      <c r="AP263" s="36" t="n">
        <v>-57.288</v>
      </c>
      <c r="AQ263" s="36" t="n">
        <v>-40.912</v>
      </c>
      <c r="AR263" s="36" t="n">
        <v>-98.2</v>
      </c>
      <c r="AS263" s="36" t="n">
        <v>-50</v>
      </c>
      <c r="AT263" s="36" t="n">
        <v>0</v>
      </c>
      <c r="AU263" s="36" t="n">
        <v>0</v>
      </c>
      <c r="AV263" s="36" t="n">
        <v>0</v>
      </c>
      <c r="AW263" s="36" t="n">
        <v>-50</v>
      </c>
      <c r="AX263" s="36" t="n">
        <v>0</v>
      </c>
      <c r="AY263" s="36" t="n">
        <v>0</v>
      </c>
      <c r="AZ263" s="36" t="n">
        <v>0</v>
      </c>
      <c r="BA263" s="36" t="n">
        <v>0</v>
      </c>
      <c r="BB263" s="36" t="n">
        <v>0</v>
      </c>
      <c r="BC263" s="36" t="n">
        <v>-50</v>
      </c>
      <c r="BD263" s="36" t="n">
        <v>0</v>
      </c>
      <c r="BE263" s="36" t="n">
        <v>-100</v>
      </c>
      <c r="BF263" s="36" t="n">
        <v>0</v>
      </c>
      <c r="BG263" s="36" t="n">
        <v>-150</v>
      </c>
      <c r="BH263" s="36" t="n">
        <v>-75</v>
      </c>
      <c r="BI263" s="36" t="n">
        <v>-75</v>
      </c>
      <c r="BJ263" s="36" t="n">
        <v>0</v>
      </c>
      <c r="BK263" s="36" t="n">
        <v>0</v>
      </c>
      <c r="BL263" s="36" t="n">
        <v>-150</v>
      </c>
      <c r="BM263" s="36" t="n">
        <v>-150</v>
      </c>
      <c r="BN263" s="36" t="n">
        <v>-300</v>
      </c>
      <c r="BO263" s="36" t="n">
        <v>0</v>
      </c>
      <c r="BP263" s="36" t="n">
        <v>0</v>
      </c>
      <c r="BQ263" s="36" t="n">
        <v>-450</v>
      </c>
      <c r="BR263" s="36" t="n">
        <v>-450</v>
      </c>
      <c r="BS263" s="36" t="n">
        <v>0</v>
      </c>
      <c r="BT263" s="36" t="n">
        <v>0</v>
      </c>
      <c r="BU263" s="36" t="n">
        <v>0</v>
      </c>
      <c r="BV263" s="36" t="n">
        <v>-450</v>
      </c>
      <c r="BW263" s="36" t="n">
        <v>-200</v>
      </c>
      <c r="BX263" s="36" t="n">
        <v>0</v>
      </c>
      <c r="BY263" s="6"/>
      <c r="BZ263" s="6"/>
      <c r="CA263" s="37" t="n">
        <f aca="false">(BW263+BX263)-CHOOSE(MATCH($CF$2,{"Bull","Base","Bear"},0),$CO$21,$CP$21,$CQ$21)</f>
        <v>-200</v>
      </c>
      <c r="CB263" s="37" t="n">
        <f aca="false">-CB391</f>
        <v>-0</v>
      </c>
      <c r="CC263" s="37" t="n">
        <f aca="false">-CC391</f>
        <v>-0</v>
      </c>
      <c r="CD263" s="37" t="n">
        <f aca="false">-CD391</f>
        <v>-1379.48990093307</v>
      </c>
      <c r="CE263" s="37" t="n">
        <f aca="false">-CE391</f>
        <v>-2266.73710834589</v>
      </c>
      <c r="CF263" s="20" t="s">
        <v>449</v>
      </c>
    </row>
    <row r="264" customFormat="false" ht="15" hidden="false" customHeight="true" outlineLevel="0" collapsed="false">
      <c r="B264" s="26" t="s">
        <v>450</v>
      </c>
      <c r="C264" s="36" t="n">
        <v>31.535</v>
      </c>
      <c r="D264" s="36" t="n">
        <v>14.623</v>
      </c>
      <c r="E264" s="36" t="n">
        <v>3.271</v>
      </c>
      <c r="F264" s="36" t="n">
        <v>294.177</v>
      </c>
      <c r="G264" s="36" t="n">
        <v>3.047</v>
      </c>
      <c r="H264" s="36" t="n">
        <v>1.473</v>
      </c>
      <c r="I264" s="36" t="n">
        <v>6.959</v>
      </c>
      <c r="J264" s="36" t="n">
        <v>3.494</v>
      </c>
      <c r="K264" s="36" t="n">
        <v>7.718</v>
      </c>
      <c r="L264" s="36" t="n">
        <v>0.359</v>
      </c>
      <c r="M264" s="36" t="n">
        <v>0.120000000000001</v>
      </c>
      <c r="N264" s="36" t="n">
        <v>11.691</v>
      </c>
      <c r="O264" s="36" t="n">
        <v>6.488</v>
      </c>
      <c r="P264" s="36" t="n">
        <v>3.054</v>
      </c>
      <c r="Q264" s="36" t="n">
        <v>28.653</v>
      </c>
      <c r="R264" s="36" t="n">
        <v>1.519</v>
      </c>
      <c r="S264" s="36" t="n">
        <v>39.714</v>
      </c>
      <c r="T264" s="36" t="n">
        <v>9.942</v>
      </c>
      <c r="U264" s="36" t="n">
        <v>17.818</v>
      </c>
      <c r="V264" s="36" t="n">
        <v>6.132</v>
      </c>
      <c r="W264" s="36" t="n">
        <v>3.186</v>
      </c>
      <c r="X264" s="36" t="n">
        <v>37.078</v>
      </c>
      <c r="Y264" s="36" t="n">
        <v>4.166</v>
      </c>
      <c r="Z264" s="36" t="n">
        <v>10.883</v>
      </c>
      <c r="AA264" s="36" t="n">
        <v>2.329</v>
      </c>
      <c r="AB264" s="36" t="n">
        <v>3.943</v>
      </c>
      <c r="AC264" s="36" t="n">
        <v>21.321</v>
      </c>
      <c r="AD264" s="36" t="n">
        <v>3.917</v>
      </c>
      <c r="AE264" s="36" t="n">
        <v>4.02</v>
      </c>
      <c r="AF264" s="36" t="n">
        <v>2.08</v>
      </c>
      <c r="AG264" s="36" t="n">
        <v>0.093</v>
      </c>
      <c r="AH264" s="36" t="n">
        <v>10.11</v>
      </c>
      <c r="AI264" s="36" t="n">
        <v>2.801</v>
      </c>
      <c r="AJ264" s="36" t="n">
        <v>4.142</v>
      </c>
      <c r="AK264" s="36" t="n">
        <v>0.0500000000000007</v>
      </c>
      <c r="AL264" s="36" t="n">
        <v>0.207999999999999</v>
      </c>
      <c r="AM264" s="36" t="n">
        <v>7.201</v>
      </c>
      <c r="AN264" s="36" t="n">
        <v>0.611</v>
      </c>
      <c r="AO264" s="36" t="n">
        <v>6.483</v>
      </c>
      <c r="AP264" s="36" t="n">
        <v>5.201</v>
      </c>
      <c r="AQ264" s="36" t="n">
        <v>1.405</v>
      </c>
      <c r="AR264" s="36" t="n">
        <v>13.7</v>
      </c>
      <c r="AS264" s="36" t="n">
        <v>0.2</v>
      </c>
      <c r="AT264" s="36" t="n">
        <v>1.1</v>
      </c>
      <c r="AU264" s="36" t="n">
        <v>0.0999999999999999</v>
      </c>
      <c r="AV264" s="36" t="n">
        <v>0.9</v>
      </c>
      <c r="AW264" s="36" t="n">
        <v>2.3</v>
      </c>
      <c r="AX264" s="36" t="n">
        <v>0.6</v>
      </c>
      <c r="AY264" s="36" t="n">
        <v>0.2</v>
      </c>
      <c r="AZ264" s="36" t="n">
        <v>0.3</v>
      </c>
      <c r="BA264" s="36" t="n">
        <v>0.2</v>
      </c>
      <c r="BB264" s="36" t="n">
        <v>1.3</v>
      </c>
      <c r="BC264" s="36" t="n">
        <v>0.6</v>
      </c>
      <c r="BD264" s="36" t="n">
        <v>0</v>
      </c>
      <c r="BE264" s="36" t="n">
        <v>0</v>
      </c>
      <c r="BF264" s="36" t="n">
        <v>0</v>
      </c>
      <c r="BG264" s="36" t="n">
        <v>0.6</v>
      </c>
      <c r="BH264" s="36" t="n">
        <v>0.2</v>
      </c>
      <c r="BI264" s="36" t="n">
        <v>0.6</v>
      </c>
      <c r="BJ264" s="36" t="n">
        <v>0</v>
      </c>
      <c r="BK264" s="36" t="n">
        <v>0.4</v>
      </c>
      <c r="BL264" s="36" t="n">
        <v>1.2</v>
      </c>
      <c r="BN264" s="36" t="n">
        <v>0</v>
      </c>
      <c r="BO264" s="36" t="n">
        <v>0</v>
      </c>
      <c r="BY264" s="6"/>
      <c r="BZ264" s="6"/>
      <c r="CA264" s="37" t="n">
        <f aca="false">(BW264+BX264)</f>
        <v>0</v>
      </c>
      <c r="CB264" s="52" t="n">
        <v>-30</v>
      </c>
      <c r="CC264" s="52" t="n">
        <v>-30</v>
      </c>
      <c r="CD264" s="52" t="n">
        <v>-30</v>
      </c>
      <c r="CE264" s="52" t="n">
        <v>-30</v>
      </c>
      <c r="CF264" s="6"/>
    </row>
    <row r="265" customFormat="false" ht="15" hidden="false" customHeight="true" outlineLevel="0" collapsed="false">
      <c r="B265" s="26" t="s">
        <v>451</v>
      </c>
      <c r="C265" s="36" t="n">
        <v>18.42</v>
      </c>
      <c r="D265" s="36" t="n">
        <v>20.255</v>
      </c>
      <c r="E265" s="36" t="n">
        <v>113.326</v>
      </c>
      <c r="F265" s="36" t="n">
        <v>-224.533</v>
      </c>
      <c r="G265" s="36" t="n">
        <v>1.289</v>
      </c>
      <c r="H265" s="36" t="n">
        <v>-16.846</v>
      </c>
      <c r="I265" s="36" t="n">
        <v>-0.644</v>
      </c>
      <c r="J265" s="36" t="n">
        <v>0.629</v>
      </c>
      <c r="K265" s="36" t="n">
        <v>1.114</v>
      </c>
      <c r="L265" s="36" t="n">
        <v>10.174</v>
      </c>
      <c r="M265" s="36" t="n">
        <v>-10.045</v>
      </c>
      <c r="N265" s="36" t="n">
        <v>1.872</v>
      </c>
      <c r="O265" s="36" t="n">
        <v>-2.445</v>
      </c>
      <c r="P265" s="36" t="n">
        <v>-19.726</v>
      </c>
      <c r="Q265" s="36" t="n">
        <v>-2.09</v>
      </c>
      <c r="R265" s="36" t="n">
        <v>-1.741</v>
      </c>
      <c r="S265" s="36" t="n">
        <v>-26.002</v>
      </c>
      <c r="T265" s="36" t="n">
        <v>-0.869</v>
      </c>
      <c r="U265" s="36" t="n">
        <v>-1.09</v>
      </c>
      <c r="V265" s="36" t="n">
        <v>-4.008</v>
      </c>
      <c r="W265" s="36" t="n">
        <v>-253.21</v>
      </c>
      <c r="X265" s="36" t="n">
        <v>-516.851</v>
      </c>
      <c r="Y265" s="36" t="n">
        <v>-9.737</v>
      </c>
      <c r="Z265" s="36" t="n">
        <v>9.03</v>
      </c>
      <c r="AA265" s="36" t="n">
        <v>-7.194</v>
      </c>
      <c r="AB265" s="36" t="n">
        <v>-70.79</v>
      </c>
      <c r="AC265" s="36" t="n">
        <v>-268.691</v>
      </c>
      <c r="AD265" s="36" t="n">
        <v>-4.456</v>
      </c>
      <c r="AE265" s="36" t="n">
        <v>-3.283</v>
      </c>
      <c r="AF265" s="36" t="n">
        <v>-5.913</v>
      </c>
      <c r="AG265" s="36" t="n">
        <v>-6.462</v>
      </c>
      <c r="AH265" s="36" t="n">
        <v>-120.113</v>
      </c>
      <c r="AI265" s="36" t="n">
        <v>-10.274</v>
      </c>
      <c r="AJ265" s="36" t="n">
        <v>-6.136</v>
      </c>
      <c r="AK265" s="36" t="n">
        <v>-19.296</v>
      </c>
      <c r="AL265" s="36" t="n">
        <v>-43.044</v>
      </c>
      <c r="AM265" s="36" t="n">
        <v>-139.127</v>
      </c>
      <c r="AN265" s="36" t="n">
        <v>-8.079</v>
      </c>
      <c r="AO265" s="36" t="n">
        <v>-56.515</v>
      </c>
      <c r="AP265" s="36" t="n">
        <v>35.925</v>
      </c>
      <c r="AQ265" s="36" t="n">
        <v>-11.031</v>
      </c>
      <c r="AR265" s="36" t="n">
        <v>-39.7</v>
      </c>
      <c r="AS265" s="36" t="n">
        <v>-14.6</v>
      </c>
      <c r="AT265" s="36" t="n">
        <v>-1.6</v>
      </c>
      <c r="AU265" s="36" t="n">
        <v>-1.1</v>
      </c>
      <c r="AV265" s="36" t="n">
        <v>-2.7</v>
      </c>
      <c r="AW265" s="36" t="n">
        <v>-20</v>
      </c>
      <c r="AX265" s="36" t="n">
        <v>-17.7</v>
      </c>
      <c r="AY265" s="36" t="n">
        <v>-3.5</v>
      </c>
      <c r="AZ265" s="36" t="n">
        <v>-9.5</v>
      </c>
      <c r="BA265" s="36" t="n">
        <v>-8</v>
      </c>
      <c r="BB265" s="36" t="n">
        <v>-38.7</v>
      </c>
      <c r="BC265" s="36" t="n">
        <v>-27.9</v>
      </c>
      <c r="BD265" s="36" t="n">
        <v>-4.5</v>
      </c>
      <c r="BE265" s="36" t="n">
        <v>-5.1</v>
      </c>
      <c r="BF265" s="36" t="n">
        <v>-7</v>
      </c>
      <c r="BG265" s="36" t="n">
        <v>-44.5</v>
      </c>
      <c r="BH265" s="36" t="n">
        <v>-21</v>
      </c>
      <c r="BI265" s="36" t="n">
        <v>-5.8</v>
      </c>
      <c r="BJ265" s="36" t="n">
        <v>-5.8</v>
      </c>
      <c r="BK265" s="36" t="n">
        <v>-8.2</v>
      </c>
      <c r="BL265" s="36" t="n">
        <v>-40.8</v>
      </c>
      <c r="BM265" s="36" t="n">
        <v>-33</v>
      </c>
      <c r="BN265" s="36" t="n">
        <v>-5</v>
      </c>
      <c r="BO265" s="36" t="n">
        <v>-5</v>
      </c>
      <c r="BP265" s="36" t="n">
        <v>-13</v>
      </c>
      <c r="BQ265" s="36" t="n">
        <v>-56</v>
      </c>
      <c r="BR265" s="36" t="n">
        <v>-26</v>
      </c>
      <c r="BS265" s="36" t="n">
        <v>-14</v>
      </c>
      <c r="BT265" s="36" t="n">
        <v>-11</v>
      </c>
      <c r="BU265" s="36" t="n">
        <v>-7</v>
      </c>
      <c r="BV265" s="36" t="n">
        <v>-58</v>
      </c>
      <c r="BW265" s="36" t="n">
        <v>-33</v>
      </c>
      <c r="BX265" s="36" t="n">
        <v>-8</v>
      </c>
      <c r="BY265" s="6"/>
      <c r="BZ265" s="6"/>
      <c r="CA265" s="37" t="n">
        <f aca="false">(BW265+BX265)</f>
        <v>-41</v>
      </c>
      <c r="CB265" s="52" t="n">
        <v>0</v>
      </c>
      <c r="CC265" s="52" t="n">
        <v>0</v>
      </c>
      <c r="CD265" s="52" t="n">
        <v>0</v>
      </c>
      <c r="CE265" s="52" t="n">
        <v>0</v>
      </c>
      <c r="CF265" s="6"/>
    </row>
    <row r="266" customFormat="false" ht="15" hidden="false" customHeight="true" outlineLevel="0" collapsed="false">
      <c r="B266" s="17" t="s">
        <v>452</v>
      </c>
      <c r="C266" s="33" t="n">
        <v>-169.232</v>
      </c>
      <c r="D266" s="33" t="n">
        <v>-151.785</v>
      </c>
      <c r="E266" s="33" t="n">
        <v>122.884</v>
      </c>
      <c r="F266" s="33" t="n">
        <v>92.46</v>
      </c>
      <c r="G266" s="33" t="n">
        <v>-288.894</v>
      </c>
      <c r="H266" s="33" t="n">
        <v>-64.471</v>
      </c>
      <c r="I266" s="33" t="n">
        <v>-80.107</v>
      </c>
      <c r="J266" s="33" t="n">
        <v>16.22</v>
      </c>
      <c r="K266" s="33" t="n">
        <v>5</v>
      </c>
      <c r="L266" s="33" t="n">
        <v>11.95</v>
      </c>
      <c r="M266" s="33" t="n">
        <v>-110.529</v>
      </c>
      <c r="N266" s="33" t="n">
        <v>-77.359</v>
      </c>
      <c r="O266" s="33" t="n">
        <v>22.314</v>
      </c>
      <c r="P266" s="33" t="n">
        <v>-18.614</v>
      </c>
      <c r="Q266" s="33" t="n">
        <v>-209.319</v>
      </c>
      <c r="R266" s="33" t="n">
        <v>-60.5</v>
      </c>
      <c r="S266" s="33" t="n">
        <v>-266.119</v>
      </c>
      <c r="T266" s="33" t="n">
        <v>-24.019</v>
      </c>
      <c r="U266" s="33" t="n">
        <v>-32.609</v>
      </c>
      <c r="V266" s="33" t="n">
        <v>-135.724</v>
      </c>
      <c r="W266" s="33" t="n">
        <v>-409.587</v>
      </c>
      <c r="X266" s="33" t="n">
        <v>-601.939</v>
      </c>
      <c r="Y266" s="33" t="n">
        <v>2.192</v>
      </c>
      <c r="Z266" s="33" t="n">
        <v>-19.737</v>
      </c>
      <c r="AA266" s="33" t="n">
        <v>-49.54</v>
      </c>
      <c r="AB266" s="33" t="n">
        <v>-174.627</v>
      </c>
      <c r="AC266" s="33" t="n">
        <v>-241.712</v>
      </c>
      <c r="AD266" s="33" t="n">
        <v>32.89</v>
      </c>
      <c r="AE266" s="33" t="n">
        <v>-89.605</v>
      </c>
      <c r="AF266" s="33" t="n">
        <v>-91.671</v>
      </c>
      <c r="AG266" s="33" t="n">
        <v>1273.313</v>
      </c>
      <c r="AH266" s="33" t="n">
        <v>1124.927</v>
      </c>
      <c r="AI266" s="33" t="n">
        <v>-35.371</v>
      </c>
      <c r="AJ266" s="33" t="n">
        <v>160.084</v>
      </c>
      <c r="AK266" s="33" t="n">
        <v>-120.032</v>
      </c>
      <c r="AL266" s="33" t="n">
        <v>-163.095</v>
      </c>
      <c r="AM266" s="33" t="n">
        <v>-158.414</v>
      </c>
      <c r="AN266" s="33" t="n">
        <v>2.137</v>
      </c>
      <c r="AO266" s="33" t="n">
        <v>-125.28</v>
      </c>
      <c r="AP266" s="33" t="n">
        <v>-245.788</v>
      </c>
      <c r="AQ266" s="33" t="n">
        <v>-235.169</v>
      </c>
      <c r="AR266" s="33" t="n">
        <v>-604.1</v>
      </c>
      <c r="AS266" s="33" t="n">
        <v>391.8</v>
      </c>
      <c r="AT266" s="33" t="n">
        <v>-545.1</v>
      </c>
      <c r="AU266" s="33" t="n">
        <v>-166.3</v>
      </c>
      <c r="AV266" s="33" t="n">
        <v>-37.4</v>
      </c>
      <c r="AW266" s="33" t="n">
        <v>-357</v>
      </c>
      <c r="AX266" s="33" t="n">
        <v>-53.2</v>
      </c>
      <c r="AY266" s="33" t="n">
        <v>201</v>
      </c>
      <c r="AZ266" s="33" t="n">
        <v>2209.5</v>
      </c>
      <c r="BA266" s="33" t="n">
        <v>-65.9000000000001</v>
      </c>
      <c r="BB266" s="33" t="n">
        <v>2291.4</v>
      </c>
      <c r="BC266" s="33" t="n">
        <v>-116.2</v>
      </c>
      <c r="BD266" s="33" t="n">
        <v>-90.3</v>
      </c>
      <c r="BE266" s="33" t="n">
        <v>-153</v>
      </c>
      <c r="BF266" s="33" t="n">
        <v>-48</v>
      </c>
      <c r="BG266" s="33" t="n">
        <v>-407.5</v>
      </c>
      <c r="BH266" s="33" t="n">
        <v>-137.4</v>
      </c>
      <c r="BI266" s="33" t="n">
        <v>-121.1</v>
      </c>
      <c r="BJ266" s="33" t="n">
        <v>-751.5</v>
      </c>
      <c r="BK266" s="33" t="n">
        <v>-53.5999999999999</v>
      </c>
      <c r="BL266" s="33" t="n">
        <v>-1063.6</v>
      </c>
      <c r="BM266" s="33" t="n">
        <v>-229</v>
      </c>
      <c r="BN266" s="33" t="n">
        <v>-351</v>
      </c>
      <c r="BO266" s="33" t="n">
        <v>-359</v>
      </c>
      <c r="BP266" s="33" t="n">
        <v>1312</v>
      </c>
      <c r="BQ266" s="33" t="n">
        <v>373</v>
      </c>
      <c r="BR266" s="33" t="n">
        <v>-525</v>
      </c>
      <c r="BS266" s="33" t="n">
        <v>-62</v>
      </c>
      <c r="BT266" s="33" t="n">
        <v>44</v>
      </c>
      <c r="BU266" s="33" t="n">
        <v>-257</v>
      </c>
      <c r="BV266" s="33" t="n">
        <v>-800</v>
      </c>
      <c r="BW266" s="33" t="n">
        <v>-314</v>
      </c>
      <c r="BX266" s="33" t="n">
        <v>596</v>
      </c>
      <c r="BY266" s="57"/>
      <c r="BZ266" s="57"/>
      <c r="CA266" s="34" t="n">
        <f aca="false">SUM(CA260:CA265)</f>
        <v>6595.03346441462</v>
      </c>
      <c r="CB266" s="34" t="n">
        <f aca="false">SUM(CB260:CB265)</f>
        <v>-1666.41996533985</v>
      </c>
      <c r="CC266" s="34" t="n">
        <f aca="false">SUM(CC260:CC265)</f>
        <v>-509.103490963246</v>
      </c>
      <c r="CD266" s="34" t="n">
        <f aca="false">SUM(CD260:CD265)</f>
        <v>-1698.89390214709</v>
      </c>
      <c r="CE266" s="34" t="n">
        <f aca="false">SUM(CE260:CE265)</f>
        <v>-2423.47127367813</v>
      </c>
      <c r="CF266" s="6"/>
    </row>
    <row r="267" customFormat="false" ht="15" hidden="false" customHeight="true" outlineLevel="0" collapsed="false">
      <c r="B267" s="26" t="s">
        <v>453</v>
      </c>
      <c r="C267" s="36" t="n">
        <v>-44.463</v>
      </c>
      <c r="D267" s="36" t="n">
        <v>-12.244</v>
      </c>
      <c r="E267" s="36" t="n">
        <v>17.756</v>
      </c>
      <c r="F267" s="36" t="n">
        <v>225.797</v>
      </c>
      <c r="G267" s="36" t="n">
        <v>-193.268</v>
      </c>
      <c r="H267" s="36" t="n">
        <v>-44.301</v>
      </c>
      <c r="I267" s="36" t="n">
        <v>-0.628</v>
      </c>
      <c r="J267" s="36" t="n">
        <v>11.866</v>
      </c>
      <c r="K267" s="36" t="n">
        <v>6.452</v>
      </c>
      <c r="L267" s="36" t="n">
        <v>13.529</v>
      </c>
      <c r="M267" s="36" t="n">
        <v>-14.804</v>
      </c>
      <c r="N267" s="36" t="n">
        <v>17.043</v>
      </c>
      <c r="O267" s="36" t="n">
        <v>-6.636</v>
      </c>
      <c r="P267" s="36" t="n">
        <v>-1.472</v>
      </c>
      <c r="Q267" s="36" t="n">
        <v>39.268</v>
      </c>
      <c r="R267" s="36" t="n">
        <v>35.054</v>
      </c>
      <c r="S267" s="36" t="n">
        <v>66.214</v>
      </c>
      <c r="T267" s="36" t="n">
        <v>-52.285</v>
      </c>
      <c r="U267" s="36" t="n">
        <v>-12.197</v>
      </c>
      <c r="V267" s="36" t="n">
        <v>392.26</v>
      </c>
      <c r="W267" s="36" t="n">
        <v>-268.02</v>
      </c>
      <c r="X267" s="36" t="n">
        <v>59.758</v>
      </c>
      <c r="Y267" s="36" t="n">
        <v>-141.167</v>
      </c>
      <c r="Z267" s="36" t="n">
        <v>1.35400000000001</v>
      </c>
      <c r="AA267" s="36" t="n">
        <v>32.088</v>
      </c>
      <c r="AB267" s="36" t="n">
        <v>-10.646</v>
      </c>
      <c r="AC267" s="36" t="n">
        <v>-118.371</v>
      </c>
      <c r="AD267" s="36" t="n">
        <v>5.38</v>
      </c>
      <c r="AE267" s="36" t="n">
        <v>-18.696</v>
      </c>
      <c r="AF267" s="36" t="n">
        <v>-1.503</v>
      </c>
      <c r="AG267" s="36" t="n">
        <v>1411.145</v>
      </c>
      <c r="AH267" s="36" t="n">
        <v>1396.326</v>
      </c>
      <c r="AI267" s="36" t="n">
        <v>-23.991</v>
      </c>
      <c r="AJ267" s="36" t="n">
        <v>-1388.594</v>
      </c>
      <c r="AK267" s="36" t="n">
        <v>20.182</v>
      </c>
      <c r="AL267" s="36" t="n">
        <v>-9.06899999999996</v>
      </c>
      <c r="AM267" s="36" t="n">
        <v>-1401.472</v>
      </c>
      <c r="AN267" s="36" t="n">
        <v>-7.535</v>
      </c>
      <c r="AO267" s="36" t="n">
        <v>16.238</v>
      </c>
      <c r="AP267" s="36" t="n">
        <v>-4.508</v>
      </c>
      <c r="AQ267" s="36" t="n">
        <v>-28.095</v>
      </c>
      <c r="AR267" s="36" t="n">
        <v>-23.9</v>
      </c>
      <c r="AS267" s="36" t="n">
        <v>403</v>
      </c>
      <c r="AT267" s="36" t="n">
        <v>-353.9</v>
      </c>
      <c r="AU267" s="36" t="n">
        <v>123.6</v>
      </c>
      <c r="AV267" s="36" t="n">
        <v>110.7</v>
      </c>
      <c r="AW267" s="36" t="n">
        <v>283.4</v>
      </c>
      <c r="AX267" s="36" t="n">
        <v>50.4</v>
      </c>
      <c r="AY267" s="36" t="n">
        <v>-284.5</v>
      </c>
      <c r="AZ267" s="36" t="n">
        <v>2312.8</v>
      </c>
      <c r="BA267" s="36" t="n">
        <v>-2124.2</v>
      </c>
      <c r="BB267" s="36" t="n">
        <v>-45.5</v>
      </c>
      <c r="BC267" s="36" t="n">
        <v>-69.3</v>
      </c>
      <c r="BD267" s="36" t="n">
        <v>582.5</v>
      </c>
      <c r="BE267" s="36" t="n">
        <v>-636.4</v>
      </c>
      <c r="BF267" s="36" t="n">
        <v>223.1</v>
      </c>
      <c r="BG267" s="36" t="n">
        <v>99.9</v>
      </c>
      <c r="BH267" s="36" t="n">
        <v>-129.3</v>
      </c>
      <c r="BI267" s="36" t="n">
        <v>192</v>
      </c>
      <c r="BJ267" s="36" t="n">
        <v>226.1</v>
      </c>
      <c r="BK267" s="36" t="n">
        <v>634.7</v>
      </c>
      <c r="BL267" s="36" t="n">
        <v>923.5</v>
      </c>
      <c r="BM267" s="36" t="n">
        <v>1368</v>
      </c>
      <c r="BN267" s="36" t="n">
        <v>-2541</v>
      </c>
      <c r="BO267" s="36" t="n">
        <v>-57</v>
      </c>
      <c r="BP267" s="36" t="n">
        <v>618</v>
      </c>
      <c r="BQ267" s="36" t="n">
        <v>-612</v>
      </c>
      <c r="BR267" s="36" t="n">
        <v>-569</v>
      </c>
      <c r="BS267" s="36" t="n">
        <v>135</v>
      </c>
      <c r="BT267" s="36" t="n">
        <v>-166</v>
      </c>
      <c r="BU267" s="36" t="n">
        <v>-3</v>
      </c>
      <c r="BV267" s="36" t="n">
        <v>-603</v>
      </c>
      <c r="BW267" s="36" t="n">
        <v>206</v>
      </c>
      <c r="BX267" s="36" t="n">
        <v>-153</v>
      </c>
      <c r="BY267" s="6"/>
      <c r="BZ267" s="6"/>
      <c r="CA267" s="37" t="n">
        <f aca="false">CA254+CA259+CA266</f>
        <v>83</v>
      </c>
      <c r="CB267" s="37" t="n">
        <f aca="false">CB254+CB259+CB266</f>
        <v>0</v>
      </c>
      <c r="CC267" s="37" t="n">
        <f aca="false">CC254+CC259+CC266</f>
        <v>951.897174754428</v>
      </c>
      <c r="CD267" s="37" t="n">
        <f aca="false">CD254+CD259+CD266</f>
        <v>-223.782795184962</v>
      </c>
      <c r="CE267" s="37" t="n">
        <f aca="false">CE254+CE259+CE266</f>
        <v>-728.114379569466</v>
      </c>
      <c r="CF267" s="6"/>
    </row>
    <row r="268" customFormat="false" ht="15" hidden="false" customHeight="true" outlineLevel="0" collapsed="false">
      <c r="B268" s="26" t="s">
        <v>454</v>
      </c>
      <c r="C268" s="36" t="n">
        <v>76.745</v>
      </c>
      <c r="D268" s="36" t="n">
        <v>32.282</v>
      </c>
      <c r="E268" s="36" t="n">
        <v>20.038</v>
      </c>
      <c r="F268" s="36" t="n">
        <v>37.794</v>
      </c>
      <c r="G268" s="36" t="n">
        <v>263.591</v>
      </c>
      <c r="H268" s="36" t="n">
        <v>70.323</v>
      </c>
      <c r="I268" s="36" t="n">
        <v>26.022</v>
      </c>
      <c r="J268" s="36" t="n">
        <v>25.394</v>
      </c>
      <c r="K268" s="36" t="n">
        <v>37.26</v>
      </c>
      <c r="L268" s="36" t="n">
        <v>43.712</v>
      </c>
      <c r="M268" s="36" t="n">
        <v>57.241</v>
      </c>
      <c r="N268" s="36" t="n">
        <v>25.394</v>
      </c>
      <c r="O268" s="36" t="n">
        <v>42.437</v>
      </c>
      <c r="P268" s="36" t="n">
        <v>35.801</v>
      </c>
      <c r="Q268" s="36" t="n">
        <v>34.329</v>
      </c>
      <c r="R268" s="36" t="n">
        <v>73.597</v>
      </c>
      <c r="S268" s="36" t="n">
        <v>42.437</v>
      </c>
      <c r="T268" s="36" t="n">
        <v>108.651</v>
      </c>
      <c r="U268" s="36" t="n">
        <v>56.366</v>
      </c>
      <c r="V268" s="36" t="n">
        <v>44.169</v>
      </c>
      <c r="W268" s="36" t="n">
        <v>436.429</v>
      </c>
      <c r="X268" s="36" t="n">
        <v>108.651</v>
      </c>
      <c r="Y268" s="36" t="n">
        <v>168.409</v>
      </c>
      <c r="Z268" s="36" t="n">
        <v>27.242</v>
      </c>
      <c r="AA268" s="36" t="n">
        <v>28.596</v>
      </c>
      <c r="AB268" s="36" t="n">
        <v>60.684</v>
      </c>
      <c r="AC268" s="36" t="n">
        <v>168.409</v>
      </c>
      <c r="AD268" s="36" t="n">
        <v>50.038</v>
      </c>
      <c r="AE268" s="36" t="n">
        <v>55.418</v>
      </c>
      <c r="AF268" s="36" t="n">
        <v>36.722</v>
      </c>
      <c r="AG268" s="36" t="n">
        <v>35.219</v>
      </c>
      <c r="AH268" s="36" t="n">
        <v>50.038</v>
      </c>
      <c r="AI268" s="36" t="n">
        <v>1446.364</v>
      </c>
      <c r="AJ268" s="36" t="n">
        <v>1422.373</v>
      </c>
      <c r="AK268" s="36" t="n">
        <v>33.779</v>
      </c>
      <c r="AL268" s="36" t="n">
        <v>53.961</v>
      </c>
      <c r="AM268" s="36" t="n">
        <v>1446.364</v>
      </c>
      <c r="AN268" s="36" t="n">
        <v>44.892</v>
      </c>
      <c r="AO268" s="36" t="n">
        <v>37.357</v>
      </c>
      <c r="AP268" s="36" t="n">
        <v>53.595</v>
      </c>
      <c r="AQ268" s="36" t="n">
        <v>49.087</v>
      </c>
      <c r="AR268" s="36" t="n">
        <v>44.9</v>
      </c>
      <c r="AS268" s="36" t="n">
        <v>21</v>
      </c>
      <c r="AT268" s="36" t="n">
        <v>424</v>
      </c>
      <c r="AU268" s="36" t="n">
        <v>70.1</v>
      </c>
      <c r="AV268" s="36" t="n">
        <v>193.7</v>
      </c>
      <c r="AW268" s="36" t="n">
        <v>21</v>
      </c>
      <c r="AX268" s="36" t="n">
        <v>304.4</v>
      </c>
      <c r="AY268" s="36" t="n">
        <v>354.8</v>
      </c>
      <c r="AZ268" s="36" t="n">
        <v>70.3</v>
      </c>
      <c r="BA268" s="36" t="n">
        <v>2383.1</v>
      </c>
      <c r="BB268" s="36" t="n">
        <v>304.4</v>
      </c>
      <c r="BC268" s="36" t="n">
        <v>258.9</v>
      </c>
      <c r="BD268" s="36" t="n">
        <v>189.6</v>
      </c>
      <c r="BE268" s="36" t="n">
        <v>772.1</v>
      </c>
      <c r="BF268" s="36" t="n">
        <v>135.7</v>
      </c>
      <c r="BG268" s="36" t="n">
        <v>258.9</v>
      </c>
      <c r="BH268" s="36" t="n">
        <v>358.8</v>
      </c>
      <c r="BI268" s="36" t="n">
        <v>229.5</v>
      </c>
      <c r="BJ268" s="36" t="n">
        <v>421.5</v>
      </c>
      <c r="BK268" s="36" t="n">
        <v>647.6</v>
      </c>
      <c r="BL268" s="36" t="n">
        <v>358.8</v>
      </c>
      <c r="BM268" s="36" t="n">
        <v>1282</v>
      </c>
      <c r="BN268" s="36" t="n">
        <v>2650</v>
      </c>
      <c r="BO268" s="36" t="n">
        <v>109</v>
      </c>
      <c r="BP268" s="36" t="n">
        <v>52</v>
      </c>
      <c r="BQ268" s="36" t="n">
        <v>1282</v>
      </c>
      <c r="BR268" s="36" t="n">
        <v>670</v>
      </c>
      <c r="BS268" s="36" t="n">
        <v>101</v>
      </c>
      <c r="BT268" s="36" t="n">
        <v>236</v>
      </c>
      <c r="BU268" s="36" t="n">
        <v>70</v>
      </c>
      <c r="BV268" s="36" t="n">
        <v>670</v>
      </c>
      <c r="BW268" s="36" t="n">
        <v>67</v>
      </c>
      <c r="BX268" s="36" t="n">
        <v>273</v>
      </c>
      <c r="BY268" s="6"/>
      <c r="BZ268" s="6"/>
      <c r="CA268" s="37" t="n">
        <f aca="false">BV269</f>
        <v>67</v>
      </c>
      <c r="CB268" s="37" t="n">
        <f aca="false">CA269</f>
        <v>150</v>
      </c>
      <c r="CC268" s="37" t="n">
        <f aca="false">CB269</f>
        <v>150</v>
      </c>
      <c r="CD268" s="37" t="n">
        <f aca="false">CC269</f>
        <v>1101.89717475443</v>
      </c>
      <c r="CE268" s="37" t="n">
        <f aca="false">CD269</f>
        <v>878.114379569466</v>
      </c>
      <c r="CF268" s="6"/>
    </row>
    <row r="269" customFormat="false" ht="15" hidden="false" customHeight="true" outlineLevel="0" collapsed="false">
      <c r="B269" s="17" t="s">
        <v>455</v>
      </c>
      <c r="C269" s="33" t="n">
        <v>32.282</v>
      </c>
      <c r="D269" s="33" t="n">
        <v>20.038</v>
      </c>
      <c r="E269" s="33" t="n">
        <v>37.794</v>
      </c>
      <c r="F269" s="33" t="n">
        <v>263.591</v>
      </c>
      <c r="G269" s="33" t="n">
        <v>70.323</v>
      </c>
      <c r="H269" s="33" t="n">
        <v>26.022</v>
      </c>
      <c r="I269" s="33" t="n">
        <v>25.394</v>
      </c>
      <c r="J269" s="33" t="n">
        <v>37.26</v>
      </c>
      <c r="K269" s="33" t="n">
        <v>43.712</v>
      </c>
      <c r="L269" s="33" t="n">
        <v>57.241</v>
      </c>
      <c r="M269" s="33" t="n">
        <v>42.437</v>
      </c>
      <c r="N269" s="33" t="n">
        <v>42.437</v>
      </c>
      <c r="O269" s="33" t="n">
        <v>35.801</v>
      </c>
      <c r="P269" s="33" t="n">
        <v>34.329</v>
      </c>
      <c r="Q269" s="33" t="n">
        <v>73.597</v>
      </c>
      <c r="R269" s="33" t="n">
        <v>108.651</v>
      </c>
      <c r="S269" s="33" t="n">
        <v>108.651</v>
      </c>
      <c r="T269" s="33" t="n">
        <v>56.366</v>
      </c>
      <c r="U269" s="33" t="n">
        <v>44.169</v>
      </c>
      <c r="V269" s="33" t="n">
        <v>436.429</v>
      </c>
      <c r="W269" s="33" t="n">
        <v>168.409</v>
      </c>
      <c r="X269" s="33" t="n">
        <v>168.409</v>
      </c>
      <c r="Y269" s="33" t="n">
        <v>27.242</v>
      </c>
      <c r="Z269" s="33" t="n">
        <v>28.596</v>
      </c>
      <c r="AA269" s="33" t="n">
        <v>60.684</v>
      </c>
      <c r="AB269" s="33" t="n">
        <v>50.038</v>
      </c>
      <c r="AC269" s="33" t="n">
        <v>50.038</v>
      </c>
      <c r="AD269" s="33" t="n">
        <v>55.418</v>
      </c>
      <c r="AE269" s="33" t="n">
        <v>36.722</v>
      </c>
      <c r="AF269" s="33" t="n">
        <v>35.219</v>
      </c>
      <c r="AG269" s="33" t="n">
        <v>1446.364</v>
      </c>
      <c r="AH269" s="33" t="n">
        <v>1446.364</v>
      </c>
      <c r="AI269" s="33" t="n">
        <v>1422.373</v>
      </c>
      <c r="AJ269" s="33" t="n">
        <v>33.779</v>
      </c>
      <c r="AK269" s="33" t="n">
        <v>53.961</v>
      </c>
      <c r="AL269" s="33" t="n">
        <v>44.892</v>
      </c>
      <c r="AM269" s="33" t="n">
        <v>44.892</v>
      </c>
      <c r="AN269" s="33" t="n">
        <v>37.357</v>
      </c>
      <c r="AO269" s="33" t="n">
        <v>53.595</v>
      </c>
      <c r="AP269" s="33" t="n">
        <v>49.087</v>
      </c>
      <c r="AQ269" s="33" t="n">
        <v>21</v>
      </c>
      <c r="AR269" s="33" t="n">
        <v>21</v>
      </c>
      <c r="AS269" s="33" t="n">
        <v>424</v>
      </c>
      <c r="AT269" s="33" t="n">
        <v>70.1</v>
      </c>
      <c r="AU269" s="33" t="n">
        <v>193.7</v>
      </c>
      <c r="AV269" s="33" t="n">
        <v>304.4</v>
      </c>
      <c r="AW269" s="33" t="n">
        <v>304.4</v>
      </c>
      <c r="AX269" s="33" t="n">
        <v>354.8</v>
      </c>
      <c r="AY269" s="33" t="n">
        <v>70.3</v>
      </c>
      <c r="AZ269" s="33" t="n">
        <v>2383.1</v>
      </c>
      <c r="BA269" s="33" t="n">
        <v>258.9</v>
      </c>
      <c r="BB269" s="33" t="n">
        <v>258.9</v>
      </c>
      <c r="BC269" s="33" t="n">
        <v>189.6</v>
      </c>
      <c r="BD269" s="33" t="n">
        <v>772.1</v>
      </c>
      <c r="BE269" s="33" t="n">
        <v>135.7</v>
      </c>
      <c r="BF269" s="33" t="n">
        <v>358.8</v>
      </c>
      <c r="BG269" s="33" t="n">
        <v>358.8</v>
      </c>
      <c r="BH269" s="33" t="n">
        <v>229.5</v>
      </c>
      <c r="BI269" s="33" t="n">
        <v>421.5</v>
      </c>
      <c r="BJ269" s="33" t="n">
        <v>647.6</v>
      </c>
      <c r="BK269" s="33" t="n">
        <v>1282.3</v>
      </c>
      <c r="BL269" s="33" t="n">
        <v>1282.3</v>
      </c>
      <c r="BM269" s="33" t="n">
        <v>2650</v>
      </c>
      <c r="BN269" s="33" t="n">
        <v>109</v>
      </c>
      <c r="BO269" s="33" t="n">
        <v>52</v>
      </c>
      <c r="BP269" s="33" t="n">
        <v>670</v>
      </c>
      <c r="BQ269" s="33" t="n">
        <v>670</v>
      </c>
      <c r="BR269" s="33" t="n">
        <v>101</v>
      </c>
      <c r="BS269" s="33" t="n">
        <v>236</v>
      </c>
      <c r="BT269" s="33" t="n">
        <v>70</v>
      </c>
      <c r="BU269" s="33" t="n">
        <v>67</v>
      </c>
      <c r="BV269" s="33" t="n">
        <v>67</v>
      </c>
      <c r="BW269" s="33" t="n">
        <v>273</v>
      </c>
      <c r="BX269" s="33" t="n">
        <v>120</v>
      </c>
      <c r="BY269" s="57"/>
      <c r="BZ269" s="57"/>
      <c r="CA269" s="34" t="n">
        <f aca="false">CA268+CA267</f>
        <v>150</v>
      </c>
      <c r="CB269" s="34" t="n">
        <f aca="false">CB268+CB267</f>
        <v>150</v>
      </c>
      <c r="CC269" s="34" t="n">
        <f aca="false">CC268+CC267</f>
        <v>1101.89717475443</v>
      </c>
      <c r="CD269" s="34" t="n">
        <f aca="false">CD268+CD267</f>
        <v>878.114379569466</v>
      </c>
      <c r="CE269" s="34" t="n">
        <f aca="false">CE268+CE267</f>
        <v>150</v>
      </c>
      <c r="CF269" s="6"/>
    </row>
    <row r="270" customFormat="false" ht="15" hidden="false" customHeight="true" outlineLevel="0" collapsed="false">
      <c r="B270" s="61" t="s">
        <v>456</v>
      </c>
      <c r="C270" s="47" t="n">
        <f aca="false">IF(ISNUMBER(C254),ROUND(C254+C259+C266-C267,1),"")</f>
        <v>0</v>
      </c>
      <c r="D270" s="47" t="n">
        <f aca="false">IF(ISNUMBER(D254),ROUND(D254+D259+D266-D267,1),"")</f>
        <v>0</v>
      </c>
      <c r="E270" s="47" t="n">
        <f aca="false">IF(ISNUMBER(E254),ROUND(E254+E259+E266-E267,1),"")</f>
        <v>0</v>
      </c>
      <c r="F270" s="47" t="n">
        <f aca="false">IF(ISNUMBER(F254),ROUND(F254+F259+F266-F267,1),"")</f>
        <v>0</v>
      </c>
      <c r="G270" s="47" t="n">
        <f aca="false">IF(ISNUMBER(G254),ROUND(G254+G259+G266-G267,1),"")</f>
        <v>0</v>
      </c>
      <c r="H270" s="47" t="n">
        <f aca="false">IF(ISNUMBER(H254),ROUND(H254+H259+H266-H267,1),"")</f>
        <v>0</v>
      </c>
      <c r="I270" s="47" t="n">
        <f aca="false">IF(ISNUMBER(I254),ROUND(I254+I259+I266-I267,1),"")</f>
        <v>-0</v>
      </c>
      <c r="J270" s="47" t="n">
        <f aca="false">IF(ISNUMBER(J254),ROUND(J254+J259+J266-J267,1),"")</f>
        <v>0</v>
      </c>
      <c r="K270" s="47" t="n">
        <f aca="false">IF(ISNUMBER(K254),ROUND(K254+K259+K266-K267,1),"")</f>
        <v>0</v>
      </c>
      <c r="L270" s="47" t="n">
        <f aca="false">IF(ISNUMBER(L254),ROUND(L254+L259+L266-L267,1),"")</f>
        <v>0</v>
      </c>
      <c r="M270" s="47" t="n">
        <f aca="false">IF(ISNUMBER(M254),ROUND(M254+M259+M266-M267,1),"")</f>
        <v>0</v>
      </c>
      <c r="N270" s="47" t="n">
        <f aca="false">IF(ISNUMBER(N254),ROUND(N254+N259+N266-N267,1),"")</f>
        <v>0</v>
      </c>
      <c r="O270" s="47" t="n">
        <f aca="false">IF(ISNUMBER(O254),ROUND(O254+O259+O266-O267,1),"")</f>
        <v>0</v>
      </c>
      <c r="P270" s="47" t="n">
        <f aca="false">IF(ISNUMBER(P254),ROUND(P254+P259+P266-P267,1),"")</f>
        <v>-0</v>
      </c>
      <c r="Q270" s="47" t="n">
        <f aca="false">IF(ISNUMBER(Q254),ROUND(Q254+Q259+Q266-Q267,1),"")</f>
        <v>0</v>
      </c>
      <c r="R270" s="47" t="n">
        <f aca="false">IF(ISNUMBER(R254),ROUND(R254+R259+R266-R267,1),"")</f>
        <v>0</v>
      </c>
      <c r="S270" s="47" t="n">
        <f aca="false">IF(ISNUMBER(S254),ROUND(S254+S259+S266-S267,1),"")</f>
        <v>0</v>
      </c>
      <c r="T270" s="47" t="n">
        <f aca="false">IF(ISNUMBER(T254),ROUND(T254+T259+T266-T267,1),"")</f>
        <v>0</v>
      </c>
      <c r="U270" s="47" t="n">
        <f aca="false">IF(ISNUMBER(U254),ROUND(U254+U259+U266-U267,1),"")</f>
        <v>0</v>
      </c>
      <c r="V270" s="47" t="n">
        <f aca="false">IF(ISNUMBER(V254),ROUND(V254+V259+V266-V267,1),"")</f>
        <v>0</v>
      </c>
      <c r="W270" s="47" t="n">
        <f aca="false">IF(ISNUMBER(W254),ROUND(W254+W259+W266-W267,1),"")</f>
        <v>0</v>
      </c>
      <c r="X270" s="47" t="n">
        <f aca="false">IF(ISNUMBER(X254),ROUND(X254+X259+X266-X267,1),"")</f>
        <v>0</v>
      </c>
      <c r="Y270" s="47" t="n">
        <f aca="false">IF(ISNUMBER(Y254),ROUND(Y254+Y259+Y266-Y267,1),"")</f>
        <v>0</v>
      </c>
      <c r="Z270" s="47" t="n">
        <f aca="false">IF(ISNUMBER(Z254),ROUND(Z254+Z259+Z266-Z267,1),"")</f>
        <v>-0</v>
      </c>
      <c r="AA270" s="47" t="n">
        <f aca="false">IF(ISNUMBER(AA254),ROUND(AA254+AA259+AA266-AA267,1),"")</f>
        <v>0</v>
      </c>
      <c r="AB270" s="47" t="n">
        <f aca="false">IF(ISNUMBER(AB254),ROUND(AB254+AB259+AB266-AB267,1),"")</f>
        <v>0</v>
      </c>
      <c r="AC270" s="47" t="n">
        <f aca="false">IF(ISNUMBER(AC254),ROUND(AC254+AC259+AC266-AC267,1),"")</f>
        <v>0</v>
      </c>
      <c r="AD270" s="47" t="n">
        <f aca="false">IF(ISNUMBER(AD254),ROUND(AD254+AD259+AD266-AD267,1),"")</f>
        <v>0</v>
      </c>
      <c r="AE270" s="47" t="n">
        <f aca="false">IF(ISNUMBER(AE254),ROUND(AE254+AE259+AE266-AE267,1),"")</f>
        <v>0</v>
      </c>
      <c r="AF270" s="47" t="n">
        <f aca="false">IF(ISNUMBER(AF254),ROUND(AF254+AF259+AF266-AF267,1),"")</f>
        <v>-0</v>
      </c>
      <c r="AG270" s="47" t="n">
        <f aca="false">IF(ISNUMBER(AG254),ROUND(AG254+AG259+AG266-AG267,1),"")</f>
        <v>0</v>
      </c>
      <c r="AH270" s="47" t="n">
        <f aca="false">IF(ISNUMBER(AH254),ROUND(AH254+AH259+AH266-AH267,1),"")</f>
        <v>0</v>
      </c>
      <c r="AI270" s="47" t="n">
        <f aca="false">IF(ISNUMBER(AI254),ROUND(AI254+AI259+AI266-AI267,1),"")</f>
        <v>0</v>
      </c>
      <c r="AJ270" s="47" t="n">
        <f aca="false">IF(ISNUMBER(AJ254),ROUND(AJ254+AJ259+AJ266-AJ267,1),"")</f>
        <v>0</v>
      </c>
      <c r="AK270" s="47" t="n">
        <f aca="false">IF(ISNUMBER(AK254),ROUND(AK254+AK259+AK266-AK267,1),"")</f>
        <v>-0</v>
      </c>
      <c r="AL270" s="47" t="n">
        <f aca="false">IF(ISNUMBER(AL254),ROUND(AL254+AL259+AL266-AL267,1),"")</f>
        <v>0</v>
      </c>
      <c r="AM270" s="47" t="n">
        <f aca="false">IF(ISNUMBER(AM254),ROUND(AM254+AM259+AM266-AM267,1),"")</f>
        <v>0</v>
      </c>
      <c r="AN270" s="47" t="n">
        <f aca="false">IF(ISNUMBER(AN254),ROUND(AN254+AN259+AN266-AN267,1),"")</f>
        <v>0</v>
      </c>
      <c r="AO270" s="47" t="n">
        <f aca="false">IF(ISNUMBER(AO254),ROUND(AO254+AO259+AO266-AO267,1),"")</f>
        <v>0</v>
      </c>
      <c r="AP270" s="47" t="n">
        <f aca="false">IF(ISNUMBER(AP254),ROUND(AP254+AP259+AP266-AP267,1),"")</f>
        <v>-0</v>
      </c>
      <c r="AQ270" s="47" t="n">
        <f aca="false">IF(ISNUMBER(AQ254),ROUND(AQ254+AQ259+AQ266-AQ267,1),"")</f>
        <v>0</v>
      </c>
      <c r="AR270" s="47" t="n">
        <f aca="false">IF(ISNUMBER(AR254),ROUND(AR254+AR259+AR266-AR267,1),"")</f>
        <v>0</v>
      </c>
      <c r="AS270" s="47" t="n">
        <f aca="false">IF(ISNUMBER(AS254),ROUND(AS254+AS259+AS266-AS267,1),"")</f>
        <v>0</v>
      </c>
      <c r="AT270" s="47" t="n">
        <f aca="false">IF(ISNUMBER(AT254),ROUND(AT254+AT259+AT266-AT267,1),"")</f>
        <v>0</v>
      </c>
      <c r="AU270" s="47" t="n">
        <f aca="false">IF(ISNUMBER(AU254),ROUND(AU254+AU259+AU266-AU267,1),"")</f>
        <v>0</v>
      </c>
      <c r="AV270" s="47" t="n">
        <f aca="false">IF(ISNUMBER(AV254),ROUND(AV254+AV259+AV266-AV267,1),"")</f>
        <v>0</v>
      </c>
      <c r="AW270" s="47" t="n">
        <f aca="false">IF(ISNUMBER(AW254),ROUND(AW254+AW259+AW266-AW267,1),"")</f>
        <v>0</v>
      </c>
      <c r="AX270" s="47" t="n">
        <f aca="false">IF(ISNUMBER(AX254),ROUND(AX254+AX259+AX266-AX267,1),"")</f>
        <v>0</v>
      </c>
      <c r="AY270" s="47" t="n">
        <f aca="false">IF(ISNUMBER(AY254),ROUND(AY254+AY259+AY266-AY267,1),"")</f>
        <v>0</v>
      </c>
      <c r="AZ270" s="47" t="n">
        <f aca="false">IF(ISNUMBER(AZ254),ROUND(AZ254+AZ259+AZ266-AZ267,1),"")</f>
        <v>0</v>
      </c>
      <c r="BA270" s="47" t="n">
        <f aca="false">IF(ISNUMBER(BA254),ROUND(BA254+BA259+BA266-BA267,1),"")</f>
        <v>0</v>
      </c>
      <c r="BB270" s="47" t="n">
        <f aca="false">IF(ISNUMBER(BB254),ROUND(BB254+BB259+BB266-BB267,1),"")</f>
        <v>0</v>
      </c>
      <c r="BC270" s="47" t="n">
        <f aca="false">IF(ISNUMBER(BC254),ROUND(BC254+BC259+BC266-BC267,1),"")</f>
        <v>0</v>
      </c>
      <c r="BD270" s="47" t="n">
        <f aca="false">IF(ISNUMBER(BD254),ROUND(BD254+BD259+BD266-BD267,1),"")</f>
        <v>0</v>
      </c>
      <c r="BE270" s="47" t="n">
        <f aca="false">IF(ISNUMBER(BE254),ROUND(BE254+BE259+BE266-BE267,1),"")</f>
        <v>0</v>
      </c>
      <c r="BF270" s="47" t="n">
        <f aca="false">IF(ISNUMBER(BF254),ROUND(BF254+BF259+BF266-BF267,1),"")</f>
        <v>0</v>
      </c>
      <c r="BG270" s="47" t="n">
        <f aca="false">IF(ISNUMBER(BG254),ROUND(BG254+BG259+BG266-BG267,1),"")</f>
        <v>0</v>
      </c>
      <c r="BH270" s="47" t="n">
        <f aca="false">IF(ISNUMBER(BH254),ROUND(BH254+BH259+BH266-BH267,1),"")</f>
        <v>0</v>
      </c>
      <c r="BI270" s="47" t="n">
        <f aca="false">IF(ISNUMBER(BI254),ROUND(BI254+BI259+BI266-BI267,1),"")</f>
        <v>0</v>
      </c>
      <c r="BJ270" s="47" t="n">
        <f aca="false">IF(ISNUMBER(BJ254),ROUND(BJ254+BJ259+BJ266-BJ267,1),"")</f>
        <v>0</v>
      </c>
      <c r="BK270" s="47" t="n">
        <f aca="false">IF(ISNUMBER(BK254),ROUND(BK254+BK259+BK266-BK267,1),"")</f>
        <v>0</v>
      </c>
      <c r="BL270" s="47" t="n">
        <f aca="false">IF(ISNUMBER(BL254),ROUND(BL254+BL259+BL266-BL267,1),"")</f>
        <v>0</v>
      </c>
      <c r="BM270" s="47" t="n">
        <f aca="false">IF(ISNUMBER(BM254),ROUND(BM254+BM259+BM266-BM267,1),"")</f>
        <v>0</v>
      </c>
      <c r="BN270" s="47" t="n">
        <f aca="false">IF(ISNUMBER(BN254),ROUND(BN254+BN259+BN266-BN267,1),"")</f>
        <v>0</v>
      </c>
      <c r="BO270" s="47" t="n">
        <f aca="false">IF(ISNUMBER(BO254),ROUND(BO254+BO259+BO266-BO267,1),"")</f>
        <v>0</v>
      </c>
      <c r="BP270" s="47" t="n">
        <f aca="false">IF(ISNUMBER(BP254),ROUND(BP254+BP259+BP266-BP267,1),"")</f>
        <v>0</v>
      </c>
      <c r="BQ270" s="47" t="n">
        <f aca="false">IF(ISNUMBER(BQ254),ROUND(BQ254+BQ259+BQ266-BQ267,1),"")</f>
        <v>0</v>
      </c>
      <c r="BR270" s="47" t="n">
        <f aca="false">IF(ISNUMBER(BR254),ROUND(BR254+BR259+BR266-BR267,1),"")</f>
        <v>0</v>
      </c>
      <c r="BS270" s="47" t="n">
        <f aca="false">IF(ISNUMBER(BS254),ROUND(BS254+BS259+BS266-BS267,1),"")</f>
        <v>0</v>
      </c>
      <c r="BT270" s="47" t="n">
        <f aca="false">IF(ISNUMBER(BT254),ROUND(BT254+BT259+BT266-BT267,1),"")</f>
        <v>0</v>
      </c>
      <c r="BU270" s="47" t="n">
        <f aca="false">IF(ISNUMBER(BU254),ROUND(BU254+BU259+BU266-BU267,1),"")</f>
        <v>0</v>
      </c>
      <c r="BV270" s="47" t="n">
        <f aca="false">IF(ISNUMBER(BV254),ROUND(BV254+BV259+BV266-BV267,1),"")</f>
        <v>0</v>
      </c>
      <c r="BW270" s="47" t="n">
        <f aca="false">IF(ISNUMBER(BW254),ROUND(BW254+BW259+BW266-BW267,1),"")</f>
        <v>0</v>
      </c>
      <c r="BX270" s="47" t="n">
        <f aca="false">IF(ISNUMBER(BX254),ROUND(BX254+BX259+BX266-BX267,1),"")</f>
        <v>0</v>
      </c>
      <c r="BY270" s="6"/>
      <c r="BZ270" s="6"/>
      <c r="CA270" s="37" t="n">
        <f aca="false">IF(ISNUMBER(CA254),ROUND(CA254+CA259+CA266-CA267,1),"")</f>
        <v>0</v>
      </c>
      <c r="CB270" s="37" t="n">
        <f aca="false">IF(ISNUMBER(CB254),ROUND(CB254+CB259+CB266-CB267,1),"")</f>
        <v>0</v>
      </c>
      <c r="CC270" s="37" t="n">
        <f aca="false">IF(ISNUMBER(CC254),ROUND(CC254+CC259+CC266-CC267,1),"")</f>
        <v>0</v>
      </c>
      <c r="CD270" s="37" t="n">
        <f aca="false">IF(ISNUMBER(CD254),ROUND(CD254+CD259+CD266-CD267,1),"")</f>
        <v>0</v>
      </c>
      <c r="CE270" s="37" t="n">
        <f aca="false">IF(ISNUMBER(CE254),ROUND(CE254+CE259+CE266-CE267,1),"")</f>
        <v>0</v>
      </c>
      <c r="CF270" s="6"/>
    </row>
    <row r="271" customFormat="false" ht="15" hidden="false" customHeight="true" outlineLevel="0" collapsed="false">
      <c r="B271" s="61" t="s">
        <v>457</v>
      </c>
      <c r="C271" s="47" t="n">
        <f aca="false">IF(ISNUMBER(C268),ROUND(C268+C267-C269,1),"")</f>
        <v>0</v>
      </c>
      <c r="D271" s="47" t="n">
        <f aca="false">IF(ISNUMBER(D268),ROUND(D268+D267-D269,1),"")</f>
        <v>0</v>
      </c>
      <c r="E271" s="47" t="n">
        <f aca="false">IF(ISNUMBER(E268),ROUND(E268+E267-E269,1),"")</f>
        <v>0</v>
      </c>
      <c r="F271" s="47" t="n">
        <f aca="false">IF(ISNUMBER(F268),ROUND(F268+F267-F269,1),"")</f>
        <v>0</v>
      </c>
      <c r="G271" s="47" t="n">
        <f aca="false">IF(ISNUMBER(G268),ROUND(G268+G267-G269,1),"")</f>
        <v>0</v>
      </c>
      <c r="H271" s="47" t="n">
        <f aca="false">IF(ISNUMBER(H268),ROUND(H268+H267-H269,1),"")</f>
        <v>0</v>
      </c>
      <c r="I271" s="47" t="n">
        <f aca="false">IF(ISNUMBER(I268),ROUND(I268+I267-I269,1),"")</f>
        <v>0</v>
      </c>
      <c r="J271" s="47" t="n">
        <f aca="false">IF(ISNUMBER(J268),ROUND(J268+J267-J269,1),"")</f>
        <v>0</v>
      </c>
      <c r="K271" s="47" t="n">
        <f aca="false">IF(ISNUMBER(K268),ROUND(K268+K267-K269,1),"")</f>
        <v>0</v>
      </c>
      <c r="L271" s="47" t="n">
        <f aca="false">IF(ISNUMBER(L268),ROUND(L268+L267-L269,1),"")</f>
        <v>0</v>
      </c>
      <c r="M271" s="47" t="n">
        <f aca="false">IF(ISNUMBER(M268),ROUND(M268+M267-M269,1),"")</f>
        <v>0</v>
      </c>
      <c r="N271" s="47" t="n">
        <f aca="false">IF(ISNUMBER(N268),ROUND(N268+N267-N269,1),"")</f>
        <v>0</v>
      </c>
      <c r="O271" s="47" t="n">
        <f aca="false">IF(ISNUMBER(O268),ROUND(O268+O267-O269,1),"")</f>
        <v>0</v>
      </c>
      <c r="P271" s="47" t="n">
        <f aca="false">IF(ISNUMBER(P268),ROUND(P268+P267-P269,1),"")</f>
        <v>0</v>
      </c>
      <c r="Q271" s="47" t="n">
        <f aca="false">IF(ISNUMBER(Q268),ROUND(Q268+Q267-Q269,1),"")</f>
        <v>0</v>
      </c>
      <c r="R271" s="47" t="n">
        <f aca="false">IF(ISNUMBER(R268),ROUND(R268+R267-R269,1),"")</f>
        <v>0</v>
      </c>
      <c r="S271" s="47" t="n">
        <f aca="false">IF(ISNUMBER(S268),ROUND(S268+S267-S269,1),"")</f>
        <v>0</v>
      </c>
      <c r="T271" s="47" t="n">
        <f aca="false">IF(ISNUMBER(T268),ROUND(T268+T267-T269,1),"")</f>
        <v>0</v>
      </c>
      <c r="U271" s="47" t="n">
        <f aca="false">IF(ISNUMBER(U268),ROUND(U268+U267-U269,1),"")</f>
        <v>0</v>
      </c>
      <c r="V271" s="47" t="n">
        <f aca="false">IF(ISNUMBER(V268),ROUND(V268+V267-V269,1),"")</f>
        <v>0</v>
      </c>
      <c r="W271" s="47" t="n">
        <f aca="false">IF(ISNUMBER(W268),ROUND(W268+W267-W269,1),"")</f>
        <v>0</v>
      </c>
      <c r="X271" s="47" t="n">
        <f aca="false">IF(ISNUMBER(X268),ROUND(X268+X267-X269,1),"")</f>
        <v>0</v>
      </c>
      <c r="Y271" s="47" t="n">
        <f aca="false">IF(ISNUMBER(Y268),ROUND(Y268+Y267-Y269,1),"")</f>
        <v>0</v>
      </c>
      <c r="Z271" s="47" t="n">
        <f aca="false">IF(ISNUMBER(Z268),ROUND(Z268+Z267-Z269,1),"")</f>
        <v>0</v>
      </c>
      <c r="AA271" s="47" t="n">
        <f aca="false">IF(ISNUMBER(AA268),ROUND(AA268+AA267-AA269,1),"")</f>
        <v>0</v>
      </c>
      <c r="AB271" s="47" t="n">
        <f aca="false">IF(ISNUMBER(AB268),ROUND(AB268+AB267-AB269,1),"")</f>
        <v>0</v>
      </c>
      <c r="AC271" s="47" t="n">
        <f aca="false">IF(ISNUMBER(AC268),ROUND(AC268+AC267-AC269,1),"")</f>
        <v>0</v>
      </c>
      <c r="AD271" s="47" t="n">
        <f aca="false">IF(ISNUMBER(AD268),ROUND(AD268+AD267-AD269,1),"")</f>
        <v>0</v>
      </c>
      <c r="AE271" s="47" t="n">
        <f aca="false">IF(ISNUMBER(AE268),ROUND(AE268+AE267-AE269,1),"")</f>
        <v>0</v>
      </c>
      <c r="AF271" s="47" t="n">
        <f aca="false">IF(ISNUMBER(AF268),ROUND(AF268+AF267-AF269,1),"")</f>
        <v>0</v>
      </c>
      <c r="AG271" s="47" t="n">
        <f aca="false">IF(ISNUMBER(AG268),ROUND(AG268+AG267-AG269,1),"")</f>
        <v>0</v>
      </c>
      <c r="AH271" s="47" t="n">
        <f aca="false">IF(ISNUMBER(AH268),ROUND(AH268+AH267-AH269,1),"")</f>
        <v>0</v>
      </c>
      <c r="AI271" s="47" t="n">
        <f aca="false">IF(ISNUMBER(AI268),ROUND(AI268+AI267-AI269,1),"")</f>
        <v>0</v>
      </c>
      <c r="AJ271" s="47" t="n">
        <f aca="false">IF(ISNUMBER(AJ268),ROUND(AJ268+AJ267-AJ269,1),"")</f>
        <v>0</v>
      </c>
      <c r="AK271" s="47" t="n">
        <f aca="false">IF(ISNUMBER(AK268),ROUND(AK268+AK267-AK269,1),"")</f>
        <v>0</v>
      </c>
      <c r="AL271" s="47" t="n">
        <f aca="false">IF(ISNUMBER(AL268),ROUND(AL268+AL267-AL269,1),"")</f>
        <v>0</v>
      </c>
      <c r="AM271" s="47" t="n">
        <f aca="false">IF(ISNUMBER(AM268),ROUND(AM268+AM267-AM269,1),"")</f>
        <v>0</v>
      </c>
      <c r="AN271" s="47" t="n">
        <f aca="false">IF(ISNUMBER(AN268),ROUND(AN268+AN267-AN269,1),"")</f>
        <v>0</v>
      </c>
      <c r="AO271" s="47" t="n">
        <f aca="false">IF(ISNUMBER(AO268),ROUND(AO268+AO267-AO269,1),"")</f>
        <v>0</v>
      </c>
      <c r="AP271" s="47" t="n">
        <f aca="false">IF(ISNUMBER(AP268),ROUND(AP268+AP267-AP269,1),"")</f>
        <v>0</v>
      </c>
      <c r="AQ271" s="47" t="n">
        <f aca="false">IF(ISNUMBER(AQ268),ROUND(AQ268+AQ267-AQ269,1),"")</f>
        <v>-0</v>
      </c>
      <c r="AR271" s="47" t="n">
        <f aca="false">IF(ISNUMBER(AR268),ROUND(AR268+AR267-AR269,1),"")</f>
        <v>0</v>
      </c>
      <c r="AS271" s="47" t="n">
        <f aca="false">IF(ISNUMBER(AS268),ROUND(AS268+AS267-AS269,1),"")</f>
        <v>0</v>
      </c>
      <c r="AT271" s="47" t="n">
        <f aca="false">IF(ISNUMBER(AT268),ROUND(AT268+AT267-AT269,1),"")</f>
        <v>0</v>
      </c>
      <c r="AU271" s="47" t="n">
        <f aca="false">IF(ISNUMBER(AU268),ROUND(AU268+AU267-AU269,1),"")</f>
        <v>0</v>
      </c>
      <c r="AV271" s="47" t="n">
        <f aca="false">IF(ISNUMBER(AV268),ROUND(AV268+AV267-AV269,1),"")</f>
        <v>0</v>
      </c>
      <c r="AW271" s="47" t="n">
        <f aca="false">IF(ISNUMBER(AW268),ROUND(AW268+AW267-AW269,1),"")</f>
        <v>0</v>
      </c>
      <c r="AX271" s="47" t="n">
        <f aca="false">IF(ISNUMBER(AX268),ROUND(AX268+AX267-AX269,1),"")</f>
        <v>0</v>
      </c>
      <c r="AY271" s="47" t="n">
        <f aca="false">IF(ISNUMBER(AY268),ROUND(AY268+AY267-AY269,1),"")</f>
        <v>0</v>
      </c>
      <c r="AZ271" s="47" t="n">
        <f aca="false">IF(ISNUMBER(AZ268),ROUND(AZ268+AZ267-AZ269,1),"")</f>
        <v>0</v>
      </c>
      <c r="BA271" s="47" t="n">
        <f aca="false">IF(ISNUMBER(BA268),ROUND(BA268+BA267-BA269,1),"")</f>
        <v>0</v>
      </c>
      <c r="BB271" s="47" t="n">
        <f aca="false">IF(ISNUMBER(BB268),ROUND(BB268+BB267-BB269,1),"")</f>
        <v>0</v>
      </c>
      <c r="BC271" s="47" t="n">
        <f aca="false">IF(ISNUMBER(BC268),ROUND(BC268+BC267-BC269,1),"")</f>
        <v>0</v>
      </c>
      <c r="BD271" s="47" t="n">
        <f aca="false">IF(ISNUMBER(BD268),ROUND(BD268+BD267-BD269,1),"")</f>
        <v>0</v>
      </c>
      <c r="BE271" s="47" t="n">
        <f aca="false">IF(ISNUMBER(BE268),ROUND(BE268+BE267-BE269,1),"")</f>
        <v>0</v>
      </c>
      <c r="BF271" s="47" t="n">
        <f aca="false">IF(ISNUMBER(BF268),ROUND(BF268+BF267-BF269,1),"")</f>
        <v>0</v>
      </c>
      <c r="BG271" s="47" t="n">
        <f aca="false">IF(ISNUMBER(BG268),ROUND(BG268+BG267-BG269,1),"")</f>
        <v>0</v>
      </c>
      <c r="BH271" s="47" t="n">
        <f aca="false">IF(ISNUMBER(BH268),ROUND(BH268+BH267-BH269,1),"")</f>
        <v>0</v>
      </c>
      <c r="BI271" s="47" t="n">
        <f aca="false">IF(ISNUMBER(BI268),ROUND(BI268+BI267-BI269,1),"")</f>
        <v>0</v>
      </c>
      <c r="BJ271" s="47" t="n">
        <f aca="false">IF(ISNUMBER(BJ268),ROUND(BJ268+BJ267-BJ269,1),"")</f>
        <v>0</v>
      </c>
      <c r="BK271" s="47" t="n">
        <f aca="false">IF(ISNUMBER(BK268),ROUND(BK268+BK267-BK269,1),"")</f>
        <v>0</v>
      </c>
      <c r="BL271" s="47" t="n">
        <f aca="false">IF(ISNUMBER(BL268),ROUND(BL268+BL267-BL269,1),"")</f>
        <v>0</v>
      </c>
      <c r="BM271" s="47" t="n">
        <f aca="false">IF(ISNUMBER(BM268),ROUND(BM268+BM267-BM269,1),"")</f>
        <v>0</v>
      </c>
      <c r="BN271" s="47" t="n">
        <f aca="false">IF(ISNUMBER(BN268),ROUND(BN268+BN267-BN269,1),"")</f>
        <v>0</v>
      </c>
      <c r="BO271" s="47" t="n">
        <f aca="false">IF(ISNUMBER(BO268),ROUND(BO268+BO267-BO269,1),"")</f>
        <v>0</v>
      </c>
      <c r="BP271" s="47" t="n">
        <f aca="false">IF(ISNUMBER(BP268),ROUND(BP268+BP267-BP269,1),"")</f>
        <v>0</v>
      </c>
      <c r="BQ271" s="47" t="n">
        <f aca="false">IF(ISNUMBER(BQ268),ROUND(BQ268+BQ267-BQ269,1),"")</f>
        <v>0</v>
      </c>
      <c r="BR271" s="47" t="n">
        <f aca="false">IF(ISNUMBER(BR268),ROUND(BR268+BR267-BR269,1),"")</f>
        <v>0</v>
      </c>
      <c r="BS271" s="47" t="n">
        <f aca="false">IF(ISNUMBER(BS268),ROUND(BS268+BS267-BS269,1),"")</f>
        <v>0</v>
      </c>
      <c r="BT271" s="47" t="n">
        <f aca="false">IF(ISNUMBER(BT268),ROUND(BT268+BT267-BT269,1),"")</f>
        <v>0</v>
      </c>
      <c r="BU271" s="47" t="n">
        <f aca="false">IF(ISNUMBER(BU268),ROUND(BU268+BU267-BU269,1),"")</f>
        <v>0</v>
      </c>
      <c r="BV271" s="47" t="n">
        <f aca="false">IF(ISNUMBER(BV268),ROUND(BV268+BV267-BV269,1),"")</f>
        <v>0</v>
      </c>
      <c r="BW271" s="47" t="n">
        <f aca="false">IF(ISNUMBER(BW268),ROUND(BW268+BW267-BW269,1),"")</f>
        <v>0</v>
      </c>
      <c r="BX271" s="47" t="n">
        <f aca="false">IF(ISNUMBER(BX268),ROUND(BX268+BX267-BX269,1),"")</f>
        <v>0</v>
      </c>
      <c r="BY271" s="6"/>
      <c r="BZ271" s="6"/>
      <c r="CA271" s="37" t="n">
        <f aca="false">IF(ISNUMBER(CA268),ROUND(CA268+CA267-CA269,1),"")</f>
        <v>0</v>
      </c>
      <c r="CB271" s="37" t="n">
        <f aca="false">IF(ISNUMBER(CB268),ROUND(CB268+CB267-CB269,1),"")</f>
        <v>0</v>
      </c>
      <c r="CC271" s="37" t="n">
        <f aca="false">IF(ISNUMBER(CC268),ROUND(CC268+CC267-CC269,1),"")</f>
        <v>0</v>
      </c>
      <c r="CD271" s="37" t="n">
        <f aca="false">IF(ISNUMBER(CD268),ROUND(CD268+CD267-CD269,1),"")</f>
        <v>0</v>
      </c>
      <c r="CE271" s="37" t="n">
        <f aca="false">IF(ISNUMBER(CE268),ROUND(CE268+CE267-CE269,1),"")</f>
        <v>0</v>
      </c>
      <c r="CF271" s="6"/>
    </row>
    <row r="272" customFormat="false" ht="15" hidden="false" customHeight="true" outlineLevel="0" collapsed="false">
      <c r="B272" s="26" t="s">
        <v>458</v>
      </c>
      <c r="CF272" s="6"/>
    </row>
    <row r="273" customFormat="false" ht="15" hidden="false" customHeight="true" outlineLevel="0" collapsed="false">
      <c r="B273" s="59" t="s">
        <v>459</v>
      </c>
      <c r="C273" s="60" t="n">
        <f aca="false">IF(ISNUMBER(C254),C254+C255,"")</f>
        <v>72.216</v>
      </c>
      <c r="D273" s="60" t="n">
        <f aca="false">IF(ISNUMBER(D254),D254+D255,"")</f>
        <v>130.645</v>
      </c>
      <c r="E273" s="60" t="n">
        <f aca="false">IF(ISNUMBER(E254),E254+E255,"")</f>
        <v>87.388</v>
      </c>
      <c r="F273" s="60" t="n">
        <f aca="false">IF(ISNUMBER(F254),F254+F255,"")</f>
        <v>179.138</v>
      </c>
      <c r="G273" s="60" t="n">
        <f aca="false">IF(ISNUMBER(G254),G254+G255,"")</f>
        <v>133.892</v>
      </c>
      <c r="H273" s="60" t="n">
        <f aca="false">IF(ISNUMBER(H254),H254+H255,"")</f>
        <v>103.731</v>
      </c>
      <c r="I273" s="60" t="n">
        <f aca="false">IF(ISNUMBER(I254),I254+I255,"")</f>
        <v>71.666</v>
      </c>
      <c r="J273" s="60" t="n">
        <f aca="false">IF(ISNUMBER(J254),J254+J255,"")</f>
        <v>-3.305</v>
      </c>
      <c r="K273" s="60" t="n">
        <f aca="false">IF(ISNUMBER(K254),K254+K255,"")</f>
        <v>1.775</v>
      </c>
      <c r="L273" s="60" t="n">
        <f aca="false">IF(ISNUMBER(L254),L254+L255,"")</f>
        <v>64.833</v>
      </c>
      <c r="M273" s="60" t="n">
        <f aca="false">IF(ISNUMBER(M254),M254+M255,"")</f>
        <v>90.415</v>
      </c>
      <c r="N273" s="60" t="n">
        <f aca="false">IF(ISNUMBER(N254),N254+N255,"")</f>
        <v>153.718</v>
      </c>
      <c r="O273" s="60" t="n">
        <f aca="false">IF(ISNUMBER(O254),O254+O255,"")</f>
        <v>-30.301</v>
      </c>
      <c r="P273" s="60" t="n">
        <f aca="false">IF(ISNUMBER(P254),P254+P255,"")</f>
        <v>15.927</v>
      </c>
      <c r="Q273" s="60" t="n">
        <f aca="false">IF(ISNUMBER(Q254),Q254+Q255,"")</f>
        <v>77.432</v>
      </c>
      <c r="R273" s="60" t="n">
        <f aca="false">IF(ISNUMBER(R254),R254+R255,"")</f>
        <v>86.417</v>
      </c>
      <c r="S273" s="60" t="n">
        <f aca="false">IF(ISNUMBER(S254),S254+S255,"")</f>
        <v>149.475</v>
      </c>
      <c r="T273" s="60" t="n">
        <f aca="false">IF(ISNUMBER(T254),T254+T255,"")</f>
        <v>-20.96</v>
      </c>
      <c r="U273" s="60" t="n">
        <f aca="false">IF(ISNUMBER(U254),U254+U255,"")</f>
        <v>20.039</v>
      </c>
      <c r="V273" s="60" t="n">
        <f aca="false">IF(ISNUMBER(V254),V254+V255,"")</f>
        <v>108.053</v>
      </c>
      <c r="W273" s="60" t="n">
        <f aca="false">IF(ISNUMBER(W254),W254+W255,"")</f>
        <v>147.787</v>
      </c>
      <c r="X273" s="60" t="n">
        <f aca="false">IF(ISNUMBER(X254),X254+X255,"")</f>
        <v>254.919</v>
      </c>
      <c r="Y273" s="60" t="n">
        <f aca="false">IF(ISNUMBER(Y254),Y254+Y255,"")</f>
        <v>-27.22</v>
      </c>
      <c r="Z273" s="60" t="n">
        <f aca="false">IF(ISNUMBER(Z254),Z254+Z255,"")</f>
        <v>20.032</v>
      </c>
      <c r="AA273" s="60" t="n">
        <f aca="false">IF(ISNUMBER(AA254),AA254+AA255,"")</f>
        <v>135.775</v>
      </c>
      <c r="AB273" s="60" t="n">
        <f aca="false">IF(ISNUMBER(AB254),AB254+AB255,"")</f>
        <v>162.8</v>
      </c>
      <c r="AC273" s="60" t="n">
        <f aca="false">IF(ISNUMBER(AC254),AC254+AC255,"")</f>
        <v>291.387</v>
      </c>
      <c r="AD273" s="60" t="n">
        <f aca="false">IF(ISNUMBER(AD254),AD254+AD255,"")</f>
        <v>-28.049</v>
      </c>
      <c r="AE273" s="60" t="n">
        <f aca="false">IF(ISNUMBER(AE254),AE254+AE255,"")</f>
        <v>41.559</v>
      </c>
      <c r="AF273" s="60" t="n">
        <f aca="false">IF(ISNUMBER(AF254),AF254+AF255,"")</f>
        <v>96.143</v>
      </c>
      <c r="AG273" s="60" t="n">
        <f aca="false">IF(ISNUMBER(AG254),AG254+AG255,"")</f>
        <v>137.9</v>
      </c>
      <c r="AH273" s="60" t="n">
        <f aca="false">IF(ISNUMBER(AH254),AH254+AH255,"")</f>
        <v>247.553</v>
      </c>
      <c r="AI273" s="60" t="n">
        <f aca="false">IF(ISNUMBER(AI254),AI254+AI255,"")</f>
        <v>8.753</v>
      </c>
      <c r="AJ273" s="60" t="n">
        <f aca="false">IF(ISNUMBER(AJ254),AJ254+AJ255,"")</f>
        <v>41.01</v>
      </c>
      <c r="AK273" s="60" t="n">
        <f aca="false">IF(ISNUMBER(AK254),AK254+AK255,"")</f>
        <v>129.62</v>
      </c>
      <c r="AL273" s="60" t="n">
        <f aca="false">IF(ISNUMBER(AL254),AL254+AL255,"")</f>
        <v>149.811</v>
      </c>
      <c r="AM273" s="60" t="n">
        <f aca="false">IF(ISNUMBER(AM254),AM254+AM255,"")</f>
        <v>329.194</v>
      </c>
      <c r="AN273" s="60" t="n">
        <f aca="false">IF(ISNUMBER(AN254),AN254+AN255,"")</f>
        <v>-12.192</v>
      </c>
      <c r="AO273" s="60" t="n">
        <f aca="false">IF(ISNUMBER(AO254),AO254+AO255,"")</f>
        <v>138.471</v>
      </c>
      <c r="AP273" s="60" t="n">
        <f aca="false">IF(ISNUMBER(AP254),AP254+AP255,"")</f>
        <v>240.521</v>
      </c>
      <c r="AQ273" s="60" t="n">
        <f aca="false">IF(ISNUMBER(AQ254),AQ254+AQ255,"")</f>
        <v>205.8</v>
      </c>
      <c r="AR273" s="60" t="n">
        <f aca="false">IF(ISNUMBER(AR254),AR254+AR255,"")</f>
        <v>572.6</v>
      </c>
      <c r="AS273" s="60" t="n">
        <f aca="false">IF(ISNUMBER(AS254),AS254+AS255,"")</f>
        <v>2.60000000000001</v>
      </c>
      <c r="AT273" s="60" t="n">
        <f aca="false">IF(ISNUMBER(AT254),AT254+AT255,"")</f>
        <v>194.9</v>
      </c>
      <c r="AU273" s="60" t="n">
        <f aca="false">IF(ISNUMBER(AU254),AU254+AU255,"")</f>
        <v>235.7</v>
      </c>
      <c r="AV273" s="60" t="n">
        <f aca="false">IF(ISNUMBER(AV254),AV254+AV255,"")</f>
        <v>257.2</v>
      </c>
      <c r="AW273" s="60" t="n">
        <f aca="false">IF(ISNUMBER(AW254),AW254+AW255,"")</f>
        <v>690.4</v>
      </c>
      <c r="AX273" s="60" t="n">
        <f aca="false">IF(ISNUMBER(AX254),AX254+AX255,"")</f>
        <v>81.6</v>
      </c>
      <c r="AY273" s="60" t="n">
        <f aca="false">IF(ISNUMBER(AY254),AY254+AY255,"")</f>
        <v>146.6</v>
      </c>
      <c r="AZ273" s="60" t="n">
        <f aca="false">IF(ISNUMBER(AZ254),AZ254+AZ255,"")</f>
        <v>230.8</v>
      </c>
      <c r="BA273" s="60" t="n">
        <f aca="false">IF(ISNUMBER(BA254),BA254+BA255,"")</f>
        <v>255.6</v>
      </c>
      <c r="BB273" s="60" t="n">
        <f aca="false">IF(ISNUMBER(BB254),BB254+BB255,"")</f>
        <v>714.6</v>
      </c>
      <c r="BC273" s="60" t="n">
        <f aca="false">IF(ISNUMBER(BC254),BC254+BC255,"")</f>
        <v>30.1</v>
      </c>
      <c r="BD273" s="60" t="n">
        <f aca="false">IF(ISNUMBER(BD254),BD254+BD255,"")</f>
        <v>35.4</v>
      </c>
      <c r="BE273" s="60" t="n">
        <f aca="false">IF(ISNUMBER(BE254),BE254+BE255,"")</f>
        <v>186.1</v>
      </c>
      <c r="BF273" s="60" t="n">
        <f aca="false">IF(ISNUMBER(BF254),BF254+BF255,"")</f>
        <v>257.8</v>
      </c>
      <c r="BG273" s="60" t="n">
        <f aca="false">IF(ISNUMBER(BG254),BG254+BG255,"")</f>
        <v>509.4</v>
      </c>
      <c r="BH273" s="60" t="n">
        <f aca="false">IF(ISNUMBER(BH254),BH254+BH255,"")</f>
        <v>-13.4</v>
      </c>
      <c r="BI273" s="60" t="n">
        <f aca="false">IF(ISNUMBER(BI254),BI254+BI255,"")</f>
        <v>238.5</v>
      </c>
      <c r="BJ273" s="60" t="n">
        <f aca="false">IF(ISNUMBER(BJ254),BJ254+BJ255,"")</f>
        <v>283.3</v>
      </c>
      <c r="BK273" s="60" t="n">
        <f aca="false">IF(ISNUMBER(BK254),BK254+BK255,"")</f>
        <v>369.7</v>
      </c>
      <c r="BL273" s="60" t="n">
        <f aca="false">IF(ISNUMBER(BL254),BL254+BL255,"")</f>
        <v>878.1</v>
      </c>
      <c r="BM273" s="60" t="n">
        <f aca="false">IF(ISNUMBER(BM254),BM254+BM255,"")</f>
        <v>-28</v>
      </c>
      <c r="BN273" s="60" t="n">
        <f aca="false">IF(ISNUMBER(BN254),BN254+BN255,"")</f>
        <v>-138</v>
      </c>
      <c r="BO273" s="60" t="n">
        <f aca="false">IF(ISNUMBER(BO254),BO254+BO255,"")</f>
        <v>317</v>
      </c>
      <c r="BP273" s="60" t="n">
        <f aca="false">IF(ISNUMBER(BP254),BP254+BP255,"")</f>
        <v>453</v>
      </c>
      <c r="BQ273" s="60" t="n">
        <f aca="false">IF(ISNUMBER(BQ254),BQ254+BQ255,"")</f>
        <v>604</v>
      </c>
      <c r="BR273" s="60" t="n">
        <f aca="false">IF(ISNUMBER(BR254),BR254+BR255,"")</f>
        <v>-15</v>
      </c>
      <c r="BS273" s="60" t="n">
        <f aca="false">IF(ISNUMBER(BS254),BS254+BS255,"")</f>
        <v>208</v>
      </c>
      <c r="BT273" s="60" t="n">
        <f aca="false">IF(ISNUMBER(BT254),BT254+BT255,"")</f>
        <v>361</v>
      </c>
      <c r="BU273" s="60" t="n">
        <f aca="false">IF(ISNUMBER(BU254),BU254+BU255,"")</f>
        <v>424</v>
      </c>
      <c r="BV273" s="60" t="n">
        <f aca="false">IF(ISNUMBER(BV254),BV254+BV255,"")</f>
        <v>978</v>
      </c>
      <c r="BW273" s="60" t="n">
        <f aca="false">IF(ISNUMBER(BW254),BW254+BW255,"")</f>
        <v>41</v>
      </c>
      <c r="BX273" s="60" t="n">
        <f aca="false">IF(ISNUMBER(BX254),BX254+BX255,"")</f>
        <v>-16</v>
      </c>
      <c r="BY273" s="70"/>
      <c r="BZ273" s="70"/>
      <c r="CA273" s="60" t="n">
        <f aca="false">IF(ISNUMBER(CA254),CA254+CA255,"")</f>
        <v>937.966535585376</v>
      </c>
      <c r="CB273" s="60" t="n">
        <f aca="false">IF(ISNUMBER(CB254),CB254+CB255,"")</f>
        <v>1666.41996533985</v>
      </c>
      <c r="CC273" s="60" t="n">
        <f aca="false">IF(ISNUMBER(CC254),CC254+CC255,"")</f>
        <v>1961.00066571767</v>
      </c>
      <c r="CD273" s="60" t="n">
        <f aca="false">IF(ISNUMBER(CD254),CD254+CD255,"")</f>
        <v>2225.11110696213</v>
      </c>
      <c r="CE273" s="60" t="n">
        <f aca="false">IF(ISNUMBER(CE254),CE254+CE255,"")</f>
        <v>2445.35689410866</v>
      </c>
      <c r="CF273" s="20" t="s">
        <v>460</v>
      </c>
      <c r="CH273" s="21" t="n">
        <f aca="false">IFERROR((CE273/BV273)^(1/5)-1,"n/m")</f>
        <v>0.201159497311263</v>
      </c>
      <c r="CI273" s="21" t="n">
        <f aca="false">IFERROR((BV273/AW273)^(1/5)-1,"n/m")</f>
        <v>0.0721304096612112</v>
      </c>
      <c r="CJ273" s="21" t="n">
        <f aca="false">IFERROR((BV273/X273)^(1/10)-1,"n/m")</f>
        <v>0.143914762914148</v>
      </c>
      <c r="CK273" s="21" t="n">
        <f aca="false">IFERROR((BV273/C273)^(1/19)-1,"n/m")</f>
        <v>0.147000067446109</v>
      </c>
    </row>
    <row r="274" customFormat="false" ht="15" hidden="false" customHeight="true" outlineLevel="0" collapsed="false">
      <c r="B274" s="23" t="s">
        <v>461</v>
      </c>
      <c r="D274" s="24" t="n">
        <f aca="false">IF(AND(ISNUMBER(D273),ISNUMBER(C273)),IFERROR(D273/C273-1,""),"")</f>
        <v>0.809086629001883</v>
      </c>
      <c r="E274" s="24" t="n">
        <f aca="false">IF(AND(ISNUMBER(E273),ISNUMBER(D273)),IFERROR(E273/D273-1,""),"")</f>
        <v>-0.331103371732557</v>
      </c>
      <c r="F274" s="24" t="n">
        <f aca="false">IF(AND(ISNUMBER(F273),ISNUMBER(E273)),IFERROR(F273/E273-1,""),"")</f>
        <v>1.04991532018126</v>
      </c>
      <c r="G274" s="24" t="n">
        <f aca="false">IF(AND(ISNUMBER(G273),ISNUMBER(F273)),IFERROR(G273/F273-1,""),"")</f>
        <v>-0.252576226149672</v>
      </c>
      <c r="H274" s="24" t="n">
        <f aca="false">IF(AND(ISNUMBER(H273),ISNUMBER(G273)),IFERROR(H273/G273-1,""),"")</f>
        <v>-0.225263645326084</v>
      </c>
      <c r="I274" s="24" t="n">
        <f aca="false">IF(AND(ISNUMBER(I273),ISNUMBER(H273)),IFERROR(I273/H273-1,""),"")</f>
        <v>-0.309116850314756</v>
      </c>
      <c r="N274" s="24" t="n">
        <f aca="false">IF(AND(ISNUMBER(N273),ISNUMBER(I273)),IFERROR(N273/I273-1,""),"")</f>
        <v>1.14492227834678</v>
      </c>
      <c r="O274" s="24" t="n">
        <f aca="false">IF(AND(ISNUMBER(O273),ISNUMBER(J273)),IFERROR(O273/J273-1,""),"")</f>
        <v>8.16822995461422</v>
      </c>
      <c r="P274" s="24" t="n">
        <f aca="false">IF(AND(ISNUMBER(P273),ISNUMBER(K273)),IFERROR(P273/K273-1,""),"")</f>
        <v>7.97295774647888</v>
      </c>
      <c r="Q274" s="24" t="n">
        <f aca="false">IF(AND(ISNUMBER(Q273),ISNUMBER(L273)),IFERROR(Q273/L273-1,""),"")</f>
        <v>0.194330047969398</v>
      </c>
      <c r="R274" s="24" t="n">
        <f aca="false">IF(AND(ISNUMBER(R273),ISNUMBER(M273)),IFERROR(R273/M273-1,""),"")</f>
        <v>-0.0442183266050986</v>
      </c>
      <c r="S274" s="24" t="n">
        <f aca="false">IF(AND(ISNUMBER(S273),ISNUMBER(N273)),IFERROR(S273/N273-1,""),"")</f>
        <v>-0.0276024928765661</v>
      </c>
      <c r="T274" s="24" t="n">
        <f aca="false">IF(AND(ISNUMBER(T273),ISNUMBER(O273)),IFERROR(T273/O273-1,""),"")</f>
        <v>-0.30827365433484</v>
      </c>
      <c r="U274" s="24" t="n">
        <f aca="false">IF(AND(ISNUMBER(U273),ISNUMBER(P273)),IFERROR(U273/P273-1,""),"")</f>
        <v>0.258177936836818</v>
      </c>
      <c r="V274" s="24" t="n">
        <f aca="false">IF(AND(ISNUMBER(V273),ISNUMBER(Q273)),IFERROR(V273/Q273-1,""),"")</f>
        <v>0.395456658745738</v>
      </c>
      <c r="W274" s="24" t="n">
        <f aca="false">IF(AND(ISNUMBER(W273),ISNUMBER(R273)),IFERROR(W273/R273-1,""),"")</f>
        <v>0.710161195135215</v>
      </c>
      <c r="X274" s="24" t="n">
        <f aca="false">IF(AND(ISNUMBER(X273),ISNUMBER(S273)),IFERROR(X273/S273-1,""),"")</f>
        <v>0.705429001505268</v>
      </c>
      <c r="Y274" s="24" t="n">
        <f aca="false">IF(AND(ISNUMBER(Y273),ISNUMBER(T273)),IFERROR(Y273/T273-1,""),"")</f>
        <v>0.298664122137404</v>
      </c>
      <c r="Z274" s="24" t="n">
        <f aca="false">IF(AND(ISNUMBER(Z273),ISNUMBER(U273)),IFERROR(Z273/U273-1,""),"")</f>
        <v>-0.000349318828285039</v>
      </c>
      <c r="AA274" s="24" t="n">
        <f aca="false">IF(AND(ISNUMBER(AA273),ISNUMBER(V273)),IFERROR(AA273/V273-1,""),"")</f>
        <v>0.256559281093538</v>
      </c>
      <c r="AB274" s="24" t="n">
        <f aca="false">IF(AND(ISNUMBER(AB273),ISNUMBER(W273)),IFERROR(AB273/W273-1,""),"")</f>
        <v>0.101585389783947</v>
      </c>
      <c r="AC274" s="24" t="n">
        <f aca="false">IF(AND(ISNUMBER(AC273),ISNUMBER(X273)),IFERROR(AC273/X273-1,""),"")</f>
        <v>0.143057206406741</v>
      </c>
      <c r="AD274" s="24" t="n">
        <f aca="false">IF(AND(ISNUMBER(AD273),ISNUMBER(Y273)),IFERROR(AD273/Y273-1,""),"")</f>
        <v>0.0304555473916235</v>
      </c>
      <c r="AE274" s="24" t="n">
        <f aca="false">IF(AND(ISNUMBER(AE273),ISNUMBER(Z273)),IFERROR(AE273/Z273-1,""),"")</f>
        <v>1.07463059105431</v>
      </c>
      <c r="AF274" s="24" t="n">
        <f aca="false">IF(AND(ISNUMBER(AF273),ISNUMBER(AA273)),IFERROR(AF273/AA273-1,""),"")</f>
        <v>-0.291894678696373</v>
      </c>
      <c r="AG274" s="24" t="n">
        <f aca="false">IF(AND(ISNUMBER(AG273),ISNUMBER(AB273)),IFERROR(AG273/AB273-1,""),"")</f>
        <v>-0.152948402948403</v>
      </c>
      <c r="AH274" s="24" t="n">
        <f aca="false">IF(AND(ISNUMBER(AH273),ISNUMBER(AC273)),IFERROR(AH273/AC273-1,""),"")</f>
        <v>-0.150432243030746</v>
      </c>
      <c r="AI274" s="24" t="n">
        <f aca="false">IF(AND(ISNUMBER(AI273),ISNUMBER(AD273)),IFERROR(AI273/AD273-1,""),"")</f>
        <v>-1.31206103604407</v>
      </c>
      <c r="AJ274" s="24" t="n">
        <f aca="false">IF(AND(ISNUMBER(AJ273),ISNUMBER(AE273)),IFERROR(AJ273/AE273-1,""),"")</f>
        <v>-0.0132101349888116</v>
      </c>
      <c r="AK274" s="24" t="n">
        <f aca="false">IF(AND(ISNUMBER(AK273),ISNUMBER(AF273)),IFERROR(AK273/AF273-1,""),"")</f>
        <v>0.348200076968682</v>
      </c>
      <c r="AL274" s="24" t="n">
        <f aca="false">IF(AND(ISNUMBER(AL273),ISNUMBER(AG273)),IFERROR(AL273/AG273-1,""),"")</f>
        <v>0.0863741841914434</v>
      </c>
      <c r="AM274" s="24" t="n">
        <f aca="false">IF(AND(ISNUMBER(AM273),ISNUMBER(AH273)),IFERROR(AM273/AH273-1,""),"")</f>
        <v>0.329792004136488</v>
      </c>
      <c r="AN274" s="24" t="n">
        <f aca="false">IF(AND(ISNUMBER(AN273),ISNUMBER(AI273)),IFERROR(AN273/AI273-1,""),"")</f>
        <v>-2.39289386496059</v>
      </c>
      <c r="AO274" s="24" t="n">
        <f aca="false">IF(AND(ISNUMBER(AO273),ISNUMBER(AJ273)),IFERROR(AO273/AJ273-1,""),"")</f>
        <v>2.37651792245794</v>
      </c>
      <c r="AP274" s="24" t="n">
        <f aca="false">IF(AND(ISNUMBER(AP273),ISNUMBER(AK273)),IFERROR(AP273/AK273-1,""),"")</f>
        <v>0.855585557784292</v>
      </c>
      <c r="AQ274" s="24" t="n">
        <f aca="false">IF(AND(ISNUMBER(AQ273),ISNUMBER(AL273)),IFERROR(AQ273/AL273-1,""),"")</f>
        <v>0.373730900935178</v>
      </c>
      <c r="AR274" s="24" t="n">
        <f aca="false">IF(AND(ISNUMBER(AR273),ISNUMBER(AM273)),IFERROR(AR273/AM273-1,""),"")</f>
        <v>0.739399867555302</v>
      </c>
      <c r="AS274" s="24" t="n">
        <f aca="false">IF(AND(ISNUMBER(AS273),ISNUMBER(AN273)),IFERROR(AS273/AN273-1,""),"")</f>
        <v>-1.21325459317585</v>
      </c>
      <c r="AT274" s="24" t="n">
        <f aca="false">IF(AND(ISNUMBER(AT273),ISNUMBER(AO273)),IFERROR(AT273/AO273-1,""),"")</f>
        <v>0.407514930924165</v>
      </c>
      <c r="AU274" s="24" t="n">
        <f aca="false">IF(AND(ISNUMBER(AU273),ISNUMBER(AP273)),IFERROR(AU273/AP273-1,""),"")</f>
        <v>-0.0200439878430575</v>
      </c>
      <c r="AV274" s="24" t="n">
        <f aca="false">IF(AND(ISNUMBER(AV273),ISNUMBER(AQ273)),IFERROR(AV273/AQ273-1,""),"")</f>
        <v>0.249757045675413</v>
      </c>
      <c r="AW274" s="24" t="n">
        <f aca="false">IF(AND(ISNUMBER(AW273),ISNUMBER(AR273)),IFERROR(AW273/AR273-1,""),"")</f>
        <v>0.205728257073</v>
      </c>
      <c r="AX274" s="24" t="n">
        <f aca="false">IF(AND(ISNUMBER(AX273),ISNUMBER(AS273)),IFERROR(AX273/AS273-1,""),"")</f>
        <v>30.3846153846153</v>
      </c>
      <c r="AY274" s="24" t="n">
        <f aca="false">IF(AND(ISNUMBER(AY273),ISNUMBER(AT273)),IFERROR(AY273/AT273-1,""),"")</f>
        <v>-0.247819394561313</v>
      </c>
      <c r="AZ274" s="24" t="n">
        <f aca="false">IF(AND(ISNUMBER(AZ273),ISNUMBER(AU273)),IFERROR(AZ273/AU273-1,""),"")</f>
        <v>-0.0207891387356809</v>
      </c>
      <c r="BA274" s="24" t="n">
        <f aca="false">IF(AND(ISNUMBER(BA273),ISNUMBER(AV273)),IFERROR(BA273/AV273-1,""),"")</f>
        <v>-0.00622083981337418</v>
      </c>
      <c r="BB274" s="24" t="n">
        <f aca="false">IF(AND(ISNUMBER(BB273),ISNUMBER(AW273)),IFERROR(BB273/AW273-1,""),"")</f>
        <v>0.0350521436848206</v>
      </c>
      <c r="BC274" s="24" t="n">
        <f aca="false">IF(AND(ISNUMBER(BC273),ISNUMBER(AX273)),IFERROR(BC273/AX273-1,""),"")</f>
        <v>-0.631127450980392</v>
      </c>
      <c r="BD274" s="24" t="n">
        <f aca="false">IF(AND(ISNUMBER(BD273),ISNUMBER(AY273)),IFERROR(BD273/AY273-1,""),"")</f>
        <v>-0.758526603001364</v>
      </c>
      <c r="BE274" s="24" t="n">
        <f aca="false">IF(AND(ISNUMBER(BE273),ISNUMBER(AZ273)),IFERROR(BE273/AZ273-1,""),"")</f>
        <v>-0.19367417677643</v>
      </c>
      <c r="BF274" s="24" t="n">
        <f aca="false">IF(AND(ISNUMBER(BF273),ISNUMBER(BA273)),IFERROR(BF273/BA273-1,""),"")</f>
        <v>0.00860719874804361</v>
      </c>
      <c r="BG274" s="24" t="n">
        <f aca="false">IF(AND(ISNUMBER(BG273),ISNUMBER(BB273)),IFERROR(BG273/BB273-1,""),"")</f>
        <v>-0.287153652392947</v>
      </c>
      <c r="BH274" s="24" t="n">
        <f aca="false">IF(AND(ISNUMBER(BH273),ISNUMBER(BC273)),IFERROR(BH273/BC273-1,""),"")</f>
        <v>-1.44518272425249</v>
      </c>
      <c r="BI274" s="24" t="n">
        <f aca="false">IF(AND(ISNUMBER(BI273),ISNUMBER(BD273)),IFERROR(BI273/BD273-1,""),"")</f>
        <v>5.73728813559322</v>
      </c>
      <c r="BJ274" s="24" t="n">
        <f aca="false">IF(AND(ISNUMBER(BJ273),ISNUMBER(BE273)),IFERROR(BJ273/BE273-1,""),"")</f>
        <v>0.522299838796346</v>
      </c>
      <c r="BK274" s="24" t="n">
        <f aca="false">IF(AND(ISNUMBER(BK273),ISNUMBER(BF273)),IFERROR(BK273/BF273-1,""),"")</f>
        <v>0.434057408844066</v>
      </c>
      <c r="BL274" s="24" t="n">
        <f aca="false">IF(AND(ISNUMBER(BL273),ISNUMBER(BG273)),IFERROR(BL273/BG273-1,""),"")</f>
        <v>0.723792697290931</v>
      </c>
      <c r="BM274" s="24" t="n">
        <f aca="false">IF(AND(ISNUMBER(BM273),ISNUMBER(BH273)),IFERROR(BM273/BH273-1,""),"")</f>
        <v>1.08955223880597</v>
      </c>
      <c r="BN274" s="24" t="n">
        <f aca="false">IF(AND(ISNUMBER(BN273),ISNUMBER(BI273)),IFERROR(BN273/BI273-1,""),"")</f>
        <v>-1.57861635220126</v>
      </c>
      <c r="BO274" s="24" t="n">
        <f aca="false">IF(AND(ISNUMBER(BO273),ISNUMBER(BJ273)),IFERROR(BO273/BJ273-1,""),"")</f>
        <v>0.118955171196611</v>
      </c>
      <c r="BP274" s="24" t="n">
        <f aca="false">IF(AND(ISNUMBER(BP273),ISNUMBER(BK273)),IFERROR(BP273/BK273-1,""),"")</f>
        <v>0.225317825263727</v>
      </c>
      <c r="BQ274" s="24" t="n">
        <f aca="false">IF(AND(ISNUMBER(BQ273),ISNUMBER(BL273)),IFERROR(BQ273/BL273-1,""),"")</f>
        <v>-0.312151235622367</v>
      </c>
      <c r="BR274" s="24" t="n">
        <f aca="false">IF(AND(ISNUMBER(BR273),ISNUMBER(BM273)),IFERROR(BR273/BM273-1,""),"")</f>
        <v>-0.464285714285714</v>
      </c>
      <c r="BS274" s="24" t="n">
        <f aca="false">IF(AND(ISNUMBER(BS273),ISNUMBER(BN273)),IFERROR(BS273/BN273-1,""),"")</f>
        <v>-2.50724637681159</v>
      </c>
      <c r="BT274" s="24" t="n">
        <f aca="false">IF(AND(ISNUMBER(BT273),ISNUMBER(BO273)),IFERROR(BT273/BO273-1,""),"")</f>
        <v>0.138801261829653</v>
      </c>
      <c r="BU274" s="24" t="n">
        <f aca="false">IF(AND(ISNUMBER(BU273),ISNUMBER(BP273)),IFERROR(BU273/BP273-1,""),"")</f>
        <v>-0.0640176600441501</v>
      </c>
      <c r="BV274" s="24" t="n">
        <f aca="false">IF(AND(ISNUMBER(BV273),ISNUMBER(BQ273)),IFERROR(BV273/BQ273-1,""),"")</f>
        <v>0.619205298013245</v>
      </c>
      <c r="BW274" s="24" t="n">
        <f aca="false">IF(AND(ISNUMBER(BW273),ISNUMBER(BR273)),IFERROR(BW273/BR273-1,""),"")</f>
        <v>-3.73333333333333</v>
      </c>
      <c r="BX274" s="24" t="n">
        <f aca="false">IF(AND(ISNUMBER(BX273),ISNUMBER(BS273)),IFERROR(BX273/BS273-1,""),"")</f>
        <v>-1.07692307692308</v>
      </c>
      <c r="BY274" s="6"/>
      <c r="BZ274" s="6"/>
      <c r="CA274" s="25" t="n">
        <f aca="false">IFERROR(CA273/BV273-1,"")</f>
        <v>-0.0409340126938893</v>
      </c>
      <c r="CB274" s="25" t="n">
        <f aca="false">IFERROR(CB273/CA273-1,"")</f>
        <v>0.776630510916743</v>
      </c>
      <c r="CC274" s="25" t="n">
        <f aca="false">IFERROR(CC273/CB273-1,"")</f>
        <v>0.17677458654172</v>
      </c>
      <c r="CD274" s="25" t="n">
        <f aca="false">IFERROR(CD273/CC273-1,"")</f>
        <v>0.134681464347081</v>
      </c>
      <c r="CE274" s="25" t="n">
        <f aca="false">IFERROR(CE273/CD273-1,"")</f>
        <v>0.0989819278944797</v>
      </c>
      <c r="CF274" s="6"/>
    </row>
    <row r="275" customFormat="false" ht="15" hidden="false" customHeight="true" outlineLevel="0" collapsed="false">
      <c r="B275" s="26" t="s">
        <v>462</v>
      </c>
      <c r="C275" s="38" t="n">
        <f aca="false">IF(AND(ISNUMBER(C273),ISNUMBER(C152)),IFERROR(C273/C152,""),"")</f>
        <v>0.0327302393038434</v>
      </c>
      <c r="D275" s="38" t="n">
        <f aca="false">IF(AND(ISNUMBER(D273),ISNUMBER(D152)),IFERROR(D273/D152,""),"")</f>
        <v>0.0591930587648951</v>
      </c>
      <c r="E275" s="38" t="n">
        <f aca="false">IF(AND(ISNUMBER(E273),ISNUMBER(E152)),IFERROR(E273/E152,""),"")</f>
        <v>0.0412188104334701</v>
      </c>
      <c r="F275" s="38" t="n">
        <f aca="false">IF(AND(ISNUMBER(F273),ISNUMBER(F152)),IFERROR(F273/F152,""),"")</f>
        <v>0.105214378010102</v>
      </c>
      <c r="G275" s="38" t="n">
        <f aca="false">IF(AND(ISNUMBER(G273),ISNUMBER(G152)),IFERROR(G273/G152,""),"")</f>
        <v>0.0750978742498177</v>
      </c>
      <c r="H275" s="38" t="n">
        <f aca="false">IF(AND(ISNUMBER(H273),ISNUMBER(H152)),IFERROR(H273/H152,""),"")</f>
        <v>0.0605233677577455</v>
      </c>
      <c r="I275" s="38" t="n">
        <f aca="false">IF(AND(ISNUMBER(I273),ISNUMBER(I152)),IFERROR(I273/I152,""),"")</f>
        <v>0.03517177071064</v>
      </c>
      <c r="J275" s="38" t="n">
        <f aca="false">IF(AND(ISNUMBER(J273),ISNUMBER(J152)),IFERROR(J273/J152,""),"")</f>
        <v>-0.00858441558441558</v>
      </c>
      <c r="K275" s="38" t="n">
        <f aca="false">IF(AND(ISNUMBER(K273),ISNUMBER(K152)),IFERROR(K273/K152,""),"")</f>
        <v>0.00315443397902968</v>
      </c>
      <c r="L275" s="38" t="n">
        <f aca="false">IF(AND(ISNUMBER(L273),ISNUMBER(L152)),IFERROR(L273/L152,""),"")</f>
        <v>0.0974492710055614</v>
      </c>
      <c r="M275" s="38" t="n">
        <f aca="false">IF(AND(ISNUMBER(M273),ISNUMBER(M152)),IFERROR(M273/M152,""),"")</f>
        <v>0.165899082568807</v>
      </c>
      <c r="N275" s="38" t="n">
        <f aca="false">IF(AND(ISNUMBER(N273),ISNUMBER(N152)),IFERROR(N273/N152,""),"")</f>
        <v>0.0713143122245419</v>
      </c>
      <c r="O275" s="38" t="n">
        <f aca="false">IF(AND(ISNUMBER(O273),ISNUMBER(O152)),IFERROR(O273/O152,""),"")</f>
        <v>-0.0706811289946349</v>
      </c>
      <c r="P275" s="38" t="n">
        <f aca="false">IF(AND(ISNUMBER(P273),ISNUMBER(P152)),IFERROR(P273/P152,""),"")</f>
        <v>0.0238000597728631</v>
      </c>
      <c r="Q275" s="38" t="n">
        <f aca="false">IF(AND(ISNUMBER(Q273),ISNUMBER(Q152)),IFERROR(Q273/Q152,""),"")</f>
        <v>0.0771465577363754</v>
      </c>
      <c r="R275" s="38" t="n">
        <f aca="false">IF(AND(ISNUMBER(R273),ISNUMBER(R152)),IFERROR(R273/R152,""),"")</f>
        <v>0.100919070419246</v>
      </c>
      <c r="S275" s="38" t="n">
        <f aca="false">IF(AND(ISNUMBER(S273),ISNUMBER(S152)),IFERROR(S273/S152,""),"")</f>
        <v>0.0505324543610548</v>
      </c>
      <c r="T275" s="38" t="n">
        <f aca="false">IF(AND(ISNUMBER(T273),ISNUMBER(T152)),IFERROR(T273/T152,""),"")</f>
        <v>-0.0303153022852184</v>
      </c>
      <c r="U275" s="38" t="n">
        <f aca="false">IF(AND(ISNUMBER(U273),ISNUMBER(U152)),IFERROR(U273/U152,""),"")</f>
        <v>0.0217484263077925</v>
      </c>
      <c r="V275" s="38" t="n">
        <f aca="false">IF(AND(ISNUMBER(V273),ISNUMBER(V152)),IFERROR(V273/V152,""),"")</f>
        <v>0.0998456847163186</v>
      </c>
      <c r="W275" s="38" t="n">
        <f aca="false">IF(AND(ISNUMBER(W273),ISNUMBER(W152)),IFERROR(W273/W152,""),"")</f>
        <v>0.174978688136396</v>
      </c>
      <c r="X275" s="38" t="n">
        <f aca="false">IF(AND(ISNUMBER(X273),ISNUMBER(X152)),IFERROR(X273/X152,""),"")</f>
        <v>0.0720191547067465</v>
      </c>
      <c r="Y275" s="38" t="n">
        <f aca="false">IF(AND(ISNUMBER(Y273),ISNUMBER(Y152)),IFERROR(Y273/Y152,""),"")</f>
        <v>-0.0345081135902637</v>
      </c>
      <c r="Z275" s="38" t="n">
        <f aca="false">IF(AND(ISNUMBER(Z273),ISNUMBER(Z152)),IFERROR(Z273/Z152,""),"")</f>
        <v>0.0204972884477642</v>
      </c>
      <c r="AA275" s="38" t="n">
        <f aca="false">IF(AND(ISNUMBER(AA273),ISNUMBER(AA152)),IFERROR(AA273/AA152,""),"")</f>
        <v>0.122995742367968</v>
      </c>
      <c r="AB275" s="38" t="n">
        <f aca="false">IF(AND(ISNUMBER(AB273),ISNUMBER(AB152)),IFERROR(AB273/AB152,""),"")</f>
        <v>0.171585160202361</v>
      </c>
      <c r="AC275" s="38" t="n">
        <f aca="false">IF(AND(ISNUMBER(AC273),ISNUMBER(AC152)),IFERROR(AC273/AC152,""),"")</f>
        <v>0.0763032889913062</v>
      </c>
      <c r="AD275" s="38" t="n">
        <f aca="false">IF(AND(ISNUMBER(AD273),ISNUMBER(AD152)),IFERROR(AD273/AD152,""),"")</f>
        <v>-0.0332373503969665</v>
      </c>
      <c r="AE275" s="38" t="n">
        <f aca="false">IF(AND(ISNUMBER(AE273),ISNUMBER(AE152)),IFERROR(AE273/AE152,""),"")</f>
        <v>0.0390775740479549</v>
      </c>
      <c r="AF275" s="38" t="n">
        <f aca="false">IF(AND(ISNUMBER(AF273),ISNUMBER(AF152)),IFERROR(AF273/AF152,""),"")</f>
        <v>0.0883911004872667</v>
      </c>
      <c r="AG275" s="38" t="n">
        <f aca="false">IF(AND(ISNUMBER(AG273),ISNUMBER(AG152)),IFERROR(AG273/AG152,""),"")</f>
        <v>0.142091705306543</v>
      </c>
      <c r="AH275" s="38" t="n">
        <f aca="false">IF(AND(ISNUMBER(AH273),ISNUMBER(AH152)),IFERROR(AH273/AH152,""),"")</f>
        <v>0.0624251059108332</v>
      </c>
      <c r="AI275" s="38" t="n">
        <f aca="false">IF(AND(ISNUMBER(AI273),ISNUMBER(AI152)),IFERROR(AI273/AI152,""),"")</f>
        <v>0.0109139650872818</v>
      </c>
      <c r="AJ275" s="38" t="n">
        <f aca="false">IF(AND(ISNUMBER(AJ273),ISNUMBER(AJ152)),IFERROR(AJ273/AJ152,""),"")</f>
        <v>0.0341067013305855</v>
      </c>
      <c r="AK275" s="38" t="n">
        <f aca="false">IF(AND(ISNUMBER(AK273),ISNUMBER(AK152)),IFERROR(AK273/AK152,""),"")</f>
        <v>0.106277262142927</v>
      </c>
      <c r="AL275" s="38" t="n">
        <f aca="false">IF(AND(ISNUMBER(AL273),ISNUMBER(AL152)),IFERROR(AL273/AL152,""),"")</f>
        <v>0.146842145502236</v>
      </c>
      <c r="AM275" s="38" t="n">
        <f aca="false">IF(AND(ISNUMBER(AM273),ISNUMBER(AM152)),IFERROR(AM273/AM152,""),"")</f>
        <v>0.0775620749411264</v>
      </c>
      <c r="AN275" s="38" t="n">
        <f aca="false">IF(AND(ISNUMBER(AN273),ISNUMBER(AN152)),IFERROR(AN273/AN152,""),"")</f>
        <v>-0.0129846478265732</v>
      </c>
      <c r="AO275" s="38" t="n">
        <f aca="false">IF(AND(ISNUMBER(AO273),ISNUMBER(AO152)),IFERROR(AO273/AO152,""),"")</f>
        <v>0.108225449952637</v>
      </c>
      <c r="AP275" s="38" t="n">
        <f aca="false">IF(AND(ISNUMBER(AP273),ISNUMBER(AP152)),IFERROR(AP273/AP152,""),"")</f>
        <v>0.169351647531484</v>
      </c>
      <c r="AQ275" s="38" t="n">
        <f aca="false">IF(AND(ISNUMBER(AQ273),ISNUMBER(AQ152)),IFERROR(AQ273/AQ152,""),"")</f>
        <v>0.187017802131894</v>
      </c>
      <c r="AR275" s="38" t="n">
        <f aca="false">IF(AND(ISNUMBER(AR273),ISNUMBER(AR152)),IFERROR(AR273/AR152,""),"")</f>
        <v>0.120824680139554</v>
      </c>
      <c r="AS275" s="38" t="n">
        <f aca="false">IF(AND(ISNUMBER(AS273),ISNUMBER(AS152)),IFERROR(AS273/AS152,""),"")</f>
        <v>0.00271342099770404</v>
      </c>
      <c r="AT275" s="38" t="n">
        <f aca="false">IF(AND(ISNUMBER(AT273),ISNUMBER(AT152)),IFERROR(AT273/AT152,""),"")</f>
        <v>0.153392098221313</v>
      </c>
      <c r="AU275" s="38" t="n">
        <f aca="false">IF(AND(ISNUMBER(AU273),ISNUMBER(AU152)),IFERROR(AU273/AU152,""),"")</f>
        <v>0.178371424247011</v>
      </c>
      <c r="AV275" s="38" t="n">
        <f aca="false">IF(AND(ISNUMBER(AV273),ISNUMBER(AV152)),IFERROR(AV273/AV152,""),"")</f>
        <v>0.21804001356392</v>
      </c>
      <c r="AW275" s="38" t="n">
        <f aca="false">IF(AND(ISNUMBER(AW273),ISNUMBER(AW152)),IFERROR(AW273/AW152,""),"")</f>
        <v>0.145965030973171</v>
      </c>
      <c r="AX275" s="38" t="n">
        <f aca="false">IF(AND(ISNUMBER(AX273),ISNUMBER(AX152)),IFERROR(AX273/AX152,""),"")</f>
        <v>0.0830618892508143</v>
      </c>
      <c r="AY275" s="38" t="n">
        <f aca="false">IF(AND(ISNUMBER(AY273),ISNUMBER(AY152)),IFERROR(AY273/AY152,""),"")</f>
        <v>0.10639378764787</v>
      </c>
      <c r="AZ275" s="38" t="n">
        <f aca="false">IF(AND(ISNUMBER(AZ273),ISNUMBER(AZ152)),IFERROR(AZ273/AZ152,""),"")</f>
        <v>0.148205226995441</v>
      </c>
      <c r="BA275" s="38" t="n">
        <f aca="false">IF(AND(ISNUMBER(BA273),ISNUMBER(BA152)),IFERROR(BA273/BA152,""),"")</f>
        <v>0.170809943865277</v>
      </c>
      <c r="BB275" s="38" t="n">
        <f aca="false">IF(AND(ISNUMBER(BB273),ISNUMBER(BB152)),IFERROR(BB273/BB152,""),"")</f>
        <v>0.131991134096786</v>
      </c>
      <c r="BC275" s="38" t="n">
        <f aca="false">IF(AND(ISNUMBER(BC273),ISNUMBER(BC152)),IFERROR(BC273/BC152,""),"")</f>
        <v>0.0244556386090348</v>
      </c>
      <c r="BD275" s="38" t="n">
        <f aca="false">IF(AND(ISNUMBER(BD273),ISNUMBER(BD152)),IFERROR(BD273/BD152,""),"")</f>
        <v>0.0215630139489554</v>
      </c>
      <c r="BE275" s="38" t="n">
        <f aca="false">IF(AND(ISNUMBER(BE273),ISNUMBER(BE152)),IFERROR(BE273/BE152,""),"")</f>
        <v>0.102721201081857</v>
      </c>
      <c r="BF275" s="38" t="n">
        <f aca="false">IF(AND(ISNUMBER(BF273),ISNUMBER(BF152)),IFERROR(BF273/BF152,""),"")</f>
        <v>0.17460209955977</v>
      </c>
      <c r="BG275" s="38" t="n">
        <f aca="false">IF(AND(ISNUMBER(BG273),ISNUMBER(BG152)),IFERROR(BG273/BG152,""),"")</f>
        <v>0.0826854091255864</v>
      </c>
      <c r="BH275" s="38" t="n">
        <f aca="false">IF(AND(ISNUMBER(BH273),ISNUMBER(BH152)),IFERROR(BH273/BH152,""),"")</f>
        <v>-0.00989587179676538</v>
      </c>
      <c r="BI275" s="38" t="n">
        <f aca="false">IF(AND(ISNUMBER(BI273),ISNUMBER(BI152)),IFERROR(BI273/BI152,""),"")</f>
        <v>0.130986379613357</v>
      </c>
      <c r="BJ275" s="38" t="n">
        <f aca="false">IF(AND(ISNUMBER(BJ273),ISNUMBER(BJ152)),IFERROR(BJ273/BJ152,""),"")</f>
        <v>0.142069103856376</v>
      </c>
      <c r="BK275" s="38" t="n">
        <f aca="false">IF(AND(ISNUMBER(BK273),ISNUMBER(BK152)),IFERROR(BK273/BK152,""),"")</f>
        <v>0.22988434274344</v>
      </c>
      <c r="BL275" s="38" t="n">
        <f aca="false">IF(AND(ISNUMBER(BL273),ISNUMBER(BL152)),IFERROR(BL273/BL152,""),"")</f>
        <v>0.129566782742135</v>
      </c>
      <c r="BM275" s="38" t="n">
        <f aca="false">IF(AND(ISNUMBER(BM273),ISNUMBER(BM152)),IFERROR(BM273/BM152,""),"")</f>
        <v>-0.0223820943245404</v>
      </c>
      <c r="BN275" s="38" t="n">
        <f aca="false">IF(AND(ISNUMBER(BN273),ISNUMBER(BN152)),IFERROR(BN273/BN152,""),"")</f>
        <v>-0.0782312925170068</v>
      </c>
      <c r="BO275" s="38" t="n">
        <f aca="false">IF(AND(ISNUMBER(BO273),ISNUMBER(BO152)),IFERROR(BO273/BO152,""),"")</f>
        <v>0.167813658020116</v>
      </c>
      <c r="BP275" s="38" t="n">
        <f aca="false">IF(AND(ISNUMBER(BP273),ISNUMBER(BP152)),IFERROR(BP273/BP152,""),"")</f>
        <v>0.277573529411765</v>
      </c>
      <c r="BQ275" s="38" t="n">
        <f aca="false">IF(AND(ISNUMBER(BQ273),ISNUMBER(BQ152)),IFERROR(BQ273/BQ152,""),"")</f>
        <v>0.0924112607099143</v>
      </c>
      <c r="BR275" s="38" t="n">
        <f aca="false">IF(AND(ISNUMBER(BR273),ISNUMBER(BR152)),IFERROR(BR273/BR152,""),"")</f>
        <v>-0.0129087779690189</v>
      </c>
      <c r="BS275" s="38" t="n">
        <f aca="false">IF(AND(ISNUMBER(BS273),ISNUMBER(BS152)),IFERROR(BS273/BS152,""),"")</f>
        <v>0.129272840273462</v>
      </c>
      <c r="BT275" s="38" t="n">
        <f aca="false">IF(AND(ISNUMBER(BT273),ISNUMBER(BT152)),IFERROR(BT273/BT152,""),"")</f>
        <v>0.195557963163597</v>
      </c>
      <c r="BU275" s="38" t="n">
        <f aca="false">IF(AND(ISNUMBER(BU273),ISNUMBER(BU152)),IFERROR(BU273/BU152,""),"")</f>
        <v>0.276401564537158</v>
      </c>
      <c r="BV275" s="38" t="n">
        <f aca="false">IF(AND(ISNUMBER(BV273),ISNUMBER(BV152)),IFERROR(BV273/BV152,""),"")</f>
        <v>0.159024390243902</v>
      </c>
      <c r="BW275" s="38" t="n">
        <f aca="false">IF(AND(ISNUMBER(BW273),ISNUMBER(BW152)),IFERROR(BW273/BW152,""),"")</f>
        <v>0.0301027900146843</v>
      </c>
      <c r="BX275" s="38" t="n">
        <f aca="false">IF(AND(ISNUMBER(BX273),ISNUMBER(BX152)),IFERROR(BX273/BX152,""),"")</f>
        <v>-0.00821777092963534</v>
      </c>
      <c r="BY275" s="6"/>
      <c r="BZ275" s="6"/>
      <c r="CA275" s="25" t="n">
        <f aca="false">IFERROR(CA273/CA152,"")</f>
        <v>0.117695137225527</v>
      </c>
      <c r="CB275" s="25" t="n">
        <f aca="false">IFERROR(CB273/CB152,"")</f>
        <v>0.169751521075961</v>
      </c>
      <c r="CC275" s="25" t="n">
        <f aca="false">IFERROR(CC273/CC152,"")</f>
        <v>0.184956614181626</v>
      </c>
      <c r="CD275" s="25" t="n">
        <f aca="false">IFERROR(CD273/CD152,"")</f>
        <v>0.193595180533178</v>
      </c>
      <c r="CE275" s="25" t="n">
        <f aca="false">IFERROR(CE273/CE152,"")</f>
        <v>0.195851479953769</v>
      </c>
      <c r="CF275" s="6"/>
      <c r="CH275" s="39" t="n">
        <f aca="false">IFERROR(AVERAGE(CA275,CB275,CC275,CD275,CE275),"n/m")</f>
        <v>0.172369986594012</v>
      </c>
      <c r="CI275" s="39" t="n">
        <f aca="false">IFERROR(AVERAGE(BB275,BG275,BL275,BQ275,BV275),"n/m")</f>
        <v>0.119135795383665</v>
      </c>
      <c r="CJ275" s="39" t="n">
        <f aca="false">IFERROR(AVERAGE(AC275,AH275,AM275,AR275,AW275,BB275,BG275,BL275,BQ275,BV275),"n/m")</f>
        <v>0.107875915787432</v>
      </c>
      <c r="CK275" s="39" t="n">
        <f aca="false">IFERROR(AVERAGE(C275,D275,E275,F275,G275,H275,I275,N275,S275,X275,AC275,AH275,AM275,AR275,AW275,BB275,BG275,BL275,BQ275,BV275),"n/m")</f>
        <v>0.0840887289198586</v>
      </c>
    </row>
    <row r="276" customFormat="false" ht="15" hidden="false" customHeight="true" outlineLevel="0" collapsed="false">
      <c r="B276" s="26" t="s">
        <v>463</v>
      </c>
      <c r="C276" s="38" t="n">
        <f aca="false">IF(AND(ISNUMBER(C273),ISNUMBER(C222)),IFERROR(C273/C222,""),"")</f>
        <v>0.295223402597163</v>
      </c>
      <c r="D276" s="38" t="n">
        <f aca="false">IF(AND(ISNUMBER(D273),ISNUMBER(D222)),IFERROR(D273/D222,""),"")</f>
        <v>0.496957546227884</v>
      </c>
      <c r="E276" s="38" t="n">
        <f aca="false">IF(AND(ISNUMBER(E273),ISNUMBER(E222)),IFERROR(E273/E222,""),"")</f>
        <v>0.500962792671894</v>
      </c>
      <c r="F276" s="38" t="n">
        <f aca="false">IF(AND(ISNUMBER(F273),ISNUMBER(F222)),IFERROR(F273/F222,""),"")</f>
        <v>2.10255868544601</v>
      </c>
      <c r="G276" s="38" t="n">
        <f aca="false">IF(AND(ISNUMBER(G273),ISNUMBER(G222)),IFERROR(G273/G222,""),"")</f>
        <v>1.38318181818182</v>
      </c>
      <c r="H276" s="38" t="n">
        <f aca="false">IF(AND(ISNUMBER(H273),ISNUMBER(H222)),IFERROR(H273/H222,""),"")</f>
        <v>1.11569901262719</v>
      </c>
      <c r="I276" s="38" t="n">
        <f aca="false">IF(AND(ISNUMBER(I273),ISNUMBER(I222)),IFERROR(I273/I222,""),"")</f>
        <v>0.680330358838049</v>
      </c>
      <c r="J276" s="38" t="n">
        <f aca="false">IF(AND(ISNUMBER(J273),ISNUMBER(J222)),IFERROR(J273/J222,""),"")</f>
        <v>0.119314079422383</v>
      </c>
      <c r="K276" s="38" t="n">
        <f aca="false">IF(AND(ISNUMBER(K273),ISNUMBER(K222)),IFERROR(K273/K222,""),"")</f>
        <v>0.0432926829268292</v>
      </c>
      <c r="L276" s="38" t="n">
        <f aca="false">IF(AND(ISNUMBER(L273),ISNUMBER(L222)),IFERROR(L273/L222,""),"")</f>
        <v>0.899209431345355</v>
      </c>
      <c r="M276" s="38" t="n">
        <f aca="false">IF(AND(ISNUMBER(M273),ISNUMBER(M222)),IFERROR(M273/M222,""),"")</f>
        <v>2.49077134986226</v>
      </c>
      <c r="N276" s="38" t="n">
        <f aca="false">IF(AND(ISNUMBER(N273),ISNUMBER(N222)),IFERROR(N273/N222,""),"")</f>
        <v>1.25895167895168</v>
      </c>
      <c r="O276" s="38" t="n">
        <f aca="false">IF(AND(ISNUMBER(O273),ISNUMBER(O222)),IFERROR(O273/O222,""),"")</f>
        <v>1.86985498302993</v>
      </c>
      <c r="P276" s="38" t="n">
        <f aca="false">IF(AND(ISNUMBER(P273),ISNUMBER(P222)),IFERROR(P273/P222,""),"")</f>
        <v>0.25560905151661</v>
      </c>
      <c r="Q276" s="38" t="n">
        <f aca="false">IF(AND(ISNUMBER(Q273),ISNUMBER(Q222)),IFERROR(Q273/Q222,""),"")</f>
        <v>0.791131545338442</v>
      </c>
      <c r="R276" s="38" t="n">
        <f aca="false">IF(AND(ISNUMBER(R273),ISNUMBER(R222)),IFERROR(R273/R222,""),"")</f>
        <v>1.29127069511685</v>
      </c>
      <c r="S276" s="38" t="n">
        <f aca="false">IF(AND(ISNUMBER(S273),ISNUMBER(S222)),IFERROR(S273/S222,""),"")</f>
        <v>0.69994006199837</v>
      </c>
      <c r="T276" s="38" t="n">
        <f aca="false">IF(AND(ISNUMBER(T273),ISNUMBER(T222)),IFERROR(T273/T222,""),"")</f>
        <v>-3.43606557377052</v>
      </c>
      <c r="U276" s="38" t="n">
        <f aca="false">IF(AND(ISNUMBER(U273),ISNUMBER(U222)),IFERROR(U273/U222,""),"")</f>
        <v>0.244676434676435</v>
      </c>
      <c r="V276" s="38" t="n">
        <f aca="false">IF(AND(ISNUMBER(V273),ISNUMBER(V222)),IFERROR(V273/V222,""),"")</f>
        <v>0.789376406300225</v>
      </c>
      <c r="W276" s="38" t="n">
        <f aca="false">IF(AND(ISNUMBER(W273),ISNUMBER(W222)),IFERROR(W273/W222,""),"")</f>
        <v>1.95600981251208</v>
      </c>
      <c r="X276" s="38" t="n">
        <f aca="false">IF(AND(ISNUMBER(X273),ISNUMBER(X222)),IFERROR(X273/X222,""),"")</f>
        <v>0.845503570527182</v>
      </c>
      <c r="Y276" s="38" t="n">
        <f aca="false">IF(AND(ISNUMBER(Y273),ISNUMBER(Y222)),IFERROR(Y273/Y222,""),"")</f>
        <v>-0.60488888888889</v>
      </c>
      <c r="Z276" s="38" t="n">
        <f aca="false">IF(AND(ISNUMBER(Z273),ISNUMBER(Z222)),IFERROR(Z273/Z222,""),"")</f>
        <v>0.164062244062244</v>
      </c>
      <c r="AA276" s="38" t="n">
        <f aca="false">IF(AND(ISNUMBER(AA273),ISNUMBER(AA222)),IFERROR(AA273/AA222,""),"")</f>
        <v>0.851253918495297</v>
      </c>
      <c r="AB276" s="38" t="n">
        <f aca="false">IF(AND(ISNUMBER(AB273),ISNUMBER(AB222)),IFERROR(AB273/AB222,""),"")</f>
        <v>1.64610717896866</v>
      </c>
      <c r="AC276" s="38" t="n">
        <f aca="false">IF(AND(ISNUMBER(AC273),ISNUMBER(AC222)),IFERROR(AC273/AC222,""),"")</f>
        <v>0.684971791255289</v>
      </c>
      <c r="AD276" s="38" t="n">
        <f aca="false">IF(AND(ISNUMBER(AD273),ISNUMBER(AD222)),IFERROR(AD273/AD222,""),"")</f>
        <v>-0.663096926713948</v>
      </c>
      <c r="AE276" s="38" t="n">
        <f aca="false">IF(AND(ISNUMBER(AE273),ISNUMBER(AE222)),IFERROR(AE273/AE222,""),"")</f>
        <v>0.292052002810963</v>
      </c>
      <c r="AF276" s="38" t="n">
        <f aca="false">IF(AND(ISNUMBER(AF273),ISNUMBER(AF222)),IFERROR(AF273/AF222,""),"")</f>
        <v>0.634607260726072</v>
      </c>
      <c r="AG276" s="38" t="n">
        <f aca="false">IF(AND(ISNUMBER(AG273),ISNUMBER(AG222)),IFERROR(AG273/AG222,""),"")</f>
        <v>1.16061809857258</v>
      </c>
      <c r="AH276" s="38" t="n">
        <f aca="false">IF(AND(ISNUMBER(AH273),ISNUMBER(AH222)),IFERROR(AH273/AH222,""),"")</f>
        <v>0.5455400902648</v>
      </c>
      <c r="AI276" s="38" t="n">
        <f aca="false">IF(AND(ISNUMBER(AI273),ISNUMBER(AI222)),IFERROR(AI273/AI222,""),"")</f>
        <v>0.875300000000002</v>
      </c>
      <c r="AJ276" s="38" t="n">
        <f aca="false">IF(AND(ISNUMBER(AJ273),ISNUMBER(AJ222)),IFERROR(AJ273/AJ222,""),"")</f>
        <v>0.199391161160559</v>
      </c>
      <c r="AK276" s="38" t="n">
        <f aca="false">IF(AND(ISNUMBER(AK273),ISNUMBER(AK222)),IFERROR(AK273/AK222,""),"")</f>
        <v>0.67008082895233</v>
      </c>
      <c r="AL276" s="38" t="n">
        <f aca="false">IF(AND(ISNUMBER(AL273),ISNUMBER(AL222)),IFERROR(AL273/AL222,""),"")</f>
        <v>1.43282172495247</v>
      </c>
      <c r="AM276" s="38" t="n">
        <f aca="false">IF(AND(ISNUMBER(AM273),ISNUMBER(AM222)),IFERROR(AM273/AM222,""),"")</f>
        <v>0.643352935629737</v>
      </c>
      <c r="AN276" s="38" t="n">
        <f aca="false">IF(AND(ISNUMBER(AN273),ISNUMBER(AN222)),IFERROR(AN273/AN222,""),"")</f>
        <v>-0.284686872460655</v>
      </c>
      <c r="AO276" s="38" t="n">
        <f aca="false">IF(AND(ISNUMBER(AO273),ISNUMBER(AO222)),IFERROR(AO273/AO222,""),"")</f>
        <v>0.730837234587188</v>
      </c>
      <c r="AP276" s="38" t="n">
        <f aca="false">IF(AND(ISNUMBER(AP273),ISNUMBER(AP222)),IFERROR(AP273/AP222,""),"")</f>
        <v>0.967416399192348</v>
      </c>
      <c r="AQ276" s="38" t="n">
        <f aca="false">IF(AND(ISNUMBER(AQ273),ISNUMBER(AQ222)),IFERROR(AQ273/AQ222,""),"")</f>
        <v>1.57082449203902</v>
      </c>
      <c r="AR276" s="38" t="n">
        <f aca="false">IF(AND(ISNUMBER(AR273),ISNUMBER(AR222)),IFERROR(AR273/AR222,""),"")</f>
        <v>0.93575088043274</v>
      </c>
      <c r="AS276" s="38" t="n">
        <f aca="false">IF(AND(ISNUMBER(AS273),ISNUMBER(AS222)),IFERROR(AS273/AS222,""),"")</f>
        <v>0.1003861003861</v>
      </c>
      <c r="AT276" s="38" t="n">
        <f aca="false">IF(AND(ISNUMBER(AT273),ISNUMBER(AT222)),IFERROR(AT273/AT222,""),"")</f>
        <v>0.895680147058824</v>
      </c>
      <c r="AU276" s="38" t="n">
        <f aca="false">IF(AND(ISNUMBER(AU273),ISNUMBER(AU222)),IFERROR(AU273/AU222,""),"")</f>
        <v>0.800611413043478</v>
      </c>
      <c r="AV276" s="38" t="n">
        <f aca="false">IF(AND(ISNUMBER(AV273),ISNUMBER(AV222)),IFERROR(AV273/AV222,""),"")</f>
        <v>1.40546448087432</v>
      </c>
      <c r="AW276" s="38" t="n">
        <f aca="false">IF(AND(ISNUMBER(AW273),ISNUMBER(AW222)),IFERROR(AW273/AW222,""),"")</f>
        <v>0.957558945908461</v>
      </c>
      <c r="AX276" s="38" t="n">
        <f aca="false">IF(AND(ISNUMBER(AX273),ISNUMBER(AX222)),IFERROR(AX273/AX222,""),"")</f>
        <v>1.24961715160797</v>
      </c>
      <c r="AY276" s="38" t="n">
        <f aca="false">IF(AND(ISNUMBER(AY273),ISNUMBER(AY222)),IFERROR(AY273/AY222,""),"")</f>
        <v>0.615641828659773</v>
      </c>
      <c r="AZ276" s="38" t="n">
        <f aca="false">IF(AND(ISNUMBER(AZ273),ISNUMBER(AZ222)),IFERROR(AZ273/AZ222,""),"")</f>
        <v>0.867506275930078</v>
      </c>
      <c r="BA276" s="38" t="n">
        <f aca="false">IF(AND(ISNUMBER(BA273),ISNUMBER(BA222)),IFERROR(BA273/BA222,""),"")</f>
        <v>1.29414445203919</v>
      </c>
      <c r="BB276" s="38" t="n">
        <f aca="false">IF(AND(ISNUMBER(BB273),ISNUMBER(BB222)),IFERROR(BB273/BB222,""),"")</f>
        <v>0.92958791202876</v>
      </c>
      <c r="BC276" s="38" t="n">
        <f aca="false">IF(AND(ISNUMBER(BC273),ISNUMBER(BC222)),IFERROR(BC273/BC222,""),"")</f>
        <v>1.17435340929644</v>
      </c>
      <c r="BD276" s="38" t="n">
        <f aca="false">IF(AND(ISNUMBER(BD273),ISNUMBER(BD222)),IFERROR(BD273/BD222,""),"")</f>
        <v>0.143030492506034</v>
      </c>
      <c r="BE276" s="38" t="n">
        <f aca="false">IF(AND(ISNUMBER(BE273),ISNUMBER(BE222)),IFERROR(BE273/BE222,""),"")</f>
        <v>0.634882981822865</v>
      </c>
      <c r="BF276" s="38" t="n">
        <f aca="false">IF(AND(ISNUMBER(BF273),ISNUMBER(BF222)),IFERROR(BF273/BF222,""),"")</f>
        <v>1.36119469980823</v>
      </c>
      <c r="BG276" s="38" t="n">
        <f aca="false">IF(AND(ISNUMBER(BG273),ISNUMBER(BG222)),IFERROR(BG273/BG222,""),"")</f>
        <v>0.675261029314997</v>
      </c>
      <c r="BH276" s="38" t="n">
        <f aca="false">IF(AND(ISNUMBER(BH273),ISNUMBER(BH222)),IFERROR(BH273/BH222,""),"")</f>
        <v>-0.0993085890158947</v>
      </c>
      <c r="BI276" s="38" t="n">
        <f aca="false">IF(AND(ISNUMBER(BI273),ISNUMBER(BI222)),IFERROR(BI273/BI222,""),"")</f>
        <v>0.68550947484159</v>
      </c>
      <c r="BJ276" s="38" t="n">
        <f aca="false">IF(AND(ISNUMBER(BJ273),ISNUMBER(BJ222)),IFERROR(BJ273/BJ222,""),"")</f>
        <v>0.654380553225581</v>
      </c>
      <c r="BK276" s="38" t="n">
        <f aca="false">IF(AND(ISNUMBER(BK273),ISNUMBER(BK222)),IFERROR(BK273/BK222,""),"")</f>
        <v>1.25714617500008</v>
      </c>
      <c r="BL276" s="38" t="n">
        <f aca="false">IF(AND(ISNUMBER(BL273),ISNUMBER(BL222)),IFERROR(BL273/BL222,""),"")</f>
        <v>0.725936743491504</v>
      </c>
      <c r="BM276" s="38" t="n">
        <f aca="false">IF(AND(ISNUMBER(BM273),ISNUMBER(BM222)),IFERROR(BM273/BM222,""),"")</f>
        <v>-0.254633857710662</v>
      </c>
      <c r="BN276" s="38" t="n">
        <f aca="false">IF(AND(ISNUMBER(BN273),ISNUMBER(BN222)),IFERROR(BN273/BN222,""),"")</f>
        <v>-0.424847311187249</v>
      </c>
      <c r="BO276" s="38" t="n">
        <f aca="false">IF(AND(ISNUMBER(BO273),ISNUMBER(BO222)),IFERROR(BO273/BO222,""),"")</f>
        <v>0.869481375014972</v>
      </c>
      <c r="BP276" s="38" t="n">
        <f aca="false">IF(AND(ISNUMBER(BP273),ISNUMBER(BP222)),IFERROR(BP273/BP222,""),"")</f>
        <v>1.53646373803759</v>
      </c>
      <c r="BQ276" s="38" t="n">
        <f aca="false">IF(AND(ISNUMBER(BQ273),ISNUMBER(BQ222)),IFERROR(BQ273/BQ222,""),"")</f>
        <v>0.571859554528532</v>
      </c>
      <c r="BR276" s="38" t="n">
        <f aca="false">IF(AND(ISNUMBER(BR273),ISNUMBER(BR222)),IFERROR(BR273/BR222,""),"")</f>
        <v>-0.144648023143684</v>
      </c>
      <c r="BS276" s="38" t="n">
        <f aca="false">IF(AND(ISNUMBER(BS273),ISNUMBER(BS222)),IFERROR(BS273/BS222,""),"")</f>
        <v>0.711510043237918</v>
      </c>
      <c r="BT276" s="38" t="n">
        <f aca="false">IF(AND(ISNUMBER(BT273),ISNUMBER(BT222)),IFERROR(BT273/BT222,""),"")</f>
        <v>0.974025974025974</v>
      </c>
      <c r="BU276" s="38" t="n">
        <f aca="false">IF(AND(ISNUMBER(BU273),ISNUMBER(BU222)),IFERROR(BU273/BU222,""),"")</f>
        <v>1.66461690002111</v>
      </c>
      <c r="BV276" s="38" t="n">
        <f aca="false">IF(AND(ISNUMBER(BV273),ISNUMBER(BV222)),IFERROR(BV273/BV222,""),"")</f>
        <v>0.958179900268508</v>
      </c>
      <c r="BW276" s="38" t="n">
        <f aca="false">IF(AND(ISNUMBER(BW273),ISNUMBER(BW222)),IFERROR(BW273/BW222,""),"")</f>
        <v>0.351714013761498</v>
      </c>
      <c r="BX276" s="38" t="n">
        <f aca="false">IF(AND(ISNUMBER(BX273),ISNUMBER(BX222)),IFERROR(BX273/BX222,""),"")</f>
        <v>-0.053156146179402</v>
      </c>
      <c r="BY276" s="6"/>
      <c r="BZ276" s="6"/>
      <c r="CA276" s="25" t="n">
        <f aca="false">IFERROR(CA273/CA222,"")</f>
        <v>0.861968143641172</v>
      </c>
      <c r="CB276" s="25" t="n">
        <f aca="false">IFERROR(CB273/CB222,"")</f>
        <v>1.27413336883975</v>
      </c>
      <c r="CC276" s="25" t="n">
        <f aca="false">IFERROR(CC273/CC222,"")</f>
        <v>1.21212964840226</v>
      </c>
      <c r="CD276" s="25" t="n">
        <f aca="false">IFERROR(CD273/CD222,"")</f>
        <v>1.17855823632923</v>
      </c>
      <c r="CE276" s="25" t="n">
        <f aca="false">IFERROR(CE273/CE222,"")</f>
        <v>1.15998236860619</v>
      </c>
      <c r="CF276" s="6"/>
    </row>
    <row r="277" customFormat="false" ht="15" hidden="false" customHeight="true" outlineLevel="0" collapsed="false">
      <c r="B277" s="26" t="s">
        <v>464</v>
      </c>
      <c r="C277" s="40" t="n">
        <f aca="false">IF(AND(ISNUMBER(C273),ISNUMBER(C180)),IFERROR(C273/C180,""),"")</f>
        <v>1.55637931034483</v>
      </c>
      <c r="D277" s="40" t="n">
        <f aca="false">IF(AND(ISNUMBER(D273),ISNUMBER(D180)),IFERROR(D273/D180,""),"")</f>
        <v>3.01720554272517</v>
      </c>
      <c r="E277" s="40" t="n">
        <f aca="false">IF(AND(ISNUMBER(E273),ISNUMBER(E180)),IFERROR(E273/E180,""),"")</f>
        <v>2.08066666666667</v>
      </c>
      <c r="F277" s="40" t="n">
        <f aca="false">IF(AND(ISNUMBER(F273),ISNUMBER(F180)),IFERROR(F273/F180,""),"")</f>
        <v>4.05289592760181</v>
      </c>
      <c r="G277" s="40" t="n">
        <f aca="false">IF(AND(ISNUMBER(G273),ISNUMBER(G180)),IFERROR(G273/G180,""),"")</f>
        <v>2.92980306345733</v>
      </c>
      <c r="H277" s="40" t="n">
        <f aca="false">IF(AND(ISNUMBER(H273),ISNUMBER(H180)),IFERROR(H273/H180,""),"")</f>
        <v>2.26486899563319</v>
      </c>
      <c r="I277" s="40" t="n">
        <f aca="false">IF(AND(ISNUMBER(I273),ISNUMBER(I180)),IFERROR(I273/I180,""),"")</f>
        <v>1.55795652173913</v>
      </c>
      <c r="J277" s="40" t="n">
        <f aca="false">IF(AND(ISNUMBER(J273),ISNUMBER(J180)),IFERROR(J273/J180,""),"")</f>
        <v>-0.0718478260869565</v>
      </c>
      <c r="K277" s="40" t="n">
        <f aca="false">IF(AND(ISNUMBER(K273),ISNUMBER(K180)),IFERROR(K273/K180,""),"")</f>
        <v>0.0383369330453563</v>
      </c>
      <c r="L277" s="40" t="n">
        <f aca="false">IF(AND(ISNUMBER(L273),ISNUMBER(L180)),IFERROR(L273/L180,""),"")</f>
        <v>1.4002807775378</v>
      </c>
      <c r="M277" s="40" t="n">
        <f aca="false">IF(AND(ISNUMBER(M273),ISNUMBER(M180)),IFERROR(M273/M180,""),"")</f>
        <v>1.94859913793103</v>
      </c>
      <c r="N277" s="40" t="n">
        <f aca="false">IF(AND(ISNUMBER(N273),ISNUMBER(N180)),IFERROR(N273/N180,""),"")</f>
        <v>3.32004319654428</v>
      </c>
      <c r="O277" s="40" t="n">
        <f aca="false">IF(AND(ISNUMBER(O273),ISNUMBER(O180)),IFERROR(O273/O180,""),"")</f>
        <v>-0.654449244060475</v>
      </c>
      <c r="P277" s="40" t="n">
        <f aca="false">IF(AND(ISNUMBER(P273),ISNUMBER(P180)),IFERROR(P273/P180,""),"")</f>
        <v>0.342516129032258</v>
      </c>
      <c r="Q277" s="40" t="n">
        <f aca="false">IF(AND(ISNUMBER(Q273),ISNUMBER(Q180)),IFERROR(Q273/Q180,""),"")</f>
        <v>1.14714074074074</v>
      </c>
      <c r="R277" s="40" t="n">
        <f aca="false">IF(AND(ISNUMBER(R273),ISNUMBER(R180)),IFERROR(R273/R180,""),"")</f>
        <v>1.27835798816568</v>
      </c>
      <c r="S277" s="40" t="n">
        <f aca="false">IF(AND(ISNUMBER(S273),ISNUMBER(S180)),IFERROR(S273/S180,""),"")</f>
        <v>2.61777583187391</v>
      </c>
      <c r="T277" s="40" t="n">
        <f aca="false">IF(AND(ISNUMBER(T273),ISNUMBER(T180)),IFERROR(T273/T180,""),"")</f>
        <v>-0.3096011816839</v>
      </c>
      <c r="U277" s="40" t="n">
        <f aca="false">IF(AND(ISNUMBER(U273),ISNUMBER(U180)),IFERROR(U273/U180,""),"")</f>
        <v>0.296434911242604</v>
      </c>
      <c r="V277" s="40" t="n">
        <f aca="false">IF(AND(ISNUMBER(V273),ISNUMBER(V180)),IFERROR(V273/V180,""),"")</f>
        <v>1.61032786885246</v>
      </c>
      <c r="W277" s="40" t="n">
        <f aca="false">IF(AND(ISNUMBER(W273),ISNUMBER(W180)),IFERROR(W273/W180,""),"")</f>
        <v>2.24942161339421</v>
      </c>
      <c r="X277" s="40" t="n">
        <f aca="false">IF(AND(ISNUMBER(X273),ISNUMBER(X180)),IFERROR(X273/X180,""),"")</f>
        <v>3.80476119402985</v>
      </c>
      <c r="Y277" s="40" t="n">
        <f aca="false">IF(AND(ISNUMBER(Y273),ISNUMBER(Y180)),IFERROR(Y273/Y180,""),"")</f>
        <v>-0.422670807453416</v>
      </c>
      <c r="Z277" s="40" t="n">
        <f aca="false">IF(AND(ISNUMBER(Z273),ISNUMBER(Z180)),IFERROR(Z273/Z180,""),"")</f>
        <v>0.313981191222571</v>
      </c>
      <c r="AA277" s="40" t="n">
        <f aca="false">IF(AND(ISNUMBER(AA273),ISNUMBER(AA180)),IFERROR(AA273/AA180,""),"")</f>
        <v>2.13147566718995</v>
      </c>
      <c r="AB277" s="40" t="n">
        <f aca="false">IF(AND(ISNUMBER(AB273),ISNUMBER(AB180)),IFERROR(AB273/AB180,""),"")</f>
        <v>2.56377952755906</v>
      </c>
      <c r="AC277" s="40" t="n">
        <f aca="false">IF(AND(ISNUMBER(AC273),ISNUMBER(AC180)),IFERROR(AC273/AC180,""),"")</f>
        <v>4.56004694835681</v>
      </c>
      <c r="AD277" s="40" t="n">
        <f aca="false">IF(AND(ISNUMBER(AD273),ISNUMBER(AD180)),IFERROR(AD273/AD180,""),"")</f>
        <v>-0.443112164296998</v>
      </c>
      <c r="AE277" s="40" t="n">
        <f aca="false">IF(AND(ISNUMBER(AE273),ISNUMBER(AE180)),IFERROR(AE273/AE180,""),"")</f>
        <v>0.658621236133122</v>
      </c>
      <c r="AF277" s="40" t="n">
        <f aca="false">IF(AND(ISNUMBER(AF273),ISNUMBER(AF180)),IFERROR(AF273/AF180,""),"")</f>
        <v>1.52125</v>
      </c>
      <c r="AG277" s="40" t="n">
        <f aca="false">IF(AND(ISNUMBER(AG273),ISNUMBER(AG180)),IFERROR(AG273/AG180,""),"")</f>
        <v>2.18196202531646</v>
      </c>
      <c r="AH277" s="40" t="n">
        <f aca="false">IF(AND(ISNUMBER(AH273),ISNUMBER(AH180)),IFERROR(AH273/AH180,""),"")</f>
        <v>3.91697784810127</v>
      </c>
      <c r="AI277" s="40" t="n">
        <f aca="false">IF(AND(ISNUMBER(AI273),ISNUMBER(AI180)),IFERROR(AI273/AI180,""),"")</f>
        <v>0.138496835443038</v>
      </c>
      <c r="AJ277" s="40" t="n">
        <f aca="false">IF(AND(ISNUMBER(AJ273),ISNUMBER(AJ180)),IFERROR(AJ273/AJ180,""),"")</f>
        <v>0.648020858023228</v>
      </c>
      <c r="AK277" s="40" t="n">
        <f aca="false">IF(AND(ISNUMBER(AK273),ISNUMBER(AK180)),IFERROR(AK273/AK180,""),"")</f>
        <v>2.05202083366315</v>
      </c>
      <c r="AL277" s="40" t="n">
        <f aca="false">IF(AND(ISNUMBER(AL273),ISNUMBER(AL180)),IFERROR(AL273/AL180,""),"")</f>
        <v>2.38105152738485</v>
      </c>
      <c r="AM277" s="40" t="n">
        <f aca="false">IF(AND(ISNUMBER(AM273),ISNUMBER(AM180)),IFERROR(AM273/AM180,""),"")</f>
        <v>5.21313759956926</v>
      </c>
      <c r="AN277" s="40" t="n">
        <f aca="false">IF(AND(ISNUMBER(AN273),ISNUMBER(AN180)),IFERROR(AN273/AN180,""),"")</f>
        <v>-0.194211255714673</v>
      </c>
      <c r="AO277" s="40" t="n">
        <f aca="false">IF(AND(ISNUMBER(AO273),ISNUMBER(AO180)),IFERROR(AO273/AO180,""),"")</f>
        <v>2.20776466836735</v>
      </c>
      <c r="AP277" s="40" t="n">
        <f aca="false">IF(AND(ISNUMBER(AP273),ISNUMBER(AP180)),IFERROR(AP273/AP180,""),"")</f>
        <v>3.83734584150992</v>
      </c>
      <c r="AQ277" s="40" t="n">
        <f aca="false">IF(AND(ISNUMBER(AQ273),ISNUMBER(AQ180)),IFERROR(AQ273/AQ180,""),"")</f>
        <v>3.28402508497295</v>
      </c>
      <c r="AR277" s="40" t="n">
        <f aca="false">IF(AND(ISNUMBER(AR273),ISNUMBER(AR180)),IFERROR(AR273/AR180,""),"")</f>
        <v>9.13092010843566</v>
      </c>
      <c r="AS277" s="40" t="n">
        <f aca="false">IF(AND(ISNUMBER(AS273),ISNUMBER(AS180)),IFERROR(AS273/AS180,""),"")</f>
        <v>0.0416000000000001</v>
      </c>
      <c r="AT277" s="40" t="n">
        <f aca="false">IF(AND(ISNUMBER(AT273),ISNUMBER(AT180)),IFERROR(AT273/AT180,""),"")</f>
        <v>3.12841091492777</v>
      </c>
      <c r="AU277" s="40" t="n">
        <f aca="false">IF(AND(ISNUMBER(AU273),ISNUMBER(AU180)),IFERROR(AU273/AU180,""),"")</f>
        <v>3.77724358974359</v>
      </c>
      <c r="AV277" s="40" t="n">
        <f aca="false">IF(AND(ISNUMBER(AV273),ISNUMBER(AV180)),IFERROR(AV273/AV180,""),"")</f>
        <v>4.1152</v>
      </c>
      <c r="AW277" s="40" t="n">
        <f aca="false">IF(AND(ISNUMBER(AW273),ISNUMBER(AW180)),IFERROR(AW273/AW180,""),"")</f>
        <v>11.0641025641026</v>
      </c>
      <c r="AX277" s="40" t="n">
        <f aca="false">IF(AND(ISNUMBER(AX273),ISNUMBER(AX180)),IFERROR(AX273/AX180,""),"")</f>
        <v>1.3056</v>
      </c>
      <c r="AY277" s="40" t="n">
        <f aca="false">IF(AND(ISNUMBER(AY273),ISNUMBER(AY180)),IFERROR(AY273/AY180,""),"")</f>
        <v>2.3456</v>
      </c>
      <c r="AZ277" s="40" t="n">
        <f aca="false">IF(AND(ISNUMBER(AZ273),ISNUMBER(AZ180)),IFERROR(AZ273/AZ180,""),"")</f>
        <v>3.68690095846645</v>
      </c>
      <c r="BA277" s="40" t="n">
        <f aca="false">IF(AND(ISNUMBER(BA273),ISNUMBER(BA180)),IFERROR(BA273/BA180,""),"")</f>
        <v>4.07655502392345</v>
      </c>
      <c r="BB277" s="40" t="n">
        <f aca="false">IF(AND(ISNUMBER(BB273),ISNUMBER(BB180)),IFERROR(BB273/BB180,""),"")</f>
        <v>11.4153354632588</v>
      </c>
      <c r="BC277" s="40" t="n">
        <f aca="false">IF(AND(ISNUMBER(BC273),ISNUMBER(BC180)),IFERROR(BC273/BC180,""),"")</f>
        <v>0.480830670926518</v>
      </c>
      <c r="BD277" s="40" t="n">
        <f aca="false">IF(AND(ISNUMBER(BD273),ISNUMBER(BD180)),IFERROR(BD273/BD180,""),"")</f>
        <v>0.5664</v>
      </c>
      <c r="BE277" s="40" t="n">
        <f aca="false">IF(AND(ISNUMBER(BE273),ISNUMBER(BE180)),IFERROR(BE273/BE180,""),"")</f>
        <v>2.9776</v>
      </c>
      <c r="BF277" s="40" t="n">
        <f aca="false">IF(AND(ISNUMBER(BF273),ISNUMBER(BF180)),IFERROR(BF273/BF180,""),"")</f>
        <v>4.13804173354735</v>
      </c>
      <c r="BG277" s="40" t="n">
        <f aca="false">IF(AND(ISNUMBER(BG273),ISNUMBER(BG180)),IFERROR(BG273/BG180,""),"")</f>
        <v>8.1504</v>
      </c>
      <c r="BH277" s="40" t="n">
        <f aca="false">IF(AND(ISNUMBER(BH273),ISNUMBER(BH180)),IFERROR(BH273/BH180,""),"")</f>
        <v>-0.215434083601286</v>
      </c>
      <c r="BI277" s="40" t="n">
        <f aca="false">IF(AND(ISNUMBER(BI273),ISNUMBER(BI180)),IFERROR(BI273/BI180,""),"")</f>
        <v>3.84057971014493</v>
      </c>
      <c r="BJ277" s="40" t="n">
        <f aca="false">IF(AND(ISNUMBER(BJ273),ISNUMBER(BJ180)),IFERROR(BJ273/BJ180,""),"")</f>
        <v>4.56935483870968</v>
      </c>
      <c r="BK277" s="40" t="n">
        <f aca="false">IF(AND(ISNUMBER(BK273),ISNUMBER(BK180)),IFERROR(BK273/BK180,""),"")</f>
        <v>5.96290322580645</v>
      </c>
      <c r="BL277" s="40" t="n">
        <f aca="false">IF(AND(ISNUMBER(BL273),ISNUMBER(BL180)),IFERROR(BL273/BL180,""),"")</f>
        <v>14.1400966183575</v>
      </c>
      <c r="BM277" s="40" t="n">
        <f aca="false">IF(AND(ISNUMBER(BM273),ISNUMBER(BM180)),IFERROR(BM273/BM180,""),"")</f>
        <v>-0.451612903225806</v>
      </c>
      <c r="BN277" s="40" t="n">
        <f aca="false">IF(AND(ISNUMBER(BN273),ISNUMBER(BN180)),IFERROR(BN273/BN180,""),"")</f>
        <v>-2.24025974025974</v>
      </c>
      <c r="BO277" s="40" t="n">
        <f aca="false">IF(AND(ISNUMBER(BO273),ISNUMBER(BO180)),IFERROR(BO273/BO180,""),"")</f>
        <v>5.17128874388255</v>
      </c>
      <c r="BP277" s="40" t="n">
        <f aca="false">IF(AND(ISNUMBER(BP273),ISNUMBER(BP180)),IFERROR(BP273/BP180,""),"")</f>
        <v>7.38988580750408</v>
      </c>
      <c r="BQ277" s="40" t="n">
        <f aca="false">IF(AND(ISNUMBER(BQ273),ISNUMBER(BQ180)),IFERROR(BQ273/BQ180,""),"")</f>
        <v>9.80519480519481</v>
      </c>
      <c r="BR277" s="40" t="n">
        <f aca="false">IF(AND(ISNUMBER(BR273),ISNUMBER(BR180)),IFERROR(BR273/BR180,""),"")</f>
        <v>-0.245901639344262</v>
      </c>
      <c r="BS277" s="40" t="n">
        <f aca="false">IF(AND(ISNUMBER(BS273),ISNUMBER(BS180)),IFERROR(BS273/BS180,""),"")</f>
        <v>3.44370860927152</v>
      </c>
      <c r="BT277" s="40" t="n">
        <f aca="false">IF(AND(ISNUMBER(BT273),ISNUMBER(BT180)),IFERROR(BT273/BT180,""),"")</f>
        <v>5.97682119205298</v>
      </c>
      <c r="BU277" s="40" t="n">
        <f aca="false">IF(AND(ISNUMBER(BU273),ISNUMBER(BU180)),IFERROR(BU273/BU180,""),"")</f>
        <v>7.00826446280992</v>
      </c>
      <c r="BV277" s="40" t="n">
        <f aca="false">IF(AND(ISNUMBER(BV273),ISNUMBER(BV180)),IFERROR(BV273/BV180,""),"")</f>
        <v>16.1386138613861</v>
      </c>
      <c r="BW277" s="40" t="n">
        <f aca="false">IF(AND(ISNUMBER(BW273),ISNUMBER(BW180)),IFERROR(BW273/BW180,""),"")</f>
        <v>0.678807947019868</v>
      </c>
      <c r="BX277" s="40" t="n">
        <f aca="false">IF(AND(ISNUMBER(BX273),ISNUMBER(BX180)),IFERROR(BX273/BX180,""),"")</f>
        <v>-0.26578073089701</v>
      </c>
      <c r="BY277" s="6"/>
      <c r="BZ277" s="6"/>
      <c r="CA277" s="29" t="n">
        <f aca="false">IFERROR(CA273/CA180,"")</f>
        <v>14.6080789175325</v>
      </c>
      <c r="CB277" s="29" t="n">
        <f aca="false">IFERROR(CB273/CB180,"")</f>
        <v>23.3623150988965</v>
      </c>
      <c r="CC277" s="29" t="n">
        <f aca="false">IFERROR(CC273/CC180,"")</f>
        <v>27.4344861715222</v>
      </c>
      <c r="CD277" s="29" t="n">
        <f aca="false">IFERROR(CD273/CD180,"")</f>
        <v>31.5422076731214</v>
      </c>
      <c r="CE277" s="29" t="n">
        <f aca="false">IFERROR(CE273/CE180,"")</f>
        <v>35.9920908586618</v>
      </c>
      <c r="CF277" s="6"/>
    </row>
    <row r="278" customFormat="false" ht="15" hidden="false" customHeight="true" outlineLevel="0" collapsed="false">
      <c r="B278" s="26" t="s">
        <v>465</v>
      </c>
      <c r="CF278" s="6"/>
    </row>
    <row r="279" customFormat="false" ht="15" hidden="false" customHeight="true" outlineLevel="0" collapsed="false">
      <c r="B279" s="26" t="s">
        <v>466</v>
      </c>
      <c r="C279" s="38" t="n">
        <f aca="false">IFERROR(-N(C255)/C152,"")</f>
        <v>0.120547498187092</v>
      </c>
      <c r="D279" s="38" t="n">
        <f aca="false">IFERROR(-N(D255)/D152,"")</f>
        <v>0.120032168909429</v>
      </c>
      <c r="E279" s="38" t="n">
        <f aca="false">IFERROR(-N(E255)/E152,"")</f>
        <v>0.121808405263903</v>
      </c>
      <c r="F279" s="38" t="n">
        <f aca="false">IFERROR(-N(F255)/F152,"")</f>
        <v>0.0817749324562434</v>
      </c>
      <c r="G279" s="38" t="n">
        <f aca="false">IFERROR(-N(G255)/G152,"")</f>
        <v>0.0762331033709126</v>
      </c>
      <c r="H279" s="38" t="n">
        <f aca="false">IFERROR(-N(H255)/H152,"")</f>
        <v>0.0906488126495128</v>
      </c>
      <c r="I279" s="38" t="n">
        <f aca="false">IFERROR(-N(I255)/I152,"")</f>
        <v>0.0741180800942285</v>
      </c>
      <c r="J279" s="38" t="n">
        <f aca="false">IFERROR(-N(J255)/J152,"")</f>
        <v>0.0568311688311688</v>
      </c>
      <c r="K279" s="38" t="n">
        <f aca="false">IFERROR(-N(K255)/K152,"")</f>
        <v>0.0499768971032522</v>
      </c>
      <c r="L279" s="38" t="n">
        <f aca="false">IFERROR(-N(L255)/L152,"")</f>
        <v>0.0786712761160379</v>
      </c>
      <c r="M279" s="38" t="n">
        <f aca="false">IFERROR(-N(M255)/M152,"")</f>
        <v>0.0970477064220184</v>
      </c>
      <c r="N279" s="38" t="n">
        <f aca="false">IFERROR(-N(N255)/N152,"")</f>
        <v>0.0720171653908606</v>
      </c>
      <c r="O279" s="38" t="n">
        <f aca="false">IFERROR(-N(O255)/O152,"")</f>
        <v>0.0861045019827385</v>
      </c>
      <c r="P279" s="38" t="n">
        <f aca="false">IFERROR(-N(P255)/P152,"")</f>
        <v>0.0714644351464435</v>
      </c>
      <c r="Q279" s="38" t="n">
        <f aca="false">IFERROR(-N(Q255)/Q152,"")</f>
        <v>0.053634552157019</v>
      </c>
      <c r="R279" s="38" t="n">
        <f aca="false">IFERROR(-N(R255)/R152,"")</f>
        <v>0.109322667289501</v>
      </c>
      <c r="S279" s="38" t="n">
        <f aca="false">IFERROR(-N(S255)/S152,"")</f>
        <v>0.0784932386747803</v>
      </c>
      <c r="T279" s="38" t="n">
        <f aca="false">IFERROR(-N(T255)/T152,"")</f>
        <v>0.0811180214058432</v>
      </c>
      <c r="U279" s="38" t="n">
        <f aca="false">IFERROR(-N(U255)/U152,"")</f>
        <v>0.0780388539179509</v>
      </c>
      <c r="V279" s="38" t="n">
        <f aca="false">IFERROR(-N(V255)/V152,"")</f>
        <v>0.0780419515801146</v>
      </c>
      <c r="W279" s="38" t="n">
        <f aca="false">IFERROR(-N(W255)/W152,"")</f>
        <v>0.125248638408714</v>
      </c>
      <c r="X279" s="38" t="n">
        <f aca="false">IFERROR(-N(X255)/X152,"")</f>
        <v>0.0899062040908577</v>
      </c>
      <c r="Y279" s="38" t="n">
        <f aca="false">IFERROR(-N(Y255)/Y152,"")</f>
        <v>0.119457403651116</v>
      </c>
      <c r="Z279" s="38" t="n">
        <f aca="false">IFERROR(-N(Z255)/Z152,"")</f>
        <v>0.119033050240458</v>
      </c>
      <c r="AA279" s="38" t="n">
        <f aca="false">IFERROR(-N(AA255)/AA152,"")</f>
        <v>0.0678702781049008</v>
      </c>
      <c r="AB279" s="38" t="n">
        <f aca="false">IFERROR(-N(AB255)/AB152,"")</f>
        <v>0.107278667790894</v>
      </c>
      <c r="AC279" s="38" t="n">
        <f aca="false">IFERROR(-N(AC255)/AC152,"")</f>
        <v>0.101410652561014</v>
      </c>
      <c r="AD279" s="38" t="n">
        <f aca="false">IFERROR(-N(AD255)/AD152,"")</f>
        <v>0.120979973930561</v>
      </c>
      <c r="AE279" s="38" t="n">
        <f aca="false">IFERROR(-N(AE255)/AE152,"")</f>
        <v>0.107187588152327</v>
      </c>
      <c r="AF279" s="38" t="n">
        <f aca="false">IFERROR(-N(AF255)/AF152,"")</f>
        <v>0.0851852532867519</v>
      </c>
      <c r="AG279" s="38" t="n">
        <f aca="false">IFERROR(-N(AG255)/AG152,"")</f>
        <v>0.104667697063369</v>
      </c>
      <c r="AH279" s="38" t="n">
        <f aca="false">IFERROR(-N(AH255)/AH152,"")</f>
        <v>0.103471101472665</v>
      </c>
      <c r="AI279" s="38" t="n">
        <f aca="false">IFERROR(-N(AI255)/AI152,"")</f>
        <v>0.120023690773067</v>
      </c>
      <c r="AJ279" s="38" t="n">
        <f aca="false">IFERROR(-N(AJ255)/AJ152,"")</f>
        <v>0.0765225968331749</v>
      </c>
      <c r="AK279" s="38" t="n">
        <f aca="false">IFERROR(-N(AK255)/AK152,"")</f>
        <v>0.0605793512839854</v>
      </c>
      <c r="AL279" s="38" t="n">
        <f aca="false">IFERROR(-N(AL255)/AL152,"")</f>
        <v>0.111543807303929</v>
      </c>
      <c r="AM279" s="38" t="n">
        <f aca="false">IFERROR(-N(AM255)/AM152,"")</f>
        <v>0.08857929464819</v>
      </c>
      <c r="AN279" s="38" t="n">
        <f aca="false">IFERROR(-N(AN255)/AN152,"")</f>
        <v>0.138511430260236</v>
      </c>
      <c r="AO279" s="38" t="n">
        <f aca="false">IFERROR(-N(AO255)/AO152,"")</f>
        <v>0.0604907664748161</v>
      </c>
      <c r="AP279" s="38" t="n">
        <f aca="false">IFERROR(-N(AP255)/AP152,"")</f>
        <v>0.0531921934650758</v>
      </c>
      <c r="AQ279" s="38" t="n">
        <f aca="false">IFERROR(-N(AQ255)/AQ152,"")</f>
        <v>0.100417109675309</v>
      </c>
      <c r="AR279" s="38" t="n">
        <f aca="false">IFERROR(-N(AR255)/AR152,"")</f>
        <v>0.083032678370441</v>
      </c>
      <c r="AS279" s="38" t="n">
        <f aca="false">IFERROR(-N(AS255)/AS152,"")</f>
        <v>0.108641202254227</v>
      </c>
      <c r="AT279" s="38" t="n">
        <f aca="false">IFERROR(-N(AT255)/AT152,"")</f>
        <v>0.056351330080277</v>
      </c>
      <c r="AU279" s="38" t="n">
        <f aca="false">IFERROR(-N(AU255)/AU152,"")</f>
        <v>0.0568336612683518</v>
      </c>
      <c r="AV279" s="38" t="n">
        <f aca="false">IFERROR(-N(AV255)/AV152,"")</f>
        <v>0.0923194303153612</v>
      </c>
      <c r="AW279" s="38" t="n">
        <f aca="false">IFERROR(-N(AW255)/AW152,"")</f>
        <v>0.0760481194105584</v>
      </c>
      <c r="AX279" s="38" t="n">
        <f aca="false">IFERROR(-N(AX255)/AX152,"")</f>
        <v>0.112276058631922</v>
      </c>
      <c r="AY279" s="38" t="n">
        <f aca="false">IFERROR(-N(AY255)/AY152,"")</f>
        <v>0.0745337107192104</v>
      </c>
      <c r="AZ279" s="38" t="n">
        <f aca="false">IFERROR(-N(AZ255)/AZ152,"")</f>
        <v>0.0695434405702177</v>
      </c>
      <c r="BA279" s="38" t="n">
        <f aca="false">IFERROR(-N(BA255)/BA152,"")</f>
        <v>0.0680299385191125</v>
      </c>
      <c r="BB279" s="38" t="n">
        <f aca="false">IFERROR(-N(BB255)/BB152,"")</f>
        <v>0.0781492427041005</v>
      </c>
      <c r="BC279" s="38" t="n">
        <f aca="false">IFERROR(-N(BC255)/BC152,"")</f>
        <v>0.11358466038349</v>
      </c>
      <c r="BD279" s="38" t="n">
        <f aca="false">IFERROR(-N(BD255)/BD152,"")</f>
        <v>0.049278187244929</v>
      </c>
      <c r="BE279" s="38" t="n">
        <f aca="false">IFERROR(-N(BE255)/BE152,"")</f>
        <v>0.0487939504332947</v>
      </c>
      <c r="BF279" s="38" t="n">
        <f aca="false">IFERROR(-N(BF255)/BF152,"")</f>
        <v>0.116965797494074</v>
      </c>
      <c r="BG279" s="38" t="n">
        <f aca="false">IFERROR(-N(BG255)/BG152,"")</f>
        <v>0.0782053987371565</v>
      </c>
      <c r="BH279" s="38" t="n">
        <f aca="false">IFERROR(-N(BH255)/BH152,"")</f>
        <v>0.128424783989366</v>
      </c>
      <c r="BI279" s="38" t="n">
        <f aca="false">IFERROR(-N(BI255)/BI152,"")</f>
        <v>0.0656304920913884</v>
      </c>
      <c r="BJ279" s="38" t="n">
        <f aca="false">IFERROR(-N(BJ255)/BJ152,"")</f>
        <v>0.0856025274559952</v>
      </c>
      <c r="BK279" s="38" t="n">
        <f aca="false">IFERROR(-N(BK255)/BK152,"")</f>
        <v>0.115781619201592</v>
      </c>
      <c r="BL279" s="38" t="n">
        <f aca="false">IFERROR(-N(BL255)/BL152,"")</f>
        <v>0.0959540813315233</v>
      </c>
      <c r="BM279" s="38" t="n">
        <f aca="false">IFERROR(-N(BM255)/BM152,"")</f>
        <v>0.159872102318145</v>
      </c>
      <c r="BN279" s="38" t="n">
        <f aca="false">IFERROR(-N(BN255)/BN152,"")</f>
        <v>0.0787981859410431</v>
      </c>
      <c r="BO279" s="38" t="n">
        <f aca="false">IFERROR(-N(BO255)/BO152,"")</f>
        <v>0.149814716781366</v>
      </c>
      <c r="BP279" s="38" t="n">
        <f aca="false">IFERROR(-N(BP255)/BP152,"")</f>
        <v>0.142769607843137</v>
      </c>
      <c r="BQ279" s="38" t="n">
        <f aca="false">IFERROR(-N(BQ255)/BQ152,"")</f>
        <v>0.130813953488372</v>
      </c>
      <c r="BR279" s="38" t="n">
        <f aca="false">IFERROR(-N(BR255)/BR152,"")</f>
        <v>0.200516351118761</v>
      </c>
      <c r="BS279" s="38" t="n">
        <f aca="false">IFERROR(-N(BS255)/BS152,"")</f>
        <v>0.11124922311995</v>
      </c>
      <c r="BT279" s="38" t="n">
        <f aca="false">IFERROR(-N(BT255)/BT152,"")</f>
        <v>0.102925243770314</v>
      </c>
      <c r="BU279" s="38" t="n">
        <f aca="false">IFERROR(-N(BU255)/BU152,"")</f>
        <v>0.133637548891786</v>
      </c>
      <c r="BV279" s="38" t="n">
        <f aca="false">IFERROR(-N(BV255)/BV152,"")</f>
        <v>0.131219512195122</v>
      </c>
      <c r="BW279" s="38" t="n">
        <f aca="false">IFERROR(-N(BW255)/BW152,"")</f>
        <v>0.136563876651982</v>
      </c>
      <c r="BX279" s="38" t="n">
        <f aca="false">IFERROR(-N(BX255)/BX152,"")</f>
        <v>0.0657421674370827</v>
      </c>
      <c r="BY279" s="6"/>
      <c r="BZ279" s="6"/>
      <c r="CA279" s="25" t="n">
        <f aca="false">IFERROR(-N(CA255)/CA152,"")</f>
        <v>0.0797107190007903</v>
      </c>
      <c r="CB279" s="49" t="n">
        <v>0.085</v>
      </c>
      <c r="CC279" s="49" t="n">
        <v>0.085</v>
      </c>
      <c r="CD279" s="49" t="n">
        <v>0.085</v>
      </c>
      <c r="CE279" s="49" t="n">
        <v>0.085</v>
      </c>
      <c r="CF279" s="20" t="s">
        <v>467</v>
      </c>
      <c r="CH279" s="39" t="n">
        <f aca="false">IFERROR(AVERAGE(CA279,CB279,CC279,CD279,CE279),"n/m")</f>
        <v>0.0839421438001581</v>
      </c>
      <c r="CI279" s="39" t="n">
        <f aca="false">IFERROR(AVERAGE(BB279,BG279,BL279,BQ279,BV279),"n/m")</f>
        <v>0.102868437691255</v>
      </c>
      <c r="CJ279" s="39" t="n">
        <f aca="false">IFERROR(AVERAGE(AC279,AH279,AM279,AR279,AW279,BB279,BG279,BL279,BQ279,BV279),"n/m")</f>
        <v>0.0966884034919143</v>
      </c>
      <c r="CK279" s="39" t="n">
        <f aca="false">IFERROR(AVERAGE(C279,D279,E279,F279,G279,H279,I279,N279,S279,X279,AC279,AH279,AM279,AR279,AW279,BB279,BG279,BL279,BQ279,BV279),"n/m")</f>
        <v>0.0946231822003481</v>
      </c>
    </row>
    <row r="280" customFormat="false" ht="15" hidden="false" customHeight="true" outlineLevel="0" collapsed="false">
      <c r="B280" s="26" t="s">
        <v>468</v>
      </c>
      <c r="C280" s="71" t="n">
        <f aca="false">IFERROR(-N(C255)/C176,"")</f>
        <v>1.88063268495146</v>
      </c>
      <c r="D280" s="71" t="n">
        <f aca="false">IFERROR(-N(D255)/D176,"")</f>
        <v>1.76218254865703</v>
      </c>
      <c r="E280" s="71" t="n">
        <f aca="false">IFERROR(-N(E255)/E176,"")</f>
        <v>1.50907210350087</v>
      </c>
      <c r="F280" s="71" t="n">
        <f aca="false">IFERROR(-N(F255)/F176,"")</f>
        <v>0.776125892603308</v>
      </c>
      <c r="G280" s="71" t="n">
        <f aca="false">IFERROR(-N(G255)/G176,"")</f>
        <v>0.748695858144621</v>
      </c>
      <c r="H280" s="71" t="n">
        <f aca="false">IFERROR(-N(H255)/H176,"")</f>
        <v>0.895944223704925</v>
      </c>
      <c r="I280" s="71" t="n">
        <f aca="false">IFERROR(-N(I255)/I176,"")</f>
        <v>0.852221363233659</v>
      </c>
      <c r="J280" s="71" t="n">
        <f aca="false">IFERROR(-N(J255)/J176,"")</f>
        <v>0.508328880421904</v>
      </c>
      <c r="K280" s="71" t="n">
        <f aca="false">IFERROR(-N(K255)/K176,"")</f>
        <v>0.654776595496985</v>
      </c>
      <c r="L280" s="71" t="n">
        <f aca="false">IFERROR(-N(L255)/L176,"")</f>
        <v>1.1867135245437</v>
      </c>
      <c r="M280" s="71" t="n">
        <f aca="false">IFERROR(-N(M255)/M176,"")</f>
        <v>1.21131824844265</v>
      </c>
      <c r="N280" s="71" t="n">
        <f aca="false">IFERROR(-N(N255)/N176,"")</f>
        <v>0.893370779403894</v>
      </c>
      <c r="O280" s="71" t="n">
        <f aca="false">IFERROR(-N(O255)/O176,"")</f>
        <v>0.869236565723167</v>
      </c>
      <c r="P280" s="71" t="n">
        <f aca="false">IFERROR(-N(P255)/P176,"")</f>
        <v>1.09484672969941</v>
      </c>
      <c r="Q280" s="71" t="n">
        <f aca="false">IFERROR(-N(Q255)/Q176,"")</f>
        <v>0.792454218924807</v>
      </c>
      <c r="R280" s="71" t="n">
        <f aca="false">IFERROR(-N(R255)/R176,"")</f>
        <v>1.36328949859467</v>
      </c>
      <c r="S280" s="71" t="n">
        <f aca="false">IFERROR(-N(S255)/S176,"")</f>
        <v>1.04236664182522</v>
      </c>
      <c r="T280" s="71" t="n">
        <f aca="false">IFERROR(-N(T255)/T176,"")</f>
        <v>0.833754534102396</v>
      </c>
      <c r="U280" s="71" t="n">
        <f aca="false">IFERROR(-N(U255)/U176,"")</f>
        <v>1.0622691682671</v>
      </c>
      <c r="V280" s="71" t="n">
        <f aca="false">IFERROR(-N(V255)/V176,"")</f>
        <v>1.29979839019961</v>
      </c>
      <c r="W280" s="71" t="n">
        <f aca="false">IFERROR(-N(W255)/W176,"")</f>
        <v>1.66192735499277</v>
      </c>
      <c r="X280" s="71" t="n">
        <f aca="false">IFERROR(-N(X255)/X176,"")</f>
        <v>1.20731295549477</v>
      </c>
      <c r="Y280" s="71" t="n">
        <f aca="false">IFERROR(-N(Y255)/Y176,"")</f>
        <v>1.37740096477123</v>
      </c>
      <c r="Z280" s="71" t="n">
        <f aca="false">IFERROR(-N(Z255)/Z176,"")</f>
        <v>1.63370174280619</v>
      </c>
      <c r="AA280" s="71" t="n">
        <f aca="false">IFERROR(-N(AA255)/AA176,"")</f>
        <v>1.03512019894999</v>
      </c>
      <c r="AB280" s="71" t="n">
        <f aca="false">IFERROR(-N(AB255)/AB176,"")</f>
        <v>1.38945615376215</v>
      </c>
      <c r="AC280" s="71" t="n">
        <f aca="false">IFERROR(-N(AC255)/AC176,"")</f>
        <v>1.35762638780311</v>
      </c>
      <c r="AD280" s="71" t="n">
        <f aca="false">IFERROR(-N(AD255)/AD176,"")</f>
        <v>1.45070762760032</v>
      </c>
      <c r="AE280" s="71" t="n">
        <f aca="false">IFERROR(-N(AE255)/AE176,"")</f>
        <v>1.50534822914191</v>
      </c>
      <c r="AF280" s="71" t="n">
        <f aca="false">IFERROR(-N(AF255)/AF176,"")</f>
        <v>1.23022996441659</v>
      </c>
      <c r="AG280" s="71" t="n">
        <f aca="false">IFERROR(-N(AG255)/AG176,"")</f>
        <v>1.34109632446134</v>
      </c>
      <c r="AH280" s="71" t="n">
        <f aca="false">IFERROR(-N(AH255)/AH176,"")</f>
        <v>1.38081248611868</v>
      </c>
      <c r="AI280" s="71" t="n">
        <f aca="false">IFERROR(-N(AI255)/AI176,"")</f>
        <v>1.25302977050546</v>
      </c>
      <c r="AJ280" s="71" t="n">
        <f aca="false">IFERROR(-N(AJ255)/AJ176,"")</f>
        <v>1.06096351644297</v>
      </c>
      <c r="AK280" s="71" t="n">
        <f aca="false">IFERROR(-N(AK255)/AK176,"")</f>
        <v>0.824103507891361</v>
      </c>
      <c r="AL280" s="71" t="n">
        <f aca="false">IFERROR(-N(AL255)/AL176,"")</f>
        <v>1.2528376250922</v>
      </c>
      <c r="AM280" s="71" t="n">
        <f aca="false">IFERROR(-N(AM255)/AM176,"")</f>
        <v>1.09278470379295</v>
      </c>
      <c r="AN280" s="71" t="n">
        <f aca="false">IFERROR(-N(AN255)/AN176,"")</f>
        <v>1.45784712647544</v>
      </c>
      <c r="AO280" s="71" t="n">
        <f aca="false">IFERROR(-N(AO255)/AO176,"")</f>
        <v>0.834233360280248</v>
      </c>
      <c r="AP280" s="71" t="n">
        <f aca="false">IFERROR(-N(AP255)/AP176,"")</f>
        <v>0.795321514296543</v>
      </c>
      <c r="AQ280" s="71" t="n">
        <f aca="false">IFERROR(-N(AQ255)/AQ176,"")</f>
        <v>1.16901170048452</v>
      </c>
      <c r="AR280" s="71" t="n">
        <f aca="false">IFERROR(-N(AR255)/AR176,"")</f>
        <v>1.05921938088829</v>
      </c>
      <c r="AS280" s="71" t="n">
        <f aca="false">IFERROR(-N(AS255)/AS176,"")</f>
        <v>1.09578947368421</v>
      </c>
      <c r="AT280" s="71" t="n">
        <f aca="false">IFERROR(-N(AT255)/AT176,"")</f>
        <v>0.727642276422764</v>
      </c>
      <c r="AU280" s="71" t="n">
        <f aca="false">IFERROR(-N(AU255)/AU176,"")</f>
        <v>0.760121457489879</v>
      </c>
      <c r="AV280" s="71" t="n">
        <f aca="false">IFERROR(-N(AV255)/AV176,"")</f>
        <v>1.07502467917078</v>
      </c>
      <c r="AW280" s="71" t="n">
        <f aca="false">IFERROR(-N(AW255)/AW176,"")</f>
        <v>0.914104193138501</v>
      </c>
      <c r="AX280" s="71" t="n">
        <f aca="false">IFERROR(-N(AX255)/AX176,"")</f>
        <v>1.11866125760649</v>
      </c>
      <c r="AY280" s="71" t="n">
        <f aca="false">IFERROR(-N(AY255)/AY176,"")</f>
        <v>0.951807228915663</v>
      </c>
      <c r="AZ280" s="71" t="n">
        <f aca="false">IFERROR(-N(AZ255)/AZ176,"")</f>
        <v>0.954185022026432</v>
      </c>
      <c r="BA280" s="71" t="n">
        <f aca="false">IFERROR(-N(BA255)/BA176,"")</f>
        <v>0.772968868640851</v>
      </c>
      <c r="BB280" s="71" t="n">
        <f aca="false">IFERROR(-N(BB255)/BB176,"")</f>
        <v>0.936683639583795</v>
      </c>
      <c r="BC280" s="71" t="n">
        <f aca="false">IFERROR(-N(BC255)/BC176,"")</f>
        <v>1.09048361934477</v>
      </c>
      <c r="BD280" s="71" t="n">
        <f aca="false">IFERROR(-N(BD255)/BD176,"")</f>
        <v>0.63006230529595</v>
      </c>
      <c r="BE280" s="71" t="n">
        <f aca="false">IFERROR(-N(BE255)/BE176,"")</f>
        <v>0.714632174616007</v>
      </c>
      <c r="BF280" s="71" t="n">
        <f aca="false">IFERROR(-N(BF255)/BF176,"")</f>
        <v>1.3739061256961</v>
      </c>
      <c r="BG280" s="71" t="n">
        <f aca="false">IFERROR(-N(BG255)/BG176,"")</f>
        <v>0.952173913043478</v>
      </c>
      <c r="BH280" s="71" t="n">
        <f aca="false">IFERROR(-N(BH255)/BH176,"")</f>
        <v>1.40695792880259</v>
      </c>
      <c r="BI280" s="71" t="n">
        <f aca="false">IFERROR(-N(BI255)/BI176,"")</f>
        <v>0.922779922779923</v>
      </c>
      <c r="BJ280" s="71" t="n">
        <f aca="false">IFERROR(-N(BJ255)/BJ176,"")</f>
        <v>1.29809885931559</v>
      </c>
      <c r="BK280" s="71" t="n">
        <f aca="false">IFERROR(-N(BK255)/BK176,"")</f>
        <v>1.44790046656299</v>
      </c>
      <c r="BL280" s="71" t="n">
        <f aca="false">IFERROR(-N(BL255)/BL176,"")</f>
        <v>1.26714731098987</v>
      </c>
      <c r="BM280" s="71" t="n">
        <f aca="false">IFERROR(-N(BM255)/BM176,"")</f>
        <v>1.53846153846154</v>
      </c>
      <c r="BN280" s="71" t="n">
        <f aca="false">IFERROR(-N(BN255)/BN176,"")</f>
        <v>0.97887323943662</v>
      </c>
      <c r="BO280" s="71" t="n">
        <f aca="false">IFERROR(-N(BO255)/BO176,"")</f>
        <v>1.86184210526316</v>
      </c>
      <c r="BP280" s="71" t="n">
        <f aca="false">IFERROR(-N(BP255)/BP176,"")</f>
        <v>1.56375838926175</v>
      </c>
      <c r="BQ280" s="71" t="n">
        <f aca="false">IFERROR(-N(BQ255)/BQ176,"")</f>
        <v>1.49214659685864</v>
      </c>
      <c r="BR280" s="71" t="n">
        <f aca="false">IFERROR(-N(BR255)/BR176,"")</f>
        <v>1.51298701298701</v>
      </c>
      <c r="BS280" s="71" t="n">
        <f aca="false">IFERROR(-N(BS255)/BS176,"")</f>
        <v>1.07185628742515</v>
      </c>
      <c r="BT280" s="71" t="n">
        <f aca="false">IFERROR(-N(BT255)/BT176,"")</f>
        <v>1.19496855345912</v>
      </c>
      <c r="BU280" s="71" t="n">
        <f aca="false">IFERROR(-N(BU255)/BU176,"")</f>
        <v>1.30573248407643</v>
      </c>
      <c r="BV280" s="71" t="n">
        <f aca="false">IFERROR(-N(BV255)/BV176,"")</f>
        <v>1.2668759811617</v>
      </c>
      <c r="BW280" s="71" t="n">
        <f aca="false">IFERROR(-N(BW255)/BW176,"")</f>
        <v>1.11377245508982</v>
      </c>
      <c r="BX280" s="71" t="n">
        <f aca="false">IFERROR(-N(BX255)/BX176,"")</f>
        <v>0.627450980392157</v>
      </c>
      <c r="BY280" s="6"/>
      <c r="BZ280" s="6"/>
      <c r="CA280" s="72" t="n">
        <f aca="false">IFERROR(-N(CA255)/CA176,"")</f>
        <v>0.654053706780708</v>
      </c>
      <c r="CB280" s="72" t="n">
        <f aca="false">IFERROR(-N(CB255)/CB176,"")</f>
        <v>0.62710753905486</v>
      </c>
      <c r="CC280" s="72" t="n">
        <f aca="false">IFERROR(-N(CC255)/CC176,"")</f>
        <v>0.63852538445064</v>
      </c>
      <c r="CD280" s="72" t="n">
        <f aca="false">IFERROR(-N(CD255)/CD176,"")</f>
        <v>0.648934823034065</v>
      </c>
      <c r="CE280" s="72" t="n">
        <f aca="false">IFERROR(-N(CE255)/CE176,"")</f>
        <v>0.658799432408569</v>
      </c>
      <c r="CF280" s="6"/>
    </row>
    <row r="281" customFormat="false" ht="15" hidden="false" customHeight="true" outlineLevel="0" collapsed="false"/>
    <row r="282" customFormat="false" ht="15" hidden="false" customHeight="true" outlineLevel="0" collapsed="false">
      <c r="B282" s="11" t="s">
        <v>469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 t="s">
        <v>470</v>
      </c>
    </row>
    <row r="283" customFormat="false" ht="15" hidden="false" customHeight="true" outlineLevel="0" collapsed="false">
      <c r="B283" s="26" t="s">
        <v>471</v>
      </c>
      <c r="BY283" s="6"/>
      <c r="BZ283" s="6"/>
      <c r="CA283" s="29" t="n">
        <f aca="false">CA426</f>
        <v>518.7</v>
      </c>
      <c r="CB283" s="29" t="n">
        <f aca="false">CA283*(1+CB369)</f>
        <v>555.009</v>
      </c>
      <c r="CC283" s="29" t="n">
        <f aca="false">CB283*(1+CC369)</f>
        <v>593.85963</v>
      </c>
      <c r="CD283" s="29" t="n">
        <f aca="false">CC283*(1+CD369)</f>
        <v>635.4298041</v>
      </c>
      <c r="CE283" s="29" t="n">
        <f aca="false">CD283*(1+CE369)</f>
        <v>679.909890387</v>
      </c>
      <c r="CF283" s="20" t="s">
        <v>472</v>
      </c>
    </row>
    <row r="284" customFormat="false" ht="15" hidden="false" customHeight="true" outlineLevel="0" collapsed="false">
      <c r="B284" s="26" t="s">
        <v>473</v>
      </c>
      <c r="BY284" s="6"/>
      <c r="BZ284" s="6"/>
      <c r="CA284" s="37" t="n">
        <f aca="false">CHOOSE(MATCH($CF$2,{"Bull","Base","Bear"},0),$CO$21,$CP$21,$CQ$21)</f>
        <v>0</v>
      </c>
      <c r="CB284" s="37" t="n">
        <f aca="false">-CB263</f>
        <v>0</v>
      </c>
      <c r="CC284" s="37" t="n">
        <f aca="false">-CC263</f>
        <v>0</v>
      </c>
      <c r="CD284" s="37" t="n">
        <f aca="false">-CD263</f>
        <v>1379.48990093307</v>
      </c>
      <c r="CE284" s="37" t="n">
        <f aca="false">-CE263</f>
        <v>2266.73710834589</v>
      </c>
      <c r="CF284" s="20" t="s">
        <v>474</v>
      </c>
    </row>
    <row r="285" customFormat="false" ht="15" hidden="false" customHeight="true" outlineLevel="0" collapsed="false">
      <c r="B285" s="26" t="s">
        <v>475</v>
      </c>
      <c r="BY285" s="6"/>
      <c r="BZ285" s="6"/>
      <c r="CA285" s="63" t="n">
        <f aca="false">IFERROR(CA284/CA283,0)</f>
        <v>0</v>
      </c>
      <c r="CB285" s="63" t="n">
        <f aca="false">IFERROR(CB284/CB283,0)</f>
        <v>0</v>
      </c>
      <c r="CC285" s="63" t="n">
        <f aca="false">IFERROR(CC284/CC283,0)</f>
        <v>0</v>
      </c>
      <c r="CD285" s="63" t="n">
        <f aca="false">IFERROR(CD284/CD283,0)</f>
        <v>2.17095561465979</v>
      </c>
      <c r="CE285" s="63" t="n">
        <f aca="false">IFERROR(CE284/CE283,0)</f>
        <v>3.33387871009742</v>
      </c>
      <c r="CF285" s="6"/>
    </row>
    <row r="286" customFormat="false" ht="15" hidden="false" customHeight="true" outlineLevel="0" collapsed="false">
      <c r="B286" s="26" t="s">
        <v>476</v>
      </c>
      <c r="BY286" s="6"/>
      <c r="BZ286" s="6"/>
      <c r="CA286" s="73" t="n">
        <v>0.1</v>
      </c>
      <c r="CB286" s="73" t="n">
        <v>0.15</v>
      </c>
      <c r="CC286" s="73" t="n">
        <v>0.15</v>
      </c>
      <c r="CD286" s="73" t="n">
        <v>0.15</v>
      </c>
      <c r="CE286" s="73" t="n">
        <v>0.15</v>
      </c>
      <c r="CF286" s="6"/>
    </row>
    <row r="287" customFormat="false" ht="15" hidden="false" customHeight="true" outlineLevel="0" collapsed="false">
      <c r="B287" s="26" t="s">
        <v>477</v>
      </c>
      <c r="BY287" s="6"/>
      <c r="BZ287" s="6"/>
      <c r="CA287" s="63" t="n">
        <f aca="false">BX331</f>
        <v>60.050859</v>
      </c>
      <c r="CB287" s="63" t="n">
        <f aca="false">CA288</f>
        <v>71.104402</v>
      </c>
      <c r="CC287" s="63" t="n">
        <f aca="false">CB288</f>
        <v>71.254402</v>
      </c>
      <c r="CD287" s="63" t="n">
        <f aca="false">CC288</f>
        <v>71.404402</v>
      </c>
      <c r="CE287" s="63" t="n">
        <f aca="false">CD288</f>
        <v>69.3834463853402</v>
      </c>
      <c r="CF287" s="20" t="s">
        <v>478</v>
      </c>
    </row>
    <row r="288" customFormat="false" ht="15" hidden="false" customHeight="true" outlineLevel="0" collapsed="false">
      <c r="B288" s="26" t="s">
        <v>479</v>
      </c>
      <c r="BY288" s="6"/>
      <c r="BZ288" s="6"/>
      <c r="CA288" s="63" t="n">
        <f aca="false">CA287+$CA$349-CA285+CA286</f>
        <v>71.104402</v>
      </c>
      <c r="CB288" s="63" t="n">
        <f aca="false">CB287-CB285+CB286</f>
        <v>71.254402</v>
      </c>
      <c r="CC288" s="63" t="n">
        <f aca="false">CC287-CC285+CC286</f>
        <v>71.404402</v>
      </c>
      <c r="CD288" s="63" t="n">
        <f aca="false">CD287-CD285+CD286</f>
        <v>69.3834463853402</v>
      </c>
      <c r="CE288" s="63" t="n">
        <f aca="false">CE287-CE285+CE286</f>
        <v>66.1995676752428</v>
      </c>
      <c r="CF288" s="6"/>
    </row>
    <row r="289" customFormat="false" ht="15" hidden="false" customHeight="true" outlineLevel="0" collapsed="false">
      <c r="B289" s="26" t="s">
        <v>480</v>
      </c>
      <c r="BY289" s="6"/>
      <c r="BZ289" s="6"/>
      <c r="CA289" s="25" t="n">
        <f aca="false">IFERROR(CA285/CA287,"")</f>
        <v>0</v>
      </c>
      <c r="CB289" s="25" t="n">
        <f aca="false">IFERROR(CB285/CB287,"")</f>
        <v>0</v>
      </c>
      <c r="CC289" s="25" t="n">
        <f aca="false">IFERROR(CC285/CC287,"")</f>
        <v>0</v>
      </c>
      <c r="CD289" s="25" t="n">
        <f aca="false">IFERROR(CD285/CD287,"")</f>
        <v>0.0304036663546288</v>
      </c>
      <c r="CE289" s="25" t="n">
        <f aca="false">IFERROR(CE285/CE287,"")</f>
        <v>0.0480500592545058</v>
      </c>
      <c r="CF289" s="6"/>
    </row>
    <row r="290" customFormat="false" ht="15" hidden="false" customHeight="true" outlineLevel="0" collapsed="false">
      <c r="B290" s="42" t="s">
        <v>481</v>
      </c>
      <c r="BY290" s="6"/>
      <c r="BZ290" s="6"/>
      <c r="CA290" s="63" t="n">
        <f aca="false">CA285</f>
        <v>0</v>
      </c>
      <c r="CB290" s="63" t="n">
        <f aca="false">CA290+CB285</f>
        <v>0</v>
      </c>
      <c r="CC290" s="63" t="n">
        <f aca="false">CB290+CC285</f>
        <v>0</v>
      </c>
      <c r="CD290" s="63" t="n">
        <f aca="false">CC290+CD285</f>
        <v>2.17095561465979</v>
      </c>
      <c r="CE290" s="63" t="n">
        <f aca="false">CD290+CE285</f>
        <v>5.50483432475721</v>
      </c>
      <c r="CF290" s="6"/>
    </row>
    <row r="291" customFormat="false" ht="15" hidden="false" customHeight="true" outlineLevel="0" collapsed="false"/>
    <row r="292" customFormat="false" ht="15" hidden="false" customHeight="true" outlineLevel="0" collapsed="false">
      <c r="B292" s="11" t="s">
        <v>482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 t="s">
        <v>483</v>
      </c>
    </row>
    <row r="293" customFormat="false" ht="15" hidden="false" customHeight="true" outlineLevel="0" collapsed="false">
      <c r="B293" s="26" t="s">
        <v>484</v>
      </c>
      <c r="CF293" s="6"/>
    </row>
    <row r="294" customFormat="false" ht="15" hidden="false" customHeight="true" outlineLevel="0" collapsed="false">
      <c r="B294" s="26" t="s">
        <v>485</v>
      </c>
      <c r="C294" s="36" t="n">
        <v>32.282</v>
      </c>
      <c r="D294" s="36" t="n">
        <v>20.038</v>
      </c>
      <c r="E294" s="36" t="n">
        <v>37.794</v>
      </c>
      <c r="F294" s="36" t="n">
        <v>263.591</v>
      </c>
      <c r="G294" s="36" t="n">
        <v>70.323</v>
      </c>
      <c r="H294" s="36" t="n">
        <v>26.022</v>
      </c>
      <c r="I294" s="36" t="n">
        <v>25.394</v>
      </c>
      <c r="J294" s="36" t="n">
        <v>37.26</v>
      </c>
      <c r="K294" s="36" t="n">
        <v>43.712</v>
      </c>
      <c r="L294" s="36" t="n">
        <v>57.241</v>
      </c>
      <c r="M294" s="36" t="n">
        <v>42.437</v>
      </c>
      <c r="N294" s="36" t="n">
        <v>42.437</v>
      </c>
      <c r="O294" s="36" t="n">
        <v>35.801</v>
      </c>
      <c r="P294" s="36" t="n">
        <v>34.329</v>
      </c>
      <c r="Q294" s="36" t="n">
        <v>73.597</v>
      </c>
      <c r="R294" s="36" t="n">
        <v>108.651</v>
      </c>
      <c r="S294" s="36" t="n">
        <v>108.651</v>
      </c>
      <c r="T294" s="36" t="n">
        <v>56.366</v>
      </c>
      <c r="U294" s="36" t="n">
        <v>44.169</v>
      </c>
      <c r="V294" s="36" t="n">
        <v>436.429</v>
      </c>
      <c r="W294" s="36" t="n">
        <v>168.409</v>
      </c>
      <c r="X294" s="36" t="n">
        <v>168.409</v>
      </c>
      <c r="Y294" s="36" t="n">
        <v>27.242</v>
      </c>
      <c r="Z294" s="36" t="n">
        <v>28.596</v>
      </c>
      <c r="AA294" s="36" t="n">
        <v>60.684</v>
      </c>
      <c r="AB294" s="36" t="n">
        <v>50.038</v>
      </c>
      <c r="AC294" s="36" t="n">
        <v>50.038</v>
      </c>
      <c r="AD294" s="36" t="n">
        <v>55.418</v>
      </c>
      <c r="AE294" s="36" t="n">
        <v>36.722</v>
      </c>
      <c r="AF294" s="36" t="n">
        <v>35.219</v>
      </c>
      <c r="AG294" s="36" t="n">
        <v>1446.364</v>
      </c>
      <c r="AH294" s="36" t="n">
        <v>1446.364</v>
      </c>
      <c r="AI294" s="36" t="n">
        <v>1422.373</v>
      </c>
      <c r="AJ294" s="36" t="n">
        <v>33.779</v>
      </c>
      <c r="AK294" s="36" t="n">
        <v>53.961</v>
      </c>
      <c r="AL294" s="36" t="n">
        <v>44.892</v>
      </c>
      <c r="AM294" s="36" t="n">
        <v>44.892</v>
      </c>
      <c r="AN294" s="36" t="n">
        <v>37.357</v>
      </c>
      <c r="AO294" s="36" t="n">
        <v>53.595</v>
      </c>
      <c r="AP294" s="36" t="n">
        <v>49.087</v>
      </c>
      <c r="AQ294" s="36" t="n">
        <v>21</v>
      </c>
      <c r="AR294" s="36" t="n">
        <v>21</v>
      </c>
      <c r="AS294" s="36" t="n">
        <v>424</v>
      </c>
      <c r="AT294" s="36" t="n">
        <v>70.1</v>
      </c>
      <c r="AU294" s="36" t="n">
        <v>116.6</v>
      </c>
      <c r="AV294" s="36" t="n">
        <v>207.3</v>
      </c>
      <c r="AW294" s="36" t="n">
        <v>207.3</v>
      </c>
      <c r="AX294" s="36" t="n">
        <v>313.9</v>
      </c>
      <c r="AY294" s="36" t="n">
        <v>53.1</v>
      </c>
      <c r="AZ294" s="36" t="n">
        <v>2381.4</v>
      </c>
      <c r="BA294" s="36" t="n">
        <v>258.4</v>
      </c>
      <c r="BB294" s="36" t="n">
        <v>258.4</v>
      </c>
      <c r="BC294" s="36" t="n">
        <v>189.6</v>
      </c>
      <c r="BD294" s="36" t="n">
        <v>772.1</v>
      </c>
      <c r="BE294" s="36" t="n">
        <v>135.7</v>
      </c>
      <c r="BF294" s="36" t="n">
        <v>358</v>
      </c>
      <c r="BG294" s="36" t="n">
        <v>358</v>
      </c>
      <c r="BH294" s="36" t="n">
        <v>229.4</v>
      </c>
      <c r="BI294" s="36" t="n">
        <v>421.5</v>
      </c>
      <c r="BJ294" s="36" t="n">
        <v>647.6</v>
      </c>
      <c r="BK294" s="36" t="n">
        <v>1271.8</v>
      </c>
      <c r="BL294" s="36" t="n">
        <v>1271.8</v>
      </c>
      <c r="BM294" s="36" t="n">
        <v>2648</v>
      </c>
      <c r="BN294" s="36" t="n">
        <v>109</v>
      </c>
      <c r="BO294" s="36" t="n">
        <v>52</v>
      </c>
      <c r="BP294" s="36" t="n">
        <v>670</v>
      </c>
      <c r="BQ294" s="36" t="n">
        <v>670</v>
      </c>
      <c r="BR294" s="36" t="n">
        <v>101</v>
      </c>
      <c r="BS294" s="36" t="n">
        <v>225</v>
      </c>
      <c r="BT294" s="36" t="n">
        <v>57</v>
      </c>
      <c r="BU294" s="36" t="n">
        <v>67</v>
      </c>
      <c r="BV294" s="36" t="n">
        <v>67</v>
      </c>
      <c r="BW294" s="36" t="n">
        <v>273</v>
      </c>
      <c r="BX294" s="36" t="n">
        <v>112</v>
      </c>
      <c r="BY294" s="6"/>
      <c r="BZ294" s="6"/>
      <c r="CA294" s="37" t="n">
        <f aca="false">CA269-CA295</f>
        <v>142</v>
      </c>
      <c r="CB294" s="37" t="n">
        <f aca="false">CB269-CB295</f>
        <v>142</v>
      </c>
      <c r="CC294" s="37" t="n">
        <f aca="false">CC269-CC295</f>
        <v>1093.89717475443</v>
      </c>
      <c r="CD294" s="37" t="n">
        <f aca="false">CD269-CD295</f>
        <v>870.114379569466</v>
      </c>
      <c r="CE294" s="37" t="n">
        <f aca="false">CE269-CE295</f>
        <v>142</v>
      </c>
      <c r="CF294" s="6"/>
    </row>
    <row r="295" customFormat="false" ht="15" hidden="false" customHeight="true" outlineLevel="0" collapsed="false">
      <c r="B295" s="26" t="s">
        <v>486</v>
      </c>
      <c r="AU295" s="36" t="n">
        <v>77.1</v>
      </c>
      <c r="AV295" s="36" t="n">
        <v>97.1</v>
      </c>
      <c r="AW295" s="36" t="n">
        <v>97.1</v>
      </c>
      <c r="AX295" s="36" t="n">
        <v>40.9</v>
      </c>
      <c r="AY295" s="36" t="n">
        <v>17.2</v>
      </c>
      <c r="AZ295" s="36" t="n">
        <v>1.7</v>
      </c>
      <c r="BA295" s="36" t="n">
        <v>0.5</v>
      </c>
      <c r="BB295" s="36" t="n">
        <v>0.5</v>
      </c>
      <c r="BC295" s="36" t="n">
        <v>0</v>
      </c>
      <c r="BD295" s="36" t="n">
        <v>0</v>
      </c>
      <c r="BE295" s="36" t="n">
        <v>0</v>
      </c>
      <c r="BF295" s="36" t="n">
        <v>0.8</v>
      </c>
      <c r="BG295" s="36" t="n">
        <v>0.8</v>
      </c>
      <c r="BH295" s="36" t="n">
        <v>0.1</v>
      </c>
      <c r="BI295" s="36" t="n">
        <v>0</v>
      </c>
      <c r="BJ295" s="36" t="n">
        <v>0</v>
      </c>
      <c r="BK295" s="36" t="n">
        <v>10.5</v>
      </c>
      <c r="BL295" s="36" t="n">
        <v>10.5</v>
      </c>
      <c r="BM295" s="36" t="n">
        <v>2</v>
      </c>
      <c r="BN295" s="36" t="n">
        <v>0</v>
      </c>
      <c r="BO295" s="36" t="n">
        <v>0</v>
      </c>
      <c r="BP295" s="36" t="n">
        <v>0</v>
      </c>
      <c r="BQ295" s="36" t="n">
        <v>0</v>
      </c>
      <c r="BS295" s="36" t="n">
        <v>11</v>
      </c>
      <c r="BT295" s="36" t="n">
        <v>13</v>
      </c>
      <c r="BX295" s="36" t="n">
        <v>8</v>
      </c>
      <c r="BY295" s="6"/>
      <c r="BZ295" s="6"/>
      <c r="CA295" s="37" t="n">
        <f aca="false">BX295</f>
        <v>8</v>
      </c>
      <c r="CB295" s="37" t="n">
        <f aca="false">CA295</f>
        <v>8</v>
      </c>
      <c r="CC295" s="37" t="n">
        <f aca="false">CB295</f>
        <v>8</v>
      </c>
      <c r="CD295" s="37" t="n">
        <f aca="false">CC295</f>
        <v>8</v>
      </c>
      <c r="CE295" s="37" t="n">
        <f aca="false">CD295</f>
        <v>8</v>
      </c>
      <c r="CF295" s="6"/>
    </row>
    <row r="296" customFormat="false" ht="15" hidden="false" customHeight="true" outlineLevel="0" collapsed="false">
      <c r="B296" s="26" t="s">
        <v>487</v>
      </c>
      <c r="C296" s="36" t="n">
        <v>242.399</v>
      </c>
      <c r="D296" s="36" t="n">
        <v>245.838</v>
      </c>
      <c r="E296" s="36" t="n">
        <v>211.596</v>
      </c>
      <c r="F296" s="36" t="n">
        <v>162.815</v>
      </c>
      <c r="G296" s="36" t="n">
        <v>183.361</v>
      </c>
      <c r="H296" s="36" t="n">
        <v>203.748</v>
      </c>
      <c r="I296" s="36" t="n">
        <v>224.05</v>
      </c>
      <c r="J296" s="36" t="n">
        <v>202.15</v>
      </c>
      <c r="K296" s="36" t="n">
        <v>287.521</v>
      </c>
      <c r="L296" s="36" t="n">
        <v>331.03</v>
      </c>
      <c r="M296" s="36" t="n">
        <v>245.421</v>
      </c>
      <c r="N296" s="36" t="n">
        <v>245.421</v>
      </c>
      <c r="O296" s="36" t="n">
        <v>242.587</v>
      </c>
      <c r="P296" s="36" t="n">
        <v>343.784</v>
      </c>
      <c r="Q296" s="36" t="n">
        <v>523.928</v>
      </c>
      <c r="R296" s="36" t="n">
        <v>421.001</v>
      </c>
      <c r="S296" s="36" t="n">
        <v>421.001</v>
      </c>
      <c r="T296" s="36" t="n">
        <v>381.389</v>
      </c>
      <c r="U296" s="36" t="n">
        <v>497.468</v>
      </c>
      <c r="V296" s="36" t="n">
        <v>577.424</v>
      </c>
      <c r="W296" s="36" t="n">
        <v>410.921</v>
      </c>
      <c r="X296" s="36" t="n">
        <v>410.921</v>
      </c>
      <c r="Y296" s="36" t="n">
        <v>448.048</v>
      </c>
      <c r="Z296" s="36" t="n">
        <v>534.459</v>
      </c>
      <c r="AA296" s="36" t="n">
        <v>566.425</v>
      </c>
      <c r="AB296" s="36" t="n">
        <v>457.91</v>
      </c>
      <c r="AC296" s="36" t="n">
        <v>457.91</v>
      </c>
      <c r="AD296" s="36" t="n">
        <v>479.215</v>
      </c>
      <c r="AE296" s="36" t="n">
        <v>570.618</v>
      </c>
      <c r="AF296" s="36" t="n">
        <v>582.532</v>
      </c>
      <c r="AG296" s="36" t="n">
        <v>487.24</v>
      </c>
      <c r="AH296" s="36" t="n">
        <v>487.24</v>
      </c>
      <c r="AI296" s="36" t="n">
        <v>466.465</v>
      </c>
      <c r="AJ296" s="36" t="n">
        <v>675.57</v>
      </c>
      <c r="AK296" s="36" t="n">
        <v>644.835</v>
      </c>
      <c r="AL296" s="36" t="n">
        <v>523.276</v>
      </c>
      <c r="AM296" s="36" t="n">
        <v>523.276</v>
      </c>
      <c r="AN296" s="36" t="n">
        <v>550.607</v>
      </c>
      <c r="AO296" s="36" t="n">
        <v>710.605</v>
      </c>
      <c r="AP296" s="36" t="n">
        <v>763.878</v>
      </c>
      <c r="AQ296" s="36" t="n">
        <v>573.7</v>
      </c>
      <c r="AR296" s="36" t="n">
        <v>573.7</v>
      </c>
      <c r="AS296" s="36" t="n">
        <v>562.8</v>
      </c>
      <c r="AT296" s="36" t="n">
        <v>690.4</v>
      </c>
      <c r="AU296" s="36" t="n">
        <v>686.3</v>
      </c>
      <c r="AV296" s="36" t="n">
        <v>575.1</v>
      </c>
      <c r="AW296" s="36" t="n">
        <v>575.1</v>
      </c>
      <c r="AX296" s="36" t="n">
        <v>563.6</v>
      </c>
      <c r="AY296" s="36" t="n">
        <v>722</v>
      </c>
      <c r="AZ296" s="36" t="n">
        <v>801.9</v>
      </c>
      <c r="BA296" s="36" t="n">
        <v>774</v>
      </c>
      <c r="BB296" s="36" t="n">
        <v>774</v>
      </c>
      <c r="BC296" s="36" t="n">
        <v>759.2</v>
      </c>
      <c r="BD296" s="36" t="n">
        <v>1026.6</v>
      </c>
      <c r="BE296" s="36" t="n">
        <v>1011.7</v>
      </c>
      <c r="BF296" s="36" t="n">
        <v>785.9</v>
      </c>
      <c r="BG296" s="36" t="n">
        <v>785.9</v>
      </c>
      <c r="BH296" s="36" t="n">
        <v>796.7</v>
      </c>
      <c r="BI296" s="36" t="n">
        <v>979.2</v>
      </c>
      <c r="BJ296" s="36" t="n">
        <v>1047.5</v>
      </c>
      <c r="BK296" s="36" t="n">
        <v>753.3</v>
      </c>
      <c r="BL296" s="36" t="n">
        <v>753.3</v>
      </c>
      <c r="BM296" s="36" t="n">
        <v>703</v>
      </c>
      <c r="BN296" s="36" t="n">
        <v>909</v>
      </c>
      <c r="BO296" s="36" t="n">
        <v>916</v>
      </c>
      <c r="BP296" s="36" t="n">
        <v>678</v>
      </c>
      <c r="BQ296" s="36" t="n">
        <v>678</v>
      </c>
      <c r="BR296" s="36" t="n">
        <v>733</v>
      </c>
      <c r="BS296" s="36" t="n">
        <v>904</v>
      </c>
      <c r="BT296" s="36" t="n">
        <v>984</v>
      </c>
      <c r="BU296" s="36" t="n">
        <v>723</v>
      </c>
      <c r="BV296" s="36" t="n">
        <v>723</v>
      </c>
      <c r="BW296" s="36" t="n">
        <v>780</v>
      </c>
      <c r="BX296" s="36" t="n">
        <v>1020</v>
      </c>
      <c r="BY296" s="6"/>
      <c r="BZ296" s="6"/>
      <c r="CA296" s="37" t="n">
        <f aca="false">CA334*CA336/365</f>
        <v>1076.44153534384</v>
      </c>
      <c r="CB296" s="37" t="n">
        <f aca="false">CB334*CB336/365</f>
        <v>1156.50196990954</v>
      </c>
      <c r="CC296" s="37" t="n">
        <f aca="false">CC334*CC336/365</f>
        <v>1249.06047430329</v>
      </c>
      <c r="CD296" s="37" t="n">
        <f aca="false">CD334*CD336/365</f>
        <v>1354.04391918556</v>
      </c>
      <c r="CE296" s="37" t="n">
        <f aca="false">CE334*CE336/365</f>
        <v>1470.92654606332</v>
      </c>
      <c r="CF296" s="20" t="s">
        <v>488</v>
      </c>
    </row>
    <row r="297" customFormat="false" ht="15" hidden="false" customHeight="true" outlineLevel="0" collapsed="false">
      <c r="B297" s="26" t="s">
        <v>489</v>
      </c>
      <c r="C297" s="36" t="n">
        <v>256.287</v>
      </c>
      <c r="D297" s="36" t="n">
        <v>286.885</v>
      </c>
      <c r="E297" s="36" t="n">
        <v>318.018</v>
      </c>
      <c r="F297" s="36" t="n">
        <v>332.569</v>
      </c>
      <c r="G297" s="36" t="n">
        <v>331.894</v>
      </c>
      <c r="H297" s="36" t="n">
        <v>322.607</v>
      </c>
      <c r="I297" s="36" t="n">
        <v>332.311</v>
      </c>
      <c r="J297" s="36" t="n">
        <v>347.641</v>
      </c>
      <c r="K297" s="36" t="n">
        <v>348.873</v>
      </c>
      <c r="L297" s="36" t="n">
        <v>350.438</v>
      </c>
      <c r="M297" s="36" t="n">
        <v>347.307</v>
      </c>
      <c r="N297" s="36" t="n">
        <v>347.307</v>
      </c>
      <c r="O297" s="36" t="n">
        <v>354.718</v>
      </c>
      <c r="P297" s="36" t="n">
        <v>348.168</v>
      </c>
      <c r="Q297" s="36" t="n">
        <v>475.293</v>
      </c>
      <c r="R297" s="36" t="n">
        <v>484.919</v>
      </c>
      <c r="S297" s="36" t="n">
        <v>484.919</v>
      </c>
      <c r="T297" s="36" t="n">
        <v>505.047</v>
      </c>
      <c r="U297" s="36" t="n">
        <v>479.856</v>
      </c>
      <c r="V297" s="36" t="n">
        <v>464.525</v>
      </c>
      <c r="W297" s="36" t="n">
        <v>469.141</v>
      </c>
      <c r="X297" s="36" t="n">
        <v>469.141</v>
      </c>
      <c r="Y297" s="36" t="n">
        <v>485.367</v>
      </c>
      <c r="Z297" s="36" t="n">
        <v>504.877</v>
      </c>
      <c r="AA297" s="36" t="n">
        <v>508.199</v>
      </c>
      <c r="AB297" s="36" t="n">
        <v>521.624</v>
      </c>
      <c r="AC297" s="36" t="n">
        <v>521.624</v>
      </c>
      <c r="AD297" s="36" t="n">
        <v>537</v>
      </c>
      <c r="AE297" s="36" t="n">
        <v>549.865</v>
      </c>
      <c r="AF297" s="36" t="n">
        <v>576.429</v>
      </c>
      <c r="AG297" s="36" t="n">
        <v>600.591</v>
      </c>
      <c r="AH297" s="36" t="n">
        <v>600.591</v>
      </c>
      <c r="AI297" s="36" t="n">
        <v>606.794</v>
      </c>
      <c r="AJ297" s="36" t="n">
        <v>650.917</v>
      </c>
      <c r="AK297" s="36" t="n">
        <v>651.295</v>
      </c>
      <c r="AL297" s="36" t="n">
        <v>663.035</v>
      </c>
      <c r="AM297" s="36" t="n">
        <v>663.035</v>
      </c>
      <c r="AN297" s="36" t="n">
        <v>646.176</v>
      </c>
      <c r="AO297" s="36" t="n">
        <v>646.342</v>
      </c>
      <c r="AP297" s="36" t="n">
        <v>649.716</v>
      </c>
      <c r="AQ297" s="36" t="n">
        <v>690.8</v>
      </c>
      <c r="AR297" s="36" t="n">
        <v>690.8</v>
      </c>
      <c r="AS297" s="36" t="n">
        <v>700.5</v>
      </c>
      <c r="AT297" s="36" t="n">
        <v>712.9</v>
      </c>
      <c r="AU297" s="36" t="n">
        <v>714.5</v>
      </c>
      <c r="AV297" s="36" t="n">
        <v>709</v>
      </c>
      <c r="AW297" s="36" t="n">
        <v>709</v>
      </c>
      <c r="AX297" s="36" t="n">
        <v>690</v>
      </c>
      <c r="AY297" s="36" t="n">
        <v>729.1</v>
      </c>
      <c r="AZ297" s="36" t="n">
        <v>717.5</v>
      </c>
      <c r="BA297" s="36" t="n">
        <v>752.6</v>
      </c>
      <c r="BB297" s="36" t="n">
        <v>752.6</v>
      </c>
      <c r="BC297" s="36" t="n">
        <v>782.4</v>
      </c>
      <c r="BD297" s="36" t="n">
        <v>835.2</v>
      </c>
      <c r="BE297" s="36" t="n">
        <v>823.4</v>
      </c>
      <c r="BF297" s="36" t="n">
        <v>873.7</v>
      </c>
      <c r="BG297" s="36" t="n">
        <v>873.7</v>
      </c>
      <c r="BH297" s="36" t="n">
        <v>948.7</v>
      </c>
      <c r="BI297" s="36" t="n">
        <v>954.7</v>
      </c>
      <c r="BJ297" s="36" t="n">
        <v>993.1</v>
      </c>
      <c r="BK297" s="36" t="n">
        <v>988.6</v>
      </c>
      <c r="BL297" s="36" t="n">
        <v>988.6</v>
      </c>
      <c r="BM297" s="36" t="n">
        <v>1077</v>
      </c>
      <c r="BN297" s="36" t="n">
        <v>1105</v>
      </c>
      <c r="BO297" s="36" t="n">
        <v>1089</v>
      </c>
      <c r="BP297" s="36" t="n">
        <v>1115</v>
      </c>
      <c r="BQ297" s="36" t="n">
        <v>1115</v>
      </c>
      <c r="BR297" s="36" t="n">
        <v>1173</v>
      </c>
      <c r="BS297" s="36" t="n">
        <v>1155</v>
      </c>
      <c r="BT297" s="36" t="n">
        <v>1034</v>
      </c>
      <c r="BU297" s="36" t="n">
        <v>1078</v>
      </c>
      <c r="BV297" s="36" t="n">
        <v>1078</v>
      </c>
      <c r="BW297" s="36" t="n">
        <v>1213</v>
      </c>
      <c r="BX297" s="36" t="n">
        <v>1169</v>
      </c>
      <c r="BY297" s="6"/>
      <c r="BZ297" s="6"/>
      <c r="CA297" s="37" t="n">
        <f aca="false">CA335*CA337/365</f>
        <v>1687.29956841978</v>
      </c>
      <c r="CB297" s="37" t="n">
        <f aca="false">CB335*CB337/365</f>
        <v>1731.15798861758</v>
      </c>
      <c r="CC297" s="37" t="n">
        <f aca="false">CC335*CC337/365</f>
        <v>1830.5442160441</v>
      </c>
      <c r="CD297" s="37" t="n">
        <f aca="false">CD335*CD337/365</f>
        <v>1960.97352089983</v>
      </c>
      <c r="CE297" s="37" t="n">
        <f aca="false">CE335*CE337/365</f>
        <v>2118.93182412091</v>
      </c>
      <c r="CF297" s="6"/>
    </row>
    <row r="298" customFormat="false" ht="15" hidden="false" customHeight="true" outlineLevel="0" collapsed="false">
      <c r="B298" s="26" t="s">
        <v>490</v>
      </c>
      <c r="C298" s="36" t="n">
        <v>61.386</v>
      </c>
      <c r="D298" s="36" t="n">
        <v>73.249</v>
      </c>
      <c r="E298" s="36" t="n">
        <v>97.623</v>
      </c>
      <c r="F298" s="36" t="n">
        <v>97.885</v>
      </c>
      <c r="G298" s="36" t="n">
        <v>110.633</v>
      </c>
      <c r="H298" s="36" t="n">
        <v>105.473</v>
      </c>
      <c r="I298" s="36" t="n">
        <v>118.646</v>
      </c>
      <c r="J298" s="36" t="n">
        <v>128.682</v>
      </c>
      <c r="K298" s="36" t="n">
        <v>126.379</v>
      </c>
      <c r="L298" s="36" t="n">
        <v>106.96</v>
      </c>
      <c r="M298" s="36" t="n">
        <v>120.201</v>
      </c>
      <c r="N298" s="36" t="n">
        <v>120.201</v>
      </c>
      <c r="O298" s="36" t="n">
        <v>125.108</v>
      </c>
      <c r="P298" s="36" t="n">
        <v>150.42</v>
      </c>
      <c r="Q298" s="36" t="n">
        <v>139.98</v>
      </c>
      <c r="R298" s="36" t="n">
        <v>274.245</v>
      </c>
      <c r="S298" s="36" t="n">
        <v>274.245</v>
      </c>
      <c r="T298" s="36" t="n">
        <v>338.927</v>
      </c>
      <c r="U298" s="36" t="n">
        <v>743.756</v>
      </c>
      <c r="V298" s="36" t="n">
        <v>163.593</v>
      </c>
      <c r="W298" s="36" t="n">
        <v>33.697</v>
      </c>
      <c r="X298" s="36" t="n">
        <v>33.697</v>
      </c>
      <c r="Y298" s="36" t="n">
        <v>37.658</v>
      </c>
      <c r="Z298" s="36" t="n">
        <v>53.997</v>
      </c>
      <c r="AA298" s="36" t="n">
        <v>56.217</v>
      </c>
      <c r="AB298" s="36" t="n">
        <v>56.813</v>
      </c>
      <c r="AC298" s="36" t="n">
        <v>56.813</v>
      </c>
      <c r="AD298" s="36" t="n">
        <v>51.609</v>
      </c>
      <c r="AE298" s="36" t="n">
        <v>87.092</v>
      </c>
      <c r="AF298" s="36" t="n">
        <v>83.809</v>
      </c>
      <c r="AG298" s="36" t="n">
        <v>96.965</v>
      </c>
      <c r="AH298" s="36" t="n">
        <v>96.965</v>
      </c>
      <c r="AI298" s="36" t="n">
        <v>106.298</v>
      </c>
      <c r="AJ298" s="36" t="n">
        <v>96.887</v>
      </c>
      <c r="AK298" s="36" t="n">
        <v>104.717</v>
      </c>
      <c r="AL298" s="36" t="n">
        <v>134.613</v>
      </c>
      <c r="AM298" s="36" t="n">
        <v>134.613</v>
      </c>
      <c r="AN298" s="36" t="n">
        <v>135.971</v>
      </c>
      <c r="AO298" s="36" t="n">
        <v>122.579</v>
      </c>
      <c r="AP298" s="36" t="n">
        <v>115.717</v>
      </c>
      <c r="AQ298" s="36" t="n">
        <v>141.2</v>
      </c>
      <c r="AR298" s="36" t="n">
        <v>141.2</v>
      </c>
      <c r="AS298" s="36" t="n">
        <v>145.7</v>
      </c>
      <c r="AT298" s="36" t="n">
        <v>113.7</v>
      </c>
      <c r="AU298" s="36" t="n">
        <v>58.3</v>
      </c>
      <c r="AV298" s="36" t="n">
        <v>79.8</v>
      </c>
      <c r="AW298" s="36" t="n">
        <v>79.8</v>
      </c>
      <c r="AX298" s="36" t="n">
        <v>67.3</v>
      </c>
      <c r="AY298" s="36" t="n">
        <v>94.9</v>
      </c>
      <c r="AZ298" s="36" t="n">
        <v>98.2</v>
      </c>
      <c r="BA298" s="36" t="n">
        <v>240.1</v>
      </c>
      <c r="BB298" s="36" t="n">
        <v>240.1</v>
      </c>
      <c r="BC298" s="36" t="n">
        <v>256.3</v>
      </c>
      <c r="BD298" s="36" t="n">
        <v>126.4</v>
      </c>
      <c r="BE298" s="36" t="n">
        <v>876.5</v>
      </c>
      <c r="BF298" s="36" t="n">
        <v>858.5</v>
      </c>
      <c r="BG298" s="36" t="n">
        <v>858.5</v>
      </c>
      <c r="BH298" s="36" t="n">
        <v>837.8</v>
      </c>
      <c r="BI298" s="36" t="n">
        <v>836.9</v>
      </c>
      <c r="BJ298" s="36" t="n">
        <v>129.2</v>
      </c>
      <c r="BK298" s="36" t="n">
        <v>894.7</v>
      </c>
      <c r="BL298" s="36" t="n">
        <v>894.7</v>
      </c>
      <c r="BM298" s="36" t="n">
        <v>88</v>
      </c>
      <c r="BN298" s="36" t="n">
        <v>106</v>
      </c>
      <c r="BO298" s="36" t="n">
        <v>262</v>
      </c>
      <c r="BP298" s="36" t="n">
        <v>79</v>
      </c>
      <c r="BQ298" s="36" t="n">
        <v>79</v>
      </c>
      <c r="BR298" s="36" t="n">
        <v>96</v>
      </c>
      <c r="BS298" s="36" t="n">
        <v>98</v>
      </c>
      <c r="BT298" s="36" t="n">
        <v>1335</v>
      </c>
      <c r="BU298" s="36" t="n">
        <v>1325</v>
      </c>
      <c r="BV298" s="36" t="n">
        <v>1325</v>
      </c>
      <c r="BW298" s="36" t="n">
        <v>90</v>
      </c>
      <c r="BX298" s="36" t="n">
        <v>137</v>
      </c>
      <c r="BY298" s="6"/>
      <c r="BZ298" s="6"/>
      <c r="CA298" s="37" t="n">
        <f aca="false">BX298+$CA$352</f>
        <v>473</v>
      </c>
      <c r="CB298" s="37" t="n">
        <f aca="false">CA298</f>
        <v>473</v>
      </c>
      <c r="CC298" s="37" t="n">
        <f aca="false">CB298</f>
        <v>473</v>
      </c>
      <c r="CD298" s="37" t="n">
        <f aca="false">CC298</f>
        <v>473</v>
      </c>
      <c r="CE298" s="37" t="n">
        <f aca="false">CD298</f>
        <v>473</v>
      </c>
      <c r="CF298" s="6"/>
    </row>
    <row r="299" customFormat="false" ht="15" hidden="false" customHeight="true" outlineLevel="0" collapsed="false">
      <c r="B299" s="17" t="s">
        <v>491</v>
      </c>
      <c r="C299" s="46" t="n">
        <f aca="false">IF(ISNUMBER(C294),SUM(C294:C298),"")</f>
        <v>592.354</v>
      </c>
      <c r="D299" s="46" t="n">
        <f aca="false">IF(ISNUMBER(D294),SUM(D294:D298),"")</f>
        <v>626.01</v>
      </c>
      <c r="E299" s="46" t="n">
        <f aca="false">IF(ISNUMBER(E294),SUM(E294:E298),"")</f>
        <v>665.031</v>
      </c>
      <c r="F299" s="46" t="n">
        <f aca="false">IF(ISNUMBER(F294),SUM(F294:F298),"")</f>
        <v>856.86</v>
      </c>
      <c r="G299" s="46" t="n">
        <f aca="false">IF(ISNUMBER(G294),SUM(G294:G298),"")</f>
        <v>696.211</v>
      </c>
      <c r="H299" s="46" t="n">
        <f aca="false">IF(ISNUMBER(H294),SUM(H294:H298),"")</f>
        <v>657.85</v>
      </c>
      <c r="I299" s="46" t="n">
        <f aca="false">IF(ISNUMBER(I294),SUM(I294:I298),"")</f>
        <v>700.401</v>
      </c>
      <c r="J299" s="46" t="n">
        <f aca="false">IF(ISNUMBER(J294),SUM(J294:J298),"")</f>
        <v>715.733</v>
      </c>
      <c r="K299" s="46" t="n">
        <f aca="false">IF(ISNUMBER(K294),SUM(K294:K298),"")</f>
        <v>806.485</v>
      </c>
      <c r="L299" s="46" t="n">
        <f aca="false">IF(ISNUMBER(L294),SUM(L294:L298),"")</f>
        <v>845.669</v>
      </c>
      <c r="M299" s="46" t="n">
        <f aca="false">IF(ISNUMBER(M294),SUM(M294:M298),"")</f>
        <v>755.366</v>
      </c>
      <c r="N299" s="46" t="n">
        <f aca="false">IF(ISNUMBER(N294),SUM(N294:N298),"")</f>
        <v>755.366</v>
      </c>
      <c r="O299" s="46" t="n">
        <f aca="false">IF(ISNUMBER(O294),SUM(O294:O298),"")</f>
        <v>758.214</v>
      </c>
      <c r="P299" s="46" t="n">
        <f aca="false">IF(ISNUMBER(P294),SUM(P294:P298),"")</f>
        <v>876.701</v>
      </c>
      <c r="Q299" s="46" t="n">
        <f aca="false">IF(ISNUMBER(Q294),SUM(Q294:Q298),"")</f>
        <v>1212.798</v>
      </c>
      <c r="R299" s="46" t="n">
        <f aca="false">IF(ISNUMBER(R294),SUM(R294:R298),"")</f>
        <v>1288.816</v>
      </c>
      <c r="S299" s="46" t="n">
        <f aca="false">IF(ISNUMBER(S294),SUM(S294:S298),"")</f>
        <v>1288.816</v>
      </c>
      <c r="T299" s="46" t="n">
        <f aca="false">IF(ISNUMBER(T294),SUM(T294:T298),"")</f>
        <v>1281.729</v>
      </c>
      <c r="U299" s="46" t="n">
        <f aca="false">IF(ISNUMBER(U294),SUM(U294:U298),"")</f>
        <v>1765.249</v>
      </c>
      <c r="V299" s="46" t="n">
        <f aca="false">IF(ISNUMBER(V294),SUM(V294:V298),"")</f>
        <v>1641.971</v>
      </c>
      <c r="W299" s="46" t="n">
        <f aca="false">IF(ISNUMBER(W294),SUM(W294:W298),"")</f>
        <v>1082.168</v>
      </c>
      <c r="X299" s="46" t="n">
        <f aca="false">IF(ISNUMBER(X294),SUM(X294:X298),"")</f>
        <v>1082.168</v>
      </c>
      <c r="Y299" s="46" t="n">
        <f aca="false">IF(ISNUMBER(Y294),SUM(Y294:Y298),"")</f>
        <v>998.315</v>
      </c>
      <c r="Z299" s="46" t="n">
        <f aca="false">IF(ISNUMBER(Z294),SUM(Z294:Z298),"")</f>
        <v>1121.929</v>
      </c>
      <c r="AA299" s="46" t="n">
        <f aca="false">IF(ISNUMBER(AA294),SUM(AA294:AA298),"")</f>
        <v>1191.525</v>
      </c>
      <c r="AB299" s="46" t="n">
        <f aca="false">IF(ISNUMBER(AB294),SUM(AB294:AB298),"")</f>
        <v>1086.385</v>
      </c>
      <c r="AC299" s="46" t="n">
        <f aca="false">IF(ISNUMBER(AC294),SUM(AC294:AC298),"")</f>
        <v>1086.385</v>
      </c>
      <c r="AD299" s="46" t="n">
        <f aca="false">IF(ISNUMBER(AD294),SUM(AD294:AD298),"")</f>
        <v>1123.242</v>
      </c>
      <c r="AE299" s="46" t="n">
        <f aca="false">IF(ISNUMBER(AE294),SUM(AE294:AE298),"")</f>
        <v>1244.297</v>
      </c>
      <c r="AF299" s="46" t="n">
        <f aca="false">IF(ISNUMBER(AF294),SUM(AF294:AF298),"")</f>
        <v>1277.989</v>
      </c>
      <c r="AG299" s="46" t="n">
        <f aca="false">IF(ISNUMBER(AG294),SUM(AG294:AG298),"")</f>
        <v>2631.16</v>
      </c>
      <c r="AH299" s="46" t="n">
        <f aca="false">IF(ISNUMBER(AH294),SUM(AH294:AH298),"")</f>
        <v>2631.16</v>
      </c>
      <c r="AI299" s="46" t="n">
        <f aca="false">IF(ISNUMBER(AI294),SUM(AI294:AI298),"")</f>
        <v>2601.93</v>
      </c>
      <c r="AJ299" s="46" t="n">
        <f aca="false">IF(ISNUMBER(AJ294),SUM(AJ294:AJ298),"")</f>
        <v>1457.153</v>
      </c>
      <c r="AK299" s="46" t="n">
        <f aca="false">IF(ISNUMBER(AK294),SUM(AK294:AK298),"")</f>
        <v>1454.808</v>
      </c>
      <c r="AL299" s="46" t="n">
        <f aca="false">IF(ISNUMBER(AL294),SUM(AL294:AL298),"")</f>
        <v>1365.816</v>
      </c>
      <c r="AM299" s="46" t="n">
        <f aca="false">IF(ISNUMBER(AM294),SUM(AM294:AM298),"")</f>
        <v>1365.816</v>
      </c>
      <c r="AN299" s="46" t="n">
        <f aca="false">IF(ISNUMBER(AN294),SUM(AN294:AN298),"")</f>
        <v>1370.111</v>
      </c>
      <c r="AO299" s="46" t="n">
        <f aca="false">IF(ISNUMBER(AO294),SUM(AO294:AO298),"")</f>
        <v>1533.121</v>
      </c>
      <c r="AP299" s="46" t="n">
        <f aca="false">IF(ISNUMBER(AP294),SUM(AP294:AP298),"")</f>
        <v>1578.398</v>
      </c>
      <c r="AQ299" s="46" t="n">
        <f aca="false">IF(ISNUMBER(AQ294),SUM(AQ294:AQ298),"")</f>
        <v>1426.7</v>
      </c>
      <c r="AR299" s="46" t="n">
        <f aca="false">IF(ISNUMBER(AR294),SUM(AR294:AR298),"")</f>
        <v>1426.7</v>
      </c>
      <c r="AS299" s="46" t="n">
        <f aca="false">IF(ISNUMBER(AS294),SUM(AS294:AS298),"")</f>
        <v>1833</v>
      </c>
      <c r="AT299" s="46" t="n">
        <f aca="false">IF(ISNUMBER(AT294),SUM(AT294:AT298),"")</f>
        <v>1587.1</v>
      </c>
      <c r="AU299" s="46" t="n">
        <f aca="false">IF(ISNUMBER(AU294),SUM(AU294:AU298),"")</f>
        <v>1652.8</v>
      </c>
      <c r="AV299" s="46" t="n">
        <f aca="false">IF(ISNUMBER(AV294),SUM(AV294:AV298),"")</f>
        <v>1668.3</v>
      </c>
      <c r="AW299" s="46" t="n">
        <f aca="false">IF(ISNUMBER(AW294),SUM(AW294:AW298),"")</f>
        <v>1668.3</v>
      </c>
      <c r="AX299" s="46" t="n">
        <f aca="false">IF(ISNUMBER(AX294),SUM(AX294:AX298),"")</f>
        <v>1675.7</v>
      </c>
      <c r="AY299" s="46" t="n">
        <f aca="false">IF(ISNUMBER(AY294),SUM(AY294:AY298),"")</f>
        <v>1616.3</v>
      </c>
      <c r="AZ299" s="46" t="n">
        <f aca="false">IF(ISNUMBER(AZ294),SUM(AZ294:AZ298),"")</f>
        <v>4000.7</v>
      </c>
      <c r="BA299" s="46" t="n">
        <f aca="false">IF(ISNUMBER(BA294),SUM(BA294:BA298),"")</f>
        <v>2025.6</v>
      </c>
      <c r="BB299" s="46" t="n">
        <f aca="false">IF(ISNUMBER(BB294),SUM(BB294:BB298),"")</f>
        <v>2025.6</v>
      </c>
      <c r="BC299" s="46" t="n">
        <f aca="false">IF(ISNUMBER(BC294),SUM(BC294:BC298),"")</f>
        <v>1987.5</v>
      </c>
      <c r="BD299" s="46" t="n">
        <f aca="false">IF(ISNUMBER(BD294),SUM(BD294:BD298),"")</f>
        <v>2760.3</v>
      </c>
      <c r="BE299" s="46" t="n">
        <f aca="false">IF(ISNUMBER(BE294),SUM(BE294:BE298),"")</f>
        <v>2847.3</v>
      </c>
      <c r="BF299" s="46" t="n">
        <f aca="false">IF(ISNUMBER(BF294),SUM(BF294:BF298),"")</f>
        <v>2876.9</v>
      </c>
      <c r="BG299" s="46" t="n">
        <f aca="false">IF(ISNUMBER(BG294),SUM(BG294:BG298),"")</f>
        <v>2876.9</v>
      </c>
      <c r="BH299" s="46" t="n">
        <f aca="false">IF(ISNUMBER(BH294),SUM(BH294:BH298),"")</f>
        <v>2812.7</v>
      </c>
      <c r="BI299" s="46" t="n">
        <f aca="false">IF(ISNUMBER(BI294),SUM(BI294:BI298),"")</f>
        <v>3192.3</v>
      </c>
      <c r="BJ299" s="46" t="n">
        <f aca="false">IF(ISNUMBER(BJ294),SUM(BJ294:BJ298),"")</f>
        <v>2817.4</v>
      </c>
      <c r="BK299" s="46" t="n">
        <f aca="false">IF(ISNUMBER(BK294),SUM(BK294:BK298),"")</f>
        <v>3918.9</v>
      </c>
      <c r="BL299" s="46" t="n">
        <f aca="false">IF(ISNUMBER(BL294),SUM(BL294:BL298),"")</f>
        <v>3918.9</v>
      </c>
      <c r="BM299" s="46" t="n">
        <f aca="false">IF(ISNUMBER(BM294),SUM(BM294:BM298),"")</f>
        <v>4518</v>
      </c>
      <c r="BN299" s="46" t="n">
        <f aca="false">IF(ISNUMBER(BN294),SUM(BN294:BN298),"")</f>
        <v>2229</v>
      </c>
      <c r="BO299" s="46" t="n">
        <f aca="false">IF(ISNUMBER(BO294),SUM(BO294:BO298),"")</f>
        <v>2319</v>
      </c>
      <c r="BP299" s="46" t="n">
        <f aca="false">IF(ISNUMBER(BP294),SUM(BP294:BP298),"")</f>
        <v>2542</v>
      </c>
      <c r="BQ299" s="46" t="n">
        <f aca="false">IF(ISNUMBER(BQ294),SUM(BQ294:BQ298),"")</f>
        <v>2542</v>
      </c>
      <c r="BR299" s="46" t="n">
        <f aca="false">IF(ISNUMBER(BR294),SUM(BR294:BR298),"")</f>
        <v>2103</v>
      </c>
      <c r="BS299" s="46" t="n">
        <f aca="false">IF(ISNUMBER(BS294),SUM(BS294:BS298),"")</f>
        <v>2393</v>
      </c>
      <c r="BT299" s="46" t="n">
        <f aca="false">IF(ISNUMBER(BT294),SUM(BT294:BT298),"")</f>
        <v>3423</v>
      </c>
      <c r="BU299" s="46" t="n">
        <f aca="false">IF(ISNUMBER(BU294),SUM(BU294:BU298),"")</f>
        <v>3193</v>
      </c>
      <c r="BV299" s="46" t="n">
        <f aca="false">IF(ISNUMBER(BV294),SUM(BV294:BV298),"")</f>
        <v>3193</v>
      </c>
      <c r="BW299" s="46" t="n">
        <f aca="false">IF(ISNUMBER(BW294),SUM(BW294:BW298),"")</f>
        <v>2356</v>
      </c>
      <c r="BX299" s="46" t="n">
        <f aca="false">IF(ISNUMBER(BX294),SUM(BX294:BX298),"")</f>
        <v>2446</v>
      </c>
      <c r="BY299" s="57"/>
      <c r="BZ299" s="57"/>
      <c r="CA299" s="34" t="n">
        <f aca="false">IF(ISNUMBER(CA294),SUM(CA294:CA298),"")</f>
        <v>3386.74110376361</v>
      </c>
      <c r="CB299" s="34" t="n">
        <f aca="false">IF(ISNUMBER(CB294),SUM(CB294:CB298),"")</f>
        <v>3510.65995852712</v>
      </c>
      <c r="CC299" s="34" t="n">
        <f aca="false">IF(ISNUMBER(CC294),SUM(CC294:CC298),"")</f>
        <v>4654.50186510181</v>
      </c>
      <c r="CD299" s="34" t="n">
        <f aca="false">IF(ISNUMBER(CD294),SUM(CD294:CD298),"")</f>
        <v>4666.13181965486</v>
      </c>
      <c r="CE299" s="34" t="n">
        <f aca="false">IF(ISNUMBER(CE294),SUM(CE294:CE298),"")</f>
        <v>4212.85837018424</v>
      </c>
      <c r="CF299" s="6"/>
    </row>
    <row r="300" customFormat="false" ht="15" hidden="false" customHeight="true" outlineLevel="0" collapsed="false">
      <c r="B300" s="26" t="s">
        <v>492</v>
      </c>
      <c r="C300" s="36" t="n">
        <v>1295.491</v>
      </c>
      <c r="D300" s="36" t="n">
        <v>1433.553</v>
      </c>
      <c r="E300" s="36" t="n">
        <v>1690.529</v>
      </c>
      <c r="F300" s="36" t="n">
        <v>1692.905</v>
      </c>
      <c r="G300" s="36" t="n">
        <v>1687.83</v>
      </c>
      <c r="H300" s="36" t="n">
        <v>1774.291</v>
      </c>
      <c r="I300" s="36" t="n">
        <v>1753.241</v>
      </c>
      <c r="J300" s="36" t="n">
        <v>1732.087</v>
      </c>
      <c r="K300" s="36" t="n">
        <v>1717.386</v>
      </c>
      <c r="L300" s="36" t="n">
        <v>1782.618</v>
      </c>
      <c r="M300" s="36" t="n">
        <v>1799.241</v>
      </c>
      <c r="N300" s="36" t="n">
        <v>1799.241</v>
      </c>
      <c r="O300" s="36" t="n">
        <v>1793.536</v>
      </c>
      <c r="P300" s="36" t="n">
        <v>1775.374</v>
      </c>
      <c r="Q300" s="36" t="n">
        <v>3377.951</v>
      </c>
      <c r="R300" s="36" t="n">
        <v>3402.77</v>
      </c>
      <c r="S300" s="36" t="n">
        <v>3402.77</v>
      </c>
      <c r="T300" s="36" t="n">
        <v>3365.106</v>
      </c>
      <c r="U300" s="36" t="n">
        <v>3049.523</v>
      </c>
      <c r="V300" s="36" t="n">
        <v>3073.534</v>
      </c>
      <c r="W300" s="36" t="n">
        <v>3156</v>
      </c>
      <c r="X300" s="36" t="n">
        <v>3156</v>
      </c>
      <c r="Y300" s="36" t="n">
        <v>3262.981</v>
      </c>
      <c r="Z300" s="36" t="n">
        <v>3322.205</v>
      </c>
      <c r="AA300" s="36" t="n">
        <v>3379.613</v>
      </c>
      <c r="AB300" s="36" t="n">
        <v>3423.395</v>
      </c>
      <c r="AC300" s="36" t="n">
        <v>3423.395</v>
      </c>
      <c r="AD300" s="36" t="n">
        <v>3467.645</v>
      </c>
      <c r="AE300" s="36" t="n">
        <v>3505.26</v>
      </c>
      <c r="AF300" s="36" t="n">
        <v>3521.577</v>
      </c>
      <c r="AG300" s="36" t="n">
        <v>3592.813</v>
      </c>
      <c r="AH300" s="36" t="n">
        <v>3592.813</v>
      </c>
      <c r="AI300" s="36" t="n">
        <v>3582.494</v>
      </c>
      <c r="AJ300" s="36" t="n">
        <v>5113.426</v>
      </c>
      <c r="AK300" s="36" t="n">
        <v>5103.395</v>
      </c>
      <c r="AL300" s="36" t="n">
        <v>5157.229</v>
      </c>
      <c r="AM300" s="36" t="n">
        <v>5157.229</v>
      </c>
      <c r="AN300" s="36" t="n">
        <v>5146.682</v>
      </c>
      <c r="AO300" s="36" t="n">
        <v>5132.682</v>
      </c>
      <c r="AP300" s="36" t="n">
        <v>5132.147</v>
      </c>
      <c r="AQ300" s="36" t="n">
        <v>5206</v>
      </c>
      <c r="AR300" s="36" t="n">
        <v>5206</v>
      </c>
      <c r="AS300" s="36" t="n">
        <v>5185.4</v>
      </c>
      <c r="AT300" s="36" t="n">
        <v>5160.5</v>
      </c>
      <c r="AU300" s="36" t="n">
        <v>5180.5</v>
      </c>
      <c r="AV300" s="36" t="n">
        <v>5242.3</v>
      </c>
      <c r="AW300" s="36" t="n">
        <v>5242.3</v>
      </c>
      <c r="AX300" s="36" t="n">
        <v>5335.4</v>
      </c>
      <c r="AY300" s="36" t="n">
        <v>5549</v>
      </c>
      <c r="AZ300" s="36" t="n">
        <v>5610.5</v>
      </c>
      <c r="BA300" s="36" t="n">
        <v>6338</v>
      </c>
      <c r="BB300" s="36" t="n">
        <v>6338</v>
      </c>
      <c r="BC300" s="36" t="n">
        <v>6208.9</v>
      </c>
      <c r="BD300" s="36" t="n">
        <v>6164.3</v>
      </c>
      <c r="BE300" s="36" t="n">
        <v>6153.8</v>
      </c>
      <c r="BF300" s="36" t="n">
        <v>6316.7</v>
      </c>
      <c r="BG300" s="36" t="n">
        <v>6316.7</v>
      </c>
      <c r="BH300" s="36" t="n">
        <v>6279.5</v>
      </c>
      <c r="BI300" s="36" t="n">
        <v>6312.8</v>
      </c>
      <c r="BJ300" s="36" t="n">
        <v>6352.7</v>
      </c>
      <c r="BK300" s="36" t="n">
        <v>6185.9</v>
      </c>
      <c r="BL300" s="36" t="n">
        <v>6185.9</v>
      </c>
      <c r="BM300" s="36" t="n">
        <v>6600</v>
      </c>
      <c r="BN300" s="36" t="n">
        <v>8610</v>
      </c>
      <c r="BO300" s="36" t="n">
        <v>8714</v>
      </c>
      <c r="BP300" s="36" t="n">
        <v>10109</v>
      </c>
      <c r="BQ300" s="36" t="n">
        <v>10109</v>
      </c>
      <c r="BR300" s="36" t="n">
        <v>10095</v>
      </c>
      <c r="BS300" s="36" t="n">
        <v>10127</v>
      </c>
      <c r="BT300" s="36" t="n">
        <v>10064</v>
      </c>
      <c r="BU300" s="36" t="n">
        <v>10290</v>
      </c>
      <c r="BV300" s="36" t="n">
        <v>10290</v>
      </c>
      <c r="BW300" s="36" t="n">
        <v>12642</v>
      </c>
      <c r="BX300" s="36" t="n">
        <v>13101</v>
      </c>
      <c r="BY300" s="6"/>
      <c r="BZ300" s="6"/>
      <c r="CA300" s="37" t="n">
        <f aca="false">BX300-(CA255-(BW255+BX255))+$CA$353-((BY176+BZ176)-(BY72+BZ72+BY365+BZ365))</f>
        <v>16214.4988055854</v>
      </c>
      <c r="CB300" s="37" t="n">
        <f aca="false">CA300-CB255-(CB176-CB72-CB365-N(CB105))+CB91*CB101</f>
        <v>16108.3279023006</v>
      </c>
      <c r="CC300" s="37" t="n">
        <f aca="false">CB300-CC255-(CC176-CC72-CC365-N(CC105))+CC91*CC101</f>
        <v>16264.8110353517</v>
      </c>
      <c r="CD300" s="37" t="n">
        <f aca="false">CC300-CD255-(CD176-CD72-CD365-N(CD105))+CD91*CD101</f>
        <v>16544.6227471276</v>
      </c>
      <c r="CE300" s="37" t="n">
        <f aca="false">CD300-CE255-(CE176-CE72-CE365-N(CE105))+CE91*CE101</f>
        <v>16808.3002374231</v>
      </c>
      <c r="CF300" s="20" t="s">
        <v>493</v>
      </c>
    </row>
    <row r="301" customFormat="false" ht="15" hidden="false" customHeight="true" outlineLevel="0" collapsed="false">
      <c r="B301" s="26" t="s">
        <v>494</v>
      </c>
      <c r="C301" s="36" t="n">
        <v>570.538</v>
      </c>
      <c r="D301" s="36" t="n">
        <v>574.667</v>
      </c>
      <c r="E301" s="36" t="n">
        <v>622.297</v>
      </c>
      <c r="F301" s="36" t="n">
        <v>624.224</v>
      </c>
      <c r="G301" s="36" t="n">
        <v>626.527</v>
      </c>
      <c r="H301" s="36" t="n">
        <v>616.671</v>
      </c>
      <c r="I301" s="36" t="n">
        <v>616.204</v>
      </c>
      <c r="J301" s="36" t="n">
        <v>616.35</v>
      </c>
      <c r="K301" s="36" t="n">
        <v>616.303</v>
      </c>
      <c r="L301" s="36" t="n">
        <v>616.634</v>
      </c>
      <c r="M301" s="36" t="n">
        <v>616.621</v>
      </c>
      <c r="N301" s="36" t="n">
        <v>616.621</v>
      </c>
      <c r="O301" s="36" t="n">
        <v>616.621</v>
      </c>
      <c r="P301" s="36" t="n">
        <v>616.621</v>
      </c>
      <c r="Q301" s="36" t="n">
        <v>2043.32</v>
      </c>
      <c r="R301" s="36" t="n">
        <v>2068.799</v>
      </c>
      <c r="S301" s="36" t="n">
        <v>2068.799</v>
      </c>
      <c r="T301" s="36" t="n">
        <v>2071.471</v>
      </c>
      <c r="U301" s="36" t="n">
        <v>2065.882</v>
      </c>
      <c r="V301" s="36" t="n">
        <v>2065.644</v>
      </c>
      <c r="W301" s="36" t="n">
        <v>2068.235</v>
      </c>
      <c r="X301" s="36" t="n">
        <v>2068.235</v>
      </c>
      <c r="Y301" s="36" t="n">
        <v>2135.295</v>
      </c>
      <c r="Z301" s="36" t="n">
        <v>2136.783</v>
      </c>
      <c r="AA301" s="36" t="n">
        <v>2160.605</v>
      </c>
      <c r="AB301" s="36" t="n">
        <v>2159.337</v>
      </c>
      <c r="AC301" s="36" t="n">
        <v>2159.337</v>
      </c>
      <c r="AD301" s="36" t="n">
        <v>2159.398</v>
      </c>
      <c r="AE301" s="36" t="n">
        <v>2160.06</v>
      </c>
      <c r="AF301" s="36" t="n">
        <v>2160.06</v>
      </c>
      <c r="AG301" s="36" t="n">
        <v>2160.29</v>
      </c>
      <c r="AH301" s="36" t="n">
        <v>2160.29</v>
      </c>
      <c r="AI301" s="36" t="n">
        <v>2160.29</v>
      </c>
      <c r="AJ301" s="36" t="n">
        <v>2401.505</v>
      </c>
      <c r="AK301" s="36" t="n">
        <v>2399.434</v>
      </c>
      <c r="AL301" s="36" t="n">
        <v>2399.118</v>
      </c>
      <c r="AM301" s="36" t="n">
        <v>2399.118</v>
      </c>
      <c r="AN301" s="36" t="n">
        <v>2397.483</v>
      </c>
      <c r="AO301" s="36" t="n">
        <v>2394.32</v>
      </c>
      <c r="AP301" s="36" t="n">
        <v>2396.955</v>
      </c>
      <c r="AQ301" s="36" t="n">
        <v>2396.8</v>
      </c>
      <c r="AR301" s="36" t="n">
        <v>2396.8</v>
      </c>
      <c r="AS301" s="36" t="n">
        <v>2397.1</v>
      </c>
      <c r="AT301" s="36" t="n">
        <v>2397.5</v>
      </c>
      <c r="AU301" s="36" t="n">
        <v>2414.5</v>
      </c>
      <c r="AV301" s="36" t="n">
        <v>2414</v>
      </c>
      <c r="AW301" s="36" t="n">
        <v>2414</v>
      </c>
      <c r="AX301" s="36" t="n">
        <v>2414</v>
      </c>
      <c r="AY301" s="36" t="n">
        <v>2599.6</v>
      </c>
      <c r="AZ301" s="36" t="n">
        <v>2610.6</v>
      </c>
      <c r="BA301" s="36" t="n">
        <v>3494.4</v>
      </c>
      <c r="BB301" s="36" t="n">
        <v>3494.4</v>
      </c>
      <c r="BC301" s="36" t="n">
        <v>3392</v>
      </c>
      <c r="BD301" s="36" t="n">
        <v>3400.5</v>
      </c>
      <c r="BE301" s="36" t="n">
        <v>3640.4</v>
      </c>
      <c r="BF301" s="36" t="n">
        <v>3649.5</v>
      </c>
      <c r="BG301" s="36" t="n">
        <v>3649.5</v>
      </c>
      <c r="BH301" s="36" t="n">
        <v>3649.5</v>
      </c>
      <c r="BI301" s="36" t="n">
        <v>3649.5</v>
      </c>
      <c r="BJ301" s="36" t="n">
        <v>3649.5</v>
      </c>
      <c r="BK301" s="36" t="n">
        <v>3389.5</v>
      </c>
      <c r="BL301" s="36" t="n">
        <v>3389.5</v>
      </c>
      <c r="BM301" s="36" t="n">
        <v>3479</v>
      </c>
      <c r="BN301" s="36" t="n">
        <v>3842</v>
      </c>
      <c r="BO301" s="36" t="n">
        <v>3768</v>
      </c>
      <c r="BP301" s="36" t="n">
        <v>3767</v>
      </c>
      <c r="BQ301" s="36" t="n">
        <v>3767</v>
      </c>
      <c r="BR301" s="36" t="n">
        <v>3773</v>
      </c>
      <c r="BS301" s="36" t="n">
        <v>3777</v>
      </c>
      <c r="BT301" s="36" t="n">
        <v>3607</v>
      </c>
      <c r="BU301" s="36" t="n">
        <v>3614</v>
      </c>
      <c r="BV301" s="36" t="n">
        <v>3614</v>
      </c>
      <c r="BW301" s="36" t="n">
        <v>3828</v>
      </c>
      <c r="BX301" s="36" t="n">
        <v>3959</v>
      </c>
      <c r="BY301" s="6"/>
      <c r="BZ301" s="6"/>
      <c r="CA301" s="37" t="n">
        <f aca="false">BX301+$CA$356</f>
        <v>9959</v>
      </c>
      <c r="CB301" s="37" t="n">
        <f aca="false">CA301+CB91*(1-CB101-CB102)</f>
        <v>9959</v>
      </c>
      <c r="CC301" s="37" t="n">
        <f aca="false">CB301+CC91*(1-CC101-CC102)</f>
        <v>10134</v>
      </c>
      <c r="CD301" s="37" t="n">
        <f aca="false">CC301+CD91*(1-CD101-CD102)</f>
        <v>10396.5</v>
      </c>
      <c r="CE301" s="37" t="n">
        <f aca="false">CD301+CE91*(1-CE101-CE102)</f>
        <v>10659</v>
      </c>
      <c r="CF301" s="20" t="s">
        <v>495</v>
      </c>
    </row>
    <row r="302" customFormat="false" ht="15" hidden="false" customHeight="true" outlineLevel="0" collapsed="false">
      <c r="B302" s="26" t="s">
        <v>496</v>
      </c>
      <c r="C302" s="36" t="n">
        <v>10.948</v>
      </c>
      <c r="D302" s="36" t="n">
        <v>9.426</v>
      </c>
      <c r="E302" s="36" t="n">
        <v>13.89</v>
      </c>
      <c r="F302" s="36" t="n">
        <v>12.469</v>
      </c>
      <c r="G302" s="36" t="n">
        <v>17.548</v>
      </c>
      <c r="H302" s="36" t="n">
        <v>54.133</v>
      </c>
      <c r="I302" s="36" t="n">
        <v>50.433</v>
      </c>
      <c r="J302" s="36" t="n">
        <v>49.548</v>
      </c>
      <c r="K302" s="36" t="n">
        <v>48.668</v>
      </c>
      <c r="L302" s="36" t="n">
        <v>49.035</v>
      </c>
      <c r="M302" s="36" t="n">
        <v>48.591</v>
      </c>
      <c r="N302" s="36" t="n">
        <v>48.591</v>
      </c>
      <c r="O302" s="36" t="n">
        <v>47.743</v>
      </c>
      <c r="P302" s="36" t="n">
        <v>46.896</v>
      </c>
      <c r="Q302" s="36" t="n">
        <v>97.488</v>
      </c>
      <c r="R302" s="36" t="n">
        <v>95.718</v>
      </c>
      <c r="S302" s="36" t="n">
        <v>95.718</v>
      </c>
      <c r="T302" s="36" t="n">
        <v>94.113</v>
      </c>
      <c r="U302" s="36" t="n">
        <v>67.242</v>
      </c>
      <c r="V302" s="36" t="n">
        <v>65.556</v>
      </c>
      <c r="W302" s="36" t="n">
        <v>65.827</v>
      </c>
      <c r="X302" s="36" t="n">
        <v>65.827</v>
      </c>
      <c r="Y302" s="36" t="n">
        <v>75.267</v>
      </c>
      <c r="Z302" s="36" t="n">
        <v>64.327</v>
      </c>
      <c r="AA302" s="36" t="n">
        <v>70.927</v>
      </c>
      <c r="AB302" s="36" t="n">
        <v>69.11</v>
      </c>
      <c r="AC302" s="36" t="n">
        <v>69.11</v>
      </c>
      <c r="AD302" s="36" t="n">
        <v>67.318</v>
      </c>
      <c r="AE302" s="36" t="n">
        <v>65.526</v>
      </c>
      <c r="AF302" s="36" t="n">
        <v>63.74</v>
      </c>
      <c r="AG302" s="36" t="n">
        <v>67.233</v>
      </c>
      <c r="AH302" s="36" t="n">
        <v>67.233</v>
      </c>
      <c r="AI302" s="36" t="n">
        <v>61.338</v>
      </c>
      <c r="AJ302" s="36" t="n">
        <v>78.925</v>
      </c>
      <c r="AK302" s="36" t="n">
        <v>74.799</v>
      </c>
      <c r="AL302" s="36" t="n">
        <v>501.282</v>
      </c>
      <c r="AM302" s="36" t="n">
        <v>501.282</v>
      </c>
      <c r="AN302" s="36" t="n">
        <v>498.195</v>
      </c>
      <c r="AO302" s="36" t="n">
        <v>493.824</v>
      </c>
      <c r="AP302" s="36" t="n">
        <v>491.623</v>
      </c>
      <c r="AQ302" s="36" t="n">
        <v>486.8</v>
      </c>
      <c r="AR302" s="36" t="n">
        <v>486.8</v>
      </c>
      <c r="AS302" s="36" t="n">
        <v>483.3</v>
      </c>
      <c r="AT302" s="36" t="n">
        <v>481</v>
      </c>
      <c r="AU302" s="36" t="n">
        <v>504.3</v>
      </c>
      <c r="AV302" s="36" t="n">
        <v>508</v>
      </c>
      <c r="AW302" s="36" t="n">
        <v>508</v>
      </c>
      <c r="AX302" s="36" t="n">
        <v>504.4</v>
      </c>
      <c r="AY302" s="36" t="n">
        <v>725</v>
      </c>
      <c r="AZ302" s="36" t="n">
        <v>787.2</v>
      </c>
      <c r="BA302" s="36" t="n">
        <v>1065</v>
      </c>
      <c r="BB302" s="36" t="n">
        <v>1065</v>
      </c>
      <c r="BC302" s="36" t="n">
        <v>1050.7</v>
      </c>
      <c r="BD302" s="36" t="n">
        <v>1043.6</v>
      </c>
      <c r="BE302" s="36" t="n">
        <v>855.7</v>
      </c>
      <c r="BF302" s="36" t="n">
        <v>847.8</v>
      </c>
      <c r="BG302" s="36" t="n">
        <v>847.8</v>
      </c>
      <c r="BH302" s="36" t="n">
        <v>840.8</v>
      </c>
      <c r="BI302" s="36" t="n">
        <v>833.8</v>
      </c>
      <c r="BJ302" s="36" t="n">
        <v>826.8</v>
      </c>
      <c r="BK302" s="36" t="n">
        <v>697.7</v>
      </c>
      <c r="BL302" s="36" t="n">
        <v>697.7</v>
      </c>
      <c r="BM302" s="36" t="n">
        <v>702</v>
      </c>
      <c r="BN302" s="36" t="n">
        <v>713</v>
      </c>
      <c r="BO302" s="36" t="n">
        <v>705</v>
      </c>
      <c r="BP302" s="36" t="n">
        <v>730</v>
      </c>
      <c r="BQ302" s="36" t="n">
        <v>730</v>
      </c>
      <c r="BR302" s="36" t="n">
        <v>721</v>
      </c>
      <c r="BS302" s="36" t="n">
        <v>713</v>
      </c>
      <c r="BT302" s="36" t="n">
        <v>462</v>
      </c>
      <c r="BU302" s="36" t="n">
        <v>459</v>
      </c>
      <c r="BV302" s="36" t="n">
        <v>459</v>
      </c>
      <c r="BW302" s="36" t="n">
        <v>505</v>
      </c>
      <c r="BX302" s="36" t="n">
        <v>565</v>
      </c>
      <c r="BY302" s="6"/>
      <c r="BZ302" s="6"/>
      <c r="CA302" s="37" t="n">
        <f aca="false">BX302+$CA$354-(BY72+BZ72+BY365+BZ365)</f>
        <v>6319.5</v>
      </c>
      <c r="CB302" s="37" t="n">
        <f aca="false">CA302+CB91*CB102-CB72-CB365-N(CB105)</f>
        <v>5929.5</v>
      </c>
      <c r="CC302" s="37" t="n">
        <f aca="false">CB302+CC91*CC102-CC72-CC365-N(CC105)</f>
        <v>5587.83333333333</v>
      </c>
      <c r="CD302" s="37" t="n">
        <f aca="false">CC302+CD91*CD102-CD72-CD365-N(CD105)</f>
        <v>5267</v>
      </c>
      <c r="CE302" s="37" t="n">
        <f aca="false">CD302+CE91*CE102-CE72-CE365-N(CE105)</f>
        <v>4941.16666666667</v>
      </c>
      <c r="CF302" s="20" t="s">
        <v>497</v>
      </c>
    </row>
    <row r="303" customFormat="false" ht="15" hidden="false" customHeight="true" outlineLevel="0" collapsed="false">
      <c r="B303" s="26" t="s">
        <v>498</v>
      </c>
      <c r="AN303" s="36" t="n">
        <v>498.233</v>
      </c>
      <c r="AO303" s="36" t="n">
        <v>487.36</v>
      </c>
      <c r="AP303" s="36" t="n">
        <v>484.853</v>
      </c>
      <c r="AQ303" s="36" t="n">
        <v>481.9</v>
      </c>
      <c r="AR303" s="36" t="n">
        <v>481.9</v>
      </c>
      <c r="AS303" s="36" t="n">
        <v>477.9</v>
      </c>
      <c r="AT303" s="36" t="n">
        <v>468</v>
      </c>
      <c r="AU303" s="36" t="n">
        <v>469.2</v>
      </c>
      <c r="AV303" s="36" t="n">
        <v>453</v>
      </c>
      <c r="AW303" s="36" t="n">
        <v>453</v>
      </c>
      <c r="AX303" s="36" t="n">
        <v>440.9</v>
      </c>
      <c r="AY303" s="36" t="n">
        <v>434.3</v>
      </c>
      <c r="AZ303" s="36" t="n">
        <v>417.8</v>
      </c>
      <c r="BA303" s="36" t="n">
        <v>426.7</v>
      </c>
      <c r="BB303" s="36" t="n">
        <v>426.7</v>
      </c>
      <c r="BC303" s="36" t="n">
        <v>410.7</v>
      </c>
      <c r="BD303" s="36" t="n">
        <v>402.3</v>
      </c>
      <c r="BE303" s="36" t="n">
        <v>397.3</v>
      </c>
      <c r="BF303" s="36" t="n">
        <v>383.5</v>
      </c>
      <c r="BG303" s="36" t="n">
        <v>383.5</v>
      </c>
      <c r="BH303" s="36" t="n">
        <v>382.9</v>
      </c>
      <c r="BI303" s="36" t="n">
        <v>384.4</v>
      </c>
      <c r="BJ303" s="36" t="n">
        <v>374.9</v>
      </c>
      <c r="BK303" s="36" t="n">
        <v>371.6</v>
      </c>
      <c r="BL303" s="36" t="n">
        <v>371.6</v>
      </c>
      <c r="BM303" s="36" t="n">
        <v>382</v>
      </c>
      <c r="BN303" s="36" t="n">
        <v>378</v>
      </c>
      <c r="BO303" s="36" t="n">
        <v>376</v>
      </c>
      <c r="BP303" s="36" t="n">
        <v>376</v>
      </c>
      <c r="BQ303" s="36" t="n">
        <v>376</v>
      </c>
      <c r="BR303" s="36" t="n">
        <v>379</v>
      </c>
      <c r="BS303" s="36" t="n">
        <v>379</v>
      </c>
      <c r="BT303" s="36" t="n">
        <v>367</v>
      </c>
      <c r="BU303" s="36" t="n">
        <v>367</v>
      </c>
      <c r="BV303" s="36" t="n">
        <v>367</v>
      </c>
      <c r="BW303" s="36" t="n">
        <v>381</v>
      </c>
      <c r="BX303" s="36" t="n">
        <v>381</v>
      </c>
      <c r="BY303" s="6"/>
      <c r="BZ303" s="6"/>
      <c r="CA303" s="37" t="n">
        <f aca="false">BX303</f>
        <v>381</v>
      </c>
      <c r="CB303" s="37" t="n">
        <f aca="false">CA303</f>
        <v>381</v>
      </c>
      <c r="CC303" s="37" t="n">
        <f aca="false">CB303</f>
        <v>381</v>
      </c>
      <c r="CD303" s="37" t="n">
        <f aca="false">CC303</f>
        <v>381</v>
      </c>
      <c r="CE303" s="37" t="n">
        <f aca="false">CD303</f>
        <v>381</v>
      </c>
      <c r="CF303" s="6"/>
    </row>
    <row r="304" customFormat="false" ht="15" hidden="false" customHeight="true" outlineLevel="0" collapsed="false">
      <c r="B304" s="26" t="s">
        <v>499</v>
      </c>
      <c r="C304" s="36" t="n">
        <v>37.09</v>
      </c>
      <c r="D304" s="36" t="n">
        <v>40.149</v>
      </c>
      <c r="E304" s="36" t="n">
        <v>40.755</v>
      </c>
      <c r="F304" s="36" t="n">
        <v>52.825</v>
      </c>
      <c r="G304" s="36" t="n">
        <v>46.627</v>
      </c>
      <c r="H304" s="36" t="n">
        <v>44.877</v>
      </c>
      <c r="I304" s="36" t="n">
        <v>40.647</v>
      </c>
      <c r="J304" s="36" t="n">
        <v>41.057</v>
      </c>
      <c r="K304" s="36" t="n">
        <v>42.277</v>
      </c>
      <c r="L304" s="36" t="n">
        <v>43.149</v>
      </c>
      <c r="M304" s="36" t="n">
        <v>40.007</v>
      </c>
      <c r="N304" s="36" t="n">
        <v>40.007</v>
      </c>
      <c r="O304" s="36" t="n">
        <v>39.143</v>
      </c>
      <c r="P304" s="36" t="n">
        <v>40.451</v>
      </c>
      <c r="Q304" s="36" t="n">
        <v>607.301</v>
      </c>
      <c r="R304" s="36" t="n">
        <v>608.289</v>
      </c>
      <c r="S304" s="36" t="n">
        <v>608.289</v>
      </c>
      <c r="T304" s="36" t="n">
        <v>605.227</v>
      </c>
      <c r="U304" s="36" t="n">
        <v>551.758</v>
      </c>
      <c r="V304" s="36" t="n">
        <v>591.743</v>
      </c>
      <c r="W304" s="36" t="n">
        <v>589.502</v>
      </c>
      <c r="X304" s="36" t="n">
        <v>589.502</v>
      </c>
      <c r="Y304" s="36" t="n">
        <v>586.429</v>
      </c>
      <c r="Z304" s="36" t="n">
        <v>588.061</v>
      </c>
      <c r="AA304" s="36" t="n">
        <v>570.531</v>
      </c>
      <c r="AB304" s="36" t="n">
        <v>562.678</v>
      </c>
      <c r="AC304" s="36" t="n">
        <v>562.678</v>
      </c>
      <c r="AD304" s="36" t="n">
        <v>576.188</v>
      </c>
      <c r="AE304" s="36" t="n">
        <v>540.717</v>
      </c>
      <c r="AF304" s="36" t="n">
        <v>543.419</v>
      </c>
      <c r="AG304" s="36" t="n">
        <v>541.015</v>
      </c>
      <c r="AH304" s="36" t="n">
        <v>541.015</v>
      </c>
      <c r="AI304" s="36" t="n">
        <v>541.998</v>
      </c>
      <c r="AJ304" s="36" t="n">
        <v>545.743</v>
      </c>
      <c r="AK304" s="36" t="n">
        <v>555.735</v>
      </c>
      <c r="AL304" s="36" t="n">
        <v>127.974</v>
      </c>
      <c r="AM304" s="36" t="n">
        <v>127.974</v>
      </c>
      <c r="AN304" s="36" t="n">
        <v>137.703</v>
      </c>
      <c r="AO304" s="36" t="n">
        <v>122.35</v>
      </c>
      <c r="AP304" s="36" t="n">
        <v>139.509</v>
      </c>
      <c r="AQ304" s="36" t="n">
        <v>133.4</v>
      </c>
      <c r="AR304" s="36" t="n">
        <v>133.4</v>
      </c>
      <c r="AS304" s="36" t="n">
        <v>126.7</v>
      </c>
      <c r="AT304" s="36" t="n">
        <v>132.5</v>
      </c>
      <c r="AU304" s="36" t="n">
        <v>214.1</v>
      </c>
      <c r="AV304" s="36" t="n">
        <v>295.2</v>
      </c>
      <c r="AW304" s="36" t="n">
        <v>295.2</v>
      </c>
      <c r="AX304" s="36" t="n">
        <v>288.9</v>
      </c>
      <c r="AY304" s="36" t="n">
        <v>298.9</v>
      </c>
      <c r="AZ304" s="36" t="n">
        <v>359.4</v>
      </c>
      <c r="BA304" s="36" t="n">
        <v>1043.3</v>
      </c>
      <c r="BB304" s="36" t="n">
        <v>1043.3</v>
      </c>
      <c r="BC304" s="36" t="n">
        <v>1191.7</v>
      </c>
      <c r="BD304" s="36" t="n">
        <v>771.8</v>
      </c>
      <c r="BE304" s="36" t="n">
        <v>835.2</v>
      </c>
      <c r="BF304" s="36" t="n">
        <v>919.2</v>
      </c>
      <c r="BG304" s="36" t="n">
        <v>919.2</v>
      </c>
      <c r="BH304" s="36" t="n">
        <v>925.5</v>
      </c>
      <c r="BI304" s="36" t="n">
        <v>873.4</v>
      </c>
      <c r="BJ304" s="36" t="n">
        <v>896.5</v>
      </c>
      <c r="BK304" s="36" t="n">
        <v>561.3</v>
      </c>
      <c r="BL304" s="36" t="n">
        <v>561.3</v>
      </c>
      <c r="BM304" s="36" t="n">
        <v>559</v>
      </c>
      <c r="BN304" s="36" t="n">
        <v>561</v>
      </c>
      <c r="BO304" s="36" t="n">
        <v>587</v>
      </c>
      <c r="BP304" s="36" t="n">
        <v>646</v>
      </c>
      <c r="BQ304" s="36" t="n">
        <v>646</v>
      </c>
      <c r="BR304" s="36" t="n">
        <v>653</v>
      </c>
      <c r="BS304" s="36" t="n">
        <v>681</v>
      </c>
      <c r="BT304" s="36" t="n">
        <v>730</v>
      </c>
      <c r="BU304" s="36" t="n">
        <v>788</v>
      </c>
      <c r="BV304" s="36" t="n">
        <v>788</v>
      </c>
      <c r="BW304" s="36" t="n">
        <v>785</v>
      </c>
      <c r="BX304" s="36" t="n">
        <v>853</v>
      </c>
      <c r="BY304" s="6"/>
      <c r="BZ304" s="6"/>
      <c r="CA304" s="37" t="n">
        <f aca="false">BX304+$CA$355</f>
        <v>919</v>
      </c>
      <c r="CB304" s="37" t="n">
        <f aca="false">CA304</f>
        <v>919</v>
      </c>
      <c r="CC304" s="37" t="n">
        <f aca="false">CB304</f>
        <v>919</v>
      </c>
      <c r="CD304" s="37" t="n">
        <f aca="false">CC304</f>
        <v>919</v>
      </c>
      <c r="CE304" s="37" t="n">
        <f aca="false">CD304</f>
        <v>919</v>
      </c>
      <c r="CF304" s="6"/>
    </row>
    <row r="305" customFormat="false" ht="15" hidden="false" customHeight="true" outlineLevel="0" collapsed="false">
      <c r="B305" s="59" t="s">
        <v>500</v>
      </c>
      <c r="C305" s="60" t="n">
        <f aca="false">IF(ISNUMBER(C294),C299+SUM(C300:C304),"")</f>
        <v>2506.421</v>
      </c>
      <c r="D305" s="60" t="n">
        <f aca="false">IF(ISNUMBER(D294),D299+SUM(D300:D304),"")</f>
        <v>2683.805</v>
      </c>
      <c r="E305" s="60" t="n">
        <f aca="false">IF(ISNUMBER(E294),E299+SUM(E300:E304),"")</f>
        <v>3032.502</v>
      </c>
      <c r="F305" s="60" t="n">
        <f aca="false">IF(ISNUMBER(F294),F299+SUM(F300:F304),"")</f>
        <v>3239.283</v>
      </c>
      <c r="G305" s="60" t="n">
        <f aca="false">IF(ISNUMBER(G294),G299+SUM(G300:G304),"")</f>
        <v>3074.743</v>
      </c>
      <c r="H305" s="60" t="n">
        <f aca="false">IF(ISNUMBER(H294),H299+SUM(H300:H304),"")</f>
        <v>3147.822</v>
      </c>
      <c r="I305" s="60" t="n">
        <f aca="false">IF(ISNUMBER(I294),I299+SUM(I300:I304),"")</f>
        <v>3160.926</v>
      </c>
      <c r="J305" s="60" t="n">
        <f aca="false">IF(ISNUMBER(J294),J299+SUM(J300:J304),"")</f>
        <v>3154.775</v>
      </c>
      <c r="K305" s="60" t="n">
        <f aca="false">IF(ISNUMBER(K294),K299+SUM(K300:K304),"")</f>
        <v>3231.119</v>
      </c>
      <c r="L305" s="60" t="n">
        <f aca="false">IF(ISNUMBER(L294),L299+SUM(L300:L304),"")</f>
        <v>3337.105</v>
      </c>
      <c r="M305" s="60" t="n">
        <f aca="false">IF(ISNUMBER(M294),M299+SUM(M300:M304),"")</f>
        <v>3259.826</v>
      </c>
      <c r="N305" s="60" t="n">
        <f aca="false">IF(ISNUMBER(N294),N299+SUM(N300:N304),"")</f>
        <v>3259.826</v>
      </c>
      <c r="O305" s="60" t="n">
        <f aca="false">IF(ISNUMBER(O294),O299+SUM(O300:O304),"")</f>
        <v>3255.257</v>
      </c>
      <c r="P305" s="60" t="n">
        <f aca="false">IF(ISNUMBER(P294),P299+SUM(P300:P304),"")</f>
        <v>3356.043</v>
      </c>
      <c r="Q305" s="60" t="n">
        <f aca="false">IF(ISNUMBER(Q294),Q299+SUM(Q300:Q304),"")</f>
        <v>7338.858</v>
      </c>
      <c r="R305" s="60" t="n">
        <f aca="false">IF(ISNUMBER(R294),R299+SUM(R300:R304),"")</f>
        <v>7464.392</v>
      </c>
      <c r="S305" s="60" t="n">
        <f aca="false">IF(ISNUMBER(S294),S299+SUM(S300:S304),"")</f>
        <v>7464.392</v>
      </c>
      <c r="T305" s="60" t="n">
        <f aca="false">IF(ISNUMBER(T294),T299+SUM(T300:T304),"")</f>
        <v>7417.646</v>
      </c>
      <c r="U305" s="60" t="n">
        <f aca="false">IF(ISNUMBER(U294),U299+SUM(U300:U304),"")</f>
        <v>7499.654</v>
      </c>
      <c r="V305" s="60" t="n">
        <f aca="false">IF(ISNUMBER(V294),V299+SUM(V300:V304),"")</f>
        <v>7438.448</v>
      </c>
      <c r="W305" s="60" t="n">
        <f aca="false">IF(ISNUMBER(W294),W299+SUM(W300:W304),"")</f>
        <v>6961.732</v>
      </c>
      <c r="X305" s="60" t="n">
        <f aca="false">IF(ISNUMBER(X294),X299+SUM(X300:X304),"")</f>
        <v>6961.732</v>
      </c>
      <c r="Y305" s="60" t="n">
        <f aca="false">IF(ISNUMBER(Y294),Y299+SUM(Y300:Y304),"")</f>
        <v>7058.287</v>
      </c>
      <c r="Z305" s="60" t="n">
        <f aca="false">IF(ISNUMBER(Z294),Z299+SUM(Z300:Z304),"")</f>
        <v>7233.305</v>
      </c>
      <c r="AA305" s="60" t="n">
        <f aca="false">IF(ISNUMBER(AA294),AA299+SUM(AA300:AA304),"")</f>
        <v>7373.201</v>
      </c>
      <c r="AB305" s="60" t="n">
        <f aca="false">IF(ISNUMBER(AB294),AB299+SUM(AB300:AB304),"")</f>
        <v>7300.905</v>
      </c>
      <c r="AC305" s="60" t="n">
        <f aca="false">IF(ISNUMBER(AC294),AC299+SUM(AC300:AC304),"")</f>
        <v>7300.905</v>
      </c>
      <c r="AD305" s="60" t="n">
        <f aca="false">IF(ISNUMBER(AD294),AD299+SUM(AD300:AD304),"")</f>
        <v>7393.791</v>
      </c>
      <c r="AE305" s="60" t="n">
        <f aca="false">IF(ISNUMBER(AE294),AE299+SUM(AE300:AE304),"")</f>
        <v>7515.86</v>
      </c>
      <c r="AF305" s="60" t="n">
        <f aca="false">IF(ISNUMBER(AF294),AF299+SUM(AF300:AF304),"")</f>
        <v>7566.785</v>
      </c>
      <c r="AG305" s="60" t="n">
        <f aca="false">IF(ISNUMBER(AG294),AG299+SUM(AG300:AG304),"")</f>
        <v>8992.511</v>
      </c>
      <c r="AH305" s="60" t="n">
        <f aca="false">IF(ISNUMBER(AH294),AH299+SUM(AH300:AH304),"")</f>
        <v>8992.511</v>
      </c>
      <c r="AI305" s="60" t="n">
        <f aca="false">IF(ISNUMBER(AI294),AI299+SUM(AI300:AI304),"")</f>
        <v>8948.05</v>
      </c>
      <c r="AJ305" s="60" t="n">
        <f aca="false">IF(ISNUMBER(AJ294),AJ299+SUM(AJ300:AJ304),"")</f>
        <v>9596.752</v>
      </c>
      <c r="AK305" s="60" t="n">
        <f aca="false">IF(ISNUMBER(AK294),AK299+SUM(AK300:AK304),"")</f>
        <v>9588.171</v>
      </c>
      <c r="AL305" s="60" t="n">
        <f aca="false">IF(ISNUMBER(AL294),AL299+SUM(AL300:AL304),"")</f>
        <v>9551.419</v>
      </c>
      <c r="AM305" s="60" t="n">
        <f aca="false">IF(ISNUMBER(AM294),AM299+SUM(AM300:AM304),"")</f>
        <v>9551.419</v>
      </c>
      <c r="AN305" s="60" t="n">
        <f aca="false">IF(ISNUMBER(AN294),AN299+SUM(AN300:AN304),"")</f>
        <v>10048.407</v>
      </c>
      <c r="AO305" s="60" t="n">
        <f aca="false">IF(ISNUMBER(AO294),AO299+SUM(AO300:AO304),"")</f>
        <v>10163.657</v>
      </c>
      <c r="AP305" s="60" t="n">
        <f aca="false">IF(ISNUMBER(AP294),AP299+SUM(AP300:AP304),"")</f>
        <v>10223.485</v>
      </c>
      <c r="AQ305" s="60" t="n">
        <f aca="false">IF(ISNUMBER(AQ294),AQ299+SUM(AQ300:AQ304),"")</f>
        <v>10131.6</v>
      </c>
      <c r="AR305" s="60" t="n">
        <f aca="false">IF(ISNUMBER(AR294),AR299+SUM(AR300:AR304),"")</f>
        <v>10131.6</v>
      </c>
      <c r="AS305" s="60" t="n">
        <f aca="false">IF(ISNUMBER(AS294),AS299+SUM(AS300:AS304),"")</f>
        <v>10503.4</v>
      </c>
      <c r="AT305" s="60" t="n">
        <f aca="false">IF(ISNUMBER(AT294),AT299+SUM(AT300:AT304),"")</f>
        <v>10226.6</v>
      </c>
      <c r="AU305" s="60" t="n">
        <f aca="false">IF(ISNUMBER(AU294),AU299+SUM(AU300:AU304),"")</f>
        <v>10435.4</v>
      </c>
      <c r="AV305" s="60" t="n">
        <f aca="false">IF(ISNUMBER(AV294),AV299+SUM(AV300:AV304),"")</f>
        <v>10580.8</v>
      </c>
      <c r="AW305" s="60" t="n">
        <f aca="false">IF(ISNUMBER(AW294),AW299+SUM(AW300:AW304),"")</f>
        <v>10580.8</v>
      </c>
      <c r="AX305" s="60" t="n">
        <f aca="false">IF(ISNUMBER(AX294),AX299+SUM(AX300:AX304),"")</f>
        <v>10659.3</v>
      </c>
      <c r="AY305" s="60" t="n">
        <f aca="false">IF(ISNUMBER(AY294),AY299+SUM(AY300:AY304),"")</f>
        <v>11223.1</v>
      </c>
      <c r="AZ305" s="60" t="n">
        <f aca="false">IF(ISNUMBER(AZ294),AZ299+SUM(AZ300:AZ304),"")</f>
        <v>13786.2</v>
      </c>
      <c r="BA305" s="60" t="n">
        <f aca="false">IF(ISNUMBER(BA294),BA299+SUM(BA300:BA304),"")</f>
        <v>14393</v>
      </c>
      <c r="BB305" s="60" t="n">
        <f aca="false">IF(ISNUMBER(BB294),BB299+SUM(BB300:BB304),"")</f>
        <v>14393</v>
      </c>
      <c r="BC305" s="60" t="n">
        <f aca="false">IF(ISNUMBER(BC294),BC299+SUM(BC300:BC304),"")</f>
        <v>14241.5</v>
      </c>
      <c r="BD305" s="60" t="n">
        <f aca="false">IF(ISNUMBER(BD294),BD299+SUM(BD300:BD304),"")</f>
        <v>14542.8</v>
      </c>
      <c r="BE305" s="60" t="n">
        <f aca="false">IF(ISNUMBER(BE294),BE299+SUM(BE300:BE304),"")</f>
        <v>14729.7</v>
      </c>
      <c r="BF305" s="60" t="n">
        <f aca="false">IF(ISNUMBER(BF294),BF299+SUM(BF300:BF304),"")</f>
        <v>14993.6</v>
      </c>
      <c r="BG305" s="60" t="n">
        <f aca="false">IF(ISNUMBER(BG294),BG299+SUM(BG300:BG304),"")</f>
        <v>14993.6</v>
      </c>
      <c r="BH305" s="60" t="n">
        <f aca="false">IF(ISNUMBER(BH294),BH299+SUM(BH300:BH304),"")</f>
        <v>14890.9</v>
      </c>
      <c r="BI305" s="60" t="n">
        <f aca="false">IF(ISNUMBER(BI294),BI299+SUM(BI300:BI304),"")</f>
        <v>15246.2</v>
      </c>
      <c r="BJ305" s="60" t="n">
        <f aca="false">IF(ISNUMBER(BJ294),BJ299+SUM(BJ300:BJ304),"")</f>
        <v>14917.8</v>
      </c>
      <c r="BK305" s="60" t="n">
        <f aca="false">IF(ISNUMBER(BK294),BK299+SUM(BK300:BK304),"")</f>
        <v>15124.9</v>
      </c>
      <c r="BL305" s="60" t="n">
        <f aca="false">IF(ISNUMBER(BL294),BL299+SUM(BL300:BL304),"")</f>
        <v>15124.9</v>
      </c>
      <c r="BM305" s="60" t="n">
        <f aca="false">IF(ISNUMBER(BM294),BM299+SUM(BM300:BM304),"")</f>
        <v>16240</v>
      </c>
      <c r="BN305" s="60" t="n">
        <f aca="false">IF(ISNUMBER(BN294),BN299+SUM(BN300:BN304),"")</f>
        <v>16333</v>
      </c>
      <c r="BO305" s="60" t="n">
        <f aca="false">IF(ISNUMBER(BO294),BO299+SUM(BO300:BO304),"")</f>
        <v>16469</v>
      </c>
      <c r="BP305" s="60" t="n">
        <f aca="false">IF(ISNUMBER(BP294),BP299+SUM(BP300:BP304),"")</f>
        <v>18170</v>
      </c>
      <c r="BQ305" s="60" t="n">
        <f aca="false">IF(ISNUMBER(BQ294),BQ299+SUM(BQ300:BQ304),"")</f>
        <v>18170</v>
      </c>
      <c r="BR305" s="60" t="n">
        <f aca="false">IF(ISNUMBER(BR294),BR299+SUM(BR300:BR304),"")</f>
        <v>17724</v>
      </c>
      <c r="BS305" s="60" t="n">
        <f aca="false">IF(ISNUMBER(BS294),BS299+SUM(BS300:BS304),"")</f>
        <v>18070</v>
      </c>
      <c r="BT305" s="60" t="n">
        <f aca="false">IF(ISNUMBER(BT294),BT299+SUM(BT300:BT304),"")</f>
        <v>18653</v>
      </c>
      <c r="BU305" s="60" t="n">
        <f aca="false">IF(ISNUMBER(BU294),BU299+SUM(BU300:BU304),"")</f>
        <v>18711</v>
      </c>
      <c r="BV305" s="60" t="n">
        <f aca="false">IF(ISNUMBER(BV294),BV299+SUM(BV300:BV304),"")</f>
        <v>18711</v>
      </c>
      <c r="BW305" s="60" t="n">
        <f aca="false">IF(ISNUMBER(BW294),BW299+SUM(BW300:BW304),"")</f>
        <v>20497</v>
      </c>
      <c r="BX305" s="60" t="n">
        <f aca="false">IF(ISNUMBER(BX294),BX299+SUM(BX300:BX304),"")</f>
        <v>21305</v>
      </c>
      <c r="BY305" s="70"/>
      <c r="BZ305" s="70"/>
      <c r="CA305" s="60" t="n">
        <f aca="false">IF(ISNUMBER(CA294),CA299+SUM(CA300:CA304),"")</f>
        <v>37179.7399093491</v>
      </c>
      <c r="CB305" s="60" t="n">
        <f aca="false">IF(ISNUMBER(CB294),CB299+SUM(CB300:CB304),"")</f>
        <v>36807.4878608277</v>
      </c>
      <c r="CC305" s="60" t="n">
        <f aca="false">IF(ISNUMBER(CC294),CC299+SUM(CC300:CC304),"")</f>
        <v>37941.1462337869</v>
      </c>
      <c r="CD305" s="60" t="n">
        <f aca="false">IF(ISNUMBER(CD294),CD299+SUM(CD300:CD304),"")</f>
        <v>38174.2545667825</v>
      </c>
      <c r="CE305" s="60" t="n">
        <f aca="false">IF(ISNUMBER(CE294),CE299+SUM(CE300:CE304),"")</f>
        <v>37921.325274274</v>
      </c>
      <c r="CF305" s="6"/>
    </row>
    <row r="306" customFormat="false" ht="15" hidden="false" customHeight="true" outlineLevel="0" collapsed="false">
      <c r="B306" s="26" t="s">
        <v>501</v>
      </c>
      <c r="CF306" s="6"/>
    </row>
    <row r="307" customFormat="false" ht="15" hidden="false" customHeight="true" outlineLevel="0" collapsed="false">
      <c r="B307" s="26" t="s">
        <v>502</v>
      </c>
      <c r="C307" s="36" t="n">
        <v>85.237</v>
      </c>
      <c r="D307" s="36" t="n">
        <v>86.868</v>
      </c>
      <c r="E307" s="36" t="n">
        <v>62.921</v>
      </c>
      <c r="F307" s="36" t="n">
        <v>52.107</v>
      </c>
      <c r="G307" s="36" t="n">
        <v>60.333</v>
      </c>
      <c r="H307" s="36" t="n">
        <v>92.21</v>
      </c>
      <c r="I307" s="36" t="n">
        <v>83.537</v>
      </c>
      <c r="J307" s="36" t="n">
        <v>77.08</v>
      </c>
      <c r="K307" s="36" t="n">
        <v>99.96</v>
      </c>
      <c r="L307" s="36" t="n">
        <v>111.266</v>
      </c>
      <c r="M307" s="36" t="n">
        <v>103.6</v>
      </c>
      <c r="N307" s="36" t="n">
        <v>103.6</v>
      </c>
      <c r="O307" s="36" t="n">
        <v>98.775</v>
      </c>
      <c r="P307" s="36" t="n">
        <v>139.442</v>
      </c>
      <c r="Q307" s="36" t="n">
        <v>230.206</v>
      </c>
      <c r="R307" s="36" t="n">
        <v>202.476</v>
      </c>
      <c r="S307" s="36" t="n">
        <v>202.476</v>
      </c>
      <c r="T307" s="36" t="n">
        <v>184.066</v>
      </c>
      <c r="U307" s="36" t="n">
        <v>201.235</v>
      </c>
      <c r="V307" s="36" t="n">
        <v>226.837</v>
      </c>
      <c r="W307" s="36" t="n">
        <v>164.718</v>
      </c>
      <c r="X307" s="36" t="n">
        <v>164.718</v>
      </c>
      <c r="Y307" s="36" t="n">
        <v>174.398</v>
      </c>
      <c r="Z307" s="36" t="n">
        <v>197.733</v>
      </c>
      <c r="AA307" s="36" t="n">
        <v>192.738</v>
      </c>
      <c r="AB307" s="36" t="n">
        <v>178.598</v>
      </c>
      <c r="AC307" s="36" t="n">
        <v>178.598</v>
      </c>
      <c r="AD307" s="36" t="n">
        <v>188.399</v>
      </c>
      <c r="AE307" s="36" t="n">
        <v>187.227</v>
      </c>
      <c r="AF307" s="36" t="n">
        <v>163.597</v>
      </c>
      <c r="AG307" s="36" t="n">
        <v>186.638</v>
      </c>
      <c r="AH307" s="36" t="n">
        <v>186.638</v>
      </c>
      <c r="AI307" s="36" t="n">
        <v>162.328</v>
      </c>
      <c r="AJ307" s="36" t="n">
        <v>188.761</v>
      </c>
      <c r="AK307" s="36" t="n">
        <v>191.381</v>
      </c>
      <c r="AL307" s="36" t="n">
        <v>210.808</v>
      </c>
      <c r="AM307" s="36" t="n">
        <v>210.808</v>
      </c>
      <c r="AN307" s="36" t="n">
        <v>184.844</v>
      </c>
      <c r="AO307" s="36" t="n">
        <v>199.181</v>
      </c>
      <c r="AP307" s="36" t="n">
        <v>238.559</v>
      </c>
      <c r="AQ307" s="36" t="n">
        <v>229.6</v>
      </c>
      <c r="AR307" s="36" t="n">
        <v>229.6</v>
      </c>
      <c r="AS307" s="36" t="n">
        <v>202</v>
      </c>
      <c r="AT307" s="36" t="n">
        <v>197.2</v>
      </c>
      <c r="AU307" s="36" t="n">
        <v>210.7</v>
      </c>
      <c r="AV307" s="36" t="n">
        <v>207.8</v>
      </c>
      <c r="AW307" s="36" t="n">
        <v>207.8</v>
      </c>
      <c r="AX307" s="36" t="n">
        <v>200</v>
      </c>
      <c r="AY307" s="36" t="n">
        <v>243.6</v>
      </c>
      <c r="AZ307" s="36" t="n">
        <v>249.3</v>
      </c>
      <c r="BA307" s="36" t="n">
        <v>356.2</v>
      </c>
      <c r="BB307" s="36" t="n">
        <v>356.2</v>
      </c>
      <c r="BC307" s="36" t="n">
        <v>383.8</v>
      </c>
      <c r="BD307" s="36" t="n">
        <v>359.7</v>
      </c>
      <c r="BE307" s="36" t="n">
        <v>333.5</v>
      </c>
      <c r="BF307" s="36" t="n">
        <v>385</v>
      </c>
      <c r="BG307" s="36" t="n">
        <v>385</v>
      </c>
      <c r="BH307" s="36" t="n">
        <v>302.6</v>
      </c>
      <c r="BI307" s="36" t="n">
        <v>346.9</v>
      </c>
      <c r="BJ307" s="36" t="n">
        <v>342.2</v>
      </c>
      <c r="BK307" s="36" t="n">
        <v>343.3</v>
      </c>
      <c r="BL307" s="36" t="n">
        <v>343.3</v>
      </c>
      <c r="BM307" s="36" t="n">
        <v>266</v>
      </c>
      <c r="BN307" s="36" t="n">
        <v>304</v>
      </c>
      <c r="BO307" s="36" t="n">
        <v>315</v>
      </c>
      <c r="BP307" s="36" t="n">
        <v>375</v>
      </c>
      <c r="BQ307" s="36" t="n">
        <v>375</v>
      </c>
      <c r="BR307" s="36" t="n">
        <v>298</v>
      </c>
      <c r="BS307" s="36" t="n">
        <v>336</v>
      </c>
      <c r="BT307" s="36" t="n">
        <v>349</v>
      </c>
      <c r="BU307" s="36" t="n">
        <v>389</v>
      </c>
      <c r="BV307" s="36" t="n">
        <v>389</v>
      </c>
      <c r="BW307" s="36" t="n">
        <v>329</v>
      </c>
      <c r="BX307" s="36" t="n">
        <v>349</v>
      </c>
      <c r="BY307" s="6"/>
      <c r="BZ307" s="6"/>
      <c r="CA307" s="37" t="n">
        <f aca="false">CA335*CA338/365</f>
        <v>605.227019107094</v>
      </c>
      <c r="CB307" s="37" t="n">
        <f aca="false">CB335*CB338/365</f>
        <v>620.958843743262</v>
      </c>
      <c r="CC307" s="37" t="n">
        <f aca="false">CC335*CC338/365</f>
        <v>656.608251407122</v>
      </c>
      <c r="CD307" s="37" t="n">
        <f aca="false">CD335*CD338/365</f>
        <v>703.39267597494</v>
      </c>
      <c r="CE307" s="37" t="n">
        <f aca="false">CE335*CE338/365</f>
        <v>760.051632565111</v>
      </c>
      <c r="CF307" s="6"/>
    </row>
    <row r="308" customFormat="false" ht="15" hidden="false" customHeight="true" outlineLevel="0" collapsed="false">
      <c r="B308" s="26" t="s">
        <v>503</v>
      </c>
      <c r="C308" s="36" t="n">
        <v>25.01</v>
      </c>
      <c r="D308" s="36" t="n">
        <v>21.262</v>
      </c>
      <c r="E308" s="36" t="n">
        <v>19.232</v>
      </c>
      <c r="F308" s="36" t="n">
        <v>15.222</v>
      </c>
      <c r="G308" s="36" t="n">
        <v>17.506</v>
      </c>
      <c r="H308" s="36" t="n">
        <v>16.732</v>
      </c>
      <c r="I308" s="36" t="n">
        <v>19.461</v>
      </c>
      <c r="J308" s="36" t="n">
        <v>12.387</v>
      </c>
      <c r="K308" s="36" t="n">
        <v>16.259</v>
      </c>
      <c r="L308" s="36" t="n">
        <v>20.655</v>
      </c>
      <c r="M308" s="36" t="n">
        <v>18.114</v>
      </c>
      <c r="N308" s="36" t="n">
        <v>18.114</v>
      </c>
      <c r="O308" s="36" t="n">
        <v>12.904</v>
      </c>
      <c r="P308" s="36" t="n">
        <v>17.393</v>
      </c>
      <c r="Q308" s="36" t="n">
        <v>54.062</v>
      </c>
      <c r="R308" s="36" t="n">
        <v>36.576</v>
      </c>
      <c r="S308" s="36" t="n">
        <v>36.576</v>
      </c>
      <c r="T308" s="36" t="n">
        <v>23.59</v>
      </c>
      <c r="U308" s="36" t="n">
        <v>27.59</v>
      </c>
      <c r="V308" s="36" t="n">
        <v>30.529</v>
      </c>
      <c r="W308" s="36" t="n">
        <v>30.939</v>
      </c>
      <c r="X308" s="36" t="n">
        <v>30.939</v>
      </c>
      <c r="Y308" s="36" t="n">
        <v>17.052</v>
      </c>
      <c r="Z308" s="36" t="n">
        <v>24.864</v>
      </c>
      <c r="AA308" s="36" t="n">
        <v>33.463</v>
      </c>
      <c r="AB308" s="36" t="n">
        <v>47.428</v>
      </c>
      <c r="AC308" s="36" t="n">
        <v>47.428</v>
      </c>
      <c r="AD308" s="36" t="n">
        <v>22.76</v>
      </c>
      <c r="AE308" s="36" t="n">
        <v>36.202</v>
      </c>
      <c r="AF308" s="36" t="n">
        <v>37.885</v>
      </c>
      <c r="AG308" s="36" t="n">
        <v>44.255</v>
      </c>
      <c r="AH308" s="36" t="n">
        <v>44.255</v>
      </c>
      <c r="AI308" s="36" t="n">
        <v>23.329</v>
      </c>
      <c r="AJ308" s="36" t="n">
        <v>38.87</v>
      </c>
      <c r="AK308" s="36" t="n">
        <v>45.234</v>
      </c>
      <c r="AL308" s="36" t="n">
        <v>51.434</v>
      </c>
      <c r="AM308" s="36" t="n">
        <v>51.434</v>
      </c>
      <c r="AN308" s="36" t="n">
        <v>27.313</v>
      </c>
      <c r="AO308" s="36" t="n">
        <v>37.128</v>
      </c>
      <c r="AP308" s="36" t="n">
        <v>56.837</v>
      </c>
      <c r="AQ308" s="36" t="n">
        <v>56.7</v>
      </c>
      <c r="AR308" s="36" t="n">
        <v>56.7</v>
      </c>
      <c r="AS308" s="36" t="n">
        <v>31.6</v>
      </c>
      <c r="AT308" s="36" t="n">
        <v>43.4</v>
      </c>
      <c r="AU308" s="36" t="n">
        <v>52.2</v>
      </c>
      <c r="AV308" s="36" t="n">
        <v>82.6</v>
      </c>
      <c r="AW308" s="36" t="n">
        <v>82.6</v>
      </c>
      <c r="AX308" s="36" t="n">
        <v>35.9</v>
      </c>
      <c r="AY308" s="36" t="n">
        <v>54</v>
      </c>
      <c r="AZ308" s="36" t="n">
        <v>65.5</v>
      </c>
      <c r="BA308" s="36" t="n">
        <v>86.6</v>
      </c>
      <c r="BB308" s="36" t="n">
        <v>86.6</v>
      </c>
      <c r="BC308" s="36" t="n">
        <v>43.1</v>
      </c>
      <c r="BD308" s="36" t="n">
        <v>57.7</v>
      </c>
      <c r="BE308" s="36" t="n">
        <v>77.1</v>
      </c>
      <c r="BF308" s="36" t="n">
        <v>71.6</v>
      </c>
      <c r="BG308" s="36" t="n">
        <v>71.6</v>
      </c>
      <c r="BH308" s="36" t="n">
        <v>37.9</v>
      </c>
      <c r="BI308" s="36" t="n">
        <v>63.6</v>
      </c>
      <c r="BJ308" s="36" t="n">
        <v>84.5</v>
      </c>
      <c r="BK308" s="36" t="n">
        <v>102.3</v>
      </c>
      <c r="BL308" s="36" t="n">
        <v>102.3</v>
      </c>
      <c r="BM308" s="36" t="n">
        <v>37</v>
      </c>
      <c r="BN308" s="36" t="n">
        <v>58</v>
      </c>
      <c r="BO308" s="36" t="n">
        <v>67</v>
      </c>
      <c r="BP308" s="36" t="n">
        <v>73</v>
      </c>
      <c r="BQ308" s="36" t="n">
        <v>73</v>
      </c>
      <c r="BR308" s="36" t="n">
        <v>41</v>
      </c>
      <c r="BS308" s="36" t="n">
        <v>62</v>
      </c>
      <c r="BT308" s="36" t="n">
        <v>88</v>
      </c>
      <c r="BU308" s="36" t="n">
        <v>100</v>
      </c>
      <c r="BV308" s="36" t="n">
        <v>100</v>
      </c>
      <c r="BW308" s="36" t="n">
        <v>53</v>
      </c>
      <c r="BX308" s="36" t="n">
        <v>71</v>
      </c>
      <c r="BY308" s="6"/>
      <c r="BZ308" s="6"/>
      <c r="CA308" s="37" t="n">
        <f aca="false">CA334*CA339</f>
        <v>146.19578061414</v>
      </c>
      <c r="CB308" s="37" t="n">
        <f aca="false">CB334*CB339</f>
        <v>157.069104750505</v>
      </c>
      <c r="CC308" s="37" t="n">
        <f aca="false">CC334*CC339</f>
        <v>169.639841161191</v>
      </c>
      <c r="CD308" s="37" t="n">
        <f aca="false">CD334*CD339</f>
        <v>183.898057861481</v>
      </c>
      <c r="CE308" s="37" t="n">
        <f aca="false">CE334*CE339</f>
        <v>199.772349511856</v>
      </c>
      <c r="CF308" s="6"/>
    </row>
    <row r="309" customFormat="false" ht="15" hidden="false" customHeight="true" outlineLevel="0" collapsed="false">
      <c r="B309" s="26" t="s">
        <v>504</v>
      </c>
      <c r="C309" s="36" t="n">
        <v>125.956</v>
      </c>
      <c r="D309" s="36" t="n">
        <v>276.136</v>
      </c>
      <c r="E309" s="36" t="n">
        <v>202.53</v>
      </c>
      <c r="F309" s="36" t="n">
        <v>226.119</v>
      </c>
      <c r="G309" s="36" t="n">
        <v>248.714</v>
      </c>
      <c r="H309" s="36" t="n">
        <v>7.182</v>
      </c>
      <c r="I309" s="36" t="n">
        <v>5.676</v>
      </c>
      <c r="J309" s="36" t="n">
        <v>5.677</v>
      </c>
      <c r="K309" s="36" t="n">
        <v>6.169</v>
      </c>
      <c r="L309" s="36" t="n">
        <v>6.169</v>
      </c>
      <c r="M309" s="36" t="n">
        <v>12.403</v>
      </c>
      <c r="N309" s="36" t="n">
        <v>12.403</v>
      </c>
      <c r="O309" s="36" t="n">
        <v>12.403</v>
      </c>
      <c r="P309" s="36" t="n">
        <v>12.404</v>
      </c>
      <c r="Q309" s="36" t="n">
        <v>14.331</v>
      </c>
      <c r="R309" s="36" t="n">
        <v>14.336</v>
      </c>
      <c r="S309" s="36" t="n">
        <v>14.336</v>
      </c>
      <c r="T309" s="36" t="n">
        <v>14.406</v>
      </c>
      <c r="U309" s="36" t="n">
        <v>15.966</v>
      </c>
      <c r="V309" s="36" t="n">
        <v>147.536</v>
      </c>
      <c r="W309" s="36" t="n">
        <v>19.246</v>
      </c>
      <c r="X309" s="36" t="n">
        <v>19.246</v>
      </c>
      <c r="Y309" s="36" t="n">
        <v>177.43</v>
      </c>
      <c r="Z309" s="36" t="n">
        <v>238.155</v>
      </c>
      <c r="AA309" s="36" t="n">
        <v>228.025</v>
      </c>
      <c r="AB309" s="36" t="n">
        <v>180.036</v>
      </c>
      <c r="AC309" s="36" t="n">
        <v>180.036</v>
      </c>
      <c r="AD309" s="36" t="n">
        <v>290.048</v>
      </c>
      <c r="AE309" s="36" t="n">
        <v>140.037</v>
      </c>
      <c r="AF309" s="36" t="n">
        <v>80.038</v>
      </c>
      <c r="AG309" s="36" t="n">
        <v>299.909</v>
      </c>
      <c r="AH309" s="36" t="n">
        <v>299.909</v>
      </c>
      <c r="AI309" s="36" t="n">
        <v>300.006</v>
      </c>
      <c r="AJ309" s="36" t="n">
        <v>320.046</v>
      </c>
      <c r="AK309" s="36" t="n">
        <v>380.041</v>
      </c>
      <c r="AL309" s="36" t="n">
        <v>390.042</v>
      </c>
      <c r="AM309" s="36" t="n">
        <v>390.042</v>
      </c>
      <c r="AN309" s="36" t="n">
        <v>360.056</v>
      </c>
      <c r="AO309" s="36" t="n">
        <v>385.043</v>
      </c>
      <c r="AP309" s="36" t="n">
        <v>190.044</v>
      </c>
      <c r="AQ309" s="36" t="n">
        <v>340</v>
      </c>
      <c r="AR309" s="36" t="n">
        <v>340</v>
      </c>
      <c r="AS309" s="36" t="n">
        <v>639.9</v>
      </c>
      <c r="AT309" s="36" t="n">
        <v>130</v>
      </c>
      <c r="AU309" s="36" t="n">
        <v>0</v>
      </c>
      <c r="AV309" s="36" t="n">
        <v>0</v>
      </c>
      <c r="AW309" s="36" t="n">
        <v>0</v>
      </c>
      <c r="AY309" s="36" t="n">
        <v>240.1</v>
      </c>
      <c r="AZ309" s="36" t="n">
        <v>20.1</v>
      </c>
      <c r="BJ309" s="36" t="n">
        <v>399.5</v>
      </c>
      <c r="BK309" s="36" t="n">
        <v>399.6</v>
      </c>
      <c r="BL309" s="36" t="n">
        <v>399.6</v>
      </c>
      <c r="BM309" s="36" t="n">
        <v>400</v>
      </c>
      <c r="BN309" s="36" t="n">
        <v>400</v>
      </c>
      <c r="BO309" s="36" t="n">
        <v>95</v>
      </c>
      <c r="BP309" s="36" t="n">
        <v>125</v>
      </c>
      <c r="BQ309" s="36" t="n">
        <v>125</v>
      </c>
      <c r="BR309" s="36" t="n">
        <v>125</v>
      </c>
      <c r="BS309" s="36" t="n">
        <v>125</v>
      </c>
      <c r="BT309" s="36" t="n">
        <v>230</v>
      </c>
      <c r="BU309" s="36" t="n">
        <v>30</v>
      </c>
      <c r="BV309" s="36" t="n">
        <v>30</v>
      </c>
      <c r="BW309" s="36" t="n">
        <v>0</v>
      </c>
      <c r="BX309" s="36" t="n">
        <v>860</v>
      </c>
      <c r="BY309" s="6"/>
      <c r="BZ309" s="6"/>
      <c r="CA309" s="37" t="n">
        <f aca="false">MIN(CA371,-CB372)</f>
        <v>794</v>
      </c>
      <c r="CB309" s="37" t="n">
        <f aca="false">MIN(CB371,-CC372)</f>
        <v>-0</v>
      </c>
      <c r="CC309" s="37" t="n">
        <f aca="false">MIN(CC371,-CD372)</f>
        <v>750</v>
      </c>
      <c r="CD309" s="37" t="n">
        <f aca="false">MIN(CD371,-CE372)</f>
        <v>474</v>
      </c>
      <c r="CE309" s="37" t="n">
        <f aca="false">0</f>
        <v>0</v>
      </c>
      <c r="CF309" s="20" t="s">
        <v>505</v>
      </c>
    </row>
    <row r="310" customFormat="false" ht="15" hidden="false" customHeight="true" outlineLevel="0" collapsed="false">
      <c r="B310" s="26" t="s">
        <v>506</v>
      </c>
      <c r="BJ310" s="36" t="n">
        <v>51.5</v>
      </c>
      <c r="BK310" s="36" t="n">
        <v>53.3</v>
      </c>
      <c r="BL310" s="36" t="n">
        <v>53.3</v>
      </c>
      <c r="BM310" s="36" t="n">
        <v>52</v>
      </c>
      <c r="BN310" s="36" t="n">
        <v>53</v>
      </c>
      <c r="BO310" s="36" t="n">
        <v>54</v>
      </c>
      <c r="BP310" s="36" t="n">
        <v>56</v>
      </c>
      <c r="BQ310" s="36" t="n">
        <v>56</v>
      </c>
      <c r="BR310" s="36" t="n">
        <v>59</v>
      </c>
      <c r="BS310" s="36" t="n">
        <v>62</v>
      </c>
      <c r="BT310" s="36" t="n">
        <v>61</v>
      </c>
      <c r="BU310" s="36" t="n">
        <v>62</v>
      </c>
      <c r="BV310" s="36" t="n">
        <v>62</v>
      </c>
      <c r="BW310" s="36" t="n">
        <v>65</v>
      </c>
      <c r="BX310" s="36" t="n">
        <v>70</v>
      </c>
      <c r="BY310" s="6"/>
      <c r="BZ310" s="6"/>
      <c r="CA310" s="37" t="n">
        <f aca="false">BX310+$CA$359</f>
        <v>88</v>
      </c>
      <c r="CB310" s="37" t="n">
        <f aca="false">CA310</f>
        <v>88</v>
      </c>
      <c r="CC310" s="37" t="n">
        <f aca="false">CB310</f>
        <v>88</v>
      </c>
      <c r="CD310" s="37" t="n">
        <f aca="false">CC310</f>
        <v>88</v>
      </c>
      <c r="CE310" s="37" t="n">
        <f aca="false">CD310</f>
        <v>88</v>
      </c>
      <c r="CF310" s="6"/>
    </row>
    <row r="311" customFormat="false" ht="15" hidden="false" customHeight="true" outlineLevel="0" collapsed="false">
      <c r="B311" s="26" t="s">
        <v>507</v>
      </c>
      <c r="C311" s="36" t="n">
        <v>78.869</v>
      </c>
      <c r="D311" s="36" t="n">
        <v>122.35</v>
      </c>
      <c r="E311" s="36" t="n">
        <v>63.956</v>
      </c>
      <c r="F311" s="36" t="n">
        <v>80.105</v>
      </c>
      <c r="G311" s="36" t="n">
        <v>58.94</v>
      </c>
      <c r="H311" s="36" t="n">
        <v>57.588</v>
      </c>
      <c r="I311" s="36" t="n">
        <v>64.661</v>
      </c>
      <c r="J311" s="36" t="n">
        <v>73.546</v>
      </c>
      <c r="K311" s="36" t="n">
        <v>70.145</v>
      </c>
      <c r="L311" s="36" t="n">
        <v>88.342</v>
      </c>
      <c r="M311" s="36" t="n">
        <v>76.432</v>
      </c>
      <c r="N311" s="36" t="n">
        <v>76.432</v>
      </c>
      <c r="O311" s="36" t="n">
        <v>69.676</v>
      </c>
      <c r="P311" s="36" t="n">
        <v>75.486</v>
      </c>
      <c r="Q311" s="36" t="n">
        <v>138.399</v>
      </c>
      <c r="R311" s="36" t="n">
        <v>143.26</v>
      </c>
      <c r="S311" s="36" t="n">
        <v>143.26</v>
      </c>
      <c r="T311" s="36" t="n">
        <v>121.493</v>
      </c>
      <c r="U311" s="36" t="n">
        <v>119.043</v>
      </c>
      <c r="V311" s="36" t="n">
        <v>170.49</v>
      </c>
      <c r="W311" s="36" t="n">
        <v>152.288</v>
      </c>
      <c r="X311" s="36" t="n">
        <v>152.288</v>
      </c>
      <c r="Y311" s="36" t="n">
        <v>123.251</v>
      </c>
      <c r="Z311" s="36" t="n">
        <v>140.852</v>
      </c>
      <c r="AA311" s="36" t="n">
        <v>150.683</v>
      </c>
      <c r="AB311" s="36" t="n">
        <v>140.526</v>
      </c>
      <c r="AC311" s="36" t="n">
        <v>140.526</v>
      </c>
      <c r="AD311" s="36" t="n">
        <v>130.351</v>
      </c>
      <c r="AE311" s="36" t="n">
        <v>170.859</v>
      </c>
      <c r="AF311" s="36" t="n">
        <v>186.983</v>
      </c>
      <c r="AG311" s="36" t="n">
        <v>163.414</v>
      </c>
      <c r="AH311" s="36" t="n">
        <v>163.414</v>
      </c>
      <c r="AI311" s="36" t="n">
        <v>165.316</v>
      </c>
      <c r="AJ311" s="36" t="n">
        <v>161.456</v>
      </c>
      <c r="AK311" s="36" t="n">
        <v>156.03</v>
      </c>
      <c r="AL311" s="36" t="n">
        <v>134.466</v>
      </c>
      <c r="AM311" s="36" t="n">
        <v>134.466</v>
      </c>
      <c r="AN311" s="36" t="n">
        <v>185.424</v>
      </c>
      <c r="AO311" s="36" t="n">
        <v>200.864</v>
      </c>
      <c r="AP311" s="36" t="n">
        <v>203.542</v>
      </c>
      <c r="AQ311" s="36" t="n">
        <v>212.2</v>
      </c>
      <c r="AR311" s="36" t="n">
        <v>212.2</v>
      </c>
      <c r="AS311" s="36" t="n">
        <v>202.1</v>
      </c>
      <c r="AT311" s="36" t="n">
        <v>224.7</v>
      </c>
      <c r="AU311" s="36" t="n">
        <v>243.3</v>
      </c>
      <c r="AV311" s="36" t="n">
        <v>208.9</v>
      </c>
      <c r="AW311" s="36" t="n">
        <v>208.9</v>
      </c>
      <c r="AX311" s="36" t="n">
        <v>212.9</v>
      </c>
      <c r="AY311" s="36" t="n">
        <v>220.3</v>
      </c>
      <c r="AZ311" s="36" t="n">
        <v>266.3</v>
      </c>
      <c r="BA311" s="36" t="n">
        <v>309.8</v>
      </c>
      <c r="BB311" s="36" t="n">
        <v>309.8</v>
      </c>
      <c r="BC311" s="36" t="n">
        <v>286</v>
      </c>
      <c r="BD311" s="36" t="n">
        <v>344</v>
      </c>
      <c r="BE311" s="36" t="n">
        <v>1009.1</v>
      </c>
      <c r="BF311" s="36" t="n">
        <v>989</v>
      </c>
      <c r="BG311" s="36" t="n">
        <v>989</v>
      </c>
      <c r="BH311" s="36" t="n">
        <v>987.5</v>
      </c>
      <c r="BI311" s="36" t="n">
        <v>1031.9</v>
      </c>
      <c r="BJ311" s="36" t="n">
        <v>263.4</v>
      </c>
      <c r="BK311" s="36" t="n">
        <v>271.7</v>
      </c>
      <c r="BL311" s="36" t="n">
        <v>271.7</v>
      </c>
      <c r="BM311" s="36" t="n">
        <v>674</v>
      </c>
      <c r="BN311" s="36" t="n">
        <v>381</v>
      </c>
      <c r="BO311" s="36" t="n">
        <v>462</v>
      </c>
      <c r="BP311" s="36" t="n">
        <v>387</v>
      </c>
      <c r="BQ311" s="36" t="n">
        <v>387</v>
      </c>
      <c r="BR311" s="36" t="n">
        <v>412</v>
      </c>
      <c r="BS311" s="36" t="n">
        <v>434</v>
      </c>
      <c r="BT311" s="36" t="n">
        <v>426</v>
      </c>
      <c r="BU311" s="36" t="n">
        <v>314</v>
      </c>
      <c r="BV311" s="36" t="n">
        <v>314</v>
      </c>
      <c r="BW311" s="36" t="n">
        <v>587</v>
      </c>
      <c r="BX311" s="36" t="n">
        <v>389</v>
      </c>
      <c r="BY311" s="6"/>
      <c r="BZ311" s="6"/>
      <c r="CA311" s="37" t="n">
        <f aca="false">BX311+$CA$358</f>
        <v>461</v>
      </c>
      <c r="CB311" s="37" t="n">
        <f aca="false">CA311</f>
        <v>461</v>
      </c>
      <c r="CC311" s="37" t="n">
        <f aca="false">CB311</f>
        <v>461</v>
      </c>
      <c r="CD311" s="37" t="n">
        <f aca="false">CC311</f>
        <v>461</v>
      </c>
      <c r="CE311" s="37" t="n">
        <f aca="false">CD311</f>
        <v>461</v>
      </c>
      <c r="CF311" s="6"/>
    </row>
    <row r="312" customFormat="false" ht="15" hidden="false" customHeight="true" outlineLevel="0" collapsed="false">
      <c r="B312" s="17" t="s">
        <v>508</v>
      </c>
      <c r="C312" s="46" t="n">
        <f aca="false">IF(ISNUMBER(C307),SUM(C307:C311),"")</f>
        <v>315.072</v>
      </c>
      <c r="D312" s="46" t="n">
        <f aca="false">IF(ISNUMBER(D307),SUM(D307:D311),"")</f>
        <v>506.616</v>
      </c>
      <c r="E312" s="46" t="n">
        <f aca="false">IF(ISNUMBER(E307),SUM(E307:E311),"")</f>
        <v>348.639</v>
      </c>
      <c r="F312" s="46" t="n">
        <f aca="false">IF(ISNUMBER(F307),SUM(F307:F311),"")</f>
        <v>373.553</v>
      </c>
      <c r="G312" s="46" t="n">
        <f aca="false">IF(ISNUMBER(G307),SUM(G307:G311),"")</f>
        <v>385.493</v>
      </c>
      <c r="H312" s="46" t="n">
        <f aca="false">IF(ISNUMBER(H307),SUM(H307:H311),"")</f>
        <v>173.712</v>
      </c>
      <c r="I312" s="46" t="n">
        <f aca="false">IF(ISNUMBER(I307),SUM(I307:I311),"")</f>
        <v>173.335</v>
      </c>
      <c r="J312" s="46" t="n">
        <f aca="false">IF(ISNUMBER(J307),SUM(J307:J311),"")</f>
        <v>168.69</v>
      </c>
      <c r="K312" s="46" t="n">
        <f aca="false">IF(ISNUMBER(K307),SUM(K307:K311),"")</f>
        <v>192.533</v>
      </c>
      <c r="L312" s="46" t="n">
        <f aca="false">IF(ISNUMBER(L307),SUM(L307:L311),"")</f>
        <v>226.432</v>
      </c>
      <c r="M312" s="46" t="n">
        <f aca="false">IF(ISNUMBER(M307),SUM(M307:M311),"")</f>
        <v>210.549</v>
      </c>
      <c r="N312" s="46" t="n">
        <f aca="false">IF(ISNUMBER(N307),SUM(N307:N311),"")</f>
        <v>210.549</v>
      </c>
      <c r="O312" s="46" t="n">
        <f aca="false">IF(ISNUMBER(O307),SUM(O307:O311),"")</f>
        <v>193.758</v>
      </c>
      <c r="P312" s="46" t="n">
        <f aca="false">IF(ISNUMBER(P307),SUM(P307:P311),"")</f>
        <v>244.725</v>
      </c>
      <c r="Q312" s="46" t="n">
        <f aca="false">IF(ISNUMBER(Q307),SUM(Q307:Q311),"")</f>
        <v>436.998</v>
      </c>
      <c r="R312" s="46" t="n">
        <f aca="false">IF(ISNUMBER(R307),SUM(R307:R311),"")</f>
        <v>396.648</v>
      </c>
      <c r="S312" s="46" t="n">
        <f aca="false">IF(ISNUMBER(S307),SUM(S307:S311),"")</f>
        <v>396.648</v>
      </c>
      <c r="T312" s="46" t="n">
        <f aca="false">IF(ISNUMBER(T307),SUM(T307:T311),"")</f>
        <v>343.555</v>
      </c>
      <c r="U312" s="46" t="n">
        <f aca="false">IF(ISNUMBER(U307),SUM(U307:U311),"")</f>
        <v>363.834</v>
      </c>
      <c r="V312" s="46" t="n">
        <f aca="false">IF(ISNUMBER(V307),SUM(V307:V311),"")</f>
        <v>575.392</v>
      </c>
      <c r="W312" s="46" t="n">
        <f aca="false">IF(ISNUMBER(W307),SUM(W307:W311),"")</f>
        <v>367.191</v>
      </c>
      <c r="X312" s="46" t="n">
        <f aca="false">IF(ISNUMBER(X307),SUM(X307:X311),"")</f>
        <v>367.191</v>
      </c>
      <c r="Y312" s="46" t="n">
        <f aca="false">IF(ISNUMBER(Y307),SUM(Y307:Y311),"")</f>
        <v>492.131</v>
      </c>
      <c r="Z312" s="46" t="n">
        <f aca="false">IF(ISNUMBER(Z307),SUM(Z307:Z311),"")</f>
        <v>601.604</v>
      </c>
      <c r="AA312" s="46" t="n">
        <f aca="false">IF(ISNUMBER(AA307),SUM(AA307:AA311),"")</f>
        <v>604.909</v>
      </c>
      <c r="AB312" s="46" t="n">
        <f aca="false">IF(ISNUMBER(AB307),SUM(AB307:AB311),"")</f>
        <v>546.588</v>
      </c>
      <c r="AC312" s="46" t="n">
        <f aca="false">IF(ISNUMBER(AC307),SUM(AC307:AC311),"")</f>
        <v>546.588</v>
      </c>
      <c r="AD312" s="46" t="n">
        <f aca="false">IF(ISNUMBER(AD307),SUM(AD307:AD311),"")</f>
        <v>631.558</v>
      </c>
      <c r="AE312" s="46" t="n">
        <f aca="false">IF(ISNUMBER(AE307),SUM(AE307:AE311),"")</f>
        <v>534.325</v>
      </c>
      <c r="AF312" s="46" t="n">
        <f aca="false">IF(ISNUMBER(AF307),SUM(AF307:AF311),"")</f>
        <v>468.503</v>
      </c>
      <c r="AG312" s="46" t="n">
        <f aca="false">IF(ISNUMBER(AG307),SUM(AG307:AG311),"")</f>
        <v>694.216</v>
      </c>
      <c r="AH312" s="46" t="n">
        <f aca="false">IF(ISNUMBER(AH307),SUM(AH307:AH311),"")</f>
        <v>694.216</v>
      </c>
      <c r="AI312" s="46" t="n">
        <f aca="false">IF(ISNUMBER(AI307),SUM(AI307:AI311),"")</f>
        <v>650.979</v>
      </c>
      <c r="AJ312" s="46" t="n">
        <f aca="false">IF(ISNUMBER(AJ307),SUM(AJ307:AJ311),"")</f>
        <v>709.133</v>
      </c>
      <c r="AK312" s="46" t="n">
        <f aca="false">IF(ISNUMBER(AK307),SUM(AK307:AK311),"")</f>
        <v>772.686</v>
      </c>
      <c r="AL312" s="46" t="n">
        <f aca="false">IF(ISNUMBER(AL307),SUM(AL307:AL311),"")</f>
        <v>786.75</v>
      </c>
      <c r="AM312" s="46" t="n">
        <f aca="false">IF(ISNUMBER(AM307),SUM(AM307:AM311),"")</f>
        <v>786.75</v>
      </c>
      <c r="AN312" s="46" t="n">
        <f aca="false">IF(ISNUMBER(AN307),SUM(AN307:AN311),"")</f>
        <v>757.637</v>
      </c>
      <c r="AO312" s="46" t="n">
        <f aca="false">IF(ISNUMBER(AO307),SUM(AO307:AO311),"")</f>
        <v>822.216</v>
      </c>
      <c r="AP312" s="46" t="n">
        <f aca="false">IF(ISNUMBER(AP307),SUM(AP307:AP311),"")</f>
        <v>688.982</v>
      </c>
      <c r="AQ312" s="46" t="n">
        <f aca="false">IF(ISNUMBER(AQ307),SUM(AQ307:AQ311),"")</f>
        <v>838.5</v>
      </c>
      <c r="AR312" s="46" t="n">
        <f aca="false">IF(ISNUMBER(AR307),SUM(AR307:AR311),"")</f>
        <v>838.5</v>
      </c>
      <c r="AS312" s="46" t="n">
        <f aca="false">IF(ISNUMBER(AS307),SUM(AS307:AS311),"")</f>
        <v>1075.6</v>
      </c>
      <c r="AT312" s="46" t="n">
        <f aca="false">IF(ISNUMBER(AT307),SUM(AT307:AT311),"")</f>
        <v>595.3</v>
      </c>
      <c r="AU312" s="46" t="n">
        <f aca="false">IF(ISNUMBER(AU307),SUM(AU307:AU311),"")</f>
        <v>506.2</v>
      </c>
      <c r="AV312" s="46" t="n">
        <f aca="false">IF(ISNUMBER(AV307),SUM(AV307:AV311),"")</f>
        <v>499.3</v>
      </c>
      <c r="AW312" s="46" t="n">
        <f aca="false">IF(ISNUMBER(AW307),SUM(AW307:AW311),"")</f>
        <v>499.3</v>
      </c>
      <c r="AX312" s="46" t="n">
        <f aca="false">IF(ISNUMBER(AX307),SUM(AX307:AX311),"")</f>
        <v>448.8</v>
      </c>
      <c r="AY312" s="46" t="n">
        <f aca="false">IF(ISNUMBER(AY307),SUM(AY307:AY311),"")</f>
        <v>758</v>
      </c>
      <c r="AZ312" s="46" t="n">
        <f aca="false">IF(ISNUMBER(AZ307),SUM(AZ307:AZ311),"")</f>
        <v>601.2</v>
      </c>
      <c r="BA312" s="46" t="n">
        <f aca="false">IF(ISNUMBER(BA307),SUM(BA307:BA311),"")</f>
        <v>752.6</v>
      </c>
      <c r="BB312" s="46" t="n">
        <f aca="false">IF(ISNUMBER(BB307),SUM(BB307:BB311),"")</f>
        <v>752.6</v>
      </c>
      <c r="BC312" s="46" t="n">
        <f aca="false">IF(ISNUMBER(BC307),SUM(BC307:BC311),"")</f>
        <v>712.9</v>
      </c>
      <c r="BD312" s="46" t="n">
        <f aca="false">IF(ISNUMBER(BD307),SUM(BD307:BD311),"")</f>
        <v>761.4</v>
      </c>
      <c r="BE312" s="46" t="n">
        <f aca="false">IF(ISNUMBER(BE307),SUM(BE307:BE311),"")</f>
        <v>1419.7</v>
      </c>
      <c r="BF312" s="46" t="n">
        <f aca="false">IF(ISNUMBER(BF307),SUM(BF307:BF311),"")</f>
        <v>1445.6</v>
      </c>
      <c r="BG312" s="46" t="n">
        <f aca="false">IF(ISNUMBER(BG307),SUM(BG307:BG311),"")</f>
        <v>1445.6</v>
      </c>
      <c r="BH312" s="46" t="n">
        <f aca="false">IF(ISNUMBER(BH307),SUM(BH307:BH311),"")</f>
        <v>1328</v>
      </c>
      <c r="BI312" s="46" t="n">
        <f aca="false">IF(ISNUMBER(BI307),SUM(BI307:BI311),"")</f>
        <v>1442.4</v>
      </c>
      <c r="BJ312" s="46" t="n">
        <f aca="false">IF(ISNUMBER(BJ307),SUM(BJ307:BJ311),"")</f>
        <v>1141.1</v>
      </c>
      <c r="BK312" s="46" t="n">
        <f aca="false">IF(ISNUMBER(BK307),SUM(BK307:BK311),"")</f>
        <v>1170.2</v>
      </c>
      <c r="BL312" s="46" t="n">
        <f aca="false">IF(ISNUMBER(BL307),SUM(BL307:BL311),"")</f>
        <v>1170.2</v>
      </c>
      <c r="BM312" s="46" t="n">
        <f aca="false">IF(ISNUMBER(BM307),SUM(BM307:BM311),"")</f>
        <v>1429</v>
      </c>
      <c r="BN312" s="46" t="n">
        <f aca="false">IF(ISNUMBER(BN307),SUM(BN307:BN311),"")</f>
        <v>1196</v>
      </c>
      <c r="BO312" s="46" t="n">
        <f aca="false">IF(ISNUMBER(BO307),SUM(BO307:BO311),"")</f>
        <v>993</v>
      </c>
      <c r="BP312" s="46" t="n">
        <f aca="false">IF(ISNUMBER(BP307),SUM(BP307:BP311),"")</f>
        <v>1016</v>
      </c>
      <c r="BQ312" s="46" t="n">
        <f aca="false">IF(ISNUMBER(BQ307),SUM(BQ307:BQ311),"")</f>
        <v>1016</v>
      </c>
      <c r="BR312" s="46" t="n">
        <f aca="false">IF(ISNUMBER(BR307),SUM(BR307:BR311),"")</f>
        <v>935</v>
      </c>
      <c r="BS312" s="46" t="n">
        <f aca="false">IF(ISNUMBER(BS307),SUM(BS307:BS311),"")</f>
        <v>1019</v>
      </c>
      <c r="BT312" s="46" t="n">
        <f aca="false">IF(ISNUMBER(BT307),SUM(BT307:BT311),"")</f>
        <v>1154</v>
      </c>
      <c r="BU312" s="46" t="n">
        <f aca="false">IF(ISNUMBER(BU307),SUM(BU307:BU311),"")</f>
        <v>895</v>
      </c>
      <c r="BV312" s="46" t="n">
        <f aca="false">IF(ISNUMBER(BV307),SUM(BV307:BV311),"")</f>
        <v>895</v>
      </c>
      <c r="BW312" s="46" t="n">
        <f aca="false">IF(ISNUMBER(BW307),SUM(BW307:BW311),"")</f>
        <v>1034</v>
      </c>
      <c r="BX312" s="46" t="n">
        <f aca="false">IF(ISNUMBER(BX307),SUM(BX307:BX311),"")</f>
        <v>1739</v>
      </c>
      <c r="BY312" s="57"/>
      <c r="BZ312" s="57"/>
      <c r="CA312" s="34" t="n">
        <f aca="false">IF(ISNUMBER(CA307),SUM(CA307:CA311),"")</f>
        <v>2094.42279972123</v>
      </c>
      <c r="CB312" s="34" t="n">
        <f aca="false">IF(ISNUMBER(CB307),SUM(CB307:CB311),"")</f>
        <v>1327.02794849377</v>
      </c>
      <c r="CC312" s="34" t="n">
        <f aca="false">IF(ISNUMBER(CC307),SUM(CC307:CC311),"")</f>
        <v>2125.24809256831</v>
      </c>
      <c r="CD312" s="34" t="n">
        <f aca="false">IF(ISNUMBER(CD307),SUM(CD307:CD311),"")</f>
        <v>1910.29073383642</v>
      </c>
      <c r="CE312" s="34" t="n">
        <f aca="false">IF(ISNUMBER(CE307),SUM(CE307:CE311),"")</f>
        <v>1508.82398207697</v>
      </c>
      <c r="CF312" s="6"/>
    </row>
    <row r="313" customFormat="false" ht="15" hidden="false" customHeight="true" outlineLevel="0" collapsed="false">
      <c r="B313" s="26" t="s">
        <v>509</v>
      </c>
      <c r="C313" s="36" t="n">
        <v>579.308</v>
      </c>
      <c r="D313" s="36" t="n">
        <v>848.186</v>
      </c>
      <c r="E313" s="36" t="n">
        <v>1152.414</v>
      </c>
      <c r="F313" s="36" t="n">
        <v>1023.492</v>
      </c>
      <c r="G313" s="36" t="n">
        <v>782.045</v>
      </c>
      <c r="H313" s="36" t="n">
        <v>1052.902</v>
      </c>
      <c r="I313" s="36" t="n">
        <v>1042.183</v>
      </c>
      <c r="J313" s="36" t="n">
        <v>1072.85</v>
      </c>
      <c r="K313" s="36" t="n">
        <v>1087.15</v>
      </c>
      <c r="L313" s="36" t="n">
        <v>1107.192</v>
      </c>
      <c r="M313" s="36" t="n">
        <v>1018.518</v>
      </c>
      <c r="N313" s="36" t="n">
        <v>1018.518</v>
      </c>
      <c r="O313" s="36" t="n">
        <v>1055.541</v>
      </c>
      <c r="P313" s="36" t="n">
        <v>1072.397</v>
      </c>
      <c r="Q313" s="36" t="n">
        <v>1603.944</v>
      </c>
      <c r="R313" s="36" t="n">
        <v>1571.059</v>
      </c>
      <c r="S313" s="36" t="n">
        <v>1571.059</v>
      </c>
      <c r="T313" s="36" t="n">
        <v>1566.617</v>
      </c>
      <c r="U313" s="36" t="n">
        <v>1642.035</v>
      </c>
      <c r="V313" s="36" t="n">
        <v>1557.616</v>
      </c>
      <c r="W313" s="36" t="n">
        <v>1553.649</v>
      </c>
      <c r="X313" s="36" t="n">
        <v>1553.649</v>
      </c>
      <c r="Y313" s="36" t="n">
        <v>1575.327</v>
      </c>
      <c r="Z313" s="36" t="n">
        <v>1541.062</v>
      </c>
      <c r="AA313" s="36" t="n">
        <v>1536.81</v>
      </c>
      <c r="AB313" s="36" t="n">
        <v>1506.153</v>
      </c>
      <c r="AC313" s="36" t="n">
        <v>1506.153</v>
      </c>
      <c r="AD313" s="36" t="n">
        <v>1556.246</v>
      </c>
      <c r="AE313" s="36" t="n">
        <v>1641.944</v>
      </c>
      <c r="AF313" s="36" t="n">
        <v>1642.502</v>
      </c>
      <c r="AG313" s="36" t="n">
        <v>2727.294</v>
      </c>
      <c r="AH313" s="36" t="n">
        <v>2727.294</v>
      </c>
      <c r="AI313" s="36" t="n">
        <v>2728.102</v>
      </c>
      <c r="AJ313" s="36" t="n">
        <v>2898.876</v>
      </c>
      <c r="AK313" s="36" t="n">
        <v>2829.657</v>
      </c>
      <c r="AL313" s="36" t="n">
        <v>2730.439</v>
      </c>
      <c r="AM313" s="36" t="n">
        <v>2730.439</v>
      </c>
      <c r="AN313" s="36" t="n">
        <v>2801.228</v>
      </c>
      <c r="AO313" s="36" t="n">
        <v>2732.018</v>
      </c>
      <c r="AP313" s="36" t="n">
        <v>2732.815</v>
      </c>
      <c r="AQ313" s="36" t="n">
        <v>2433.6</v>
      </c>
      <c r="AR313" s="36" t="n">
        <v>2433.6</v>
      </c>
      <c r="AS313" s="36" t="n">
        <v>2623.9</v>
      </c>
      <c r="AT313" s="36" t="n">
        <v>2624.5</v>
      </c>
      <c r="AU313" s="36" t="n">
        <v>2625.2</v>
      </c>
      <c r="AV313" s="36" t="n">
        <v>2625.8</v>
      </c>
      <c r="AW313" s="36" t="n">
        <v>2625.8</v>
      </c>
      <c r="AX313" s="36" t="n">
        <v>2626.5</v>
      </c>
      <c r="AY313" s="36" t="n">
        <v>2627.2</v>
      </c>
      <c r="AZ313" s="36" t="n">
        <v>5099.4</v>
      </c>
      <c r="BA313" s="36" t="n">
        <v>5100.8</v>
      </c>
      <c r="BB313" s="36" t="n">
        <v>5100.8</v>
      </c>
      <c r="BC313" s="36" t="n">
        <v>5102.3</v>
      </c>
      <c r="BD313" s="36" t="n">
        <v>5044.3</v>
      </c>
      <c r="BE313" s="36" t="n">
        <v>4339.9</v>
      </c>
      <c r="BF313" s="36" t="n">
        <v>4340.9</v>
      </c>
      <c r="BG313" s="36" t="n">
        <v>4340.9</v>
      </c>
      <c r="BH313" s="36" t="n">
        <v>4342</v>
      </c>
      <c r="BI313" s="36" t="n">
        <v>4343.1</v>
      </c>
      <c r="BJ313" s="36" t="n">
        <v>3944.7</v>
      </c>
      <c r="BK313" s="36" t="n">
        <v>3945.6</v>
      </c>
      <c r="BL313" s="36" t="n">
        <v>3945.6</v>
      </c>
      <c r="BM313" s="36" t="n">
        <v>3947</v>
      </c>
      <c r="BN313" s="36" t="n">
        <v>3947</v>
      </c>
      <c r="BO313" s="36" t="n">
        <v>3948</v>
      </c>
      <c r="BP313" s="36" t="n">
        <v>5288</v>
      </c>
      <c r="BQ313" s="36" t="n">
        <v>5288</v>
      </c>
      <c r="BR313" s="36" t="n">
        <v>5289</v>
      </c>
      <c r="BS313" s="36" t="n">
        <v>5291</v>
      </c>
      <c r="BT313" s="36" t="n">
        <v>5292</v>
      </c>
      <c r="BU313" s="36" t="n">
        <v>5293</v>
      </c>
      <c r="BV313" s="36" t="n">
        <v>5293</v>
      </c>
      <c r="BW313" s="36" t="n">
        <v>5294</v>
      </c>
      <c r="BX313" s="36" t="n">
        <v>5091</v>
      </c>
      <c r="BY313" s="6"/>
      <c r="BZ313" s="6"/>
      <c r="CA313" s="37" t="n">
        <f aca="false">CA371-CA309</f>
        <v>11588.587978462</v>
      </c>
      <c r="CB313" s="37" t="n">
        <f aca="false">CB371-CB309</f>
        <v>11002.6543899285</v>
      </c>
      <c r="CC313" s="37" t="n">
        <f aca="false">CC371-CC309</f>
        <v>10046</v>
      </c>
      <c r="CD313" s="37" t="n">
        <f aca="false">CD371-CD309</f>
        <v>10322</v>
      </c>
      <c r="CE313" s="37" t="n">
        <f aca="false">CE371-CE309</f>
        <v>10967.3516280626</v>
      </c>
      <c r="CF313" s="6"/>
    </row>
    <row r="314" customFormat="false" ht="15" hidden="false" customHeight="true" outlineLevel="0" collapsed="false">
      <c r="B314" s="26" t="s">
        <v>510</v>
      </c>
      <c r="AN314" s="36" t="n">
        <v>446.128</v>
      </c>
      <c r="AO314" s="36" t="n">
        <v>438.932</v>
      </c>
      <c r="AP314" s="36" t="n">
        <v>436.698</v>
      </c>
      <c r="AQ314" s="36" t="n">
        <v>433.9</v>
      </c>
      <c r="AR314" s="36" t="n">
        <v>433.9</v>
      </c>
      <c r="AS314" s="36" t="n">
        <v>429.2</v>
      </c>
      <c r="AT314" s="36" t="n">
        <v>420.7</v>
      </c>
      <c r="AU314" s="36" t="n">
        <v>422.3</v>
      </c>
      <c r="AV314" s="36" t="n">
        <v>410.4</v>
      </c>
      <c r="AW314" s="36" t="n">
        <v>410.4</v>
      </c>
      <c r="AX314" s="36" t="n">
        <v>399.1</v>
      </c>
      <c r="AY314" s="36" t="n">
        <v>391.7</v>
      </c>
      <c r="AZ314" s="36" t="n">
        <v>375.9</v>
      </c>
      <c r="BA314" s="36" t="n">
        <v>379.4</v>
      </c>
      <c r="BB314" s="36" t="n">
        <v>379.4</v>
      </c>
      <c r="BC314" s="36" t="n">
        <v>362.1</v>
      </c>
      <c r="BD314" s="36" t="n">
        <v>356.3</v>
      </c>
      <c r="BE314" s="36" t="n">
        <v>348.4</v>
      </c>
      <c r="BF314" s="36" t="n">
        <v>335.9</v>
      </c>
      <c r="BG314" s="36" t="n">
        <v>335.9</v>
      </c>
      <c r="BH314" s="36" t="n">
        <v>337.3</v>
      </c>
      <c r="BI314" s="36" t="n">
        <v>337</v>
      </c>
      <c r="BJ314" s="36" t="n">
        <v>330</v>
      </c>
      <c r="BK314" s="36" t="n">
        <v>326.7</v>
      </c>
      <c r="BL314" s="36" t="n">
        <v>326.7</v>
      </c>
      <c r="BM314" s="36" t="n">
        <v>344</v>
      </c>
      <c r="BN314" s="36" t="n">
        <v>341</v>
      </c>
      <c r="BO314" s="36" t="n">
        <v>337</v>
      </c>
      <c r="BP314" s="36" t="n">
        <v>335</v>
      </c>
      <c r="BQ314" s="36" t="n">
        <v>335</v>
      </c>
      <c r="BR314" s="36" t="n">
        <v>334</v>
      </c>
      <c r="BS314" s="36" t="n">
        <v>331</v>
      </c>
      <c r="BT314" s="36" t="n">
        <v>320</v>
      </c>
      <c r="BU314" s="36" t="n">
        <v>320</v>
      </c>
      <c r="BV314" s="36" t="n">
        <v>320</v>
      </c>
      <c r="BW314" s="36" t="n">
        <v>329</v>
      </c>
      <c r="BX314" s="36" t="n">
        <v>324</v>
      </c>
      <c r="BY314" s="6"/>
      <c r="BZ314" s="6"/>
      <c r="CA314" s="37" t="n">
        <f aca="false">BX314+$CA$360</f>
        <v>374</v>
      </c>
      <c r="CB314" s="37" t="n">
        <f aca="false">CA314</f>
        <v>374</v>
      </c>
      <c r="CC314" s="37" t="n">
        <f aca="false">CB314</f>
        <v>374</v>
      </c>
      <c r="CD314" s="37" t="n">
        <f aca="false">CC314</f>
        <v>374</v>
      </c>
      <c r="CE314" s="37" t="n">
        <f aca="false">CD314</f>
        <v>374</v>
      </c>
      <c r="CF314" s="6"/>
    </row>
    <row r="315" customFormat="false" ht="15" hidden="false" customHeight="true" outlineLevel="0" collapsed="false">
      <c r="B315" s="26" t="s">
        <v>511</v>
      </c>
      <c r="C315" s="36" t="n">
        <v>106.413</v>
      </c>
      <c r="D315" s="36" t="n">
        <v>103.518</v>
      </c>
      <c r="E315" s="36" t="n">
        <v>207.83</v>
      </c>
      <c r="F315" s="36" t="n">
        <v>160.354</v>
      </c>
      <c r="G315" s="36" t="n">
        <v>127.671</v>
      </c>
      <c r="H315" s="36" t="n">
        <v>158.101</v>
      </c>
      <c r="I315" s="36" t="n">
        <v>183.122</v>
      </c>
      <c r="J315" s="36" t="n">
        <v>184.287</v>
      </c>
      <c r="K315" s="36" t="n">
        <v>184.849</v>
      </c>
      <c r="L315" s="36" t="n">
        <v>171.695</v>
      </c>
      <c r="M315" s="36" t="n">
        <v>78.489</v>
      </c>
      <c r="N315" s="36" t="n">
        <v>78.489</v>
      </c>
      <c r="O315" s="36" t="n">
        <v>80.457</v>
      </c>
      <c r="P315" s="36" t="n">
        <v>82.662</v>
      </c>
      <c r="Q315" s="36" t="n">
        <v>144.077</v>
      </c>
      <c r="R315" s="36" t="n">
        <v>249.333</v>
      </c>
      <c r="S315" s="36" t="n">
        <v>249.333</v>
      </c>
      <c r="T315" s="36" t="n">
        <v>252.923</v>
      </c>
      <c r="U315" s="36" t="n">
        <v>272.461</v>
      </c>
      <c r="V315" s="36" t="n">
        <v>229.042</v>
      </c>
      <c r="W315" s="36" t="n">
        <v>224.538</v>
      </c>
      <c r="X315" s="36" t="n">
        <v>224.538</v>
      </c>
      <c r="Y315" s="36" t="n">
        <v>226.924</v>
      </c>
      <c r="Z315" s="36" t="n">
        <v>236.562</v>
      </c>
      <c r="AA315" s="36" t="n">
        <v>200.152</v>
      </c>
      <c r="AB315" s="36" t="n">
        <v>248.086</v>
      </c>
      <c r="AC315" s="36" t="n">
        <v>248.086</v>
      </c>
      <c r="AD315" s="36" t="n">
        <v>252.568</v>
      </c>
      <c r="AE315" s="36" t="n">
        <v>253.908</v>
      </c>
      <c r="AF315" s="36" t="n">
        <v>230.212</v>
      </c>
      <c r="AG315" s="36" t="n">
        <v>244.043</v>
      </c>
      <c r="AH315" s="36" t="n">
        <v>244.043</v>
      </c>
      <c r="AI315" s="36" t="n">
        <v>248.501</v>
      </c>
      <c r="AJ315" s="36" t="n">
        <v>249.967</v>
      </c>
      <c r="AK315" s="36" t="n">
        <v>108.454</v>
      </c>
      <c r="AL315" s="36" t="n">
        <v>134.469</v>
      </c>
      <c r="AM315" s="36" t="n">
        <v>134.469</v>
      </c>
      <c r="AN315" s="36" t="n">
        <v>138.049</v>
      </c>
      <c r="AO315" s="36" t="n">
        <v>140.066</v>
      </c>
      <c r="AP315" s="36" t="n">
        <v>100.076</v>
      </c>
      <c r="BY315" s="6"/>
      <c r="BZ315" s="6"/>
      <c r="CA315" s="37" t="n">
        <f aca="false">BX315</f>
        <v>0</v>
      </c>
      <c r="CB315" s="37" t="n">
        <f aca="false">CA315</f>
        <v>0</v>
      </c>
      <c r="CC315" s="37" t="n">
        <f aca="false">CB315</f>
        <v>0</v>
      </c>
      <c r="CD315" s="37" t="n">
        <f aca="false">CC315</f>
        <v>0</v>
      </c>
      <c r="CE315" s="37" t="n">
        <f aca="false">CD315</f>
        <v>0</v>
      </c>
      <c r="CF315" s="6"/>
    </row>
    <row r="316" customFormat="false" ht="15" hidden="false" customHeight="true" outlineLevel="0" collapsed="false">
      <c r="B316" s="26" t="s">
        <v>512</v>
      </c>
      <c r="C316" s="36" t="n">
        <v>159.094</v>
      </c>
      <c r="D316" s="36" t="n">
        <v>160.902</v>
      </c>
      <c r="E316" s="36" t="n">
        <v>174.308</v>
      </c>
      <c r="F316" s="36" t="n">
        <v>195.946</v>
      </c>
      <c r="G316" s="36" t="n">
        <v>228.698</v>
      </c>
      <c r="H316" s="36" t="n">
        <v>222.064</v>
      </c>
      <c r="I316" s="36" t="n">
        <v>225.592</v>
      </c>
      <c r="J316" s="36" t="n">
        <v>230.109</v>
      </c>
      <c r="K316" s="36" t="n">
        <v>235.505</v>
      </c>
      <c r="L316" s="36" t="n">
        <v>243.858</v>
      </c>
      <c r="M316" s="36" t="n">
        <v>279.999</v>
      </c>
      <c r="N316" s="36" t="n">
        <v>279.999</v>
      </c>
      <c r="O316" s="36" t="n">
        <v>272.346</v>
      </c>
      <c r="P316" s="36" t="n">
        <v>275.279</v>
      </c>
      <c r="Q316" s="36" t="n">
        <v>633.951</v>
      </c>
      <c r="R316" s="36" t="n">
        <v>734.583</v>
      </c>
      <c r="S316" s="36" t="n">
        <v>734.583</v>
      </c>
      <c r="T316" s="36" t="n">
        <v>753.727</v>
      </c>
      <c r="U316" s="36" t="n">
        <v>756.526</v>
      </c>
      <c r="V316" s="36" t="n">
        <v>665.712</v>
      </c>
      <c r="W316" s="36" t="n">
        <v>583.459</v>
      </c>
      <c r="X316" s="36" t="n">
        <v>583.459</v>
      </c>
      <c r="Y316" s="36" t="n">
        <v>620.569</v>
      </c>
      <c r="Z316" s="36" t="n">
        <v>639.776</v>
      </c>
      <c r="AA316" s="36" t="n">
        <v>676.144</v>
      </c>
      <c r="AB316" s="36" t="n">
        <v>663.019</v>
      </c>
      <c r="AC316" s="36" t="n">
        <v>663.019</v>
      </c>
      <c r="AD316" s="36" t="n">
        <v>667.16</v>
      </c>
      <c r="AE316" s="36" t="n">
        <v>663.414</v>
      </c>
      <c r="AF316" s="36" t="n">
        <v>662.982</v>
      </c>
      <c r="AG316" s="36" t="n">
        <v>410.723</v>
      </c>
      <c r="AH316" s="36" t="n">
        <v>410.723</v>
      </c>
      <c r="AI316" s="36" t="n">
        <v>413.57</v>
      </c>
      <c r="AJ316" s="36" t="n">
        <v>644.469</v>
      </c>
      <c r="AK316" s="36" t="n">
        <v>692.881</v>
      </c>
      <c r="AL316" s="36" t="n">
        <v>705.564</v>
      </c>
      <c r="AM316" s="36" t="n">
        <v>705.564</v>
      </c>
      <c r="AN316" s="36" t="n">
        <v>695.771</v>
      </c>
      <c r="AO316" s="36" t="n">
        <v>699.455</v>
      </c>
      <c r="AP316" s="36" t="n">
        <v>725.096</v>
      </c>
      <c r="AQ316" s="36" t="n">
        <v>733</v>
      </c>
      <c r="AR316" s="36" t="n">
        <v>733</v>
      </c>
      <c r="AS316" s="36" t="n">
        <v>737</v>
      </c>
      <c r="AT316" s="36" t="n">
        <v>741.2</v>
      </c>
      <c r="AU316" s="36" t="n">
        <v>760.4</v>
      </c>
      <c r="AV316" s="36" t="n">
        <v>781.5</v>
      </c>
      <c r="AW316" s="36" t="n">
        <v>781.5</v>
      </c>
      <c r="AX316" s="36" t="n">
        <v>777.6</v>
      </c>
      <c r="AY316" s="36" t="n">
        <v>786.3</v>
      </c>
      <c r="AZ316" s="36" t="n">
        <v>809.3</v>
      </c>
      <c r="BA316" s="36" t="n">
        <v>895.3</v>
      </c>
      <c r="BB316" s="36" t="n">
        <v>895.3</v>
      </c>
      <c r="BC316" s="36" t="n">
        <v>890</v>
      </c>
      <c r="BD316" s="36" t="n">
        <v>852.8</v>
      </c>
      <c r="BE316" s="36" t="n">
        <v>886</v>
      </c>
      <c r="BF316" s="36" t="n">
        <v>914.3</v>
      </c>
      <c r="BG316" s="36" t="n">
        <v>914.3</v>
      </c>
      <c r="BH316" s="36" t="n">
        <v>921</v>
      </c>
      <c r="BI316" s="36" t="n">
        <v>915.8</v>
      </c>
      <c r="BJ316" s="36" t="n">
        <v>913.5</v>
      </c>
      <c r="BK316" s="36" t="n">
        <v>874.6</v>
      </c>
      <c r="BL316" s="36" t="n">
        <v>874.6</v>
      </c>
      <c r="BM316" s="36" t="n">
        <v>865</v>
      </c>
      <c r="BN316" s="36" t="n">
        <v>1110</v>
      </c>
      <c r="BO316" s="36" t="n">
        <v>1127</v>
      </c>
      <c r="BP316" s="36" t="n">
        <v>1169</v>
      </c>
      <c r="BQ316" s="36" t="n">
        <v>1169</v>
      </c>
      <c r="BR316" s="36" t="n">
        <v>1172</v>
      </c>
      <c r="BS316" s="36" t="n">
        <v>1178</v>
      </c>
      <c r="BT316" s="36" t="n">
        <v>1250</v>
      </c>
      <c r="BU316" s="36" t="n">
        <v>1266</v>
      </c>
      <c r="BV316" s="36" t="n">
        <v>1266</v>
      </c>
      <c r="BW316" s="36" t="n">
        <v>1627</v>
      </c>
      <c r="BX316" s="36" t="n">
        <v>1641</v>
      </c>
      <c r="BY316" s="6"/>
      <c r="BZ316" s="6"/>
      <c r="CA316" s="37" t="n">
        <f aca="false">BX316+$CA$362+(CA251-(BW251+BX251))</f>
        <v>3647.282</v>
      </c>
      <c r="CB316" s="37" t="n">
        <f aca="false">CA316+CB251</f>
        <v>3557.492</v>
      </c>
      <c r="CC316" s="37" t="n">
        <f aca="false">CB316+CC251</f>
        <v>3467.702</v>
      </c>
      <c r="CD316" s="37" t="n">
        <f aca="false">CC316+CD251</f>
        <v>3377.912</v>
      </c>
      <c r="CE316" s="37" t="n">
        <f aca="false">CD316+CE251</f>
        <v>3288.122</v>
      </c>
      <c r="CF316" s="20" t="s">
        <v>513</v>
      </c>
    </row>
    <row r="317" customFormat="false" ht="15" hidden="false" customHeight="true" outlineLevel="0" collapsed="false">
      <c r="B317" s="26" t="s">
        <v>514</v>
      </c>
      <c r="C317" s="36" t="n">
        <v>92.562</v>
      </c>
      <c r="D317" s="36" t="n">
        <v>118.592</v>
      </c>
      <c r="E317" s="36" t="n">
        <v>82.051</v>
      </c>
      <c r="F317" s="36" t="n">
        <v>79.527</v>
      </c>
      <c r="G317" s="36" t="n">
        <v>82.577</v>
      </c>
      <c r="H317" s="36" t="n">
        <v>92.179</v>
      </c>
      <c r="I317" s="36" t="n">
        <v>86.395</v>
      </c>
      <c r="J317" s="36" t="n">
        <v>88.782</v>
      </c>
      <c r="K317" s="36" t="n">
        <v>90.415</v>
      </c>
      <c r="L317" s="36" t="n">
        <v>89.045</v>
      </c>
      <c r="M317" s="36" t="n">
        <v>97.352</v>
      </c>
      <c r="N317" s="36" t="n">
        <v>97.352</v>
      </c>
      <c r="O317" s="36" t="n">
        <v>108.862</v>
      </c>
      <c r="P317" s="36" t="n">
        <v>113.981</v>
      </c>
      <c r="Q317" s="36" t="n">
        <v>144.275</v>
      </c>
      <c r="R317" s="36" t="n">
        <v>160.021</v>
      </c>
      <c r="S317" s="36" t="n">
        <v>160.021</v>
      </c>
      <c r="T317" s="36" t="n">
        <v>158.641</v>
      </c>
      <c r="U317" s="36" t="n">
        <v>154.365</v>
      </c>
      <c r="V317" s="36" t="n">
        <v>158.106</v>
      </c>
      <c r="W317" s="36" t="n">
        <v>172.718</v>
      </c>
      <c r="X317" s="36" t="n">
        <v>172.718</v>
      </c>
      <c r="Y317" s="36" t="n">
        <v>197.7</v>
      </c>
      <c r="Z317" s="36" t="n">
        <v>197.801</v>
      </c>
      <c r="AA317" s="36" t="n">
        <v>196.788</v>
      </c>
      <c r="AB317" s="36" t="n">
        <v>194.469</v>
      </c>
      <c r="AC317" s="36" t="n">
        <v>194.469</v>
      </c>
      <c r="AD317" s="36" t="n">
        <v>210.305</v>
      </c>
      <c r="AE317" s="36" t="n">
        <v>221.738</v>
      </c>
      <c r="AF317" s="36" t="n">
        <v>228.604</v>
      </c>
      <c r="AG317" s="36" t="n">
        <v>233.758</v>
      </c>
      <c r="AH317" s="36" t="n">
        <v>233.758</v>
      </c>
      <c r="AI317" s="36" t="n">
        <v>227.068</v>
      </c>
      <c r="AJ317" s="36" t="n">
        <v>238.837</v>
      </c>
      <c r="AK317" s="36" t="n">
        <v>242.165</v>
      </c>
      <c r="AL317" s="36" t="n">
        <v>244.785</v>
      </c>
      <c r="AM317" s="36" t="n">
        <v>244.785</v>
      </c>
      <c r="AN317" s="36" t="n">
        <v>234.098</v>
      </c>
      <c r="AO317" s="36" t="n">
        <v>233.7</v>
      </c>
      <c r="AP317" s="36" t="n">
        <v>235.38</v>
      </c>
      <c r="AQ317" s="36" t="n">
        <v>339.3</v>
      </c>
      <c r="AR317" s="36" t="n">
        <v>339.3</v>
      </c>
      <c r="AS317" s="36" t="n">
        <v>338.3</v>
      </c>
      <c r="AT317" s="36" t="n">
        <v>351.3</v>
      </c>
      <c r="AU317" s="36" t="n">
        <v>362.4</v>
      </c>
      <c r="AV317" s="36" t="n">
        <v>370.5</v>
      </c>
      <c r="AW317" s="36" t="n">
        <v>370.5</v>
      </c>
      <c r="AX317" s="36" t="n">
        <v>480.6</v>
      </c>
      <c r="AY317" s="36" t="n">
        <v>531.7</v>
      </c>
      <c r="AZ317" s="36" t="n">
        <v>542.2</v>
      </c>
      <c r="BA317" s="36" t="n">
        <v>727.3</v>
      </c>
      <c r="BB317" s="36" t="n">
        <v>727.3</v>
      </c>
      <c r="BC317" s="36" t="n">
        <v>743.1</v>
      </c>
      <c r="BD317" s="36" t="n">
        <v>755.9</v>
      </c>
      <c r="BE317" s="36" t="n">
        <v>797.9</v>
      </c>
      <c r="BF317" s="36" t="n">
        <v>784.1</v>
      </c>
      <c r="BG317" s="36" t="n">
        <v>784.1</v>
      </c>
      <c r="BH317" s="36" t="n">
        <v>785.1</v>
      </c>
      <c r="BI317" s="36" t="n">
        <v>784.5</v>
      </c>
      <c r="BJ317" s="36" t="n">
        <v>783.7</v>
      </c>
      <c r="BK317" s="36" t="n">
        <v>772.2</v>
      </c>
      <c r="BL317" s="36" t="n">
        <v>772.2</v>
      </c>
      <c r="BM317" s="36" t="n">
        <v>778</v>
      </c>
      <c r="BN317" s="36" t="n">
        <v>899</v>
      </c>
      <c r="BO317" s="36" t="n">
        <v>893</v>
      </c>
      <c r="BP317" s="36" t="n">
        <v>906</v>
      </c>
      <c r="BQ317" s="36" t="n">
        <v>906</v>
      </c>
      <c r="BR317" s="36" t="n">
        <v>910</v>
      </c>
      <c r="BS317" s="36" t="n">
        <v>885</v>
      </c>
      <c r="BT317" s="36" t="n">
        <v>899</v>
      </c>
      <c r="BU317" s="36" t="n">
        <v>903</v>
      </c>
      <c r="BV317" s="36" t="n">
        <v>903</v>
      </c>
      <c r="BW317" s="36" t="n">
        <v>916</v>
      </c>
      <c r="BX317" s="36" t="n">
        <v>962</v>
      </c>
      <c r="BY317" s="6"/>
      <c r="BZ317" s="6"/>
      <c r="CA317" s="37" t="n">
        <f aca="false">BX317+$CA$361</f>
        <v>1110</v>
      </c>
      <c r="CB317" s="37" t="n">
        <f aca="false">CA317</f>
        <v>1110</v>
      </c>
      <c r="CC317" s="37" t="n">
        <f aca="false">CB317</f>
        <v>1110</v>
      </c>
      <c r="CD317" s="37" t="n">
        <f aca="false">CC317</f>
        <v>1110</v>
      </c>
      <c r="CE317" s="37" t="n">
        <f aca="false">CD317</f>
        <v>1110</v>
      </c>
      <c r="CF317" s="6"/>
    </row>
    <row r="318" customFormat="false" ht="15" hidden="false" customHeight="true" outlineLevel="0" collapsed="false">
      <c r="B318" s="17" t="s">
        <v>515</v>
      </c>
      <c r="C318" s="46" t="n">
        <f aca="false">IF(ISNUMBER(C307),C312+SUM(C313:C317),"")</f>
        <v>1252.449</v>
      </c>
      <c r="D318" s="46" t="n">
        <f aca="false">IF(ISNUMBER(D307),D312+SUM(D313:D317),"")</f>
        <v>1737.814</v>
      </c>
      <c r="E318" s="46" t="n">
        <f aca="false">IF(ISNUMBER(E307),E312+SUM(E313:E317),"")</f>
        <v>1965.242</v>
      </c>
      <c r="F318" s="46" t="n">
        <f aca="false">IF(ISNUMBER(F307),F312+SUM(F313:F317),"")</f>
        <v>1832.872</v>
      </c>
      <c r="G318" s="46" t="n">
        <f aca="false">IF(ISNUMBER(G307),G312+SUM(G313:G317),"")</f>
        <v>1606.484</v>
      </c>
      <c r="H318" s="46" t="n">
        <f aca="false">IF(ISNUMBER(H307),H312+SUM(H313:H317),"")</f>
        <v>1698.958</v>
      </c>
      <c r="I318" s="46" t="n">
        <f aca="false">IF(ISNUMBER(I307),I312+SUM(I313:I317),"")</f>
        <v>1710.627</v>
      </c>
      <c r="J318" s="46" t="n">
        <f aca="false">IF(ISNUMBER(J307),J312+SUM(J313:J317),"")</f>
        <v>1744.718</v>
      </c>
      <c r="K318" s="46" t="n">
        <f aca="false">IF(ISNUMBER(K307),K312+SUM(K313:K317),"")</f>
        <v>1790.452</v>
      </c>
      <c r="L318" s="46" t="n">
        <f aca="false">IF(ISNUMBER(L307),L312+SUM(L313:L317),"")</f>
        <v>1838.222</v>
      </c>
      <c r="M318" s="46" t="n">
        <f aca="false">IF(ISNUMBER(M307),M312+SUM(M313:M317),"")</f>
        <v>1684.907</v>
      </c>
      <c r="N318" s="46" t="n">
        <f aca="false">IF(ISNUMBER(N307),N312+SUM(N313:N317),"")</f>
        <v>1684.907</v>
      </c>
      <c r="O318" s="46" t="n">
        <f aca="false">IF(ISNUMBER(O307),O312+SUM(O313:O317),"")</f>
        <v>1710.964</v>
      </c>
      <c r="P318" s="46" t="n">
        <f aca="false">IF(ISNUMBER(P307),P312+SUM(P313:P317),"")</f>
        <v>1789.044</v>
      </c>
      <c r="Q318" s="46" t="n">
        <f aca="false">IF(ISNUMBER(Q307),Q312+SUM(Q313:Q317),"")</f>
        <v>2963.245</v>
      </c>
      <c r="R318" s="46" t="n">
        <f aca="false">IF(ISNUMBER(R307),R312+SUM(R313:R317),"")</f>
        <v>3111.644</v>
      </c>
      <c r="S318" s="46" t="n">
        <f aca="false">IF(ISNUMBER(S307),S312+SUM(S313:S317),"")</f>
        <v>3111.644</v>
      </c>
      <c r="T318" s="46" t="n">
        <f aca="false">IF(ISNUMBER(T307),T312+SUM(T313:T317),"")</f>
        <v>3075.463</v>
      </c>
      <c r="U318" s="46" t="n">
        <f aca="false">IF(ISNUMBER(U307),U312+SUM(U313:U317),"")</f>
        <v>3189.221</v>
      </c>
      <c r="V318" s="46" t="n">
        <f aca="false">IF(ISNUMBER(V307),V312+SUM(V313:V317),"")</f>
        <v>3185.868</v>
      </c>
      <c r="W318" s="46" t="n">
        <f aca="false">IF(ISNUMBER(W307),W312+SUM(W313:W317),"")</f>
        <v>2901.555</v>
      </c>
      <c r="X318" s="46" t="n">
        <f aca="false">IF(ISNUMBER(X307),X312+SUM(X313:X317),"")</f>
        <v>2901.555</v>
      </c>
      <c r="Y318" s="46" t="n">
        <f aca="false">IF(ISNUMBER(Y307),Y312+SUM(Y313:Y317),"")</f>
        <v>3112.651</v>
      </c>
      <c r="Z318" s="46" t="n">
        <f aca="false">IF(ISNUMBER(Z307),Z312+SUM(Z313:Z317),"")</f>
        <v>3216.805</v>
      </c>
      <c r="AA318" s="46" t="n">
        <f aca="false">IF(ISNUMBER(AA307),AA312+SUM(AA313:AA317),"")</f>
        <v>3214.803</v>
      </c>
      <c r="AB318" s="46" t="n">
        <f aca="false">IF(ISNUMBER(AB307),AB312+SUM(AB313:AB317),"")</f>
        <v>3158.315</v>
      </c>
      <c r="AC318" s="46" t="n">
        <f aca="false">IF(ISNUMBER(AC307),AC312+SUM(AC313:AC317),"")</f>
        <v>3158.315</v>
      </c>
      <c r="AD318" s="46" t="n">
        <f aca="false">IF(ISNUMBER(AD307),AD312+SUM(AD313:AD317),"")</f>
        <v>3317.837</v>
      </c>
      <c r="AE318" s="46" t="n">
        <f aca="false">IF(ISNUMBER(AE307),AE312+SUM(AE313:AE317),"")</f>
        <v>3315.329</v>
      </c>
      <c r="AF318" s="46" t="n">
        <f aca="false">IF(ISNUMBER(AF307),AF312+SUM(AF313:AF317),"")</f>
        <v>3232.803</v>
      </c>
      <c r="AG318" s="46" t="n">
        <f aca="false">IF(ISNUMBER(AG307),AG312+SUM(AG313:AG317),"")</f>
        <v>4310.034</v>
      </c>
      <c r="AH318" s="46" t="n">
        <f aca="false">IF(ISNUMBER(AH307),AH312+SUM(AH313:AH317),"")</f>
        <v>4310.034</v>
      </c>
      <c r="AI318" s="46" t="n">
        <f aca="false">IF(ISNUMBER(AI307),AI312+SUM(AI313:AI317),"")</f>
        <v>4268.22</v>
      </c>
      <c r="AJ318" s="46" t="n">
        <f aca="false">IF(ISNUMBER(AJ307),AJ312+SUM(AJ313:AJ317),"")</f>
        <v>4741.282</v>
      </c>
      <c r="AK318" s="46" t="n">
        <f aca="false">IF(ISNUMBER(AK307),AK312+SUM(AK313:AK317),"")</f>
        <v>4645.843</v>
      </c>
      <c r="AL318" s="46" t="n">
        <f aca="false">IF(ISNUMBER(AL307),AL312+SUM(AL313:AL317),"")</f>
        <v>4602.007</v>
      </c>
      <c r="AM318" s="46" t="n">
        <f aca="false">IF(ISNUMBER(AM307),AM312+SUM(AM313:AM317),"")</f>
        <v>4602.007</v>
      </c>
      <c r="AN318" s="46" t="n">
        <f aca="false">IF(ISNUMBER(AN307),AN312+SUM(AN313:AN317),"")</f>
        <v>5072.911</v>
      </c>
      <c r="AO318" s="46" t="n">
        <f aca="false">IF(ISNUMBER(AO307),AO312+SUM(AO313:AO317),"")</f>
        <v>5066.387</v>
      </c>
      <c r="AP318" s="46" t="n">
        <f aca="false">IF(ISNUMBER(AP307),AP312+SUM(AP313:AP317),"")</f>
        <v>4919.047</v>
      </c>
      <c r="AQ318" s="46" t="n">
        <f aca="false">IF(ISNUMBER(AQ307),AQ312+SUM(AQ313:AQ317),"")</f>
        <v>4778.3</v>
      </c>
      <c r="AR318" s="46" t="n">
        <f aca="false">IF(ISNUMBER(AR307),AR312+SUM(AR313:AR317),"")</f>
        <v>4778.3</v>
      </c>
      <c r="AS318" s="46" t="n">
        <f aca="false">IF(ISNUMBER(AS307),AS312+SUM(AS313:AS317),"")</f>
        <v>5204</v>
      </c>
      <c r="AT318" s="46" t="n">
        <f aca="false">IF(ISNUMBER(AT307),AT312+SUM(AT313:AT317),"")</f>
        <v>4733</v>
      </c>
      <c r="AU318" s="46" t="n">
        <f aca="false">IF(ISNUMBER(AU307),AU312+SUM(AU313:AU317),"")</f>
        <v>4676.5</v>
      </c>
      <c r="AV318" s="46" t="n">
        <f aca="false">IF(ISNUMBER(AV307),AV312+SUM(AV313:AV317),"")</f>
        <v>4687.5</v>
      </c>
      <c r="AW318" s="46" t="n">
        <f aca="false">IF(ISNUMBER(AW307),AW312+SUM(AW313:AW317),"")</f>
        <v>4687.5</v>
      </c>
      <c r="AX318" s="46" t="n">
        <f aca="false">IF(ISNUMBER(AX307),AX312+SUM(AX313:AX317),"")</f>
        <v>4732.6</v>
      </c>
      <c r="AY318" s="46" t="n">
        <f aca="false">IF(ISNUMBER(AY307),AY312+SUM(AY313:AY317),"")</f>
        <v>5094.9</v>
      </c>
      <c r="AZ318" s="46" t="n">
        <f aca="false">IF(ISNUMBER(AZ307),AZ312+SUM(AZ313:AZ317),"")</f>
        <v>7428</v>
      </c>
      <c r="BA318" s="46" t="n">
        <f aca="false">IF(ISNUMBER(BA307),BA312+SUM(BA313:BA317),"")</f>
        <v>7855.4</v>
      </c>
      <c r="BB318" s="46" t="n">
        <f aca="false">IF(ISNUMBER(BB307),BB312+SUM(BB313:BB317),"")</f>
        <v>7855.4</v>
      </c>
      <c r="BC318" s="46" t="n">
        <f aca="false">IF(ISNUMBER(BC307),BC312+SUM(BC313:BC317),"")</f>
        <v>7810.4</v>
      </c>
      <c r="BD318" s="46" t="n">
        <f aca="false">IF(ISNUMBER(BD307),BD312+SUM(BD313:BD317),"")</f>
        <v>7770.7</v>
      </c>
      <c r="BE318" s="46" t="n">
        <f aca="false">IF(ISNUMBER(BE307),BE312+SUM(BE313:BE317),"")</f>
        <v>7791.9</v>
      </c>
      <c r="BF318" s="46" t="n">
        <f aca="false">IF(ISNUMBER(BF307),BF312+SUM(BF313:BF317),"")</f>
        <v>7820.8</v>
      </c>
      <c r="BG318" s="46" t="n">
        <f aca="false">IF(ISNUMBER(BG307),BG312+SUM(BG313:BG317),"")</f>
        <v>7820.8</v>
      </c>
      <c r="BH318" s="46" t="n">
        <f aca="false">IF(ISNUMBER(BH307),BH312+SUM(BH313:BH317),"")</f>
        <v>7713.4</v>
      </c>
      <c r="BI318" s="46" t="n">
        <f aca="false">IF(ISNUMBER(BI307),BI312+SUM(BI313:BI317),"")</f>
        <v>7822.8</v>
      </c>
      <c r="BJ318" s="46" t="n">
        <f aca="false">IF(ISNUMBER(BJ307),BJ312+SUM(BJ313:BJ317),"")</f>
        <v>7113</v>
      </c>
      <c r="BK318" s="46" t="n">
        <f aca="false">IF(ISNUMBER(BK307),BK312+SUM(BK313:BK317),"")</f>
        <v>7089.3</v>
      </c>
      <c r="BL318" s="46" t="n">
        <f aca="false">IF(ISNUMBER(BL307),BL312+SUM(BL313:BL317),"")</f>
        <v>7089.3</v>
      </c>
      <c r="BM318" s="46" t="n">
        <f aca="false">IF(ISNUMBER(BM307),BM312+SUM(BM313:BM317),"")</f>
        <v>7363</v>
      </c>
      <c r="BN318" s="46" t="n">
        <f aca="false">IF(ISNUMBER(BN307),BN312+SUM(BN313:BN317),"")</f>
        <v>7493</v>
      </c>
      <c r="BO318" s="46" t="n">
        <f aca="false">IF(ISNUMBER(BO307),BO312+SUM(BO313:BO317),"")</f>
        <v>7298</v>
      </c>
      <c r="BP318" s="46" t="n">
        <f aca="false">IF(ISNUMBER(BP307),BP312+SUM(BP313:BP317),"")</f>
        <v>8714</v>
      </c>
      <c r="BQ318" s="46" t="n">
        <f aca="false">IF(ISNUMBER(BQ307),BQ312+SUM(BQ313:BQ317),"")</f>
        <v>8714</v>
      </c>
      <c r="BR318" s="46" t="n">
        <f aca="false">IF(ISNUMBER(BR307),BR312+SUM(BR313:BR317),"")</f>
        <v>8640</v>
      </c>
      <c r="BS318" s="46" t="n">
        <f aca="false">IF(ISNUMBER(BS307),BS312+SUM(BS313:BS317),"")</f>
        <v>8704</v>
      </c>
      <c r="BT318" s="46" t="n">
        <f aca="false">IF(ISNUMBER(BT307),BT312+SUM(BT313:BT317),"")</f>
        <v>8915</v>
      </c>
      <c r="BU318" s="46" t="n">
        <f aca="false">IF(ISNUMBER(BU307),BU312+SUM(BU313:BU317),"")</f>
        <v>8677</v>
      </c>
      <c r="BV318" s="46" t="n">
        <f aca="false">IF(ISNUMBER(BV307),BV312+SUM(BV313:BV317),"")</f>
        <v>8677</v>
      </c>
      <c r="BW318" s="46" t="n">
        <f aca="false">IF(ISNUMBER(BW307),BW312+SUM(BW313:BW317),"")</f>
        <v>9200</v>
      </c>
      <c r="BX318" s="46" t="n">
        <f aca="false">IF(ISNUMBER(BX307),BX312+SUM(BX313:BX317),"")</f>
        <v>9757</v>
      </c>
      <c r="BY318" s="57"/>
      <c r="BZ318" s="57"/>
      <c r="CA318" s="34" t="n">
        <f aca="false">IF(ISNUMBER(CA307),CA312+SUM(CA313:CA317),"")</f>
        <v>18814.2927781832</v>
      </c>
      <c r="CB318" s="34" t="n">
        <f aca="false">IF(ISNUMBER(CB307),CB312+SUM(CB313:CB317),"")</f>
        <v>17371.1743384223</v>
      </c>
      <c r="CC318" s="34" t="n">
        <f aca="false">IF(ISNUMBER(CC307),CC312+SUM(CC313:CC317),"")</f>
        <v>17122.9500925683</v>
      </c>
      <c r="CD318" s="34" t="n">
        <f aca="false">IF(ISNUMBER(CD307),CD312+SUM(CD313:CD317),"")</f>
        <v>17094.2027338364</v>
      </c>
      <c r="CE318" s="34" t="n">
        <f aca="false">IF(ISNUMBER(CE307),CE312+SUM(CE313:CE317),"")</f>
        <v>17248.2976101395</v>
      </c>
      <c r="CF318" s="6"/>
    </row>
    <row r="319" customFormat="false" ht="15" hidden="false" customHeight="true" outlineLevel="0" collapsed="false">
      <c r="B319" s="26" t="s">
        <v>516</v>
      </c>
      <c r="CF319" s="6"/>
    </row>
    <row r="320" customFormat="false" ht="15" hidden="false" customHeight="true" outlineLevel="0" collapsed="false">
      <c r="B320" s="26" t="s">
        <v>517</v>
      </c>
      <c r="C320" s="36" t="n">
        <v>147.939</v>
      </c>
      <c r="D320" s="36" t="n">
        <v>51.367</v>
      </c>
      <c r="E320" s="36" t="n">
        <v>78.959</v>
      </c>
      <c r="F320" s="36" t="n">
        <v>381.626</v>
      </c>
      <c r="G320" s="36" t="n">
        <v>396.94</v>
      </c>
      <c r="H320" s="36" t="n">
        <v>402.32</v>
      </c>
      <c r="I320" s="36" t="n">
        <v>415.116</v>
      </c>
      <c r="J320" s="36" t="n">
        <v>421.483</v>
      </c>
      <c r="K320" s="36" t="n">
        <v>430.397</v>
      </c>
      <c r="L320" s="36" t="n">
        <v>431.583</v>
      </c>
      <c r="M320" s="36" t="n">
        <v>433.253</v>
      </c>
      <c r="N320" s="36" t="n">
        <v>433.253</v>
      </c>
      <c r="O320" s="36" t="n">
        <v>443.013</v>
      </c>
      <c r="P320" s="36" t="n">
        <v>457.452</v>
      </c>
      <c r="Q320" s="36" t="n">
        <v>3240.38</v>
      </c>
      <c r="R320" s="36" t="n">
        <v>3244.29</v>
      </c>
      <c r="S320" s="36" t="n">
        <v>3244.29</v>
      </c>
      <c r="T320" s="36" t="n">
        <v>3256.482</v>
      </c>
      <c r="U320" s="36" t="n">
        <v>3274.766</v>
      </c>
      <c r="V320" s="36" t="n">
        <v>3283.86</v>
      </c>
      <c r="W320" s="36" t="n">
        <v>3288.47</v>
      </c>
      <c r="X320" s="36" t="n">
        <v>3288.47</v>
      </c>
      <c r="Y320" s="36" t="n">
        <v>3302.891</v>
      </c>
      <c r="Z320" s="36" t="n">
        <v>3319.492</v>
      </c>
      <c r="AA320" s="36" t="n">
        <v>3327.164</v>
      </c>
      <c r="AB320" s="36" t="n">
        <v>3335.091</v>
      </c>
      <c r="AC320" s="36" t="n">
        <v>3335.091</v>
      </c>
      <c r="AD320" s="36" t="n">
        <v>3350.439</v>
      </c>
      <c r="AE320" s="36" t="n">
        <v>3356.619</v>
      </c>
      <c r="AF320" s="36" t="n">
        <v>3363.371</v>
      </c>
      <c r="AG320" s="36" t="n">
        <v>3368.635</v>
      </c>
      <c r="AH320" s="36" t="n">
        <v>3368.635</v>
      </c>
      <c r="AI320" s="36" t="n">
        <v>3381.908</v>
      </c>
      <c r="AJ320" s="36" t="n">
        <v>3389.657</v>
      </c>
      <c r="AK320" s="36" t="n">
        <v>3391.759</v>
      </c>
      <c r="AL320" s="36" t="n">
        <v>3396.683</v>
      </c>
      <c r="AM320" s="36" t="n">
        <v>3396.683</v>
      </c>
      <c r="AN320" s="36" t="n">
        <v>3407.081</v>
      </c>
      <c r="AO320" s="36" t="n">
        <v>3417.213</v>
      </c>
      <c r="AP320" s="36" t="n">
        <v>3415.09</v>
      </c>
      <c r="AQ320" s="36" t="n">
        <v>3419.4</v>
      </c>
      <c r="AR320" s="36" t="n">
        <v>3419.4</v>
      </c>
      <c r="AS320" s="36" t="n">
        <v>3423.7</v>
      </c>
      <c r="AT320" s="36" t="n">
        <v>3431.6</v>
      </c>
      <c r="AU320" s="36" t="n">
        <v>3434.5</v>
      </c>
      <c r="AV320" s="36" t="n">
        <v>3441.4</v>
      </c>
      <c r="AW320" s="36" t="n">
        <v>3441.4</v>
      </c>
      <c r="AX320" s="36" t="n">
        <v>3442.3</v>
      </c>
      <c r="AY320" s="36" t="n">
        <v>3451.7</v>
      </c>
      <c r="AZ320" s="36" t="n">
        <v>3463.9</v>
      </c>
      <c r="BA320" s="36" t="n">
        <v>3471</v>
      </c>
      <c r="BB320" s="36" t="n">
        <v>3471</v>
      </c>
      <c r="BC320" s="36" t="n">
        <v>3463.2</v>
      </c>
      <c r="BD320" s="36" t="n">
        <v>3475</v>
      </c>
      <c r="BE320" s="36" t="n">
        <v>3483.8</v>
      </c>
      <c r="BF320" s="36" t="n">
        <v>3489.6</v>
      </c>
      <c r="BG320" s="36" t="n">
        <v>3489.6</v>
      </c>
      <c r="BH320" s="36" t="n">
        <v>3487.8</v>
      </c>
      <c r="BI320" s="36" t="n">
        <v>3501.4</v>
      </c>
      <c r="BJ320" s="36" t="n">
        <v>3511.8</v>
      </c>
      <c r="BK320" s="36" t="n">
        <v>3519.8</v>
      </c>
      <c r="BL320" s="36" t="n">
        <v>3519.8</v>
      </c>
      <c r="BM320" s="36" t="n">
        <v>3513</v>
      </c>
      <c r="BN320" s="36" t="n">
        <v>3530</v>
      </c>
      <c r="BO320" s="36" t="n">
        <v>3545</v>
      </c>
      <c r="BP320" s="36" t="n">
        <v>3551</v>
      </c>
      <c r="BQ320" s="36" t="n">
        <v>3551</v>
      </c>
      <c r="BR320" s="36" t="n">
        <v>3564</v>
      </c>
      <c r="BS320" s="36" t="n">
        <v>3563</v>
      </c>
      <c r="BT320" s="36" t="n">
        <v>3568</v>
      </c>
      <c r="BU320" s="36" t="n">
        <v>3570</v>
      </c>
      <c r="BV320" s="36" t="n">
        <v>3570</v>
      </c>
      <c r="BW320" s="36" t="n">
        <v>3579</v>
      </c>
      <c r="BX320" s="36" t="n">
        <v>3588</v>
      </c>
      <c r="BY320" s="6"/>
      <c r="BZ320" s="6"/>
      <c r="CA320" s="37" t="n">
        <f aca="false">BX320+(CA249-(BW249+BX249))+(CA264-(BW264+BX264))+$CA$348</f>
        <v>9962.74518186644</v>
      </c>
      <c r="CB320" s="37" t="n">
        <f aca="false">CA320+CB249+CB264</f>
        <v>10001.4629151948</v>
      </c>
      <c r="CC320" s="37" t="n">
        <f aca="false">CB320+CC249+CC264</f>
        <v>10045.6803457028</v>
      </c>
      <c r="CD320" s="37" t="n">
        <f aca="false">CC320+CD249+CD264</f>
        <v>10096.1357460172</v>
      </c>
      <c r="CE320" s="37" t="n">
        <f aca="false">CD320+CE249+CE264</f>
        <v>10153.5361489286</v>
      </c>
      <c r="CF320" s="20" t="s">
        <v>518</v>
      </c>
    </row>
    <row r="321" customFormat="false" ht="15" hidden="false" customHeight="true" outlineLevel="0" collapsed="false">
      <c r="B321" s="26" t="s">
        <v>519</v>
      </c>
      <c r="C321" s="36" t="n">
        <v>1142.084</v>
      </c>
      <c r="D321" s="36" t="n">
        <v>931.656</v>
      </c>
      <c r="E321" s="36" t="n">
        <v>1044.417</v>
      </c>
      <c r="F321" s="36" t="n">
        <v>1058.698</v>
      </c>
      <c r="G321" s="36" t="n">
        <v>1082.16</v>
      </c>
      <c r="H321" s="36" t="n">
        <v>1090.891</v>
      </c>
      <c r="I321" s="36" t="n">
        <v>1101.598</v>
      </c>
      <c r="J321" s="36" t="n">
        <v>1055.256</v>
      </c>
      <c r="K321" s="36" t="n">
        <v>1077.998</v>
      </c>
      <c r="L321" s="36" t="n">
        <v>1131.276</v>
      </c>
      <c r="M321" s="36" t="n">
        <v>1148.738</v>
      </c>
      <c r="N321" s="36" t="n">
        <v>1148.738</v>
      </c>
      <c r="O321" s="36" t="n">
        <v>1108.516</v>
      </c>
      <c r="P321" s="36" t="n">
        <v>1149.388</v>
      </c>
      <c r="Q321" s="36" t="n">
        <v>1176.121</v>
      </c>
      <c r="R321" s="36" t="n">
        <v>1213.035</v>
      </c>
      <c r="S321" s="36" t="n">
        <v>1213.035</v>
      </c>
      <c r="T321" s="36" t="n">
        <v>1190.807</v>
      </c>
      <c r="U321" s="36" t="n">
        <v>1146.821</v>
      </c>
      <c r="V321" s="36" t="n">
        <v>1079.764</v>
      </c>
      <c r="W321" s="36" t="n">
        <v>874.436</v>
      </c>
      <c r="X321" s="36" t="n">
        <v>874.436</v>
      </c>
      <c r="Y321" s="36" t="n">
        <v>743.593</v>
      </c>
      <c r="Z321" s="36" t="n">
        <v>800.028</v>
      </c>
      <c r="AA321" s="36" t="n">
        <v>932.679</v>
      </c>
      <c r="AB321" s="36" t="n">
        <v>935.574</v>
      </c>
      <c r="AC321" s="36" t="n">
        <v>935.574</v>
      </c>
      <c r="AD321" s="36" t="n">
        <v>851.354</v>
      </c>
      <c r="AE321" s="36" t="n">
        <v>967.058</v>
      </c>
      <c r="AF321" s="36" t="n">
        <v>1090.778</v>
      </c>
      <c r="AG321" s="36" t="n">
        <v>1440.069</v>
      </c>
      <c r="AH321" s="36" t="n">
        <v>1440.069</v>
      </c>
      <c r="AI321" s="36" t="n">
        <v>1422.207</v>
      </c>
      <c r="AJ321" s="36" t="n">
        <v>1579.674</v>
      </c>
      <c r="AK321" s="36" t="n">
        <v>1669.126</v>
      </c>
      <c r="AL321" s="36" t="n">
        <v>1693.259</v>
      </c>
      <c r="AM321" s="36" t="n">
        <v>1693.259</v>
      </c>
      <c r="AN321" s="36" t="n">
        <v>1705.717</v>
      </c>
      <c r="AO321" s="36" t="n">
        <v>1814.974</v>
      </c>
      <c r="AP321" s="36" t="n">
        <v>2021.647</v>
      </c>
      <c r="AQ321" s="36" t="n">
        <v>2077.2</v>
      </c>
      <c r="AR321" s="36" t="n">
        <v>2077.2</v>
      </c>
      <c r="AS321" s="36" t="n">
        <v>2018.6</v>
      </c>
      <c r="AT321" s="36" t="n">
        <v>2201.7</v>
      </c>
      <c r="AU321" s="36" t="n">
        <v>2460.5</v>
      </c>
      <c r="AV321" s="36" t="n">
        <v>2607.7</v>
      </c>
      <c r="AW321" s="36" t="n">
        <v>2607.7</v>
      </c>
      <c r="AX321" s="36" t="n">
        <v>2637.2</v>
      </c>
      <c r="AY321" s="36" t="n">
        <v>2827.2</v>
      </c>
      <c r="AZ321" s="36" t="n">
        <v>3043.4</v>
      </c>
      <c r="BA321" s="36" t="n">
        <v>3161.9</v>
      </c>
      <c r="BB321" s="36" t="n">
        <v>3161.9</v>
      </c>
      <c r="BC321" s="36" t="n">
        <v>3094.9</v>
      </c>
      <c r="BD321" s="36" t="n">
        <v>3423.1</v>
      </c>
      <c r="BE321" s="36" t="n">
        <v>3577</v>
      </c>
      <c r="BF321" s="36" t="n">
        <v>3719.4</v>
      </c>
      <c r="BG321" s="36" t="n">
        <v>3719.4</v>
      </c>
      <c r="BH321" s="36" t="n">
        <v>3724.6</v>
      </c>
      <c r="BI321" s="36" t="n">
        <v>3955.4</v>
      </c>
      <c r="BJ321" s="36" t="n">
        <v>4326</v>
      </c>
      <c r="BK321" s="36" t="n">
        <v>4562.6</v>
      </c>
      <c r="BL321" s="36" t="n">
        <v>4562.6</v>
      </c>
      <c r="BM321" s="36" t="n">
        <v>5411</v>
      </c>
      <c r="BN321" s="36" t="n">
        <v>5356</v>
      </c>
      <c r="BO321" s="36" t="n">
        <v>5670</v>
      </c>
      <c r="BP321" s="36" t="n">
        <v>5915</v>
      </c>
      <c r="BQ321" s="36" t="n">
        <v>5915</v>
      </c>
      <c r="BR321" s="36" t="n">
        <v>5529</v>
      </c>
      <c r="BS321" s="36" t="n">
        <v>5809</v>
      </c>
      <c r="BT321" s="36" t="n">
        <v>6172</v>
      </c>
      <c r="BU321" s="36" t="n">
        <v>6402</v>
      </c>
      <c r="BV321" s="36" t="n">
        <v>6402</v>
      </c>
      <c r="BW321" s="36" t="n">
        <v>7663</v>
      </c>
      <c r="BX321" s="36" t="n">
        <v>7864</v>
      </c>
      <c r="BY321" s="6"/>
      <c r="BZ321" s="6"/>
      <c r="CA321" s="37" t="n">
        <f aca="false">BX321+BY172+BZ172+(CA262-(BW262+BX262))+(CA263-(BW263+BX263))</f>
        <v>8306.70194929939</v>
      </c>
      <c r="CB321" s="37" t="n">
        <f aca="false">CA321+CB172+CB262+CB263</f>
        <v>9338.85060721064</v>
      </c>
      <c r="CC321" s="37" t="n">
        <f aca="false">CB321+CC172+CC262+CC263</f>
        <v>10676.5157955158</v>
      </c>
      <c r="CD321" s="37" t="n">
        <f aca="false">CC321+CD172+CD262+CD263</f>
        <v>10887.9160869289</v>
      </c>
      <c r="CE321" s="37" t="n">
        <f aca="false">CD321+CE172+CE262+CE263</f>
        <v>10423.4915152058</v>
      </c>
      <c r="CF321" s="20" t="s">
        <v>520</v>
      </c>
    </row>
    <row r="322" customFormat="false" ht="15" hidden="false" customHeight="true" outlineLevel="0" collapsed="false">
      <c r="B322" s="26" t="s">
        <v>521</v>
      </c>
      <c r="C322" s="36" t="n">
        <v>-36.051</v>
      </c>
      <c r="D322" s="36" t="n">
        <v>-37.032</v>
      </c>
      <c r="E322" s="36" t="n">
        <v>-101.672</v>
      </c>
      <c r="F322" s="36" t="n">
        <v>-75.084</v>
      </c>
      <c r="G322" s="36" t="n">
        <v>-53.66</v>
      </c>
      <c r="H322" s="36" t="n">
        <v>-83.89</v>
      </c>
      <c r="I322" s="36" t="n">
        <v>-106.169</v>
      </c>
      <c r="J322" s="36" t="n">
        <v>-104.948</v>
      </c>
      <c r="K322" s="36" t="n">
        <v>-106.257</v>
      </c>
      <c r="L322" s="36" t="n">
        <v>-102.71</v>
      </c>
      <c r="M322" s="36" t="n">
        <v>-44.114</v>
      </c>
      <c r="N322" s="36" t="n">
        <v>-44.114</v>
      </c>
      <c r="O322" s="36" t="n">
        <v>-42.744</v>
      </c>
      <c r="P322" s="36" t="n">
        <v>-42.141</v>
      </c>
      <c r="Q322" s="36" t="n">
        <v>-43.281</v>
      </c>
      <c r="R322" s="36" t="n">
        <v>-106.159</v>
      </c>
      <c r="S322" s="36" t="n">
        <v>-106.159</v>
      </c>
      <c r="T322" s="36" t="n">
        <v>-106.723</v>
      </c>
      <c r="U322" s="36" t="n">
        <v>-112.814</v>
      </c>
      <c r="V322" s="36" t="n">
        <v>-112.742</v>
      </c>
      <c r="W322" s="36" t="n">
        <v>-105.622</v>
      </c>
      <c r="X322" s="36" t="n">
        <v>-105.622</v>
      </c>
      <c r="Y322" s="36" t="n">
        <v>-103.833</v>
      </c>
      <c r="Z322" s="36" t="n">
        <v>-106.068</v>
      </c>
      <c r="AA322" s="36" t="n">
        <v>-104.511</v>
      </c>
      <c r="AB322" s="36" t="n">
        <v>-130.687</v>
      </c>
      <c r="AC322" s="36" t="n">
        <v>-130.687</v>
      </c>
      <c r="AD322" s="36" t="n">
        <v>-128.425</v>
      </c>
      <c r="AE322" s="36" t="n">
        <v>-125.906</v>
      </c>
      <c r="AF322" s="36" t="n">
        <v>-122.928</v>
      </c>
      <c r="AG322" s="36" t="n">
        <v>-129.104</v>
      </c>
      <c r="AH322" s="36" t="n">
        <v>-129.104</v>
      </c>
      <c r="AI322" s="36" t="n">
        <v>-127.485</v>
      </c>
      <c r="AJ322" s="36" t="n">
        <v>-125.883</v>
      </c>
      <c r="AK322" s="36" t="n">
        <v>-121.491</v>
      </c>
      <c r="AL322" s="36" t="n">
        <v>-143.579</v>
      </c>
      <c r="AM322" s="36" t="n">
        <v>-143.579</v>
      </c>
      <c r="AN322" s="36" t="n">
        <v>-140.324</v>
      </c>
      <c r="AO322" s="36" t="n">
        <v>-137.334</v>
      </c>
      <c r="AP322" s="36" t="n">
        <v>-134.765</v>
      </c>
      <c r="AQ322" s="36" t="n">
        <v>-145.8</v>
      </c>
      <c r="AR322" s="36" t="n">
        <v>-145.8</v>
      </c>
      <c r="AS322" s="36" t="n">
        <v>-145.4</v>
      </c>
      <c r="AT322" s="36" t="n">
        <v>-142.2</v>
      </c>
      <c r="AU322" s="36" t="n">
        <v>-138.6</v>
      </c>
      <c r="AV322" s="36" t="n">
        <v>-158.4</v>
      </c>
      <c r="AW322" s="36" t="n">
        <v>-158.4</v>
      </c>
      <c r="AX322" s="36" t="n">
        <v>-155.6</v>
      </c>
      <c r="AY322" s="36" t="n">
        <v>-153</v>
      </c>
      <c r="AZ322" s="36" t="n">
        <v>-151.4</v>
      </c>
      <c r="BA322" s="36" t="n">
        <v>-97.6</v>
      </c>
      <c r="BB322" s="36" t="n">
        <v>-97.6</v>
      </c>
      <c r="BC322" s="36" t="n">
        <v>-129.2</v>
      </c>
      <c r="BD322" s="36" t="n">
        <v>-128.1</v>
      </c>
      <c r="BE322" s="36" t="n">
        <v>-125.1</v>
      </c>
      <c r="BF322" s="36" t="n">
        <v>-38.5</v>
      </c>
      <c r="BG322" s="36" t="n">
        <v>-38.5</v>
      </c>
      <c r="BH322" s="36" t="n">
        <v>-37.4</v>
      </c>
      <c r="BI322" s="36" t="n">
        <v>-35.7</v>
      </c>
      <c r="BJ322" s="36" t="n">
        <v>-35.3</v>
      </c>
      <c r="BK322" s="36" t="n">
        <v>-49.2</v>
      </c>
      <c r="BL322" s="36" t="n">
        <v>-49.2</v>
      </c>
      <c r="BM322" s="36" t="n">
        <v>-49</v>
      </c>
      <c r="BN322" s="36" t="n">
        <v>-48</v>
      </c>
      <c r="BO322" s="36" t="n">
        <v>-46</v>
      </c>
      <c r="BP322" s="36" t="n">
        <v>-13</v>
      </c>
      <c r="BQ322" s="36" t="n">
        <v>-13</v>
      </c>
      <c r="BR322" s="36" t="n">
        <v>-12</v>
      </c>
      <c r="BS322" s="36" t="n">
        <v>-9</v>
      </c>
      <c r="BT322" s="36" t="n">
        <v>-5</v>
      </c>
      <c r="BU322" s="36" t="n">
        <v>60</v>
      </c>
      <c r="BV322" s="36" t="n">
        <v>60</v>
      </c>
      <c r="BW322" s="36" t="n">
        <v>53</v>
      </c>
      <c r="BX322" s="36" t="n">
        <v>94</v>
      </c>
      <c r="BY322" s="6"/>
      <c r="BZ322" s="6"/>
      <c r="CA322" s="37" t="n">
        <f aca="false">BX322</f>
        <v>94</v>
      </c>
      <c r="CB322" s="37" t="n">
        <f aca="false">CA322</f>
        <v>94</v>
      </c>
      <c r="CC322" s="37" t="n">
        <f aca="false">CB322</f>
        <v>94</v>
      </c>
      <c r="CD322" s="37" t="n">
        <f aca="false">CC322</f>
        <v>94</v>
      </c>
      <c r="CE322" s="37" t="n">
        <f aca="false">CD322</f>
        <v>94</v>
      </c>
      <c r="CF322" s="6"/>
    </row>
    <row r="323" customFormat="false" ht="15" hidden="false" customHeight="true" outlineLevel="0" collapsed="false">
      <c r="B323" s="17" t="s">
        <v>522</v>
      </c>
      <c r="C323" s="46" t="n">
        <f aca="false">IF(ISNUMBER(C320),SUM(C320:C322),"")</f>
        <v>1253.972</v>
      </c>
      <c r="D323" s="46" t="n">
        <f aca="false">IF(ISNUMBER(D320),SUM(D320:D322),"")</f>
        <v>945.991</v>
      </c>
      <c r="E323" s="46" t="n">
        <f aca="false">IF(ISNUMBER(E320),SUM(E320:E322),"")</f>
        <v>1021.704</v>
      </c>
      <c r="F323" s="46" t="n">
        <f aca="false">IF(ISNUMBER(F320),SUM(F320:F322),"")</f>
        <v>1365.24</v>
      </c>
      <c r="G323" s="46" t="n">
        <f aca="false">IF(ISNUMBER(G320),SUM(G320:G322),"")</f>
        <v>1425.44</v>
      </c>
      <c r="H323" s="46" t="n">
        <f aca="false">IF(ISNUMBER(H320),SUM(H320:H322),"")</f>
        <v>1409.321</v>
      </c>
      <c r="I323" s="46" t="n">
        <f aca="false">IF(ISNUMBER(I320),SUM(I320:I322),"")</f>
        <v>1410.545</v>
      </c>
      <c r="J323" s="46" t="n">
        <f aca="false">IF(ISNUMBER(J320),SUM(J320:J322),"")</f>
        <v>1371.791</v>
      </c>
      <c r="K323" s="46" t="n">
        <f aca="false">IF(ISNUMBER(K320),SUM(K320:K322),"")</f>
        <v>1402.138</v>
      </c>
      <c r="L323" s="46" t="n">
        <f aca="false">IF(ISNUMBER(L320),SUM(L320:L322),"")</f>
        <v>1460.149</v>
      </c>
      <c r="M323" s="46" t="n">
        <f aca="false">IF(ISNUMBER(M320),SUM(M320:M322),"")</f>
        <v>1537.877</v>
      </c>
      <c r="N323" s="46" t="n">
        <f aca="false">IF(ISNUMBER(N320),SUM(N320:N322),"")</f>
        <v>1537.877</v>
      </c>
      <c r="O323" s="46" t="n">
        <f aca="false">IF(ISNUMBER(O320),SUM(O320:O322),"")</f>
        <v>1508.785</v>
      </c>
      <c r="P323" s="46" t="n">
        <f aca="false">IF(ISNUMBER(P320),SUM(P320:P322),"")</f>
        <v>1564.699</v>
      </c>
      <c r="Q323" s="46" t="n">
        <f aca="false">IF(ISNUMBER(Q320),SUM(Q320:Q322),"")</f>
        <v>4373.22</v>
      </c>
      <c r="R323" s="46" t="n">
        <f aca="false">IF(ISNUMBER(R320),SUM(R320:R322),"")</f>
        <v>4351.166</v>
      </c>
      <c r="S323" s="46" t="n">
        <f aca="false">IF(ISNUMBER(S320),SUM(S320:S322),"")</f>
        <v>4351.166</v>
      </c>
      <c r="T323" s="46" t="n">
        <f aca="false">IF(ISNUMBER(T320),SUM(T320:T322),"")</f>
        <v>4340.566</v>
      </c>
      <c r="U323" s="46" t="n">
        <f aca="false">IF(ISNUMBER(U320),SUM(U320:U322),"")</f>
        <v>4308.773</v>
      </c>
      <c r="V323" s="46" t="n">
        <f aca="false">IF(ISNUMBER(V320),SUM(V320:V322),"")</f>
        <v>4250.882</v>
      </c>
      <c r="W323" s="46" t="n">
        <f aca="false">IF(ISNUMBER(W320),SUM(W320:W322),"")</f>
        <v>4057.284</v>
      </c>
      <c r="X323" s="46" t="n">
        <f aca="false">IF(ISNUMBER(X320),SUM(X320:X322),"")</f>
        <v>4057.284</v>
      </c>
      <c r="Y323" s="46" t="n">
        <f aca="false">IF(ISNUMBER(Y320),SUM(Y320:Y322),"")</f>
        <v>3942.651</v>
      </c>
      <c r="Z323" s="46" t="n">
        <f aca="false">IF(ISNUMBER(Z320),SUM(Z320:Z322),"")</f>
        <v>4013.452</v>
      </c>
      <c r="AA323" s="46" t="n">
        <f aca="false">IF(ISNUMBER(AA320),SUM(AA320:AA322),"")</f>
        <v>4155.332</v>
      </c>
      <c r="AB323" s="46" t="n">
        <f aca="false">IF(ISNUMBER(AB320),SUM(AB320:AB322),"")</f>
        <v>4139.978</v>
      </c>
      <c r="AC323" s="46" t="n">
        <f aca="false">IF(ISNUMBER(AC320),SUM(AC320:AC322),"")</f>
        <v>4139.978</v>
      </c>
      <c r="AD323" s="46" t="n">
        <f aca="false">IF(ISNUMBER(AD320),SUM(AD320:AD322),"")</f>
        <v>4073.368</v>
      </c>
      <c r="AE323" s="46" t="n">
        <f aca="false">IF(ISNUMBER(AE320),SUM(AE320:AE322),"")</f>
        <v>4197.771</v>
      </c>
      <c r="AF323" s="46" t="n">
        <f aca="false">IF(ISNUMBER(AF320),SUM(AF320:AF322),"")</f>
        <v>4331.221</v>
      </c>
      <c r="AG323" s="46" t="n">
        <f aca="false">IF(ISNUMBER(AG320),SUM(AG320:AG322),"")</f>
        <v>4679.6</v>
      </c>
      <c r="AH323" s="46" t="n">
        <f aca="false">IF(ISNUMBER(AH320),SUM(AH320:AH322),"")</f>
        <v>4679.6</v>
      </c>
      <c r="AI323" s="46" t="n">
        <f aca="false">IF(ISNUMBER(AI320),SUM(AI320:AI322),"")</f>
        <v>4676.63</v>
      </c>
      <c r="AJ323" s="46" t="n">
        <f aca="false">IF(ISNUMBER(AJ320),SUM(AJ320:AJ322),"")</f>
        <v>4843.448</v>
      </c>
      <c r="AK323" s="46" t="n">
        <f aca="false">IF(ISNUMBER(AK320),SUM(AK320:AK322),"")</f>
        <v>4939.394</v>
      </c>
      <c r="AL323" s="46" t="n">
        <f aca="false">IF(ISNUMBER(AL320),SUM(AL320:AL322),"")</f>
        <v>4946.363</v>
      </c>
      <c r="AM323" s="46" t="n">
        <f aca="false">IF(ISNUMBER(AM320),SUM(AM320:AM322),"")</f>
        <v>4946.363</v>
      </c>
      <c r="AN323" s="46" t="n">
        <f aca="false">IF(ISNUMBER(AN320),SUM(AN320:AN322),"")</f>
        <v>4972.474</v>
      </c>
      <c r="AO323" s="46" t="n">
        <f aca="false">IF(ISNUMBER(AO320),SUM(AO320:AO322),"")</f>
        <v>5094.853</v>
      </c>
      <c r="AP323" s="46" t="n">
        <f aca="false">IF(ISNUMBER(AP320),SUM(AP320:AP322),"")</f>
        <v>5301.972</v>
      </c>
      <c r="AQ323" s="46" t="n">
        <f aca="false">IF(ISNUMBER(AQ320),SUM(AQ320:AQ322),"")</f>
        <v>5350.8</v>
      </c>
      <c r="AR323" s="46" t="n">
        <f aca="false">IF(ISNUMBER(AR320),SUM(AR320:AR322),"")</f>
        <v>5350.8</v>
      </c>
      <c r="AS323" s="46" t="n">
        <f aca="false">IF(ISNUMBER(AS320),SUM(AS320:AS322),"")</f>
        <v>5296.9</v>
      </c>
      <c r="AT323" s="46" t="n">
        <f aca="false">IF(ISNUMBER(AT320),SUM(AT320:AT322),"")</f>
        <v>5491.1</v>
      </c>
      <c r="AU323" s="46" t="n">
        <f aca="false">IF(ISNUMBER(AU320),SUM(AU320:AU322),"")</f>
        <v>5756.4</v>
      </c>
      <c r="AV323" s="46" t="n">
        <f aca="false">IF(ISNUMBER(AV320),SUM(AV320:AV322),"")</f>
        <v>5890.7</v>
      </c>
      <c r="AW323" s="46" t="n">
        <f aca="false">IF(ISNUMBER(AW320),SUM(AW320:AW322),"")</f>
        <v>5890.7</v>
      </c>
      <c r="AX323" s="46" t="n">
        <f aca="false">IF(ISNUMBER(AX320),SUM(AX320:AX322),"")</f>
        <v>5923.9</v>
      </c>
      <c r="AY323" s="46" t="n">
        <f aca="false">IF(ISNUMBER(AY320),SUM(AY320:AY322),"")</f>
        <v>6125.9</v>
      </c>
      <c r="AZ323" s="46" t="n">
        <f aca="false">IF(ISNUMBER(AZ320),SUM(AZ320:AZ322),"")</f>
        <v>6355.9</v>
      </c>
      <c r="BA323" s="46" t="n">
        <f aca="false">IF(ISNUMBER(BA320),SUM(BA320:BA322),"")</f>
        <v>6535.3</v>
      </c>
      <c r="BB323" s="46" t="n">
        <f aca="false">IF(ISNUMBER(BB320),SUM(BB320:BB322),"")</f>
        <v>6535.3</v>
      </c>
      <c r="BC323" s="46" t="n">
        <f aca="false">IF(ISNUMBER(BC320),SUM(BC320:BC322),"")</f>
        <v>6428.9</v>
      </c>
      <c r="BD323" s="46" t="n">
        <f aca="false">IF(ISNUMBER(BD320),SUM(BD320:BD322),"")</f>
        <v>6770</v>
      </c>
      <c r="BE323" s="46" t="n">
        <f aca="false">IF(ISNUMBER(BE320),SUM(BE320:BE322),"")</f>
        <v>6935.7</v>
      </c>
      <c r="BF323" s="46" t="n">
        <f aca="false">IF(ISNUMBER(BF320),SUM(BF320:BF322),"")</f>
        <v>7170.5</v>
      </c>
      <c r="BG323" s="46" t="n">
        <f aca="false">IF(ISNUMBER(BG320),SUM(BG320:BG322),"")</f>
        <v>7170.5</v>
      </c>
      <c r="BH323" s="46" t="n">
        <f aca="false">IF(ISNUMBER(BH320),SUM(BH320:BH322),"")</f>
        <v>7175</v>
      </c>
      <c r="BI323" s="46" t="n">
        <f aca="false">IF(ISNUMBER(BI320),SUM(BI320:BI322),"")</f>
        <v>7421.1</v>
      </c>
      <c r="BJ323" s="46" t="n">
        <f aca="false">IF(ISNUMBER(BJ320),SUM(BJ320:BJ322),"")</f>
        <v>7802.5</v>
      </c>
      <c r="BK323" s="46" t="n">
        <f aca="false">IF(ISNUMBER(BK320),SUM(BK320:BK322),"")</f>
        <v>8033.2</v>
      </c>
      <c r="BL323" s="46" t="n">
        <f aca="false">IF(ISNUMBER(BL320),SUM(BL320:BL322),"")</f>
        <v>8033.2</v>
      </c>
      <c r="BM323" s="46" t="n">
        <f aca="false">IF(ISNUMBER(BM320),SUM(BM320:BM322),"")</f>
        <v>8875</v>
      </c>
      <c r="BN323" s="46" t="n">
        <f aca="false">IF(ISNUMBER(BN320),SUM(BN320:BN322),"")</f>
        <v>8838</v>
      </c>
      <c r="BO323" s="46" t="n">
        <f aca="false">IF(ISNUMBER(BO320),SUM(BO320:BO322),"")</f>
        <v>9169</v>
      </c>
      <c r="BP323" s="46" t="n">
        <f aca="false">IF(ISNUMBER(BP320),SUM(BP320:BP322),"")</f>
        <v>9453</v>
      </c>
      <c r="BQ323" s="46" t="n">
        <f aca="false">IF(ISNUMBER(BQ320),SUM(BQ320:BQ322),"")</f>
        <v>9453</v>
      </c>
      <c r="BR323" s="46" t="n">
        <f aca="false">IF(ISNUMBER(BR320),SUM(BR320:BR322),"")</f>
        <v>9081</v>
      </c>
      <c r="BS323" s="46" t="n">
        <f aca="false">IF(ISNUMBER(BS320),SUM(BS320:BS322),"")</f>
        <v>9363</v>
      </c>
      <c r="BT323" s="46" t="n">
        <f aca="false">IF(ISNUMBER(BT320),SUM(BT320:BT322),"")</f>
        <v>9735</v>
      </c>
      <c r="BU323" s="46" t="n">
        <f aca="false">IF(ISNUMBER(BU320),SUM(BU320:BU322),"")</f>
        <v>10032</v>
      </c>
      <c r="BV323" s="46" t="n">
        <f aca="false">IF(ISNUMBER(BV320),SUM(BV320:BV322),"")</f>
        <v>10032</v>
      </c>
      <c r="BW323" s="46" t="n">
        <f aca="false">IF(ISNUMBER(BW320),SUM(BW320:BW322),"")</f>
        <v>11295</v>
      </c>
      <c r="BX323" s="46" t="n">
        <f aca="false">IF(ISNUMBER(BX320),SUM(BX320:BX322),"")</f>
        <v>11546</v>
      </c>
      <c r="BY323" s="57"/>
      <c r="BZ323" s="57"/>
      <c r="CA323" s="34" t="n">
        <f aca="false">IF(ISNUMBER(CA320),SUM(CA320:CA322),"")</f>
        <v>18363.4471311658</v>
      </c>
      <c r="CB323" s="34" t="n">
        <f aca="false">IF(ISNUMBER(CB320),SUM(CB320:CB322),"")</f>
        <v>19434.3135224054</v>
      </c>
      <c r="CC323" s="34" t="n">
        <f aca="false">IF(ISNUMBER(CC320),SUM(CC320:CC322),"")</f>
        <v>20816.1961412186</v>
      </c>
      <c r="CD323" s="34" t="n">
        <f aca="false">IF(ISNUMBER(CD320),SUM(CD320:CD322),"")</f>
        <v>21078.0518329461</v>
      </c>
      <c r="CE323" s="34" t="n">
        <f aca="false">IF(ISNUMBER(CE320),SUM(CE320:CE322),"")</f>
        <v>20671.0276641345</v>
      </c>
      <c r="CF323" s="6"/>
    </row>
    <row r="324" customFormat="false" ht="15" hidden="false" customHeight="true" outlineLevel="0" collapsed="false">
      <c r="B324" s="26" t="s">
        <v>523</v>
      </c>
      <c r="E324" s="36" t="n">
        <v>45.556</v>
      </c>
      <c r="F324" s="36" t="n">
        <v>41.171</v>
      </c>
      <c r="G324" s="36" t="n">
        <v>42.819</v>
      </c>
      <c r="H324" s="36" t="n">
        <v>39.543</v>
      </c>
      <c r="I324" s="36" t="n">
        <v>39.754</v>
      </c>
      <c r="J324" s="36" t="n">
        <v>38.266</v>
      </c>
      <c r="K324" s="36" t="n">
        <v>38.529</v>
      </c>
      <c r="L324" s="36" t="n">
        <v>38.734</v>
      </c>
      <c r="M324" s="36" t="n">
        <v>37.042</v>
      </c>
      <c r="N324" s="36" t="n">
        <v>37.042</v>
      </c>
      <c r="O324" s="36" t="n">
        <v>35.508</v>
      </c>
      <c r="P324" s="36" t="n">
        <v>2.3</v>
      </c>
      <c r="Q324" s="36" t="n">
        <v>2.393</v>
      </c>
      <c r="R324" s="36" t="n">
        <v>1.582</v>
      </c>
      <c r="S324" s="36" t="n">
        <v>1.582</v>
      </c>
      <c r="T324" s="36" t="n">
        <v>1.617</v>
      </c>
      <c r="U324" s="36" t="n">
        <v>1.66</v>
      </c>
      <c r="V324" s="36" t="n">
        <v>1.698</v>
      </c>
      <c r="W324" s="36" t="n">
        <v>2.893</v>
      </c>
      <c r="X324" s="36" t="n">
        <v>2.893</v>
      </c>
      <c r="Y324" s="36" t="n">
        <v>2.985</v>
      </c>
      <c r="Z324" s="36" t="n">
        <v>3.048</v>
      </c>
      <c r="AA324" s="36" t="n">
        <v>3.066</v>
      </c>
      <c r="AB324" s="36" t="n">
        <v>2.612</v>
      </c>
      <c r="AC324" s="36" t="n">
        <v>2.612</v>
      </c>
      <c r="AD324" s="36" t="n">
        <v>2.586</v>
      </c>
      <c r="AE324" s="36" t="n">
        <v>2.76</v>
      </c>
      <c r="AF324" s="36" t="n">
        <v>2.761</v>
      </c>
      <c r="AG324" s="36" t="n">
        <v>2.877</v>
      </c>
      <c r="AH324" s="36" t="n">
        <v>2.877</v>
      </c>
      <c r="AI324" s="36" t="n">
        <v>3.2</v>
      </c>
      <c r="AJ324" s="36" t="n">
        <v>12.022</v>
      </c>
      <c r="AK324" s="36" t="n">
        <v>2.934</v>
      </c>
      <c r="AL324" s="36" t="n">
        <v>3.049</v>
      </c>
      <c r="AM324" s="36" t="n">
        <v>3.049</v>
      </c>
      <c r="AN324" s="36" t="n">
        <v>3.022</v>
      </c>
      <c r="AO324" s="36" t="n">
        <v>2.417</v>
      </c>
      <c r="AP324" s="36" t="n">
        <v>2.466</v>
      </c>
      <c r="AQ324" s="36" t="n">
        <v>2.5</v>
      </c>
      <c r="AR324" s="36" t="n">
        <v>2.5</v>
      </c>
      <c r="AS324" s="36" t="n">
        <v>2.5</v>
      </c>
      <c r="AT324" s="36" t="n">
        <v>2.5</v>
      </c>
      <c r="AU324" s="36" t="n">
        <v>2.5</v>
      </c>
      <c r="AV324" s="36" t="n">
        <v>2.6</v>
      </c>
      <c r="AW324" s="36" t="n">
        <v>2.6</v>
      </c>
      <c r="AX324" s="36" t="n">
        <v>2.8</v>
      </c>
      <c r="AY324" s="36" t="n">
        <v>2.3</v>
      </c>
      <c r="AZ324" s="36" t="n">
        <v>2.3</v>
      </c>
      <c r="BA324" s="36" t="n">
        <v>2.3</v>
      </c>
      <c r="BB324" s="36" t="n">
        <v>2.3</v>
      </c>
      <c r="BC324" s="36" t="n">
        <v>2.2</v>
      </c>
      <c r="BD324" s="36" t="n">
        <v>2.1</v>
      </c>
      <c r="BE324" s="36" t="n">
        <v>2.1</v>
      </c>
      <c r="BF324" s="36" t="n">
        <v>2.3</v>
      </c>
      <c r="BG324" s="36" t="n">
        <v>2.3</v>
      </c>
      <c r="BH324" s="36" t="n">
        <v>2.5</v>
      </c>
      <c r="BI324" s="36" t="n">
        <v>2.3</v>
      </c>
      <c r="BJ324" s="36" t="n">
        <v>2.3</v>
      </c>
      <c r="BK324" s="36" t="n">
        <v>2.4</v>
      </c>
      <c r="BL324" s="36" t="n">
        <v>2.4</v>
      </c>
      <c r="BM324" s="36" t="n">
        <v>2</v>
      </c>
      <c r="BN324" s="36" t="n">
        <v>2</v>
      </c>
      <c r="BO324" s="36" t="n">
        <v>2</v>
      </c>
      <c r="BP324" s="36" t="n">
        <v>3</v>
      </c>
      <c r="BQ324" s="36" t="n">
        <v>3</v>
      </c>
      <c r="BR324" s="36" t="n">
        <v>3</v>
      </c>
      <c r="BS324" s="36" t="n">
        <v>3</v>
      </c>
      <c r="BT324" s="36" t="n">
        <v>3</v>
      </c>
      <c r="BU324" s="36" t="n">
        <v>2</v>
      </c>
      <c r="BV324" s="36" t="n">
        <v>2</v>
      </c>
      <c r="BW324" s="36" t="n">
        <v>2</v>
      </c>
      <c r="BX324" s="36" t="n">
        <v>2</v>
      </c>
      <c r="BY324" s="6"/>
      <c r="BZ324" s="6"/>
      <c r="CA324" s="37" t="n">
        <f aca="false">BX324+BY171+BZ171</f>
        <v>2</v>
      </c>
      <c r="CB324" s="37" t="n">
        <f aca="false">CA324+CB171</f>
        <v>2</v>
      </c>
      <c r="CC324" s="37" t="n">
        <f aca="false">CB324+CC171</f>
        <v>2</v>
      </c>
      <c r="CD324" s="37" t="n">
        <f aca="false">CC324+CD171</f>
        <v>2</v>
      </c>
      <c r="CE324" s="37" t="n">
        <f aca="false">CD324+CE171</f>
        <v>2</v>
      </c>
      <c r="CF324" s="6"/>
    </row>
    <row r="325" customFormat="false" ht="15" hidden="false" customHeight="true" outlineLevel="0" collapsed="false">
      <c r="B325" s="17" t="s">
        <v>524</v>
      </c>
      <c r="C325" s="46" t="n">
        <f aca="false">IF(ISNUMBER(C323),C323+N(C324),"")</f>
        <v>1253.972</v>
      </c>
      <c r="D325" s="46" t="n">
        <f aca="false">IF(ISNUMBER(D323),D323+N(D324),"")</f>
        <v>945.991</v>
      </c>
      <c r="E325" s="46" t="n">
        <f aca="false">IF(ISNUMBER(E323),E323+N(E324),"")</f>
        <v>1067.26</v>
      </c>
      <c r="F325" s="46" t="n">
        <f aca="false">IF(ISNUMBER(F323),F323+N(F324),"")</f>
        <v>1406.411</v>
      </c>
      <c r="G325" s="46" t="n">
        <f aca="false">IF(ISNUMBER(G323),G323+N(G324),"")</f>
        <v>1468.259</v>
      </c>
      <c r="H325" s="46" t="n">
        <f aca="false">IF(ISNUMBER(H323),H323+N(H324),"")</f>
        <v>1448.864</v>
      </c>
      <c r="I325" s="46" t="n">
        <f aca="false">IF(ISNUMBER(I323),I323+N(I324),"")</f>
        <v>1450.299</v>
      </c>
      <c r="J325" s="46" t="n">
        <f aca="false">IF(ISNUMBER(J323),J323+N(J324),"")</f>
        <v>1410.057</v>
      </c>
      <c r="K325" s="46" t="n">
        <f aca="false">IF(ISNUMBER(K323),K323+N(K324),"")</f>
        <v>1440.667</v>
      </c>
      <c r="L325" s="46" t="n">
        <f aca="false">IF(ISNUMBER(L323),L323+N(L324),"")</f>
        <v>1498.883</v>
      </c>
      <c r="M325" s="46" t="n">
        <f aca="false">IF(ISNUMBER(M323),M323+N(M324),"")</f>
        <v>1574.919</v>
      </c>
      <c r="N325" s="46" t="n">
        <f aca="false">IF(ISNUMBER(N323),N323+N(N324),"")</f>
        <v>1574.919</v>
      </c>
      <c r="O325" s="46" t="n">
        <f aca="false">IF(ISNUMBER(O323),O323+N(O324),"")</f>
        <v>1544.293</v>
      </c>
      <c r="P325" s="46" t="n">
        <f aca="false">IF(ISNUMBER(P323),P323+N(P324),"")</f>
        <v>1566.999</v>
      </c>
      <c r="Q325" s="46" t="n">
        <f aca="false">IF(ISNUMBER(Q323),Q323+N(Q324),"")</f>
        <v>4375.613</v>
      </c>
      <c r="R325" s="46" t="n">
        <f aca="false">IF(ISNUMBER(R323),R323+N(R324),"")</f>
        <v>4352.748</v>
      </c>
      <c r="S325" s="46" t="n">
        <f aca="false">IF(ISNUMBER(S323),S323+N(S324),"")</f>
        <v>4352.748</v>
      </c>
      <c r="T325" s="46" t="n">
        <f aca="false">IF(ISNUMBER(T323),T323+N(T324),"")</f>
        <v>4342.183</v>
      </c>
      <c r="U325" s="46" t="n">
        <f aca="false">IF(ISNUMBER(U323),U323+N(U324),"")</f>
        <v>4310.433</v>
      </c>
      <c r="V325" s="46" t="n">
        <f aca="false">IF(ISNUMBER(V323),V323+N(V324),"")</f>
        <v>4252.58</v>
      </c>
      <c r="W325" s="46" t="n">
        <f aca="false">IF(ISNUMBER(W323),W323+N(W324),"")</f>
        <v>4060.177</v>
      </c>
      <c r="X325" s="46" t="n">
        <f aca="false">IF(ISNUMBER(X323),X323+N(X324),"")</f>
        <v>4060.177</v>
      </c>
      <c r="Y325" s="46" t="n">
        <f aca="false">IF(ISNUMBER(Y323),Y323+N(Y324),"")</f>
        <v>3945.636</v>
      </c>
      <c r="Z325" s="46" t="n">
        <f aca="false">IF(ISNUMBER(Z323),Z323+N(Z324),"")</f>
        <v>4016.5</v>
      </c>
      <c r="AA325" s="46" t="n">
        <f aca="false">IF(ISNUMBER(AA323),AA323+N(AA324),"")</f>
        <v>4158.398</v>
      </c>
      <c r="AB325" s="46" t="n">
        <f aca="false">IF(ISNUMBER(AB323),AB323+N(AB324),"")</f>
        <v>4142.59</v>
      </c>
      <c r="AC325" s="46" t="n">
        <f aca="false">IF(ISNUMBER(AC323),AC323+N(AC324),"")</f>
        <v>4142.59</v>
      </c>
      <c r="AD325" s="46" t="n">
        <f aca="false">IF(ISNUMBER(AD323),AD323+N(AD324),"")</f>
        <v>4075.954</v>
      </c>
      <c r="AE325" s="46" t="n">
        <f aca="false">IF(ISNUMBER(AE323),AE323+N(AE324),"")</f>
        <v>4200.531</v>
      </c>
      <c r="AF325" s="46" t="n">
        <f aca="false">IF(ISNUMBER(AF323),AF323+N(AF324),"")</f>
        <v>4333.982</v>
      </c>
      <c r="AG325" s="46" t="n">
        <f aca="false">IF(ISNUMBER(AG323),AG323+N(AG324),"")</f>
        <v>4682.477</v>
      </c>
      <c r="AH325" s="46" t="n">
        <f aca="false">IF(ISNUMBER(AH323),AH323+N(AH324),"")</f>
        <v>4682.477</v>
      </c>
      <c r="AI325" s="46" t="n">
        <f aca="false">IF(ISNUMBER(AI323),AI323+N(AI324),"")</f>
        <v>4679.83</v>
      </c>
      <c r="AJ325" s="46" t="n">
        <f aca="false">IF(ISNUMBER(AJ323),AJ323+N(AJ324),"")</f>
        <v>4855.47</v>
      </c>
      <c r="AK325" s="46" t="n">
        <f aca="false">IF(ISNUMBER(AK323),AK323+N(AK324),"")</f>
        <v>4942.328</v>
      </c>
      <c r="AL325" s="46" t="n">
        <f aca="false">IF(ISNUMBER(AL323),AL323+N(AL324),"")</f>
        <v>4949.412</v>
      </c>
      <c r="AM325" s="46" t="n">
        <f aca="false">IF(ISNUMBER(AM323),AM323+N(AM324),"")</f>
        <v>4949.412</v>
      </c>
      <c r="AN325" s="46" t="n">
        <f aca="false">IF(ISNUMBER(AN323),AN323+N(AN324),"")</f>
        <v>4975.496</v>
      </c>
      <c r="AO325" s="46" t="n">
        <f aca="false">IF(ISNUMBER(AO323),AO323+N(AO324),"")</f>
        <v>5097.27</v>
      </c>
      <c r="AP325" s="46" t="n">
        <f aca="false">IF(ISNUMBER(AP323),AP323+N(AP324),"")</f>
        <v>5304.438</v>
      </c>
      <c r="AQ325" s="46" t="n">
        <f aca="false">IF(ISNUMBER(AQ323),AQ323+N(AQ324),"")</f>
        <v>5353.3</v>
      </c>
      <c r="AR325" s="46" t="n">
        <f aca="false">IF(ISNUMBER(AR323),AR323+N(AR324),"")</f>
        <v>5353.3</v>
      </c>
      <c r="AS325" s="46" t="n">
        <f aca="false">IF(ISNUMBER(AS323),AS323+N(AS324),"")</f>
        <v>5299.4</v>
      </c>
      <c r="AT325" s="46" t="n">
        <f aca="false">IF(ISNUMBER(AT323),AT323+N(AT324),"")</f>
        <v>5493.6</v>
      </c>
      <c r="AU325" s="46" t="n">
        <f aca="false">IF(ISNUMBER(AU323),AU323+N(AU324),"")</f>
        <v>5758.9</v>
      </c>
      <c r="AV325" s="46" t="n">
        <f aca="false">IF(ISNUMBER(AV323),AV323+N(AV324),"")</f>
        <v>5893.3</v>
      </c>
      <c r="AW325" s="46" t="n">
        <f aca="false">IF(ISNUMBER(AW323),AW323+N(AW324),"")</f>
        <v>5893.3</v>
      </c>
      <c r="AX325" s="46" t="n">
        <f aca="false">IF(ISNUMBER(AX323),AX323+N(AX324),"")</f>
        <v>5926.7</v>
      </c>
      <c r="AY325" s="46" t="n">
        <f aca="false">IF(ISNUMBER(AY323),AY323+N(AY324),"")</f>
        <v>6128.2</v>
      </c>
      <c r="AZ325" s="46" t="n">
        <f aca="false">IF(ISNUMBER(AZ323),AZ323+N(AZ324),"")</f>
        <v>6358.2</v>
      </c>
      <c r="BA325" s="46" t="n">
        <f aca="false">IF(ISNUMBER(BA323),BA323+N(BA324),"")</f>
        <v>6537.6</v>
      </c>
      <c r="BB325" s="46" t="n">
        <f aca="false">IF(ISNUMBER(BB323),BB323+N(BB324),"")</f>
        <v>6537.6</v>
      </c>
      <c r="BC325" s="46" t="n">
        <f aca="false">IF(ISNUMBER(BC323),BC323+N(BC324),"")</f>
        <v>6431.1</v>
      </c>
      <c r="BD325" s="46" t="n">
        <f aca="false">IF(ISNUMBER(BD323),BD323+N(BD324),"")</f>
        <v>6772.1</v>
      </c>
      <c r="BE325" s="46" t="n">
        <f aca="false">IF(ISNUMBER(BE323),BE323+N(BE324),"")</f>
        <v>6937.8</v>
      </c>
      <c r="BF325" s="46" t="n">
        <f aca="false">IF(ISNUMBER(BF323),BF323+N(BF324),"")</f>
        <v>7172.8</v>
      </c>
      <c r="BG325" s="46" t="n">
        <f aca="false">IF(ISNUMBER(BG323),BG323+N(BG324),"")</f>
        <v>7172.8</v>
      </c>
      <c r="BH325" s="46" t="n">
        <f aca="false">IF(ISNUMBER(BH323),BH323+N(BH324),"")</f>
        <v>7177.5</v>
      </c>
      <c r="BI325" s="46" t="n">
        <f aca="false">IF(ISNUMBER(BI323),BI323+N(BI324),"")</f>
        <v>7423.4</v>
      </c>
      <c r="BJ325" s="46" t="n">
        <f aca="false">IF(ISNUMBER(BJ323),BJ323+N(BJ324),"")</f>
        <v>7804.8</v>
      </c>
      <c r="BK325" s="46" t="n">
        <f aca="false">IF(ISNUMBER(BK323),BK323+N(BK324),"")</f>
        <v>8035.6</v>
      </c>
      <c r="BL325" s="46" t="n">
        <f aca="false">IF(ISNUMBER(BL323),BL323+N(BL324),"")</f>
        <v>8035.6</v>
      </c>
      <c r="BM325" s="46" t="n">
        <f aca="false">IF(ISNUMBER(BM323),BM323+N(BM324),"")</f>
        <v>8877</v>
      </c>
      <c r="BN325" s="46" t="n">
        <f aca="false">IF(ISNUMBER(BN323),BN323+N(BN324),"")</f>
        <v>8840</v>
      </c>
      <c r="BO325" s="46" t="n">
        <f aca="false">IF(ISNUMBER(BO323),BO323+N(BO324),"")</f>
        <v>9171</v>
      </c>
      <c r="BP325" s="46" t="n">
        <f aca="false">IF(ISNUMBER(BP323),BP323+N(BP324),"")</f>
        <v>9456</v>
      </c>
      <c r="BQ325" s="46" t="n">
        <f aca="false">IF(ISNUMBER(BQ323),BQ323+N(BQ324),"")</f>
        <v>9456</v>
      </c>
      <c r="BR325" s="46" t="n">
        <f aca="false">IF(ISNUMBER(BR323),BR323+N(BR324),"")</f>
        <v>9084</v>
      </c>
      <c r="BS325" s="46" t="n">
        <f aca="false">IF(ISNUMBER(BS323),BS323+N(BS324),"")</f>
        <v>9366</v>
      </c>
      <c r="BT325" s="46" t="n">
        <f aca="false">IF(ISNUMBER(BT323),BT323+N(BT324),"")</f>
        <v>9738</v>
      </c>
      <c r="BU325" s="46" t="n">
        <f aca="false">IF(ISNUMBER(BU323),BU323+N(BU324),"")</f>
        <v>10034</v>
      </c>
      <c r="BV325" s="46" t="n">
        <f aca="false">IF(ISNUMBER(BV323),BV323+N(BV324),"")</f>
        <v>10034</v>
      </c>
      <c r="BW325" s="46" t="n">
        <f aca="false">IF(ISNUMBER(BW323),BW323+N(BW324),"")</f>
        <v>11297</v>
      </c>
      <c r="BX325" s="46" t="n">
        <f aca="false">IF(ISNUMBER(BX323),BX323+N(BX324),"")</f>
        <v>11548</v>
      </c>
      <c r="BY325" s="57"/>
      <c r="BZ325" s="57"/>
      <c r="CA325" s="34" t="n">
        <f aca="false">IF(ISNUMBER(CA323),CA323+N(CA324),"")</f>
        <v>18365.4471311658</v>
      </c>
      <c r="CB325" s="34" t="n">
        <f aca="false">IF(ISNUMBER(CB323),CB323+N(CB324),"")</f>
        <v>19436.3135224054</v>
      </c>
      <c r="CC325" s="34" t="n">
        <f aca="false">IF(ISNUMBER(CC323),CC323+N(CC324),"")</f>
        <v>20818.1961412186</v>
      </c>
      <c r="CD325" s="34" t="n">
        <f aca="false">IF(ISNUMBER(CD323),CD323+N(CD324),"")</f>
        <v>21080.0518329461</v>
      </c>
      <c r="CE325" s="34" t="n">
        <f aca="false">IF(ISNUMBER(CE323),CE323+N(CE324),"")</f>
        <v>20673.0276641345</v>
      </c>
      <c r="CF325" s="6"/>
    </row>
    <row r="326" customFormat="false" ht="15" hidden="false" customHeight="true" outlineLevel="0" collapsed="false">
      <c r="B326" s="59" t="s">
        <v>525</v>
      </c>
      <c r="C326" s="60" t="n">
        <f aca="false">IF(ISNUMBER(C318),C318+C325,"")</f>
        <v>2506.421</v>
      </c>
      <c r="D326" s="60" t="n">
        <f aca="false">IF(ISNUMBER(D318),D318+D325,"")</f>
        <v>2683.805</v>
      </c>
      <c r="E326" s="60" t="n">
        <f aca="false">IF(ISNUMBER(E318),E318+E325,"")</f>
        <v>3032.502</v>
      </c>
      <c r="F326" s="60" t="n">
        <f aca="false">IF(ISNUMBER(F318),F318+F325,"")</f>
        <v>3239.283</v>
      </c>
      <c r="G326" s="60" t="n">
        <f aca="false">IF(ISNUMBER(G318),G318+G325,"")</f>
        <v>3074.743</v>
      </c>
      <c r="H326" s="60" t="n">
        <f aca="false">IF(ISNUMBER(H318),H318+H325,"")</f>
        <v>3147.822</v>
      </c>
      <c r="I326" s="60" t="n">
        <f aca="false">IF(ISNUMBER(I318),I318+I325,"")</f>
        <v>3160.926</v>
      </c>
      <c r="J326" s="60" t="n">
        <f aca="false">IF(ISNUMBER(J318),J318+J325,"")</f>
        <v>3154.775</v>
      </c>
      <c r="K326" s="60" t="n">
        <f aca="false">IF(ISNUMBER(K318),K318+K325,"")</f>
        <v>3231.119</v>
      </c>
      <c r="L326" s="60" t="n">
        <f aca="false">IF(ISNUMBER(L318),L318+L325,"")</f>
        <v>3337.105</v>
      </c>
      <c r="M326" s="60" t="n">
        <f aca="false">IF(ISNUMBER(M318),M318+M325,"")</f>
        <v>3259.826</v>
      </c>
      <c r="N326" s="60" t="n">
        <f aca="false">IF(ISNUMBER(N318),N318+N325,"")</f>
        <v>3259.826</v>
      </c>
      <c r="O326" s="60" t="n">
        <f aca="false">IF(ISNUMBER(O318),O318+O325,"")</f>
        <v>3255.257</v>
      </c>
      <c r="P326" s="60" t="n">
        <f aca="false">IF(ISNUMBER(P318),P318+P325,"")</f>
        <v>3356.043</v>
      </c>
      <c r="Q326" s="60" t="n">
        <f aca="false">IF(ISNUMBER(Q318),Q318+Q325,"")</f>
        <v>7338.858</v>
      </c>
      <c r="R326" s="60" t="n">
        <f aca="false">IF(ISNUMBER(R318),R318+R325,"")</f>
        <v>7464.392</v>
      </c>
      <c r="S326" s="60" t="n">
        <f aca="false">IF(ISNUMBER(S318),S318+S325,"")</f>
        <v>7464.392</v>
      </c>
      <c r="T326" s="60" t="n">
        <f aca="false">IF(ISNUMBER(T318),T318+T325,"")</f>
        <v>7417.646</v>
      </c>
      <c r="U326" s="60" t="n">
        <f aca="false">IF(ISNUMBER(U318),U318+U325,"")</f>
        <v>7499.654</v>
      </c>
      <c r="V326" s="60" t="n">
        <f aca="false">IF(ISNUMBER(V318),V318+V325,"")</f>
        <v>7438.448</v>
      </c>
      <c r="W326" s="60" t="n">
        <f aca="false">IF(ISNUMBER(W318),W318+W325,"")</f>
        <v>6961.732</v>
      </c>
      <c r="X326" s="60" t="n">
        <f aca="false">IF(ISNUMBER(X318),X318+X325,"")</f>
        <v>6961.732</v>
      </c>
      <c r="Y326" s="60" t="n">
        <f aca="false">IF(ISNUMBER(Y318),Y318+Y325,"")</f>
        <v>7058.287</v>
      </c>
      <c r="Z326" s="60" t="n">
        <f aca="false">IF(ISNUMBER(Z318),Z318+Z325,"")</f>
        <v>7233.305</v>
      </c>
      <c r="AA326" s="60" t="n">
        <f aca="false">IF(ISNUMBER(AA318),AA318+AA325,"")</f>
        <v>7373.201</v>
      </c>
      <c r="AB326" s="60" t="n">
        <f aca="false">IF(ISNUMBER(AB318),AB318+AB325,"")</f>
        <v>7300.905</v>
      </c>
      <c r="AC326" s="60" t="n">
        <f aca="false">IF(ISNUMBER(AC318),AC318+AC325,"")</f>
        <v>7300.905</v>
      </c>
      <c r="AD326" s="60" t="n">
        <f aca="false">IF(ISNUMBER(AD318),AD318+AD325,"")</f>
        <v>7393.791</v>
      </c>
      <c r="AE326" s="60" t="n">
        <f aca="false">IF(ISNUMBER(AE318),AE318+AE325,"")</f>
        <v>7515.86</v>
      </c>
      <c r="AF326" s="60" t="n">
        <f aca="false">IF(ISNUMBER(AF318),AF318+AF325,"")</f>
        <v>7566.785</v>
      </c>
      <c r="AG326" s="60" t="n">
        <f aca="false">IF(ISNUMBER(AG318),AG318+AG325,"")</f>
        <v>8992.511</v>
      </c>
      <c r="AH326" s="60" t="n">
        <f aca="false">IF(ISNUMBER(AH318),AH318+AH325,"")</f>
        <v>8992.511</v>
      </c>
      <c r="AI326" s="60" t="n">
        <f aca="false">IF(ISNUMBER(AI318),AI318+AI325,"")</f>
        <v>8948.05</v>
      </c>
      <c r="AJ326" s="60" t="n">
        <f aca="false">IF(ISNUMBER(AJ318),AJ318+AJ325,"")</f>
        <v>9596.752</v>
      </c>
      <c r="AK326" s="60" t="n">
        <f aca="false">IF(ISNUMBER(AK318),AK318+AK325,"")</f>
        <v>9588.171</v>
      </c>
      <c r="AL326" s="60" t="n">
        <f aca="false">IF(ISNUMBER(AL318),AL318+AL325,"")</f>
        <v>9551.419</v>
      </c>
      <c r="AM326" s="60" t="n">
        <f aca="false">IF(ISNUMBER(AM318),AM318+AM325,"")</f>
        <v>9551.419</v>
      </c>
      <c r="AN326" s="60" t="n">
        <f aca="false">IF(ISNUMBER(AN318),AN318+AN325,"")</f>
        <v>10048.407</v>
      </c>
      <c r="AO326" s="60" t="n">
        <f aca="false">IF(ISNUMBER(AO318),AO318+AO325,"")</f>
        <v>10163.657</v>
      </c>
      <c r="AP326" s="60" t="n">
        <f aca="false">IF(ISNUMBER(AP318),AP318+AP325,"")</f>
        <v>10223.485</v>
      </c>
      <c r="AQ326" s="60" t="n">
        <f aca="false">IF(ISNUMBER(AQ318),AQ318+AQ325,"")</f>
        <v>10131.6</v>
      </c>
      <c r="AR326" s="60" t="n">
        <f aca="false">IF(ISNUMBER(AR318),AR318+AR325,"")</f>
        <v>10131.6</v>
      </c>
      <c r="AS326" s="60" t="n">
        <f aca="false">IF(ISNUMBER(AS318),AS318+AS325,"")</f>
        <v>10503.4</v>
      </c>
      <c r="AT326" s="60" t="n">
        <f aca="false">IF(ISNUMBER(AT318),AT318+AT325,"")</f>
        <v>10226.6</v>
      </c>
      <c r="AU326" s="60" t="n">
        <f aca="false">IF(ISNUMBER(AU318),AU318+AU325,"")</f>
        <v>10435.4</v>
      </c>
      <c r="AV326" s="60" t="n">
        <f aca="false">IF(ISNUMBER(AV318),AV318+AV325,"")</f>
        <v>10580.8</v>
      </c>
      <c r="AW326" s="60" t="n">
        <f aca="false">IF(ISNUMBER(AW318),AW318+AW325,"")</f>
        <v>10580.8</v>
      </c>
      <c r="AX326" s="60" t="n">
        <f aca="false">IF(ISNUMBER(AX318),AX318+AX325,"")</f>
        <v>10659.3</v>
      </c>
      <c r="AY326" s="60" t="n">
        <f aca="false">IF(ISNUMBER(AY318),AY318+AY325,"")</f>
        <v>11223.1</v>
      </c>
      <c r="AZ326" s="60" t="n">
        <f aca="false">IF(ISNUMBER(AZ318),AZ318+AZ325,"")</f>
        <v>13786.2</v>
      </c>
      <c r="BA326" s="60" t="n">
        <f aca="false">IF(ISNUMBER(BA318),BA318+BA325,"")</f>
        <v>14393</v>
      </c>
      <c r="BB326" s="60" t="n">
        <f aca="false">IF(ISNUMBER(BB318),BB318+BB325,"")</f>
        <v>14393</v>
      </c>
      <c r="BC326" s="60" t="n">
        <f aca="false">IF(ISNUMBER(BC318),BC318+BC325,"")</f>
        <v>14241.5</v>
      </c>
      <c r="BD326" s="60" t="n">
        <f aca="false">IF(ISNUMBER(BD318),BD318+BD325,"")</f>
        <v>14542.8</v>
      </c>
      <c r="BE326" s="60" t="n">
        <f aca="false">IF(ISNUMBER(BE318),BE318+BE325,"")</f>
        <v>14729.7</v>
      </c>
      <c r="BF326" s="60" t="n">
        <f aca="false">IF(ISNUMBER(BF318),BF318+BF325,"")</f>
        <v>14993.6</v>
      </c>
      <c r="BG326" s="60" t="n">
        <f aca="false">IF(ISNUMBER(BG318),BG318+BG325,"")</f>
        <v>14993.6</v>
      </c>
      <c r="BH326" s="60" t="n">
        <f aca="false">IF(ISNUMBER(BH318),BH318+BH325,"")</f>
        <v>14890.9</v>
      </c>
      <c r="BI326" s="60" t="n">
        <f aca="false">IF(ISNUMBER(BI318),BI318+BI325,"")</f>
        <v>15246.2</v>
      </c>
      <c r="BJ326" s="60" t="n">
        <f aca="false">IF(ISNUMBER(BJ318),BJ318+BJ325,"")</f>
        <v>14917.8</v>
      </c>
      <c r="BK326" s="60" t="n">
        <f aca="false">IF(ISNUMBER(BK318),BK318+BK325,"")</f>
        <v>15124.9</v>
      </c>
      <c r="BL326" s="60" t="n">
        <f aca="false">IF(ISNUMBER(BL318),BL318+BL325,"")</f>
        <v>15124.9</v>
      </c>
      <c r="BM326" s="60" t="n">
        <f aca="false">IF(ISNUMBER(BM318),BM318+BM325,"")</f>
        <v>16240</v>
      </c>
      <c r="BN326" s="60" t="n">
        <f aca="false">IF(ISNUMBER(BN318),BN318+BN325,"")</f>
        <v>16333</v>
      </c>
      <c r="BO326" s="60" t="n">
        <f aca="false">IF(ISNUMBER(BO318),BO318+BO325,"")</f>
        <v>16469</v>
      </c>
      <c r="BP326" s="60" t="n">
        <f aca="false">IF(ISNUMBER(BP318),BP318+BP325,"")</f>
        <v>18170</v>
      </c>
      <c r="BQ326" s="60" t="n">
        <f aca="false">IF(ISNUMBER(BQ318),BQ318+BQ325,"")</f>
        <v>18170</v>
      </c>
      <c r="BR326" s="60" t="n">
        <f aca="false">IF(ISNUMBER(BR318),BR318+BR325,"")</f>
        <v>17724</v>
      </c>
      <c r="BS326" s="60" t="n">
        <f aca="false">IF(ISNUMBER(BS318),BS318+BS325,"")</f>
        <v>18070</v>
      </c>
      <c r="BT326" s="60" t="n">
        <f aca="false">IF(ISNUMBER(BT318),BT318+BT325,"")</f>
        <v>18653</v>
      </c>
      <c r="BU326" s="60" t="n">
        <f aca="false">IF(ISNUMBER(BU318),BU318+BU325,"")</f>
        <v>18711</v>
      </c>
      <c r="BV326" s="60" t="n">
        <f aca="false">IF(ISNUMBER(BV318),BV318+BV325,"")</f>
        <v>18711</v>
      </c>
      <c r="BW326" s="60" t="n">
        <f aca="false">IF(ISNUMBER(BW318),BW318+BW325,"")</f>
        <v>20497</v>
      </c>
      <c r="BX326" s="60" t="n">
        <f aca="false">IF(ISNUMBER(BX318),BX318+BX325,"")</f>
        <v>21305</v>
      </c>
      <c r="BY326" s="70"/>
      <c r="BZ326" s="70"/>
      <c r="CA326" s="60" t="n">
        <f aca="false">IF(ISNUMBER(CA318),CA318+CA325,"")</f>
        <v>37179.7399093491</v>
      </c>
      <c r="CB326" s="60" t="n">
        <f aca="false">IF(ISNUMBER(CB318),CB318+CB325,"")</f>
        <v>36807.4878608277</v>
      </c>
      <c r="CC326" s="60" t="n">
        <f aca="false">IF(ISNUMBER(CC318),CC318+CC325,"")</f>
        <v>37941.1462337869</v>
      </c>
      <c r="CD326" s="60" t="n">
        <f aca="false">IF(ISNUMBER(CD318),CD318+CD325,"")</f>
        <v>38174.2545667825</v>
      </c>
      <c r="CE326" s="60" t="n">
        <f aca="false">IF(ISNUMBER(CE318),CE318+CE325,"")</f>
        <v>37921.325274274</v>
      </c>
      <c r="CF326" s="6"/>
    </row>
    <row r="327" customFormat="false" ht="15" hidden="false" customHeight="true" outlineLevel="0" collapsed="false">
      <c r="B327" s="61" t="s">
        <v>526</v>
      </c>
      <c r="C327" s="47" t="n">
        <f aca="false">IF(ISNUMBER(C305),ROUND(C305-C326,1),"")</f>
        <v>0</v>
      </c>
      <c r="D327" s="47" t="n">
        <f aca="false">IF(ISNUMBER(D305),ROUND(D305-D326,1),"")</f>
        <v>0</v>
      </c>
      <c r="E327" s="47" t="n">
        <f aca="false">IF(ISNUMBER(E305),ROUND(E305-E326,1),"")</f>
        <v>0</v>
      </c>
      <c r="F327" s="47" t="n">
        <f aca="false">IF(ISNUMBER(F305),ROUND(F305-F326,1),"")</f>
        <v>0</v>
      </c>
      <c r="G327" s="47" t="n">
        <f aca="false">IF(ISNUMBER(G305),ROUND(G305-G326,1),"")</f>
        <v>0</v>
      </c>
      <c r="H327" s="47" t="n">
        <f aca="false">IF(ISNUMBER(H305),ROUND(H305-H326,1),"")</f>
        <v>0</v>
      </c>
      <c r="I327" s="47" t="n">
        <f aca="false">IF(ISNUMBER(I305),ROUND(I305-I326,1),"")</f>
        <v>0</v>
      </c>
      <c r="J327" s="47" t="n">
        <f aca="false">IF(ISNUMBER(J305),ROUND(J305-J326,1),"")</f>
        <v>0</v>
      </c>
      <c r="K327" s="47" t="n">
        <f aca="false">IF(ISNUMBER(K305),ROUND(K305-K326,1),"")</f>
        <v>0</v>
      </c>
      <c r="L327" s="47" t="n">
        <f aca="false">IF(ISNUMBER(L305),ROUND(L305-L326,1),"")</f>
        <v>0</v>
      </c>
      <c r="M327" s="47" t="n">
        <f aca="false">IF(ISNUMBER(M305),ROUND(M305-M326,1),"")</f>
        <v>0</v>
      </c>
      <c r="N327" s="47" t="n">
        <f aca="false">IF(ISNUMBER(N305),ROUND(N305-N326,1),"")</f>
        <v>0</v>
      </c>
      <c r="O327" s="47" t="n">
        <f aca="false">IF(ISNUMBER(O305),ROUND(O305-O326,1),"")</f>
        <v>0</v>
      </c>
      <c r="P327" s="47" t="n">
        <f aca="false">IF(ISNUMBER(P305),ROUND(P305-P326,1),"")</f>
        <v>0</v>
      </c>
      <c r="Q327" s="47" t="n">
        <f aca="false">IF(ISNUMBER(Q305),ROUND(Q305-Q326,1),"")</f>
        <v>0</v>
      </c>
      <c r="R327" s="47" t="n">
        <f aca="false">IF(ISNUMBER(R305),ROUND(R305-R326,1),"")</f>
        <v>0</v>
      </c>
      <c r="S327" s="47" t="n">
        <f aca="false">IF(ISNUMBER(S305),ROUND(S305-S326,1),"")</f>
        <v>0</v>
      </c>
      <c r="T327" s="47" t="n">
        <f aca="false">IF(ISNUMBER(T305),ROUND(T305-T326,1),"")</f>
        <v>0</v>
      </c>
      <c r="U327" s="47" t="n">
        <f aca="false">IF(ISNUMBER(U305),ROUND(U305-U326,1),"")</f>
        <v>0</v>
      </c>
      <c r="V327" s="47" t="n">
        <f aca="false">IF(ISNUMBER(V305),ROUND(V305-V326,1),"")</f>
        <v>0</v>
      </c>
      <c r="W327" s="47" t="n">
        <f aca="false">IF(ISNUMBER(W305),ROUND(W305-W326,1),"")</f>
        <v>0</v>
      </c>
      <c r="X327" s="47" t="n">
        <f aca="false">IF(ISNUMBER(X305),ROUND(X305-X326,1),"")</f>
        <v>0</v>
      </c>
      <c r="Y327" s="47" t="n">
        <f aca="false">IF(ISNUMBER(Y305),ROUND(Y305-Y326,1),"")</f>
        <v>0</v>
      </c>
      <c r="Z327" s="47" t="n">
        <f aca="false">IF(ISNUMBER(Z305),ROUND(Z305-Z326,1),"")</f>
        <v>0</v>
      </c>
      <c r="AA327" s="47" t="n">
        <f aca="false">IF(ISNUMBER(AA305),ROUND(AA305-AA326,1),"")</f>
        <v>0</v>
      </c>
      <c r="AB327" s="47" t="n">
        <f aca="false">IF(ISNUMBER(AB305),ROUND(AB305-AB326,1),"")</f>
        <v>0</v>
      </c>
      <c r="AC327" s="47" t="n">
        <f aca="false">IF(ISNUMBER(AC305),ROUND(AC305-AC326,1),"")</f>
        <v>0</v>
      </c>
      <c r="AD327" s="47" t="n">
        <f aca="false">IF(ISNUMBER(AD305),ROUND(AD305-AD326,1),"")</f>
        <v>0</v>
      </c>
      <c r="AE327" s="47" t="n">
        <f aca="false">IF(ISNUMBER(AE305),ROUND(AE305-AE326,1),"")</f>
        <v>0</v>
      </c>
      <c r="AF327" s="47" t="n">
        <f aca="false">IF(ISNUMBER(AF305),ROUND(AF305-AF326,1),"")</f>
        <v>0</v>
      </c>
      <c r="AG327" s="47" t="n">
        <f aca="false">IF(ISNUMBER(AG305),ROUND(AG305-AG326,1),"")</f>
        <v>0</v>
      </c>
      <c r="AH327" s="47" t="n">
        <f aca="false">IF(ISNUMBER(AH305),ROUND(AH305-AH326,1),"")</f>
        <v>0</v>
      </c>
      <c r="AI327" s="47" t="n">
        <f aca="false">IF(ISNUMBER(AI305),ROUND(AI305-AI326,1),"")</f>
        <v>0</v>
      </c>
      <c r="AJ327" s="47" t="n">
        <f aca="false">IF(ISNUMBER(AJ305),ROUND(AJ305-AJ326,1),"")</f>
        <v>0</v>
      </c>
      <c r="AK327" s="47" t="n">
        <f aca="false">IF(ISNUMBER(AK305),ROUND(AK305-AK326,1),"")</f>
        <v>0</v>
      </c>
      <c r="AL327" s="47" t="n">
        <f aca="false">IF(ISNUMBER(AL305),ROUND(AL305-AL326,1),"")</f>
        <v>0</v>
      </c>
      <c r="AM327" s="47" t="n">
        <f aca="false">IF(ISNUMBER(AM305),ROUND(AM305-AM326,1),"")</f>
        <v>0</v>
      </c>
      <c r="AN327" s="47" t="n">
        <f aca="false">IF(ISNUMBER(AN305),ROUND(AN305-AN326,1),"")</f>
        <v>0</v>
      </c>
      <c r="AO327" s="47" t="n">
        <f aca="false">IF(ISNUMBER(AO305),ROUND(AO305-AO326,1),"")</f>
        <v>0</v>
      </c>
      <c r="AP327" s="47" t="n">
        <f aca="false">IF(ISNUMBER(AP305),ROUND(AP305-AP326,1),"")</f>
        <v>0</v>
      </c>
      <c r="AQ327" s="47" t="n">
        <f aca="false">IF(ISNUMBER(AQ305),ROUND(AQ305-AQ326,1),"")</f>
        <v>0</v>
      </c>
      <c r="AR327" s="47" t="n">
        <f aca="false">IF(ISNUMBER(AR305),ROUND(AR305-AR326,1),"")</f>
        <v>0</v>
      </c>
      <c r="AS327" s="47" t="n">
        <f aca="false">IF(ISNUMBER(AS305),ROUND(AS305-AS326,1),"")</f>
        <v>0</v>
      </c>
      <c r="AT327" s="47" t="n">
        <f aca="false">IF(ISNUMBER(AT305),ROUND(AT305-AT326,1),"")</f>
        <v>0</v>
      </c>
      <c r="AU327" s="47" t="n">
        <f aca="false">IF(ISNUMBER(AU305),ROUND(AU305-AU326,1),"")</f>
        <v>0</v>
      </c>
      <c r="AV327" s="47" t="n">
        <f aca="false">IF(ISNUMBER(AV305),ROUND(AV305-AV326,1),"")</f>
        <v>0</v>
      </c>
      <c r="AW327" s="47" t="n">
        <f aca="false">IF(ISNUMBER(AW305),ROUND(AW305-AW326,1),"")</f>
        <v>0</v>
      </c>
      <c r="AX327" s="47" t="n">
        <f aca="false">IF(ISNUMBER(AX305),ROUND(AX305-AX326,1),"")</f>
        <v>0</v>
      </c>
      <c r="AY327" s="47" t="n">
        <f aca="false">IF(ISNUMBER(AY305),ROUND(AY305-AY326,1),"")</f>
        <v>0</v>
      </c>
      <c r="AZ327" s="47" t="n">
        <f aca="false">IF(ISNUMBER(AZ305),ROUND(AZ305-AZ326,1),"")</f>
        <v>0</v>
      </c>
      <c r="BA327" s="47" t="n">
        <f aca="false">IF(ISNUMBER(BA305),ROUND(BA305-BA326,1),"")</f>
        <v>0</v>
      </c>
      <c r="BB327" s="47" t="n">
        <f aca="false">IF(ISNUMBER(BB305),ROUND(BB305-BB326,1),"")</f>
        <v>0</v>
      </c>
      <c r="BC327" s="47" t="n">
        <f aca="false">IF(ISNUMBER(BC305),ROUND(BC305-BC326,1),"")</f>
        <v>0</v>
      </c>
      <c r="BD327" s="47" t="n">
        <f aca="false">IF(ISNUMBER(BD305),ROUND(BD305-BD326,1),"")</f>
        <v>0</v>
      </c>
      <c r="BE327" s="47" t="n">
        <f aca="false">IF(ISNUMBER(BE305),ROUND(BE305-BE326,1),"")</f>
        <v>0</v>
      </c>
      <c r="BF327" s="47" t="n">
        <f aca="false">IF(ISNUMBER(BF305),ROUND(BF305-BF326,1),"")</f>
        <v>0</v>
      </c>
      <c r="BG327" s="47" t="n">
        <f aca="false">IF(ISNUMBER(BG305),ROUND(BG305-BG326,1),"")</f>
        <v>0</v>
      </c>
      <c r="BH327" s="47" t="n">
        <f aca="false">IF(ISNUMBER(BH305),ROUND(BH305-BH326,1),"")</f>
        <v>0</v>
      </c>
      <c r="BI327" s="47" t="n">
        <f aca="false">IF(ISNUMBER(BI305),ROUND(BI305-BI326,1),"")</f>
        <v>0</v>
      </c>
      <c r="BJ327" s="47" t="n">
        <f aca="false">IF(ISNUMBER(BJ305),ROUND(BJ305-BJ326,1),"")</f>
        <v>0</v>
      </c>
      <c r="BK327" s="47" t="n">
        <f aca="false">IF(ISNUMBER(BK305),ROUND(BK305-BK326,1),"")</f>
        <v>0</v>
      </c>
      <c r="BL327" s="47" t="n">
        <f aca="false">IF(ISNUMBER(BL305),ROUND(BL305-BL326,1),"")</f>
        <v>0</v>
      </c>
      <c r="BM327" s="47" t="n">
        <f aca="false">IF(ISNUMBER(BM305),ROUND(BM305-BM326,1),"")</f>
        <v>0</v>
      </c>
      <c r="BN327" s="47" t="n">
        <f aca="false">IF(ISNUMBER(BN305),ROUND(BN305-BN326,1),"")</f>
        <v>0</v>
      </c>
      <c r="BO327" s="47" t="n">
        <f aca="false">IF(ISNUMBER(BO305),ROUND(BO305-BO326,1),"")</f>
        <v>0</v>
      </c>
      <c r="BP327" s="47" t="n">
        <f aca="false">IF(ISNUMBER(BP305),ROUND(BP305-BP326,1),"")</f>
        <v>0</v>
      </c>
      <c r="BQ327" s="47" t="n">
        <f aca="false">IF(ISNUMBER(BQ305),ROUND(BQ305-BQ326,1),"")</f>
        <v>0</v>
      </c>
      <c r="BR327" s="47" t="n">
        <f aca="false">IF(ISNUMBER(BR305),ROUND(BR305-BR326,1),"")</f>
        <v>0</v>
      </c>
      <c r="BS327" s="47" t="n">
        <f aca="false">IF(ISNUMBER(BS305),ROUND(BS305-BS326,1),"")</f>
        <v>0</v>
      </c>
      <c r="BT327" s="47" t="n">
        <f aca="false">IF(ISNUMBER(BT305),ROUND(BT305-BT326,1),"")</f>
        <v>0</v>
      </c>
      <c r="BU327" s="47" t="n">
        <f aca="false">IF(ISNUMBER(BU305),ROUND(BU305-BU326,1),"")</f>
        <v>0</v>
      </c>
      <c r="BV327" s="47" t="n">
        <f aca="false">IF(ISNUMBER(BV305),ROUND(BV305-BV326,1),"")</f>
        <v>0</v>
      </c>
      <c r="BW327" s="47" t="n">
        <f aca="false">IF(ISNUMBER(BW305),ROUND(BW305-BW326,1),"")</f>
        <v>0</v>
      </c>
      <c r="BX327" s="47" t="n">
        <f aca="false">IF(ISNUMBER(BX305),ROUND(BX305-BX326,1),"")</f>
        <v>0</v>
      </c>
      <c r="BY327" s="6"/>
      <c r="BZ327" s="6"/>
      <c r="CA327" s="37" t="n">
        <f aca="false">IF(ISNUMBER(CA305),ROUND(CA305-CA326,1),"")</f>
        <v>0</v>
      </c>
      <c r="CB327" s="37" t="n">
        <f aca="false">IF(ISNUMBER(CB305),ROUND(CB305-CB326,1),"")</f>
        <v>0</v>
      </c>
      <c r="CC327" s="37" t="n">
        <f aca="false">IF(ISNUMBER(CC305),ROUND(CC305-CC326,1),"")</f>
        <v>0</v>
      </c>
      <c r="CD327" s="37" t="n">
        <f aca="false">IF(ISNUMBER(CD305),ROUND(CD305-CD326,1),"")</f>
        <v>0</v>
      </c>
      <c r="CE327" s="37" t="n">
        <f aca="false">IF(ISNUMBER(CE305),ROUND(CE305-CE326,1),"")</f>
        <v>0</v>
      </c>
      <c r="CF327" s="6"/>
    </row>
    <row r="328" customFormat="false" ht="15" hidden="false" customHeight="true" outlineLevel="0" collapsed="false">
      <c r="B328" s="61" t="s">
        <v>527</v>
      </c>
      <c r="C328" s="47" t="n">
        <f aca="false">IF(ISNUMBER(C329),ROUND(C305-C329,1),"")</f>
        <v>0</v>
      </c>
      <c r="D328" s="47" t="n">
        <f aca="false">IF(ISNUMBER(D329),ROUND(D305-D329,1),"")</f>
        <v>0</v>
      </c>
      <c r="E328" s="47" t="n">
        <f aca="false">IF(ISNUMBER(E329),ROUND(E305-E329,1),"")</f>
        <v>0</v>
      </c>
      <c r="F328" s="47" t="n">
        <f aca="false">IF(ISNUMBER(F329),ROUND(F305-F329,1),"")</f>
        <v>0</v>
      </c>
      <c r="G328" s="47" t="n">
        <f aca="false">IF(ISNUMBER(G329),ROUND(G305-G329,1),"")</f>
        <v>0</v>
      </c>
      <c r="H328" s="47" t="n">
        <f aca="false">IF(ISNUMBER(H329),ROUND(H305-H329,1),"")</f>
        <v>0</v>
      </c>
      <c r="I328" s="47" t="n">
        <f aca="false">IF(ISNUMBER(I329),ROUND(I305-I329,1),"")</f>
        <v>0</v>
      </c>
      <c r="J328" s="47" t="n">
        <f aca="false">IF(ISNUMBER(J329),ROUND(J305-J329,1),"")</f>
        <v>0</v>
      </c>
      <c r="K328" s="47" t="n">
        <f aca="false">IF(ISNUMBER(K329),ROUND(K305-K329,1),"")</f>
        <v>0</v>
      </c>
      <c r="L328" s="47" t="n">
        <f aca="false">IF(ISNUMBER(L329),ROUND(L305-L329,1),"")</f>
        <v>0</v>
      </c>
      <c r="M328" s="47" t="n">
        <f aca="false">IF(ISNUMBER(M329),ROUND(M305-M329,1),"")</f>
        <v>0</v>
      </c>
      <c r="N328" s="47" t="n">
        <f aca="false">IF(ISNUMBER(N329),ROUND(N305-N329,1),"")</f>
        <v>0</v>
      </c>
      <c r="O328" s="47" t="n">
        <f aca="false">IF(ISNUMBER(O329),ROUND(O305-O329,1),"")</f>
        <v>0</v>
      </c>
      <c r="P328" s="47" t="n">
        <f aca="false">IF(ISNUMBER(P329),ROUND(P305-P329,1),"")</f>
        <v>0</v>
      </c>
      <c r="Q328" s="47" t="n">
        <f aca="false">IF(ISNUMBER(Q329),ROUND(Q305-Q329,1),"")</f>
        <v>0</v>
      </c>
      <c r="R328" s="47" t="n">
        <f aca="false">IF(ISNUMBER(R329),ROUND(R305-R329,1),"")</f>
        <v>0</v>
      </c>
      <c r="S328" s="47" t="n">
        <f aca="false">IF(ISNUMBER(S329),ROUND(S305-S329,1),"")</f>
        <v>0</v>
      </c>
      <c r="T328" s="47" t="n">
        <f aca="false">IF(ISNUMBER(T329),ROUND(T305-T329,1),"")</f>
        <v>0</v>
      </c>
      <c r="U328" s="47" t="n">
        <f aca="false">IF(ISNUMBER(U329),ROUND(U305-U329,1),"")</f>
        <v>0</v>
      </c>
      <c r="V328" s="47" t="n">
        <f aca="false">IF(ISNUMBER(V329),ROUND(V305-V329,1),"")</f>
        <v>0</v>
      </c>
      <c r="W328" s="47" t="n">
        <f aca="false">IF(ISNUMBER(W329),ROUND(W305-W329,1),"")</f>
        <v>0</v>
      </c>
      <c r="X328" s="47" t="n">
        <f aca="false">IF(ISNUMBER(X329),ROUND(X305-X329,1),"")</f>
        <v>0</v>
      </c>
      <c r="Y328" s="47" t="n">
        <f aca="false">IF(ISNUMBER(Y329),ROUND(Y305-Y329,1),"")</f>
        <v>0</v>
      </c>
      <c r="Z328" s="47" t="n">
        <f aca="false">IF(ISNUMBER(Z329),ROUND(Z305-Z329,1),"")</f>
        <v>0</v>
      </c>
      <c r="AA328" s="47" t="n">
        <f aca="false">IF(ISNUMBER(AA329),ROUND(AA305-AA329,1),"")</f>
        <v>0</v>
      </c>
      <c r="AB328" s="47" t="n">
        <f aca="false">IF(ISNUMBER(AB329),ROUND(AB305-AB329,1),"")</f>
        <v>0</v>
      </c>
      <c r="AC328" s="47" t="n">
        <f aca="false">IF(ISNUMBER(AC329),ROUND(AC305-AC329,1),"")</f>
        <v>0</v>
      </c>
      <c r="AD328" s="47" t="n">
        <f aca="false">IF(ISNUMBER(AD329),ROUND(AD305-AD329,1),"")</f>
        <v>0</v>
      </c>
      <c r="AE328" s="47" t="n">
        <f aca="false">IF(ISNUMBER(AE329),ROUND(AE305-AE329,1),"")</f>
        <v>0</v>
      </c>
      <c r="AF328" s="47" t="n">
        <f aca="false">IF(ISNUMBER(AF329),ROUND(AF305-AF329,1),"")</f>
        <v>0</v>
      </c>
      <c r="AG328" s="47" t="n">
        <f aca="false">IF(ISNUMBER(AG329),ROUND(AG305-AG329,1),"")</f>
        <v>0</v>
      </c>
      <c r="AH328" s="47" t="n">
        <f aca="false">IF(ISNUMBER(AH329),ROUND(AH305-AH329,1),"")</f>
        <v>0</v>
      </c>
      <c r="AI328" s="47" t="n">
        <f aca="false">IF(ISNUMBER(AI329),ROUND(AI305-AI329,1),"")</f>
        <v>0</v>
      </c>
      <c r="AJ328" s="47" t="n">
        <f aca="false">IF(ISNUMBER(AJ329),ROUND(AJ305-AJ329,1),"")</f>
        <v>0</v>
      </c>
      <c r="AK328" s="47" t="n">
        <f aca="false">IF(ISNUMBER(AK329),ROUND(AK305-AK329,1),"")</f>
        <v>0</v>
      </c>
      <c r="AL328" s="47" t="n">
        <f aca="false">IF(ISNUMBER(AL329),ROUND(AL305-AL329,1),"")</f>
        <v>0</v>
      </c>
      <c r="AM328" s="47" t="n">
        <f aca="false">IF(ISNUMBER(AM329),ROUND(AM305-AM329,1),"")</f>
        <v>0</v>
      </c>
      <c r="AN328" s="47" t="n">
        <f aca="false">IF(ISNUMBER(AN329),ROUND(AN305-AN329,1),"")</f>
        <v>0</v>
      </c>
      <c r="AO328" s="47" t="n">
        <f aca="false">IF(ISNUMBER(AO329),ROUND(AO305-AO329,1),"")</f>
        <v>0</v>
      </c>
      <c r="AP328" s="47" t="n">
        <f aca="false">IF(ISNUMBER(AP329),ROUND(AP305-AP329,1),"")</f>
        <v>0</v>
      </c>
      <c r="AQ328" s="47" t="n">
        <f aca="false">IF(ISNUMBER(AQ329),ROUND(AQ305-AQ329,1),"")</f>
        <v>0</v>
      </c>
      <c r="AR328" s="47" t="n">
        <f aca="false">IF(ISNUMBER(AR329),ROUND(AR305-AR329,1),"")</f>
        <v>0</v>
      </c>
      <c r="AS328" s="47" t="n">
        <f aca="false">IF(ISNUMBER(AS329),ROUND(AS305-AS329,1),"")</f>
        <v>0</v>
      </c>
      <c r="AT328" s="47" t="n">
        <f aca="false">IF(ISNUMBER(AT329),ROUND(AT305-AT329,1),"")</f>
        <v>0</v>
      </c>
      <c r="AU328" s="47" t="n">
        <f aca="false">IF(ISNUMBER(AU329),ROUND(AU305-AU329,1),"")</f>
        <v>0</v>
      </c>
      <c r="AV328" s="47" t="n">
        <f aca="false">IF(ISNUMBER(AV329),ROUND(AV305-AV329,1),"")</f>
        <v>0</v>
      </c>
      <c r="AW328" s="47" t="n">
        <f aca="false">IF(ISNUMBER(AW329),ROUND(AW305-AW329,1),"")</f>
        <v>0</v>
      </c>
      <c r="AX328" s="47" t="n">
        <f aca="false">IF(ISNUMBER(AX329),ROUND(AX305-AX329,1),"")</f>
        <v>0</v>
      </c>
      <c r="AY328" s="47" t="n">
        <f aca="false">IF(ISNUMBER(AY329),ROUND(AY305-AY329,1),"")</f>
        <v>0</v>
      </c>
      <c r="AZ328" s="47" t="n">
        <f aca="false">IF(ISNUMBER(AZ329),ROUND(AZ305-AZ329,1),"")</f>
        <v>0</v>
      </c>
      <c r="BA328" s="47" t="n">
        <f aca="false">IF(ISNUMBER(BA329),ROUND(BA305-BA329,1),"")</f>
        <v>0</v>
      </c>
      <c r="BB328" s="47" t="n">
        <f aca="false">IF(ISNUMBER(BB329),ROUND(BB305-BB329,1),"")</f>
        <v>0</v>
      </c>
      <c r="BC328" s="47" t="n">
        <f aca="false">IF(ISNUMBER(BC329),ROUND(BC305-BC329,1),"")</f>
        <v>0</v>
      </c>
      <c r="BD328" s="47" t="n">
        <f aca="false">IF(ISNUMBER(BD329),ROUND(BD305-BD329,1),"")</f>
        <v>0</v>
      </c>
      <c r="BE328" s="47" t="n">
        <f aca="false">IF(ISNUMBER(BE329),ROUND(BE305-BE329,1),"")</f>
        <v>0</v>
      </c>
      <c r="BF328" s="47" t="n">
        <f aca="false">IF(ISNUMBER(BF329),ROUND(BF305-BF329,1),"")</f>
        <v>0</v>
      </c>
      <c r="BG328" s="47" t="n">
        <f aca="false">IF(ISNUMBER(BG329),ROUND(BG305-BG329,1),"")</f>
        <v>0</v>
      </c>
      <c r="BH328" s="47" t="n">
        <f aca="false">IF(ISNUMBER(BH329),ROUND(BH305-BH329,1),"")</f>
        <v>0</v>
      </c>
      <c r="BI328" s="47" t="n">
        <f aca="false">IF(ISNUMBER(BI329),ROUND(BI305-BI329,1),"")</f>
        <v>0</v>
      </c>
      <c r="BJ328" s="47" t="n">
        <f aca="false">IF(ISNUMBER(BJ329),ROUND(BJ305-BJ329,1),"")</f>
        <v>0</v>
      </c>
      <c r="BK328" s="47" t="n">
        <f aca="false">IF(ISNUMBER(BK329),ROUND(BK305-BK329,1),"")</f>
        <v>0</v>
      </c>
      <c r="BL328" s="47" t="n">
        <f aca="false">IF(ISNUMBER(BL329),ROUND(BL305-BL329,1),"")</f>
        <v>0</v>
      </c>
      <c r="BM328" s="47" t="n">
        <f aca="false">IF(ISNUMBER(BM329),ROUND(BM305-BM329,1),"")</f>
        <v>0</v>
      </c>
      <c r="BN328" s="47" t="n">
        <f aca="false">IF(ISNUMBER(BN329),ROUND(BN305-BN329,1),"")</f>
        <v>0</v>
      </c>
      <c r="BO328" s="47" t="n">
        <f aca="false">IF(ISNUMBER(BO329),ROUND(BO305-BO329,1),"")</f>
        <v>0</v>
      </c>
      <c r="BP328" s="47" t="n">
        <f aca="false">IF(ISNUMBER(BP329),ROUND(BP305-BP329,1),"")</f>
        <v>0</v>
      </c>
      <c r="BQ328" s="47" t="n">
        <f aca="false">IF(ISNUMBER(BQ329),ROUND(BQ305-BQ329,1),"")</f>
        <v>0</v>
      </c>
      <c r="BR328" s="47" t="n">
        <f aca="false">IF(ISNUMBER(BR329),ROUND(BR305-BR329,1),"")</f>
        <v>0</v>
      </c>
      <c r="BS328" s="47" t="n">
        <f aca="false">IF(ISNUMBER(BS329),ROUND(BS305-BS329,1),"")</f>
        <v>0</v>
      </c>
      <c r="BT328" s="47" t="n">
        <f aca="false">IF(ISNUMBER(BT329),ROUND(BT305-BT329,1),"")</f>
        <v>0</v>
      </c>
      <c r="BU328" s="47" t="n">
        <f aca="false">IF(ISNUMBER(BU329),ROUND(BU305-BU329,1),"")</f>
        <v>0</v>
      </c>
      <c r="BV328" s="47" t="n">
        <f aca="false">IF(ISNUMBER(BV329),ROUND(BV305-BV329,1),"")</f>
        <v>0</v>
      </c>
      <c r="BW328" s="47" t="n">
        <f aca="false">IF(ISNUMBER(BW329),ROUND(BW305-BW329,1),"")</f>
        <v>0</v>
      </c>
      <c r="BX328" s="47" t="n">
        <f aca="false">IF(ISNUMBER(BX329),ROUND(BX305-BX329,1),"")</f>
        <v>0</v>
      </c>
      <c r="BY328" s="6"/>
      <c r="BZ328" s="6"/>
      <c r="CA328" s="6"/>
      <c r="CB328" s="6"/>
      <c r="CC328" s="6"/>
      <c r="CD328" s="6"/>
      <c r="CE328" s="6"/>
      <c r="CF328" s="6"/>
    </row>
    <row r="329" customFormat="false" ht="15" hidden="false" customHeight="true" outlineLevel="0" collapsed="false">
      <c r="B329" s="42" t="s">
        <v>528</v>
      </c>
      <c r="C329" s="36" t="n">
        <v>2506.421</v>
      </c>
      <c r="D329" s="36" t="n">
        <v>2683.805</v>
      </c>
      <c r="E329" s="36" t="n">
        <v>3032.502</v>
      </c>
      <c r="F329" s="36" t="n">
        <v>3239.283</v>
      </c>
      <c r="G329" s="36" t="n">
        <v>3074.743</v>
      </c>
      <c r="H329" s="36" t="n">
        <v>3147.822</v>
      </c>
      <c r="I329" s="36" t="n">
        <v>3160.926</v>
      </c>
      <c r="J329" s="36" t="n">
        <v>3154.775</v>
      </c>
      <c r="K329" s="36" t="n">
        <v>3231.119</v>
      </c>
      <c r="L329" s="36" t="n">
        <v>3337.105</v>
      </c>
      <c r="M329" s="36" t="n">
        <v>3259.826</v>
      </c>
      <c r="N329" s="36" t="n">
        <v>3259.826</v>
      </c>
      <c r="O329" s="36" t="n">
        <v>3255.257</v>
      </c>
      <c r="P329" s="36" t="n">
        <v>3356.043</v>
      </c>
      <c r="Q329" s="36" t="n">
        <v>7338.858</v>
      </c>
      <c r="R329" s="36" t="n">
        <v>7464.392</v>
      </c>
      <c r="S329" s="36" t="n">
        <v>7464.392</v>
      </c>
      <c r="T329" s="36" t="n">
        <v>7417.646</v>
      </c>
      <c r="U329" s="36" t="n">
        <v>7499.654</v>
      </c>
      <c r="V329" s="36" t="n">
        <v>7438.448</v>
      </c>
      <c r="W329" s="36" t="n">
        <v>6961.732</v>
      </c>
      <c r="X329" s="36" t="n">
        <v>6961.732</v>
      </c>
      <c r="Y329" s="36" t="n">
        <v>7058.287</v>
      </c>
      <c r="Z329" s="36" t="n">
        <v>7233.305</v>
      </c>
      <c r="AA329" s="36" t="n">
        <v>7373.201</v>
      </c>
      <c r="AB329" s="36" t="n">
        <v>7300.905</v>
      </c>
      <c r="AC329" s="36" t="n">
        <v>7300.905</v>
      </c>
      <c r="AD329" s="36" t="n">
        <v>7393.791</v>
      </c>
      <c r="AE329" s="36" t="n">
        <v>7515.86</v>
      </c>
      <c r="AF329" s="36" t="n">
        <v>7566.785</v>
      </c>
      <c r="AG329" s="36" t="n">
        <v>8992.511</v>
      </c>
      <c r="AH329" s="36" t="n">
        <v>8992.511</v>
      </c>
      <c r="AI329" s="36" t="n">
        <v>8948.05</v>
      </c>
      <c r="AJ329" s="36" t="n">
        <v>9596.752</v>
      </c>
      <c r="AK329" s="36" t="n">
        <v>9588.171</v>
      </c>
      <c r="AL329" s="36" t="n">
        <v>9551.419</v>
      </c>
      <c r="AM329" s="36" t="n">
        <v>9551.419</v>
      </c>
      <c r="AN329" s="36" t="n">
        <v>10048.407</v>
      </c>
      <c r="AO329" s="36" t="n">
        <v>10163.657</v>
      </c>
      <c r="AP329" s="36" t="n">
        <v>10223.485</v>
      </c>
      <c r="AQ329" s="36" t="n">
        <v>10131.6</v>
      </c>
      <c r="AR329" s="36" t="n">
        <v>10131.6</v>
      </c>
      <c r="AS329" s="36" t="n">
        <v>10503.4</v>
      </c>
      <c r="AT329" s="36" t="n">
        <v>10226.6</v>
      </c>
      <c r="AU329" s="36" t="n">
        <v>10435.4</v>
      </c>
      <c r="AV329" s="36" t="n">
        <v>10580.8</v>
      </c>
      <c r="AW329" s="36" t="n">
        <v>10580.8</v>
      </c>
      <c r="AX329" s="36" t="n">
        <v>10659.3</v>
      </c>
      <c r="AY329" s="36" t="n">
        <v>11223.1</v>
      </c>
      <c r="AZ329" s="36" t="n">
        <v>13786.2</v>
      </c>
      <c r="BA329" s="36" t="n">
        <v>14393</v>
      </c>
      <c r="BB329" s="36" t="n">
        <v>14393</v>
      </c>
      <c r="BC329" s="36" t="n">
        <v>14241.5</v>
      </c>
      <c r="BD329" s="36" t="n">
        <v>14542.8</v>
      </c>
      <c r="BE329" s="36" t="n">
        <v>14729.7</v>
      </c>
      <c r="BF329" s="36" t="n">
        <v>14993.6</v>
      </c>
      <c r="BG329" s="36" t="n">
        <v>14993.6</v>
      </c>
      <c r="BH329" s="36" t="n">
        <v>14890.9</v>
      </c>
      <c r="BI329" s="36" t="n">
        <v>15246.2</v>
      </c>
      <c r="BJ329" s="36" t="n">
        <v>14917.8</v>
      </c>
      <c r="BK329" s="36" t="n">
        <v>15124.9</v>
      </c>
      <c r="BL329" s="36" t="n">
        <v>15124.9</v>
      </c>
      <c r="BM329" s="36" t="n">
        <v>16240</v>
      </c>
      <c r="BN329" s="36" t="n">
        <v>16333</v>
      </c>
      <c r="BO329" s="36" t="n">
        <v>16469</v>
      </c>
      <c r="BP329" s="36" t="n">
        <v>18170</v>
      </c>
      <c r="BQ329" s="36" t="n">
        <v>18170</v>
      </c>
      <c r="BR329" s="36" t="n">
        <v>17724</v>
      </c>
      <c r="BS329" s="36" t="n">
        <v>18070</v>
      </c>
      <c r="BT329" s="36" t="n">
        <v>18653</v>
      </c>
      <c r="BU329" s="36" t="n">
        <v>18711</v>
      </c>
      <c r="BV329" s="36" t="n">
        <v>18711</v>
      </c>
      <c r="BW329" s="36" t="n">
        <v>20497</v>
      </c>
      <c r="BX329" s="36" t="n">
        <v>21305</v>
      </c>
      <c r="BY329" s="6"/>
      <c r="BZ329" s="6"/>
      <c r="CA329" s="6"/>
      <c r="CB329" s="6"/>
      <c r="CC329" s="6"/>
      <c r="CD329" s="6"/>
      <c r="CE329" s="6"/>
      <c r="CF329" s="6"/>
    </row>
    <row r="330" customFormat="false" ht="15" hidden="false" customHeight="true" outlineLevel="0" collapsed="false">
      <c r="B330" s="61" t="s">
        <v>529</v>
      </c>
      <c r="C330" s="47" t="n">
        <f aca="false">IF(AND(ISNUMBER(C294),ISNUMBER(C269)),ROUND(C294-C269,1),"")</f>
        <v>0</v>
      </c>
      <c r="D330" s="47" t="n">
        <f aca="false">IF(AND(ISNUMBER(D294),ISNUMBER(D269)),ROUND(D294-D269,1),"")</f>
        <v>0</v>
      </c>
      <c r="E330" s="47" t="n">
        <f aca="false">IF(AND(ISNUMBER(E294),ISNUMBER(E269)),ROUND(E294-E269,1),"")</f>
        <v>0</v>
      </c>
      <c r="F330" s="47" t="n">
        <f aca="false">IF(AND(ISNUMBER(F294),ISNUMBER(F269)),ROUND(F294-F269,1),"")</f>
        <v>0</v>
      </c>
      <c r="G330" s="47" t="n">
        <f aca="false">IF(AND(ISNUMBER(G294),ISNUMBER(G269)),ROUND(G294-G269,1),"")</f>
        <v>0</v>
      </c>
      <c r="H330" s="47" t="n">
        <f aca="false">IF(AND(ISNUMBER(H294),ISNUMBER(H269)),ROUND(H294-H269,1),"")</f>
        <v>0</v>
      </c>
      <c r="I330" s="47" t="n">
        <f aca="false">IF(AND(ISNUMBER(I294),ISNUMBER(I269)),ROUND(I294-I269,1),"")</f>
        <v>0</v>
      </c>
      <c r="J330" s="47" t="n">
        <f aca="false">IF(AND(ISNUMBER(J294),ISNUMBER(J269)),ROUND(J294-J269,1),"")</f>
        <v>0</v>
      </c>
      <c r="K330" s="47" t="n">
        <f aca="false">IF(AND(ISNUMBER(K294),ISNUMBER(K269)),ROUND(K294-K269,1),"")</f>
        <v>0</v>
      </c>
      <c r="L330" s="47" t="n">
        <f aca="false">IF(AND(ISNUMBER(L294),ISNUMBER(L269)),ROUND(L294-L269,1),"")</f>
        <v>0</v>
      </c>
      <c r="M330" s="47" t="n">
        <f aca="false">IF(AND(ISNUMBER(M294),ISNUMBER(M269)),ROUND(M294-M269,1),"")</f>
        <v>0</v>
      </c>
      <c r="N330" s="47" t="n">
        <f aca="false">IF(AND(ISNUMBER(N294),ISNUMBER(N269)),ROUND(N294-N269,1),"")</f>
        <v>0</v>
      </c>
      <c r="O330" s="47" t="n">
        <f aca="false">IF(AND(ISNUMBER(O294),ISNUMBER(O269)),ROUND(O294-O269,1),"")</f>
        <v>0</v>
      </c>
      <c r="P330" s="47" t="n">
        <f aca="false">IF(AND(ISNUMBER(P294),ISNUMBER(P269)),ROUND(P294-P269,1),"")</f>
        <v>0</v>
      </c>
      <c r="Q330" s="47" t="n">
        <f aca="false">IF(AND(ISNUMBER(Q294),ISNUMBER(Q269)),ROUND(Q294-Q269,1),"")</f>
        <v>0</v>
      </c>
      <c r="R330" s="47" t="n">
        <f aca="false">IF(AND(ISNUMBER(R294),ISNUMBER(R269)),ROUND(R294-R269,1),"")</f>
        <v>0</v>
      </c>
      <c r="S330" s="47" t="n">
        <f aca="false">IF(AND(ISNUMBER(S294),ISNUMBER(S269)),ROUND(S294-S269,1),"")</f>
        <v>0</v>
      </c>
      <c r="T330" s="47" t="n">
        <f aca="false">IF(AND(ISNUMBER(T294),ISNUMBER(T269)),ROUND(T294-T269,1),"")</f>
        <v>0</v>
      </c>
      <c r="U330" s="47" t="n">
        <f aca="false">IF(AND(ISNUMBER(U294),ISNUMBER(U269)),ROUND(U294-U269,1),"")</f>
        <v>0</v>
      </c>
      <c r="V330" s="47" t="n">
        <f aca="false">IF(AND(ISNUMBER(V294),ISNUMBER(V269)),ROUND(V294-V269,1),"")</f>
        <v>0</v>
      </c>
      <c r="W330" s="47" t="n">
        <f aca="false">IF(AND(ISNUMBER(W294),ISNUMBER(W269)),ROUND(W294-W269,1),"")</f>
        <v>0</v>
      </c>
      <c r="X330" s="47" t="n">
        <f aca="false">IF(AND(ISNUMBER(X294),ISNUMBER(X269)),ROUND(X294-X269,1),"")</f>
        <v>0</v>
      </c>
      <c r="Y330" s="47" t="n">
        <f aca="false">IF(AND(ISNUMBER(Y294),ISNUMBER(Y269)),ROUND(Y294-Y269,1),"")</f>
        <v>0</v>
      </c>
      <c r="Z330" s="47" t="n">
        <f aca="false">IF(AND(ISNUMBER(Z294),ISNUMBER(Z269)),ROUND(Z294-Z269,1),"")</f>
        <v>0</v>
      </c>
      <c r="AA330" s="47" t="n">
        <f aca="false">IF(AND(ISNUMBER(AA294),ISNUMBER(AA269)),ROUND(AA294-AA269,1),"")</f>
        <v>0</v>
      </c>
      <c r="AB330" s="47" t="n">
        <f aca="false">IF(AND(ISNUMBER(AB294),ISNUMBER(AB269)),ROUND(AB294-AB269,1),"")</f>
        <v>0</v>
      </c>
      <c r="AC330" s="47" t="n">
        <f aca="false">IF(AND(ISNUMBER(AC294),ISNUMBER(AC269)),ROUND(AC294-AC269,1),"")</f>
        <v>0</v>
      </c>
      <c r="AD330" s="47" t="n">
        <f aca="false">IF(AND(ISNUMBER(AD294),ISNUMBER(AD269)),ROUND(AD294-AD269,1),"")</f>
        <v>0</v>
      </c>
      <c r="AE330" s="47" t="n">
        <f aca="false">IF(AND(ISNUMBER(AE294),ISNUMBER(AE269)),ROUND(AE294-AE269,1),"")</f>
        <v>0</v>
      </c>
      <c r="AF330" s="47" t="n">
        <f aca="false">IF(AND(ISNUMBER(AF294),ISNUMBER(AF269)),ROUND(AF294-AF269,1),"")</f>
        <v>0</v>
      </c>
      <c r="AG330" s="47" t="n">
        <f aca="false">IF(AND(ISNUMBER(AG294),ISNUMBER(AG269)),ROUND(AG294-AG269,1),"")</f>
        <v>0</v>
      </c>
      <c r="AH330" s="47" t="n">
        <f aca="false">IF(AND(ISNUMBER(AH294),ISNUMBER(AH269)),ROUND(AH294-AH269,1),"")</f>
        <v>0</v>
      </c>
      <c r="AI330" s="47" t="n">
        <f aca="false">IF(AND(ISNUMBER(AI294),ISNUMBER(AI269)),ROUND(AI294+N(AI295)-AI269,1),"")</f>
        <v>0</v>
      </c>
      <c r="AJ330" s="47" t="n">
        <f aca="false">IF(AND(ISNUMBER(AJ294),ISNUMBER(AJ269)),ROUND(AJ294+N(AJ295)-AJ269,1),"")</f>
        <v>0</v>
      </c>
      <c r="AK330" s="47" t="n">
        <f aca="false">IF(AND(ISNUMBER(AK294),ISNUMBER(AK269)),ROUND(AK294+N(AK295)-AK269,1),"")</f>
        <v>0</v>
      </c>
      <c r="AL330" s="47" t="n">
        <f aca="false">IF(AND(ISNUMBER(AL294),ISNUMBER(AL269)),ROUND(AL294+N(AL295)-AL269,1),"")</f>
        <v>0</v>
      </c>
      <c r="AM330" s="47" t="n">
        <f aca="false">IF(AND(ISNUMBER(AM294),ISNUMBER(AM269)),ROUND(AM294+N(AM295)-AM269,1),"")</f>
        <v>0</v>
      </c>
      <c r="AN330" s="47" t="n">
        <f aca="false">IF(AND(ISNUMBER(AN294),ISNUMBER(AN269)),ROUND(AN294+N(AN295)-AN269,1),"")</f>
        <v>0</v>
      </c>
      <c r="AO330" s="47" t="n">
        <f aca="false">IF(AND(ISNUMBER(AO294),ISNUMBER(AO269)),ROUND(AO294+N(AO295)-AO269,1),"")</f>
        <v>0</v>
      </c>
      <c r="AP330" s="47" t="n">
        <f aca="false">IF(AND(ISNUMBER(AP294),ISNUMBER(AP269)),ROUND(AP294+N(AP295)-AP269,1),"")</f>
        <v>0</v>
      </c>
      <c r="AQ330" s="47" t="n">
        <f aca="false">IF(AND(ISNUMBER(AQ294),ISNUMBER(AQ269)),ROUND(AQ294+N(AQ295)-AQ269,1),"")</f>
        <v>0</v>
      </c>
      <c r="AR330" s="47" t="n">
        <f aca="false">IF(AND(ISNUMBER(AR294),ISNUMBER(AR269)),ROUND(AR294+N(AR295)-AR269,1),"")</f>
        <v>0</v>
      </c>
      <c r="AS330" s="47" t="n">
        <f aca="false">IF(AND(ISNUMBER(AS294),ISNUMBER(AS269)),ROUND(AS294+N(AS295)-AS269,1),"")</f>
        <v>0</v>
      </c>
      <c r="AT330" s="47" t="n">
        <f aca="false">IF(AND(ISNUMBER(AT294),ISNUMBER(AT269)),ROUND(AT294+N(AT295)-AT269,1),"")</f>
        <v>0</v>
      </c>
      <c r="AU330" s="47" t="n">
        <f aca="false">IF(AND(ISNUMBER(AU294),ISNUMBER(AU269)),ROUND(AU294+N(AU295)-AU269,1),"")</f>
        <v>0</v>
      </c>
      <c r="AV330" s="47" t="n">
        <f aca="false">IF(AND(ISNUMBER(AV294),ISNUMBER(AV269)),ROUND(AV294+N(AV295)-AV269,1),"")</f>
        <v>0</v>
      </c>
      <c r="AW330" s="47" t="n">
        <f aca="false">IF(AND(ISNUMBER(AW294),ISNUMBER(AW269)),ROUND(AW294+N(AW295)-AW269,1),"")</f>
        <v>0</v>
      </c>
      <c r="AX330" s="47" t="n">
        <f aca="false">IF(AND(ISNUMBER(AX294),ISNUMBER(AX269)),ROUND(AX294+N(AX295)-AX269,1),"")</f>
        <v>0</v>
      </c>
      <c r="AY330" s="47" t="n">
        <f aca="false">IF(AND(ISNUMBER(AY294),ISNUMBER(AY269)),ROUND(AY294+N(AY295)-AY269,1),"")</f>
        <v>0</v>
      </c>
      <c r="AZ330" s="47" t="n">
        <f aca="false">IF(AND(ISNUMBER(AZ294),ISNUMBER(AZ269)),ROUND(AZ294+N(AZ295)-AZ269,1),"")</f>
        <v>0</v>
      </c>
      <c r="BA330" s="47" t="n">
        <f aca="false">IF(AND(ISNUMBER(BA294),ISNUMBER(BA269)),ROUND(BA294+N(BA295)-BA269,1),"")</f>
        <v>0</v>
      </c>
      <c r="BB330" s="47" t="n">
        <f aca="false">IF(AND(ISNUMBER(BB294),ISNUMBER(BB269)),ROUND(BB294+N(BB295)-BB269,1),"")</f>
        <v>0</v>
      </c>
      <c r="BC330" s="47" t="n">
        <f aca="false">IF(AND(ISNUMBER(BC294),ISNUMBER(BC269)),ROUND(BC294+N(BC295)-BC269,1),"")</f>
        <v>0</v>
      </c>
      <c r="BD330" s="47" t="n">
        <f aca="false">IF(AND(ISNUMBER(BD294),ISNUMBER(BD269)),ROUND(BD294+N(BD295)-BD269,1),"")</f>
        <v>0</v>
      </c>
      <c r="BE330" s="47" t="n">
        <f aca="false">IF(AND(ISNUMBER(BE294),ISNUMBER(BE269)),ROUND(BE294+N(BE295)-BE269,1),"")</f>
        <v>0</v>
      </c>
      <c r="BF330" s="47" t="n">
        <f aca="false">IF(AND(ISNUMBER(BF294),ISNUMBER(BF269)),ROUND(BF294+N(BF295)-BF269,1),"")</f>
        <v>0</v>
      </c>
      <c r="BG330" s="47" t="n">
        <f aca="false">IF(AND(ISNUMBER(BG294),ISNUMBER(BG269)),ROUND(BG294+N(BG295)-BG269,1),"")</f>
        <v>0</v>
      </c>
      <c r="BH330" s="47" t="n">
        <f aca="false">IF(AND(ISNUMBER(BH294),ISNUMBER(BH269)),ROUND(BH294+N(BH295)-BH269,1),"")</f>
        <v>0</v>
      </c>
      <c r="BI330" s="47" t="n">
        <f aca="false">IF(AND(ISNUMBER(BI294),ISNUMBER(BI269)),ROUND(BI294+N(BI295)-BI269,1),"")</f>
        <v>0</v>
      </c>
      <c r="BJ330" s="47" t="n">
        <f aca="false">IF(AND(ISNUMBER(BJ294),ISNUMBER(BJ269)),ROUND(BJ294+N(BJ295)-BJ269,1),"")</f>
        <v>0</v>
      </c>
      <c r="BK330" s="47" t="n">
        <f aca="false">IF(AND(ISNUMBER(BK294),ISNUMBER(BK269)),ROUND(BK294+N(BK295)-BK269,1),"")</f>
        <v>0</v>
      </c>
      <c r="BL330" s="47" t="n">
        <f aca="false">IF(AND(ISNUMBER(BL294),ISNUMBER(BL269)),ROUND(BL294+N(BL295)-BL269,1),"")</f>
        <v>0</v>
      </c>
      <c r="BM330" s="47" t="n">
        <f aca="false">IF(AND(ISNUMBER(BM294),ISNUMBER(BM269)),ROUND(BM294+N(BM295)-BM269,1),"")</f>
        <v>0</v>
      </c>
      <c r="BN330" s="47" t="n">
        <f aca="false">IF(AND(ISNUMBER(BN294),ISNUMBER(BN269)),ROUND(BN294+N(BN295)-BN269,1),"")</f>
        <v>0</v>
      </c>
      <c r="BO330" s="47" t="n">
        <f aca="false">IF(AND(ISNUMBER(BO294),ISNUMBER(BO269)),ROUND(BO294+N(BO295)-BO269,1),"")</f>
        <v>0</v>
      </c>
      <c r="BP330" s="47" t="n">
        <f aca="false">IF(AND(ISNUMBER(BP294),ISNUMBER(BP269)),ROUND(BP294+N(BP295)-BP269,1),"")</f>
        <v>0</v>
      </c>
      <c r="BQ330" s="47" t="n">
        <f aca="false">IF(AND(ISNUMBER(BQ294),ISNUMBER(BQ269)),ROUND(BQ294+N(BQ295)-BQ269,1),"")</f>
        <v>0</v>
      </c>
      <c r="BR330" s="47" t="n">
        <f aca="false">IF(AND(ISNUMBER(BR294),ISNUMBER(BR269)),ROUND(BR294+N(BR295)-BR269,1),"")</f>
        <v>0</v>
      </c>
      <c r="BS330" s="47" t="n">
        <f aca="false">IF(AND(ISNUMBER(BS294),ISNUMBER(BS269)),ROUND(BS294+N(BS295)-BS269,1),"")</f>
        <v>0</v>
      </c>
      <c r="BT330" s="47" t="n">
        <f aca="false">IF(AND(ISNUMBER(BT294),ISNUMBER(BT269)),ROUND(BT294+N(BT295)-BT269,1),"")</f>
        <v>0</v>
      </c>
      <c r="BU330" s="47" t="n">
        <f aca="false">IF(AND(ISNUMBER(BU294),ISNUMBER(BU269)),ROUND(BU294+N(BU295)-BU269,1),"")</f>
        <v>0</v>
      </c>
      <c r="BV330" s="47" t="n">
        <f aca="false">IF(AND(ISNUMBER(BV294),ISNUMBER(BV269)),ROUND(BV294+N(BV295)-BV269,1),"")</f>
        <v>0</v>
      </c>
      <c r="BW330" s="47" t="n">
        <f aca="false">IF(AND(ISNUMBER(BW294),ISNUMBER(BW269)),ROUND(BW294+N(BW295)-BW269,1),"")</f>
        <v>0</v>
      </c>
      <c r="BX330" s="47" t="n">
        <f aca="false">IF(AND(ISNUMBER(BX294),ISNUMBER(BX269)),ROUND(BX294+N(BX295)-BX269,1),"")</f>
        <v>0</v>
      </c>
      <c r="BY330" s="6"/>
      <c r="BZ330" s="6"/>
      <c r="CA330" s="37" t="n">
        <f aca="false">IF(AND(ISNUMBER(CA294),ISNUMBER(CA269)),ROUND(CA294+N(CA295)-CA269,1),"")</f>
        <v>0</v>
      </c>
      <c r="CB330" s="37" t="n">
        <f aca="false">IF(AND(ISNUMBER(CB294),ISNUMBER(CB269)),ROUND(CB294+N(CB295)-CB269,1),"")</f>
        <v>0</v>
      </c>
      <c r="CC330" s="37" t="n">
        <f aca="false">IF(AND(ISNUMBER(CC294),ISNUMBER(CC269)),ROUND(CC294+N(CC295)-CC269,1),"")</f>
        <v>0</v>
      </c>
      <c r="CD330" s="37" t="n">
        <f aca="false">IF(AND(ISNUMBER(CD294),ISNUMBER(CD269)),ROUND(CD294+N(CD295)-CD269,1),"")</f>
        <v>0</v>
      </c>
      <c r="CE330" s="37" t="n">
        <f aca="false">IF(AND(ISNUMBER(CE294),ISNUMBER(CE269)),ROUND(CE294+N(CE295)-CE269,1),"")</f>
        <v>0</v>
      </c>
      <c r="CF330" s="6"/>
    </row>
    <row r="331" customFormat="false" ht="15" hidden="false" customHeight="true" outlineLevel="0" collapsed="false">
      <c r="B331" s="42" t="s">
        <v>530</v>
      </c>
      <c r="F331" s="48" t="n">
        <v>45.399</v>
      </c>
      <c r="G331" s="48" t="n">
        <v>45.579</v>
      </c>
      <c r="H331" s="48" t="n">
        <v>45.726</v>
      </c>
      <c r="I331" s="48" t="n">
        <v>46.002</v>
      </c>
      <c r="M331" s="48" t="n">
        <v>46.261</v>
      </c>
      <c r="N331" s="48" t="n">
        <v>46.261</v>
      </c>
      <c r="R331" s="48" t="n">
        <v>67.293</v>
      </c>
      <c r="S331" s="48" t="n">
        <v>67.293</v>
      </c>
      <c r="W331" s="48" t="n">
        <v>64.479</v>
      </c>
      <c r="X331" s="48" t="n">
        <v>64.479</v>
      </c>
      <c r="AB331" s="48" t="n">
        <v>63.176</v>
      </c>
      <c r="AC331" s="48" t="n">
        <v>63.176</v>
      </c>
      <c r="AG331" s="48" t="n">
        <v>62.873</v>
      </c>
      <c r="AH331" s="48" t="n">
        <v>62.873</v>
      </c>
      <c r="AL331" s="48" t="n">
        <v>62.515</v>
      </c>
      <c r="AM331" s="48" t="n">
        <v>62.515</v>
      </c>
      <c r="AQ331" s="48" t="n">
        <v>62.4</v>
      </c>
      <c r="AR331" s="48" t="n">
        <v>62.4</v>
      </c>
      <c r="AV331" s="48" t="n">
        <v>62.3</v>
      </c>
      <c r="AW331" s="48" t="n">
        <v>62.3</v>
      </c>
      <c r="AZ331" s="48" t="n">
        <v>62.4</v>
      </c>
      <c r="BA331" s="48" t="n">
        <v>62.4</v>
      </c>
      <c r="BB331" s="48" t="n">
        <v>62.4</v>
      </c>
      <c r="BC331" s="48" t="n">
        <v>62.4</v>
      </c>
      <c r="BD331" s="48" t="n">
        <v>62.4</v>
      </c>
      <c r="BE331" s="48" t="n">
        <v>62.1</v>
      </c>
      <c r="BF331" s="48" t="n">
        <v>62.1</v>
      </c>
      <c r="BG331" s="48" t="n">
        <v>62.1</v>
      </c>
      <c r="BH331" s="48" t="n">
        <v>62</v>
      </c>
      <c r="BI331" s="48" t="n">
        <v>61.8</v>
      </c>
      <c r="BJ331" s="48" t="n">
        <v>61.807161</v>
      </c>
      <c r="BK331" s="48" t="n">
        <v>61.821421</v>
      </c>
      <c r="BL331" s="48" t="n">
        <v>61.821421</v>
      </c>
      <c r="BM331" s="48" t="n">
        <v>61.639965</v>
      </c>
      <c r="BN331" s="48" t="n">
        <v>61.117053</v>
      </c>
      <c r="BO331" s="48" t="n">
        <v>61.118057</v>
      </c>
      <c r="BP331" s="48" t="n">
        <v>61.126646</v>
      </c>
      <c r="BQ331" s="48" t="n">
        <v>61.126646</v>
      </c>
      <c r="BR331" s="48" t="n">
        <v>60.27879</v>
      </c>
      <c r="BS331" s="48" t="n">
        <v>60.305739</v>
      </c>
      <c r="BT331" s="48" t="n">
        <v>60.307143</v>
      </c>
      <c r="BU331" s="48" t="n">
        <v>60.309739</v>
      </c>
      <c r="BV331" s="48" t="n">
        <v>60.309739</v>
      </c>
      <c r="BW331" s="48" t="n">
        <v>60.0459</v>
      </c>
      <c r="BX331" s="48" t="n">
        <v>60.050859</v>
      </c>
      <c r="BY331" s="6"/>
      <c r="BZ331" s="6"/>
      <c r="CA331" s="63" t="n">
        <f aca="false">CA288</f>
        <v>71.104402</v>
      </c>
      <c r="CB331" s="63" t="n">
        <f aca="false">CB288</f>
        <v>71.254402</v>
      </c>
      <c r="CC331" s="63" t="n">
        <f aca="false">CC288</f>
        <v>71.404402</v>
      </c>
      <c r="CD331" s="63" t="n">
        <f aca="false">CD288</f>
        <v>69.3834463853402</v>
      </c>
      <c r="CE331" s="63" t="n">
        <f aca="false">CE288</f>
        <v>66.1995676752428</v>
      </c>
      <c r="CF331" s="6"/>
    </row>
    <row r="332" customFormat="false" ht="15" hidden="false" customHeight="true" outlineLevel="0" collapsed="false"/>
    <row r="333" customFormat="false" ht="15" hidden="false" customHeight="true" outlineLevel="0" collapsed="false">
      <c r="B333" s="11" t="s">
        <v>531</v>
      </c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 t="s">
        <v>532</v>
      </c>
    </row>
    <row r="334" customFormat="false" ht="15" hidden="false" customHeight="true" outlineLevel="0" collapsed="false">
      <c r="B334" s="26" t="s">
        <v>533</v>
      </c>
      <c r="C334" s="47" t="n">
        <f aca="false">C152</f>
        <v>2206.4</v>
      </c>
      <c r="D334" s="47" t="n">
        <f aca="false">D152</f>
        <v>2207.1</v>
      </c>
      <c r="E334" s="47" t="n">
        <f aca="false">E152</f>
        <v>2120.1</v>
      </c>
      <c r="F334" s="47" t="n">
        <f aca="false">F152</f>
        <v>1702.6</v>
      </c>
      <c r="G334" s="47" t="n">
        <f aca="false">G152</f>
        <v>1782.9</v>
      </c>
      <c r="H334" s="47" t="n">
        <f aca="false">H152</f>
        <v>1713.9</v>
      </c>
      <c r="I334" s="47" t="n">
        <f aca="false">I152</f>
        <v>2037.6</v>
      </c>
      <c r="J334" s="47" t="n">
        <f aca="false">J152</f>
        <v>385</v>
      </c>
      <c r="K334" s="47" t="n">
        <f aca="false">K152</f>
        <v>562.7</v>
      </c>
      <c r="L334" s="47" t="n">
        <f aca="false">L152</f>
        <v>665.3</v>
      </c>
      <c r="M334" s="47" t="n">
        <f aca="false">M152</f>
        <v>545</v>
      </c>
      <c r="N334" s="47" t="n">
        <f aca="false">N152</f>
        <v>2155.5</v>
      </c>
      <c r="O334" s="47" t="n">
        <f aca="false">O152</f>
        <v>428.7</v>
      </c>
      <c r="P334" s="47" t="n">
        <f aca="false">P152</f>
        <v>669.2</v>
      </c>
      <c r="Q334" s="47" t="n">
        <f aca="false">Q152</f>
        <v>1003.7</v>
      </c>
      <c r="R334" s="47" t="n">
        <f aca="false">R152</f>
        <v>856.3</v>
      </c>
      <c r="S334" s="47" t="n">
        <f aca="false">S152</f>
        <v>2958</v>
      </c>
      <c r="T334" s="47" t="n">
        <f aca="false">T152</f>
        <v>691.4</v>
      </c>
      <c r="U334" s="47" t="n">
        <f aca="false">U152</f>
        <v>921.4</v>
      </c>
      <c r="V334" s="47" t="n">
        <f aca="false">V152</f>
        <v>1082.2</v>
      </c>
      <c r="W334" s="47" t="n">
        <f aca="false">W152</f>
        <v>844.6</v>
      </c>
      <c r="X334" s="47" t="n">
        <f aca="false">X152</f>
        <v>3539.6</v>
      </c>
      <c r="Y334" s="47" t="n">
        <f aca="false">Y152</f>
        <v>788.8</v>
      </c>
      <c r="Z334" s="47" t="n">
        <f aca="false">Z152</f>
        <v>977.3</v>
      </c>
      <c r="AA334" s="47" t="n">
        <f aca="false">AA152</f>
        <v>1103.9</v>
      </c>
      <c r="AB334" s="47" t="n">
        <f aca="false">AB152</f>
        <v>948.8</v>
      </c>
      <c r="AC334" s="47" t="n">
        <f aca="false">AC152</f>
        <v>3818.8</v>
      </c>
      <c r="AD334" s="47" t="n">
        <f aca="false">AD152</f>
        <v>843.9</v>
      </c>
      <c r="AE334" s="47" t="n">
        <f aca="false">AE152</f>
        <v>1063.5</v>
      </c>
      <c r="AF334" s="47" t="n">
        <f aca="false">AF152</f>
        <v>1087.7</v>
      </c>
      <c r="AG334" s="47" t="n">
        <f aca="false">AG152</f>
        <v>970.5</v>
      </c>
      <c r="AH334" s="47" t="n">
        <f aca="false">AH152</f>
        <v>3965.6</v>
      </c>
      <c r="AI334" s="47" t="n">
        <f aca="false">AI152</f>
        <v>802</v>
      </c>
      <c r="AJ334" s="47" t="n">
        <f aca="false">AJ152</f>
        <v>1202.403</v>
      </c>
      <c r="AK334" s="47" t="n">
        <f aca="false">AK152</f>
        <v>1219.64</v>
      </c>
      <c r="AL334" s="47" t="n">
        <f aca="false">AL152</f>
        <v>1020.218</v>
      </c>
      <c r="AM334" s="47" t="n">
        <f aca="false">AM152</f>
        <v>4244.265</v>
      </c>
      <c r="AN334" s="47" t="n">
        <f aca="false">AN152</f>
        <v>938.955</v>
      </c>
      <c r="AO334" s="47" t="n">
        <f aca="false">AO152</f>
        <v>1279.468</v>
      </c>
      <c r="AP334" s="47" t="n">
        <f aca="false">AP152</f>
        <v>1420.246</v>
      </c>
      <c r="AQ334" s="47" t="n">
        <f aca="false">AQ152</f>
        <v>1100.43</v>
      </c>
      <c r="AR334" s="47" t="n">
        <f aca="false">AR152</f>
        <v>4739.098</v>
      </c>
      <c r="AS334" s="47" t="n">
        <f aca="false">AS152</f>
        <v>958.2</v>
      </c>
      <c r="AT334" s="47" t="n">
        <f aca="false">AT152</f>
        <v>1270.6</v>
      </c>
      <c r="AU334" s="47" t="n">
        <f aca="false">AU152</f>
        <v>1321.4</v>
      </c>
      <c r="AV334" s="47" t="n">
        <f aca="false">AV152</f>
        <v>1179.6</v>
      </c>
      <c r="AW334" s="47" t="n">
        <f aca="false">AW152</f>
        <v>4729.9</v>
      </c>
      <c r="AX334" s="47" t="n">
        <f aca="false">AX152</f>
        <v>982.4</v>
      </c>
      <c r="AY334" s="47" t="n">
        <f aca="false">AY152</f>
        <v>1377.9</v>
      </c>
      <c r="AZ334" s="47" t="n">
        <f aca="false">AZ152</f>
        <v>1557.3</v>
      </c>
      <c r="BA334" s="47" t="n">
        <f aca="false">BA152</f>
        <v>1496.4</v>
      </c>
      <c r="BB334" s="47" t="n">
        <f aca="false">BB152</f>
        <v>5414</v>
      </c>
      <c r="BC334" s="47" t="n">
        <f aca="false">BC152</f>
        <v>1230.8</v>
      </c>
      <c r="BD334" s="47" t="n">
        <f aca="false">BD152</f>
        <v>1641.7</v>
      </c>
      <c r="BE334" s="47" t="n">
        <f aca="false">BE152</f>
        <v>1811.7</v>
      </c>
      <c r="BF334" s="47" t="n">
        <f aca="false">BF152</f>
        <v>1476.5</v>
      </c>
      <c r="BG334" s="47" t="n">
        <f aca="false">BG152</f>
        <v>6160.7</v>
      </c>
      <c r="BH334" s="47" t="n">
        <f aca="false">BH152</f>
        <v>1354.1</v>
      </c>
      <c r="BI334" s="47" t="n">
        <f aca="false">BI152</f>
        <v>1820.8</v>
      </c>
      <c r="BJ334" s="47" t="n">
        <f aca="false">BJ152</f>
        <v>1994.1</v>
      </c>
      <c r="BK334" s="47" t="n">
        <f aca="false">BK152</f>
        <v>1608.2</v>
      </c>
      <c r="BL334" s="47" t="n">
        <f aca="false">BL152</f>
        <v>6777.2</v>
      </c>
      <c r="BM334" s="47" t="n">
        <f aca="false">BM152</f>
        <v>1251</v>
      </c>
      <c r="BN334" s="47" t="n">
        <f aca="false">BN152</f>
        <v>1764</v>
      </c>
      <c r="BO334" s="47" t="n">
        <f aca="false">BO152</f>
        <v>1889</v>
      </c>
      <c r="BP334" s="47" t="n">
        <f aca="false">BP152</f>
        <v>1632</v>
      </c>
      <c r="BQ334" s="47" t="n">
        <f aca="false">BQ152</f>
        <v>6536</v>
      </c>
      <c r="BR334" s="47" t="n">
        <f aca="false">BR152</f>
        <v>1162</v>
      </c>
      <c r="BS334" s="47" t="n">
        <f aca="false">BS152</f>
        <v>1609</v>
      </c>
      <c r="BT334" s="47" t="n">
        <f aca="false">BT152</f>
        <v>1846</v>
      </c>
      <c r="BU334" s="47" t="n">
        <f aca="false">BU152</f>
        <v>1534</v>
      </c>
      <c r="BV334" s="47" t="n">
        <f aca="false">BV152</f>
        <v>6150</v>
      </c>
      <c r="BW334" s="47" t="n">
        <f aca="false">BW152</f>
        <v>1362</v>
      </c>
      <c r="BX334" s="47" t="n">
        <f aca="false">BX152</f>
        <v>1947</v>
      </c>
      <c r="BY334" s="6"/>
      <c r="BZ334" s="6"/>
      <c r="CA334" s="37" t="n">
        <f aca="false">CA152+CA66*(365-CA65)/365</f>
        <v>9137.23628838374</v>
      </c>
      <c r="CB334" s="37" t="n">
        <f aca="false">CB152</f>
        <v>9816.81904690659</v>
      </c>
      <c r="CC334" s="37" t="n">
        <f aca="false">CC152</f>
        <v>10602.4900725744</v>
      </c>
      <c r="CD334" s="37" t="n">
        <f aca="false">CD152</f>
        <v>11493.6286163425</v>
      </c>
      <c r="CE334" s="37" t="n">
        <f aca="false">CE152</f>
        <v>12485.771844491</v>
      </c>
      <c r="CF334" s="20" t="s">
        <v>534</v>
      </c>
    </row>
    <row r="335" customFormat="false" ht="15" hidden="false" customHeight="true" outlineLevel="0" collapsed="false">
      <c r="B335" s="26" t="s">
        <v>535</v>
      </c>
      <c r="C335" s="47" t="n">
        <f aca="false">C334*C155/C152</f>
        <v>1683.9</v>
      </c>
      <c r="D335" s="47" t="n">
        <f aca="false">D334*D155/D152</f>
        <v>1636.1</v>
      </c>
      <c r="E335" s="47" t="n">
        <f aca="false">E334*E155/E152</f>
        <v>1649.7</v>
      </c>
      <c r="F335" s="47" t="n">
        <f aca="false">F334*F155/F152</f>
        <v>1364.9</v>
      </c>
      <c r="G335" s="47" t="n">
        <f aca="false">G334*G155/G152</f>
        <v>1460.9</v>
      </c>
      <c r="H335" s="47" t="n">
        <f aca="false">H334*H155/H152</f>
        <v>1411.9</v>
      </c>
      <c r="I335" s="47" t="n">
        <f aca="false">I334*I155/I152</f>
        <v>1711.7</v>
      </c>
      <c r="J335" s="47" t="n">
        <f aca="false">J334*J155/J152</f>
        <v>372.4</v>
      </c>
      <c r="K335" s="47" t="n">
        <f aca="false">K334*K155/K152</f>
        <v>455.9</v>
      </c>
      <c r="L335" s="47" t="n">
        <f aca="false">L334*L155/L152</f>
        <v>522.2</v>
      </c>
      <c r="M335" s="47" t="n">
        <f aca="false">M334*M155/M152</f>
        <v>444</v>
      </c>
      <c r="N335" s="47" t="n">
        <f aca="false">N334*N155/N152</f>
        <v>1791.5</v>
      </c>
      <c r="O335" s="47" t="n">
        <f aca="false">O334*O155/O152</f>
        <v>402.9</v>
      </c>
      <c r="P335" s="47" t="n">
        <f aca="false">P334*P155/P152</f>
        <v>533.6</v>
      </c>
      <c r="Q335" s="47" t="n">
        <f aca="false">Q334*Q155/Q152</f>
        <v>808.1</v>
      </c>
      <c r="R335" s="47" t="n">
        <f aca="false">R334*R155/R152</f>
        <v>691</v>
      </c>
      <c r="S335" s="47" t="n">
        <f aca="false">S334*S155/S152</f>
        <v>2435.6</v>
      </c>
      <c r="T335" s="47" t="n">
        <f aca="false">T334*T155/T152</f>
        <v>617.1</v>
      </c>
      <c r="U335" s="47" t="n">
        <f aca="false">U334*U155/U152</f>
        <v>721.2</v>
      </c>
      <c r="V335" s="47" t="n">
        <f aca="false">V334*V155/V152</f>
        <v>819.7</v>
      </c>
      <c r="W335" s="47" t="n">
        <f aca="false">W334*W155/W152</f>
        <v>659.8</v>
      </c>
      <c r="X335" s="47" t="n">
        <f aca="false">X334*X155/X152</f>
        <v>2817.8</v>
      </c>
      <c r="Y335" s="47" t="n">
        <f aca="false">Y334*Y155/Y152</f>
        <v>644.2</v>
      </c>
      <c r="Z335" s="47" t="n">
        <f aca="false">Z334*Z155/Z152</f>
        <v>730.6</v>
      </c>
      <c r="AA335" s="47" t="n">
        <f aca="false">AA334*AA155/AA152</f>
        <v>811.3</v>
      </c>
      <c r="AB335" s="47" t="n">
        <f aca="false">AB334*AB155/AB152</f>
        <v>723.7</v>
      </c>
      <c r="AC335" s="47" t="n">
        <f aca="false">AC334*AC155/AC152</f>
        <v>2909.8</v>
      </c>
      <c r="AD335" s="47" t="n">
        <f aca="false">AD334*AD155/AD152</f>
        <v>696.8</v>
      </c>
      <c r="AE335" s="47" t="n">
        <f aca="false">AE334*AE155/AE152</f>
        <v>789.4</v>
      </c>
      <c r="AF335" s="47" t="n">
        <f aca="false">AF334*AF155/AF152</f>
        <v>796</v>
      </c>
      <c r="AG335" s="47" t="n">
        <f aca="false">AG334*AG155/AG152</f>
        <v>711.4</v>
      </c>
      <c r="AH335" s="47" t="n">
        <f aca="false">AH334*AH155/AH152</f>
        <v>2993.7</v>
      </c>
      <c r="AI335" s="47" t="n">
        <f aca="false">AI334*AI155/AI152</f>
        <v>691.6</v>
      </c>
      <c r="AJ335" s="47" t="n">
        <f aca="false">AJ334*AJ155/AJ152</f>
        <v>886.486</v>
      </c>
      <c r="AK335" s="47" t="n">
        <f aca="false">AK334*AK155/AK152</f>
        <v>906.656</v>
      </c>
      <c r="AL335" s="47" t="n">
        <f aca="false">AL334*AL155/AL152</f>
        <v>792.934</v>
      </c>
      <c r="AM335" s="47" t="n">
        <f aca="false">AM334*AM155/AM152</f>
        <v>3277.688</v>
      </c>
      <c r="AN335" s="47" t="n">
        <f aca="false">AN334*AN155/AN152</f>
        <v>796.048</v>
      </c>
      <c r="AO335" s="47" t="n">
        <f aca="false">AO334*AO155/AO152</f>
        <v>922.601</v>
      </c>
      <c r="AP335" s="47" t="n">
        <f aca="false">AP334*AP155/AP152</f>
        <v>999.601</v>
      </c>
      <c r="AQ335" s="47" t="n">
        <f aca="false">AQ334*AQ155/AQ152</f>
        <v>841.841</v>
      </c>
      <c r="AR335" s="47" t="n">
        <f aca="false">AR334*AR155/AR152</f>
        <v>3560.091</v>
      </c>
      <c r="AS335" s="47" t="n">
        <f aca="false">AS334*AS155/AS152</f>
        <v>815.8</v>
      </c>
      <c r="AT335" s="47" t="n">
        <f aca="false">AT334*AT155/AT152</f>
        <v>890.1</v>
      </c>
      <c r="AU335" s="47" t="n">
        <f aca="false">AU334*AU155/AU152</f>
        <v>916.9</v>
      </c>
      <c r="AV335" s="47" t="n">
        <f aca="false">AV334*AV155/AV152</f>
        <v>854.2</v>
      </c>
      <c r="AW335" s="47" t="n">
        <f aca="false">AW334*AW155/AW152</f>
        <v>3477.1</v>
      </c>
      <c r="AX335" s="47" t="n">
        <f aca="false">AX334*AX155/AX152</f>
        <v>807.7</v>
      </c>
      <c r="AY335" s="47" t="n">
        <f aca="false">AY334*AY155/AY152</f>
        <v>992.8</v>
      </c>
      <c r="AZ335" s="47" t="n">
        <f aca="false">AZ334*AZ155/AZ152</f>
        <v>1115.4</v>
      </c>
      <c r="BA335" s="47" t="n">
        <f aca="false">BA334*BA155/BA152</f>
        <v>1149.7</v>
      </c>
      <c r="BB335" s="47" t="n">
        <f aca="false">BB334*BB155/BB152</f>
        <v>4065.6</v>
      </c>
      <c r="BC335" s="47" t="n">
        <f aca="false">BC334*BC155/BC152</f>
        <v>1074.7</v>
      </c>
      <c r="BD335" s="47" t="n">
        <f aca="false">BD334*BD155/BD152</f>
        <v>1216.5</v>
      </c>
      <c r="BE335" s="47" t="n">
        <f aca="false">BE334*BE155/BE152</f>
        <v>1323.9</v>
      </c>
      <c r="BF335" s="47" t="n">
        <f aca="false">BF334*BF155/BF152</f>
        <v>1122.3</v>
      </c>
      <c r="BG335" s="47" t="n">
        <f aca="false">BG334*BG155/BG152</f>
        <v>4737.4</v>
      </c>
      <c r="BH335" s="47" t="n">
        <f aca="false">BH334*BH155/BH152</f>
        <v>1051.3</v>
      </c>
      <c r="BI335" s="47" t="n">
        <f aca="false">BI334*BI155/BI152</f>
        <v>1260.4</v>
      </c>
      <c r="BJ335" s="47" t="n">
        <f aca="false">BJ334*BJ155/BJ152</f>
        <v>1318.1</v>
      </c>
      <c r="BK335" s="47" t="n">
        <f aca="false">BK334*BK155/BK152</f>
        <v>1124.7</v>
      </c>
      <c r="BL335" s="47" t="n">
        <f aca="false">BL334*BL155/BL152</f>
        <v>4754.6</v>
      </c>
      <c r="BM335" s="47" t="n">
        <f aca="false">BM334*BM155/BM152</f>
        <v>979</v>
      </c>
      <c r="BN335" s="47" t="n">
        <f aca="false">BN334*BN155/BN152</f>
        <v>1247</v>
      </c>
      <c r="BO335" s="47" t="n">
        <f aca="false">BO334*BO155/BO152</f>
        <v>1290</v>
      </c>
      <c r="BP335" s="47" t="n">
        <f aca="false">BP334*BP155/BP152</f>
        <v>1143</v>
      </c>
      <c r="BQ335" s="47" t="n">
        <f aca="false">BQ334*BQ155/BQ152</f>
        <v>4658</v>
      </c>
      <c r="BR335" s="47" t="n">
        <f aca="false">BR334*BR155/BR152</f>
        <v>847</v>
      </c>
      <c r="BS335" s="47" t="n">
        <f aca="false">BS334*BS155/BS152</f>
        <v>1113</v>
      </c>
      <c r="BT335" s="47" t="n">
        <f aca="false">BT334*BT155/BT152</f>
        <v>1235</v>
      </c>
      <c r="BU335" s="47" t="n">
        <f aca="false">BU334*BU155/BU152</f>
        <v>1066</v>
      </c>
      <c r="BV335" s="47" t="n">
        <f aca="false">BV334*BV155/BV152</f>
        <v>4261</v>
      </c>
      <c r="BW335" s="47" t="n">
        <f aca="false">BW334*BW155/BW152</f>
        <v>1052</v>
      </c>
      <c r="BX335" s="47" t="n">
        <f aca="false">BX334*BX155/BX152</f>
        <v>1452</v>
      </c>
      <c r="BY335" s="6"/>
      <c r="BZ335" s="6"/>
      <c r="CA335" s="37" t="n">
        <f aca="false">CA334*CA155/CA152</f>
        <v>6694.17763557846</v>
      </c>
      <c r="CB335" s="37" t="n">
        <f aca="false">CB334*CB155/CB152</f>
        <v>6868.18115049366</v>
      </c>
      <c r="CC335" s="37" t="n">
        <f aca="false">CC334*CC155/CC152</f>
        <v>7262.48520495756</v>
      </c>
      <c r="CD335" s="37" t="n">
        <f aca="false">CD334*CD155/CD152</f>
        <v>7779.94929487434</v>
      </c>
      <c r="CE335" s="37" t="n">
        <f aca="false">CE334*CE155/CE152</f>
        <v>8406.63169352319</v>
      </c>
      <c r="CF335" s="6"/>
    </row>
    <row r="336" customFormat="false" ht="15" hidden="false" customHeight="true" outlineLevel="0" collapsed="false">
      <c r="B336" s="26" t="s">
        <v>536</v>
      </c>
      <c r="C336" s="74" t="n">
        <f aca="false">IFERROR(C296/C334*365,"n/a")</f>
        <v>40.0995445068891</v>
      </c>
      <c r="D336" s="74" t="n">
        <f aca="false">IFERROR(D296/D334*365,"n/a")</f>
        <v>40.6555525350007</v>
      </c>
      <c r="E336" s="74" t="n">
        <f aca="false">IFERROR(E296/E334*365,"n/a")</f>
        <v>36.4287250601387</v>
      </c>
      <c r="F336" s="74" t="n">
        <f aca="false">IFERROR(F296/F334*365,"n/a")</f>
        <v>34.9039557147892</v>
      </c>
      <c r="G336" s="74" t="n">
        <f aca="false">IFERROR(G296/G334*365,"n/a")</f>
        <v>37.5381485220708</v>
      </c>
      <c r="H336" s="74" t="n">
        <f aca="false">IFERROR(H296/H334*365,"n/a")</f>
        <v>43.3911079992998</v>
      </c>
      <c r="I336" s="74" t="n">
        <f aca="false">IFERROR(I296/I334*365,"n/a")</f>
        <v>40.1345946211229</v>
      </c>
      <c r="J336" s="74" t="n">
        <f aca="false">IFERROR(J296/J334*91.25,"n/a")</f>
        <v>47.9121753246753</v>
      </c>
      <c r="K336" s="74" t="n">
        <f aca="false">IFERROR(K296/K334*91.25,"n/a")</f>
        <v>46.6257175226586</v>
      </c>
      <c r="L336" s="74" t="n">
        <f aca="false">IFERROR(L296/L334*91.25,"n/a")</f>
        <v>45.4028070043589</v>
      </c>
      <c r="M336" s="74" t="n">
        <f aca="false">IFERROR(M296/M334*91.25,"n/a")</f>
        <v>41.091130733945</v>
      </c>
      <c r="N336" s="74" t="n">
        <f aca="false">IFERROR(N296/N334*365,"n/a")</f>
        <v>41.5581837160752</v>
      </c>
      <c r="O336" s="74" t="n">
        <f aca="false">IFERROR(O296/O334*91.25,"n/a")</f>
        <v>51.6353248192209</v>
      </c>
      <c r="P336" s="74" t="n">
        <f aca="false">IFERROR(P296/P334*91.25,"n/a")</f>
        <v>46.8773012552301</v>
      </c>
      <c r="Q336" s="74" t="n">
        <f aca="false">IFERROR(Q296/Q334*91.25,"n/a")</f>
        <v>47.6321908936933</v>
      </c>
      <c r="R336" s="74" t="n">
        <f aca="false">IFERROR(R296/R334*91.25,"n/a")</f>
        <v>44.863180252248</v>
      </c>
      <c r="S336" s="74" t="n">
        <f aca="false">IFERROR(S296/S334*365,"n/a")</f>
        <v>51.9490753887762</v>
      </c>
      <c r="T336" s="74" t="n">
        <f aca="false">IFERROR(T296/T334*91.25,"n/a")</f>
        <v>50.3351840468614</v>
      </c>
      <c r="U336" s="74" t="n">
        <f aca="false">IFERROR(U296/U334*91.25,"n/a")</f>
        <v>49.2662850010853</v>
      </c>
      <c r="V336" s="74" t="n">
        <f aca="false">IFERROR(V296/V334*91.25,"n/a")</f>
        <v>48.6878026242839</v>
      </c>
      <c r="W336" s="74" t="n">
        <f aca="false">IFERROR(W296/W334*91.25,"n/a")</f>
        <v>44.3956207080275</v>
      </c>
      <c r="X336" s="74" t="n">
        <f aca="false">IFERROR(X296/X334*365,"n/a")</f>
        <v>42.373761159453</v>
      </c>
      <c r="Y336" s="74" t="n">
        <f aca="false">IFERROR(Y296/Y334*91.25,"n/a")</f>
        <v>51.8311105476673</v>
      </c>
      <c r="Z336" s="74" t="n">
        <f aca="false">IFERROR(Z296/Z334*91.25,"n/a")</f>
        <v>49.9021628466182</v>
      </c>
      <c r="AA336" s="74" t="n">
        <f aca="false">IFERROR(AA296/AA334*91.25,"n/a")</f>
        <v>46.8215248210889</v>
      </c>
      <c r="AB336" s="74" t="n">
        <f aca="false">IFERROR(AB296/AB334*91.25,"n/a")</f>
        <v>44.0390888490725</v>
      </c>
      <c r="AC336" s="74" t="n">
        <f aca="false">IFERROR(AC296/AC334*365,"n/a")</f>
        <v>43.7669294019064</v>
      </c>
      <c r="AD336" s="74" t="n">
        <f aca="false">IFERROR(AD296/AD334*91.25,"n/a")</f>
        <v>51.8170029031876</v>
      </c>
      <c r="AE336" s="74" t="n">
        <f aca="false">IFERROR(AE296/AE334*91.25,"n/a")</f>
        <v>48.9599365303244</v>
      </c>
      <c r="AF336" s="74" t="n">
        <f aca="false">IFERROR(AF296/AF334*91.25,"n/a")</f>
        <v>48.8701342281879</v>
      </c>
      <c r="AG336" s="74" t="n">
        <f aca="false">IFERROR(AG296/AG334*91.25,"n/a")</f>
        <v>45.8121071612571</v>
      </c>
      <c r="AH336" s="74" t="n">
        <f aca="false">IFERROR(AH296/AH334*365,"n/a")</f>
        <v>44.8463284244503</v>
      </c>
      <c r="AI336" s="74" t="n">
        <f aca="false">IFERROR(AI296/AI334*91.25,"n/a")</f>
        <v>53.073480361596</v>
      </c>
      <c r="AJ336" s="74" t="n">
        <f aca="false">IFERROR(AJ296/AJ334*91.25,"n/a")</f>
        <v>51.2688029720485</v>
      </c>
      <c r="AK336" s="74" t="n">
        <f aca="false">IFERROR(AK296/AK334*91.25,"n/a")</f>
        <v>48.2447228280476</v>
      </c>
      <c r="AL336" s="74" t="n">
        <f aca="false">IFERROR(AL296/AL334*91.25,"n/a")</f>
        <v>46.8026784471554</v>
      </c>
      <c r="AM336" s="74" t="n">
        <f aca="false">IFERROR(AM296/AM334*365,"n/a")</f>
        <v>45.0008988599911</v>
      </c>
      <c r="AN336" s="74" t="n">
        <f aca="false">IFERROR(AN296/AN334*91.25,"n/a")</f>
        <v>53.509368127333</v>
      </c>
      <c r="AO336" s="74" t="n">
        <f aca="false">IFERROR(AO296/AO334*91.25,"n/a")</f>
        <v>50.6794278950314</v>
      </c>
      <c r="AP336" s="74" t="n">
        <f aca="false">IFERROR(AP296/AP334*91.25,"n/a")</f>
        <v>49.0787282625686</v>
      </c>
      <c r="AQ336" s="74" t="n">
        <f aca="false">IFERROR(AQ296/AQ334*91.25,"n/a")</f>
        <v>47.5724262333815</v>
      </c>
      <c r="AR336" s="74" t="n">
        <f aca="false">IFERROR(AR296/AR334*365,"n/a")</f>
        <v>44.1857290142555</v>
      </c>
      <c r="AS336" s="74" t="n">
        <f aca="false">IFERROR(AS296/AS334*91.25,"n/a")</f>
        <v>53.5958046336882</v>
      </c>
      <c r="AT336" s="74" t="n">
        <f aca="false">IFERROR(AT296/AT334*91.25,"n/a")</f>
        <v>49.5820872028963</v>
      </c>
      <c r="AU336" s="74" t="n">
        <f aca="false">IFERROR(AU296/AU334*91.25,"n/a")</f>
        <v>47.3928220069623</v>
      </c>
      <c r="AV336" s="74" t="n">
        <f aca="false">IFERROR(AV296/AV334*91.25,"n/a")</f>
        <v>44.4878560528993</v>
      </c>
      <c r="AW336" s="74" t="n">
        <f aca="false">IFERROR(AW296/AW334*365,"n/a")</f>
        <v>44.3796909025561</v>
      </c>
      <c r="AX336" s="74" t="n">
        <f aca="false">IFERROR(AX296/AX334*91.25,"n/a")</f>
        <v>52.3498574918567</v>
      </c>
      <c r="AY336" s="74" t="n">
        <f aca="false">IFERROR(AY296/AY334*91.25,"n/a")</f>
        <v>47.8137020103055</v>
      </c>
      <c r="AZ336" s="74" t="n">
        <f aca="false">IFERROR(AZ296/AZ334*91.25,"n/a")</f>
        <v>46.987333847043</v>
      </c>
      <c r="BA336" s="74" t="n">
        <f aca="false">IFERROR(BA296/BA334*91.25,"n/a")</f>
        <v>47.198275862069</v>
      </c>
      <c r="BB336" s="74" t="n">
        <f aca="false">IFERROR(BB296/BB334*365,"n/a")</f>
        <v>52.1813816032508</v>
      </c>
      <c r="BC336" s="74" t="n">
        <f aca="false">IFERROR(BC296/BC334*91.25,"n/a")</f>
        <v>56.2861553461164</v>
      </c>
      <c r="BD336" s="74" t="n">
        <f aca="false">IFERROR(BD296/BD334*91.25,"n/a")</f>
        <v>57.0611256624231</v>
      </c>
      <c r="BE336" s="74" t="n">
        <f aca="false">IFERROR(BE296/BE334*91.25,"n/a")</f>
        <v>50.9563531489761</v>
      </c>
      <c r="BF336" s="74" t="n">
        <f aca="false">IFERROR(BF296/BF334*91.25,"n/a")</f>
        <v>48.5698442262106</v>
      </c>
      <c r="BG336" s="74" t="n">
        <f aca="false">IFERROR(BG296/BG334*365,"n/a")</f>
        <v>46.5618355057055</v>
      </c>
      <c r="BH336" s="74" t="n">
        <f aca="false">IFERROR(BH296/BH334*91.25,"n/a")</f>
        <v>53.6879661767964</v>
      </c>
      <c r="BI336" s="74" t="n">
        <f aca="false">IFERROR(BI296/BI334*91.25,"n/a")</f>
        <v>49.072934973638</v>
      </c>
      <c r="BJ336" s="74" t="n">
        <f aca="false">IFERROR(BJ296/BJ334*91.25,"n/a")</f>
        <v>47.9335915952059</v>
      </c>
      <c r="BK336" s="74" t="n">
        <f aca="false">IFERROR(BK296/BK334*91.25,"n/a")</f>
        <v>42.7425848775028</v>
      </c>
      <c r="BL336" s="74" t="n">
        <f aca="false">IFERROR(BL296/BL334*365,"n/a")</f>
        <v>40.5705158472526</v>
      </c>
      <c r="BM336" s="74" t="n">
        <f aca="false">IFERROR(BM296/BM334*91.25,"n/a")</f>
        <v>51.2779776179057</v>
      </c>
      <c r="BN336" s="74" t="n">
        <f aca="false">IFERROR(BN296/BN334*91.25,"n/a")</f>
        <v>47.0216836734694</v>
      </c>
      <c r="BO336" s="74" t="n">
        <f aca="false">IFERROR(BO296/BO334*91.25,"n/a")</f>
        <v>44.2482795129698</v>
      </c>
      <c r="BP336" s="74" t="n">
        <f aca="false">IFERROR(BP296/BP334*91.25,"n/a")</f>
        <v>37.9090073529412</v>
      </c>
      <c r="BQ336" s="74" t="n">
        <f aca="false">IFERROR(BQ296/BQ334*365,"n/a")</f>
        <v>37.8626070991432</v>
      </c>
      <c r="BR336" s="74" t="n">
        <f aca="false">IFERROR(BR296/BR334*91.25,"n/a")</f>
        <v>57.5613166953528</v>
      </c>
      <c r="BS336" s="74" t="n">
        <f aca="false">IFERROR(BS296/BS334*91.25,"n/a")</f>
        <v>51.2678682411436</v>
      </c>
      <c r="BT336" s="74" t="n">
        <f aca="false">IFERROR(BT296/BT334*91.25,"n/a")</f>
        <v>48.6403033586132</v>
      </c>
      <c r="BU336" s="74" t="n">
        <f aca="false">IFERROR(BU296/BU334*91.25,"n/a")</f>
        <v>43.0076597131682</v>
      </c>
      <c r="BV336" s="74" t="n">
        <f aca="false">IFERROR(BV296/BV334*365,"n/a")</f>
        <v>42.909756097561</v>
      </c>
      <c r="BW336" s="74" t="n">
        <f aca="false">IFERROR(BW296/BW334*91.25,"n/a")</f>
        <v>52.2577092511013</v>
      </c>
      <c r="BX336" s="74" t="n">
        <f aca="false">IFERROR(BX296/BX334*91.25,"n/a")</f>
        <v>47.8043143297381</v>
      </c>
      <c r="BY336" s="6"/>
      <c r="BZ336" s="6"/>
      <c r="CA336" s="75" t="n">
        <v>43</v>
      </c>
      <c r="CB336" s="75" t="n">
        <v>43</v>
      </c>
      <c r="CC336" s="75" t="n">
        <v>43</v>
      </c>
      <c r="CD336" s="75" t="n">
        <v>43</v>
      </c>
      <c r="CE336" s="75" t="n">
        <v>43</v>
      </c>
      <c r="CF336" s="6"/>
    </row>
    <row r="337" customFormat="false" ht="15" hidden="false" customHeight="true" outlineLevel="0" collapsed="false">
      <c r="B337" s="26" t="s">
        <v>537</v>
      </c>
      <c r="C337" s="74" t="n">
        <f aca="false">IFERROR(C297/C335*365,"n/a")</f>
        <v>55.5524407625156</v>
      </c>
      <c r="D337" s="74" t="n">
        <f aca="false">IFERROR(D297/D335*365,"n/a")</f>
        <v>64.0016044251574</v>
      </c>
      <c r="E337" s="74" t="n">
        <f aca="false">IFERROR(E297/E335*365,"n/a")</f>
        <v>70.362229496272</v>
      </c>
      <c r="F337" s="74" t="n">
        <f aca="false">IFERROR(F297/F335*365,"n/a")</f>
        <v>88.9352223606125</v>
      </c>
      <c r="G337" s="74" t="n">
        <f aca="false">IFERROR(G297/G335*365,"n/a")</f>
        <v>82.9223834622493</v>
      </c>
      <c r="H337" s="74" t="n">
        <f aca="false">IFERROR(H297/H335*365,"n/a")</f>
        <v>83.3993590197606</v>
      </c>
      <c r="I337" s="74" t="n">
        <f aca="false">IFERROR(I297/I335*365,"n/a")</f>
        <v>70.8614330782263</v>
      </c>
      <c r="J337" s="74" t="n">
        <f aca="false">IFERROR(J297/J335*91.25,"n/a")</f>
        <v>85.1832471804511</v>
      </c>
      <c r="K337" s="74" t="n">
        <f aca="false">IFERROR(K297/K335*91.25,"n/a")</f>
        <v>69.8281668128976</v>
      </c>
      <c r="L337" s="74" t="n">
        <f aca="false">IFERROR(L297/L335*91.25,"n/a")</f>
        <v>61.2360541937955</v>
      </c>
      <c r="M337" s="74" t="n">
        <f aca="false">IFERROR(M297/M335*91.25,"n/a")</f>
        <v>71.3778462837838</v>
      </c>
      <c r="N337" s="74" t="n">
        <f aca="false">IFERROR(N297/N335*365,"n/a")</f>
        <v>70.7602874686017</v>
      </c>
      <c r="O337" s="74" t="n">
        <f aca="false">IFERROR(O297/O335*91.25,"n/a")</f>
        <v>80.3375961777116</v>
      </c>
      <c r="P337" s="74" t="n">
        <f aca="false">IFERROR(P297/P335*91.25,"n/a")</f>
        <v>59.5395989505247</v>
      </c>
      <c r="Q337" s="74" t="n">
        <f aca="false">IFERROR(Q297/Q335*91.25,"n/a")</f>
        <v>53.6697020789506</v>
      </c>
      <c r="R337" s="74" t="n">
        <f aca="false">IFERROR(R297/R335*91.25,"n/a")</f>
        <v>64.0359750361795</v>
      </c>
      <c r="S337" s="74" t="n">
        <f aca="false">IFERROR(S297/S335*365,"n/a")</f>
        <v>72.6701572507801</v>
      </c>
      <c r="T337" s="74" t="n">
        <f aca="false">IFERROR(T297/T335*91.25,"n/a")</f>
        <v>74.6808276616432</v>
      </c>
      <c r="U337" s="74" t="n">
        <f aca="false">IFERROR(U297/U335*91.25,"n/a")</f>
        <v>60.7138935108153</v>
      </c>
      <c r="V337" s="74" t="n">
        <f aca="false">IFERROR(V297/V335*91.25,"n/a")</f>
        <v>51.7114874344272</v>
      </c>
      <c r="W337" s="74" t="n">
        <f aca="false">IFERROR(W297/W335*91.25,"n/a")</f>
        <v>64.8819585480449</v>
      </c>
      <c r="X337" s="74" t="n">
        <f aca="false">IFERROR(X297/X335*365,"n/a")</f>
        <v>60.7695595854922</v>
      </c>
      <c r="Y337" s="74" t="n">
        <f aca="false">IFERROR(Y297/Y335*91.25,"n/a")</f>
        <v>68.7515348494256</v>
      </c>
      <c r="Z337" s="74" t="n">
        <f aca="false">IFERROR(Z297/Z335*91.25,"n/a")</f>
        <v>63.0577966739666</v>
      </c>
      <c r="AA337" s="74" t="n">
        <f aca="false">IFERROR(AA297/AA335*91.25,"n/a")</f>
        <v>57.1590764821891</v>
      </c>
      <c r="AB337" s="74" t="n">
        <f aca="false">IFERROR(AB297/AB335*91.25,"n/a")</f>
        <v>65.7706093685229</v>
      </c>
      <c r="AC337" s="74" t="n">
        <f aca="false">IFERROR(AC297/AC335*365,"n/a")</f>
        <v>65.4315623066877</v>
      </c>
      <c r="AD337" s="74" t="n">
        <f aca="false">IFERROR(AD297/AD335*91.25,"n/a")</f>
        <v>70.3232634902411</v>
      </c>
      <c r="AE337" s="74" t="n">
        <f aca="false">IFERROR(AE297/AE335*91.25,"n/a")</f>
        <v>63.5611619584495</v>
      </c>
      <c r="AF337" s="74" t="n">
        <f aca="false">IFERROR(AF297/AF335*91.25,"n/a")</f>
        <v>66.079329459799</v>
      </c>
      <c r="AG337" s="74" t="n">
        <f aca="false">IFERROR(AG297/AG335*91.25,"n/a")</f>
        <v>77.0367286336801</v>
      </c>
      <c r="AH337" s="74" t="n">
        <f aca="false">IFERROR(AH297/AH335*365,"n/a")</f>
        <v>73.2256789257441</v>
      </c>
      <c r="AI337" s="74" t="n">
        <f aca="false">IFERROR(AI297/AI335*91.25,"n/a")</f>
        <v>80.0606600636206</v>
      </c>
      <c r="AJ337" s="74" t="n">
        <f aca="false">IFERROR(AJ297/AJ335*91.25,"n/a")</f>
        <v>67.0018209537432</v>
      </c>
      <c r="AK337" s="74" t="n">
        <f aca="false">IFERROR(AK297/AK335*91.25,"n/a")</f>
        <v>65.549302877828</v>
      </c>
      <c r="AL337" s="74" t="n">
        <f aca="false">IFERROR(AL297/AL335*91.25,"n/a")</f>
        <v>76.3013614626186</v>
      </c>
      <c r="AM337" s="74" t="n">
        <f aca="false">IFERROR(AM297/AM335*365,"n/a")</f>
        <v>73.8349028339488</v>
      </c>
      <c r="AN337" s="74" t="n">
        <f aca="false">IFERROR(AN297/AN335*91.25,"n/a")</f>
        <v>74.0703575663779</v>
      </c>
      <c r="AO337" s="74" t="n">
        <f aca="false">IFERROR(AO297/AO335*91.25,"n/a")</f>
        <v>63.9265592601786</v>
      </c>
      <c r="AP337" s="74" t="n">
        <f aca="false">IFERROR(AP297/AP335*91.25,"n/a")</f>
        <v>59.3102497896661</v>
      </c>
      <c r="AQ337" s="74" t="n">
        <f aca="false">IFERROR(AQ297/AQ335*91.25,"n/a")</f>
        <v>74.8781539506866</v>
      </c>
      <c r="AR337" s="74" t="n">
        <f aca="false">IFERROR(AR297/AR335*365,"n/a")</f>
        <v>70.824594090432</v>
      </c>
      <c r="AS337" s="74" t="n">
        <f aca="false">IFERROR(AS297/AS335*91.25,"n/a")</f>
        <v>78.3533035057612</v>
      </c>
      <c r="AT337" s="74" t="n">
        <f aca="false">IFERROR(AT297/AT335*91.25,"n/a")</f>
        <v>73.0840635883609</v>
      </c>
      <c r="AU337" s="74" t="n">
        <f aca="false">IFERROR(AU297/AU335*91.25,"n/a")</f>
        <v>71.1071272766932</v>
      </c>
      <c r="AV337" s="74" t="n">
        <f aca="false">IFERROR(AV297/AV335*91.25,"n/a")</f>
        <v>75.7389955513931</v>
      </c>
      <c r="AW337" s="74" t="n">
        <f aca="false">IFERROR(AW297/AW335*365,"n/a")</f>
        <v>74.4255270196428</v>
      </c>
      <c r="AX337" s="74" t="n">
        <f aca="false">IFERROR(AX297/AX335*91.25,"n/a")</f>
        <v>77.952829020676</v>
      </c>
      <c r="AY337" s="74" t="n">
        <f aca="false">IFERROR(AY297/AY335*91.25,"n/a")</f>
        <v>67.0128676470588</v>
      </c>
      <c r="AZ337" s="74" t="n">
        <f aca="false">IFERROR(AZ297/AZ335*91.25,"n/a")</f>
        <v>58.6981127846512</v>
      </c>
      <c r="BA337" s="74" t="n">
        <f aca="false">IFERROR(BA297/BA335*91.25,"n/a")</f>
        <v>59.7327563712273</v>
      </c>
      <c r="BB337" s="74" t="n">
        <f aca="false">IFERROR(BB297/BB335*365,"n/a")</f>
        <v>67.5666568280205</v>
      </c>
      <c r="BC337" s="74" t="n">
        <f aca="false">IFERROR(BC297/BC335*91.25,"n/a")</f>
        <v>66.4315622964548</v>
      </c>
      <c r="BD337" s="74" t="n">
        <f aca="false">IFERROR(BD297/BD335*91.25,"n/a")</f>
        <v>62.6485819975339</v>
      </c>
      <c r="BE337" s="74" t="n">
        <f aca="false">IFERROR(BE297/BE335*91.25,"n/a")</f>
        <v>56.7529647254324</v>
      </c>
      <c r="BF337" s="74" t="n">
        <f aca="false">IFERROR(BF297/BF335*91.25,"n/a")</f>
        <v>71.0372672191036</v>
      </c>
      <c r="BG337" s="74" t="n">
        <f aca="false">IFERROR(BG297/BG335*365,"n/a")</f>
        <v>67.3155106176384</v>
      </c>
      <c r="BH337" s="74" t="n">
        <f aca="false">IFERROR(BH297/BH335*91.25,"n/a")</f>
        <v>82.3445971654143</v>
      </c>
      <c r="BI337" s="74" t="n">
        <f aca="false">IFERROR(BI297/BI335*91.25,"n/a")</f>
        <v>69.1180379244684</v>
      </c>
      <c r="BJ337" s="74" t="n">
        <f aca="false">IFERROR(BJ297/BJ335*91.25,"n/a")</f>
        <v>68.7507586677794</v>
      </c>
      <c r="BK337" s="74" t="n">
        <f aca="false">IFERROR(BK297/BK335*91.25,"n/a")</f>
        <v>80.2078331999644</v>
      </c>
      <c r="BL337" s="74" t="n">
        <f aca="false">IFERROR(BL297/BL335*365,"n/a")</f>
        <v>75.8926092626088</v>
      </c>
      <c r="BM337" s="74" t="n">
        <f aca="false">IFERROR(BM297/BM335*91.25,"n/a")</f>
        <v>100.384320735444</v>
      </c>
      <c r="BN337" s="74" t="n">
        <f aca="false">IFERROR(BN297/BN335*91.25,"n/a")</f>
        <v>80.8590617481957</v>
      </c>
      <c r="BO337" s="74" t="n">
        <f aca="false">IFERROR(BO297/BO335*91.25,"n/a")</f>
        <v>77.031976744186</v>
      </c>
      <c r="BP337" s="74" t="n">
        <f aca="false">IFERROR(BP297/BP335*91.25,"n/a")</f>
        <v>89.0146544181977</v>
      </c>
      <c r="BQ337" s="74" t="n">
        <f aca="false">IFERROR(BQ297/BQ335*365,"n/a")</f>
        <v>87.3711893516531</v>
      </c>
      <c r="BR337" s="74" t="n">
        <f aca="false">IFERROR(BR297/BR335*91.25,"n/a")</f>
        <v>126.371015348288</v>
      </c>
      <c r="BS337" s="74" t="n">
        <f aca="false">IFERROR(BS297/BS335*91.25,"n/a")</f>
        <v>94.6933962264151</v>
      </c>
      <c r="BT337" s="74" t="n">
        <f aca="false">IFERROR(BT297/BT335*91.25,"n/a")</f>
        <v>76.3987854251012</v>
      </c>
      <c r="BU337" s="74" t="n">
        <f aca="false">IFERROR(BU297/BU335*91.25,"n/a")</f>
        <v>92.2772045028143</v>
      </c>
      <c r="BV337" s="74" t="n">
        <f aca="false">IFERROR(BV297/BV335*365,"n/a")</f>
        <v>92.3421731987796</v>
      </c>
      <c r="BW337" s="74" t="n">
        <f aca="false">IFERROR(BW297/BW335*91.25,"n/a")</f>
        <v>105.215066539924</v>
      </c>
      <c r="BX337" s="74" t="n">
        <f aca="false">IFERROR(BX297/BX335*91.25,"n/a")</f>
        <v>73.4650482093664</v>
      </c>
      <c r="BY337" s="6"/>
      <c r="BZ337" s="6"/>
      <c r="CA337" s="75" t="n">
        <v>92</v>
      </c>
      <c r="CB337" s="75" t="n">
        <v>92</v>
      </c>
      <c r="CC337" s="75" t="n">
        <v>92</v>
      </c>
      <c r="CD337" s="75" t="n">
        <v>92</v>
      </c>
      <c r="CE337" s="75" t="n">
        <v>92</v>
      </c>
      <c r="CF337" s="6"/>
    </row>
    <row r="338" customFormat="false" ht="15" hidden="false" customHeight="true" outlineLevel="0" collapsed="false">
      <c r="B338" s="26" t="s">
        <v>538</v>
      </c>
      <c r="C338" s="74" t="n">
        <f aca="false">IFERROR(C307/C335*365,"n/a")</f>
        <v>18.4758625809134</v>
      </c>
      <c r="D338" s="74" t="n">
        <f aca="false">IFERROR(D307/D335*365,"n/a")</f>
        <v>19.3795122547522</v>
      </c>
      <c r="E338" s="74" t="n">
        <f aca="false">IFERROR(E307/E335*365,"n/a")</f>
        <v>13.9214190458871</v>
      </c>
      <c r="F338" s="74" t="n">
        <f aca="false">IFERROR(F307/F335*365,"n/a")</f>
        <v>13.9343944611327</v>
      </c>
      <c r="G338" s="74" t="n">
        <f aca="false">IFERROR(G307/G335*365,"n/a")</f>
        <v>15.0739578342118</v>
      </c>
      <c r="H338" s="74" t="n">
        <f aca="false">IFERROR(H307/H335*365,"n/a")</f>
        <v>23.8378426234153</v>
      </c>
      <c r="I338" s="74" t="n">
        <f aca="false">IFERROR(I307/I335*365,"n/a")</f>
        <v>17.8132879593387</v>
      </c>
      <c r="J338" s="74" t="n">
        <f aca="false">IFERROR(J307/J335*91.25,"n/a")</f>
        <v>18.8870837808808</v>
      </c>
      <c r="K338" s="74" t="n">
        <f aca="false">IFERROR(K307/K335*91.25,"n/a")</f>
        <v>20.0073481026541</v>
      </c>
      <c r="L338" s="74" t="n">
        <f aca="false">IFERROR(L307/L335*91.25,"n/a")</f>
        <v>19.4427853312907</v>
      </c>
      <c r="M338" s="74" t="n">
        <f aca="false">IFERROR(M307/M335*91.25,"n/a")</f>
        <v>21.2916666666667</v>
      </c>
      <c r="N338" s="74" t="n">
        <f aca="false">IFERROR(N307/N335*365,"n/a")</f>
        <v>21.1074518559866</v>
      </c>
      <c r="O338" s="74" t="n">
        <f aca="false">IFERROR(O307/O335*91.25,"n/a")</f>
        <v>22.3708581533879</v>
      </c>
      <c r="P338" s="74" t="n">
        <f aca="false">IFERROR(P307/P335*91.25,"n/a")</f>
        <v>23.8457318215892</v>
      </c>
      <c r="Q338" s="74" t="n">
        <f aca="false">IFERROR(Q307/Q335*91.25,"n/a")</f>
        <v>25.9946757827002</v>
      </c>
      <c r="R338" s="74" t="n">
        <f aca="false">IFERROR(R307/R335*91.25,"n/a")</f>
        <v>26.7379667149059</v>
      </c>
      <c r="S338" s="74" t="n">
        <f aca="false">IFERROR(S307/S335*365,"n/a")</f>
        <v>30.3431351617671</v>
      </c>
      <c r="T338" s="74" t="n">
        <f aca="false">IFERROR(T307/T335*91.25,"n/a")</f>
        <v>27.2176673148598</v>
      </c>
      <c r="U338" s="74" t="n">
        <f aca="false">IFERROR(U307/U335*91.25,"n/a")</f>
        <v>25.4613058097615</v>
      </c>
      <c r="V338" s="74" t="n">
        <f aca="false">IFERROR(V307/V335*91.25,"n/a")</f>
        <v>25.2517704648042</v>
      </c>
      <c r="W338" s="74" t="n">
        <f aca="false">IFERROR(W307/W335*91.25,"n/a")</f>
        <v>22.7804145195514</v>
      </c>
      <c r="X338" s="74" t="n">
        <f aca="false">IFERROR(X307/X335*365,"n/a")</f>
        <v>21.3365284974093</v>
      </c>
      <c r="Y338" s="74" t="n">
        <f aca="false">IFERROR(Y307/Y335*91.25,"n/a")</f>
        <v>24.7032249301459</v>
      </c>
      <c r="Z338" s="74" t="n">
        <f aca="false">IFERROR(Z307/Z335*91.25,"n/a")</f>
        <v>24.6963266493293</v>
      </c>
      <c r="AA338" s="74" t="n">
        <f aca="false">IFERROR(AA307/AA335*91.25,"n/a")</f>
        <v>21.6779767040552</v>
      </c>
      <c r="AB338" s="74" t="n">
        <f aca="false">IFERROR(AB307/AB335*91.25,"n/a")</f>
        <v>22.5190928561559</v>
      </c>
      <c r="AC338" s="74" t="n">
        <f aca="false">IFERROR(AC307/AC335*365,"n/a")</f>
        <v>22.4030070795244</v>
      </c>
      <c r="AD338" s="74" t="n">
        <f aca="false">IFERROR(AD307/AD335*91.25,"n/a")</f>
        <v>24.6719413748565</v>
      </c>
      <c r="AE338" s="74" t="n">
        <f aca="false">IFERROR(AE307/AE335*91.25,"n/a")</f>
        <v>21.6423407017988</v>
      </c>
      <c r="AF338" s="74" t="n">
        <f aca="false">IFERROR(AF307/AF335*91.25,"n/a")</f>
        <v>18.7540530778895</v>
      </c>
      <c r="AG338" s="74" t="n">
        <f aca="false">IFERROR(AG307/AG335*91.25,"n/a")</f>
        <v>23.9397209727298</v>
      </c>
      <c r="AH338" s="74" t="n">
        <f aca="false">IFERROR(AH307/AH335*365,"n/a")</f>
        <v>22.7554096936901</v>
      </c>
      <c r="AI338" s="74" t="n">
        <f aca="false">IFERROR(AI307/AI335*91.25,"n/a")</f>
        <v>21.4176257952574</v>
      </c>
      <c r="AJ338" s="74" t="n">
        <f aca="false">IFERROR(AJ307/AJ335*91.25,"n/a")</f>
        <v>19.4300206094625</v>
      </c>
      <c r="AK338" s="74" t="n">
        <f aca="false">IFERROR(AK307/AK335*91.25,"n/a")</f>
        <v>19.2614577634737</v>
      </c>
      <c r="AL338" s="74" t="n">
        <f aca="false">IFERROR(AL307/AL335*91.25,"n/a")</f>
        <v>24.2595600642676</v>
      </c>
      <c r="AM338" s="74" t="n">
        <f aca="false">IFERROR(AM307/AM335*365,"n/a")</f>
        <v>23.4753643421827</v>
      </c>
      <c r="AN338" s="74" t="n">
        <f aca="false">IFERROR(AN307/AN335*91.25,"n/a")</f>
        <v>21.1884396418306</v>
      </c>
      <c r="AO338" s="74" t="n">
        <f aca="false">IFERROR(AO307/AO335*91.25,"n/a")</f>
        <v>19.7000287773371</v>
      </c>
      <c r="AP338" s="74" t="n">
        <f aca="false">IFERROR(AP307/AP335*91.25,"n/a")</f>
        <v>21.7771978519429</v>
      </c>
      <c r="AQ338" s="74" t="n">
        <f aca="false">IFERROR(AQ307/AQ335*91.25,"n/a")</f>
        <v>24.887122390095</v>
      </c>
      <c r="AR338" s="74" t="n">
        <f aca="false">IFERROR(AR307/AR335*365,"n/a")</f>
        <v>23.5398477173758</v>
      </c>
      <c r="AS338" s="74" t="n">
        <f aca="false">IFERROR(AS307/AS335*91.25,"n/a")</f>
        <v>22.5943858788919</v>
      </c>
      <c r="AT338" s="74" t="n">
        <f aca="false">IFERROR(AT307/AT335*91.25,"n/a")</f>
        <v>20.2162678350747</v>
      </c>
      <c r="AU338" s="74" t="n">
        <f aca="false">IFERROR(AU307/AU335*91.25,"n/a")</f>
        <v>20.9688897371578</v>
      </c>
      <c r="AV338" s="74" t="n">
        <f aca="false">IFERROR(AV307/AV335*91.25,"n/a")</f>
        <v>22.1982556778272</v>
      </c>
      <c r="AW338" s="74" t="n">
        <f aca="false">IFERROR(AW307/AW335*365,"n/a")</f>
        <v>21.8132926864341</v>
      </c>
      <c r="AX338" s="74" t="n">
        <f aca="false">IFERROR(AX307/AX335*91.25,"n/a")</f>
        <v>22.5950229045438</v>
      </c>
      <c r="AY338" s="74" t="n">
        <f aca="false">IFERROR(AY307/AY335*91.25,"n/a")</f>
        <v>22.3897058823529</v>
      </c>
      <c r="AZ338" s="74" t="n">
        <f aca="false">IFERROR(AZ307/AZ335*91.25,"n/a")</f>
        <v>20.395037654653</v>
      </c>
      <c r="BA338" s="74" t="n">
        <f aca="false">IFERROR(BA307/BA335*91.25,"n/a")</f>
        <v>28.2710707140993</v>
      </c>
      <c r="BB338" s="74" t="n">
        <f aca="false">IFERROR(BB307/BB335*365,"n/a")</f>
        <v>31.9787977174341</v>
      </c>
      <c r="BC338" s="74" t="n">
        <f aca="false">IFERROR(BC307/BC335*91.25,"n/a")</f>
        <v>32.5874662696566</v>
      </c>
      <c r="BD338" s="74" t="n">
        <f aca="false">IFERROR(BD307/BD335*91.25,"n/a")</f>
        <v>26.981196054254</v>
      </c>
      <c r="BE338" s="74" t="n">
        <f aca="false">IFERROR(BE307/BE335*91.25,"n/a")</f>
        <v>22.9865359921444</v>
      </c>
      <c r="BF338" s="74" t="n">
        <f aca="false">IFERROR(BF307/BF335*91.25,"n/a")</f>
        <v>31.3029047491758</v>
      </c>
      <c r="BG338" s="74" t="n">
        <f aca="false">IFERROR(BG307/BG335*365,"n/a")</f>
        <v>29.6628952590028</v>
      </c>
      <c r="BH338" s="74" t="n">
        <f aca="false">IFERROR(BH307/BH335*91.25,"n/a")</f>
        <v>26.2648625511272</v>
      </c>
      <c r="BI338" s="74" t="n">
        <f aca="false">IFERROR(BI307/BI335*91.25,"n/a")</f>
        <v>25.1147453189464</v>
      </c>
      <c r="BJ338" s="74" t="n">
        <f aca="false">IFERROR(BJ307/BJ335*91.25,"n/a")</f>
        <v>23.6899704119566</v>
      </c>
      <c r="BK338" s="74" t="n">
        <f aca="false">IFERROR(BK307/BK335*91.25,"n/a")</f>
        <v>27.852871876945</v>
      </c>
      <c r="BL338" s="74" t="n">
        <f aca="false">IFERROR(BL307/BL335*365,"n/a")</f>
        <v>26.35437260758</v>
      </c>
      <c r="BM338" s="74" t="n">
        <f aca="false">IFERROR(BM307/BM335*91.25,"n/a")</f>
        <v>24.7931562819203</v>
      </c>
      <c r="BN338" s="74" t="n">
        <f aca="false">IFERROR(BN307/BN335*91.25,"n/a")</f>
        <v>22.2453889334403</v>
      </c>
      <c r="BO338" s="74" t="n">
        <f aca="false">IFERROR(BO307/BO335*91.25,"n/a")</f>
        <v>22.281976744186</v>
      </c>
      <c r="BP338" s="74" t="n">
        <f aca="false">IFERROR(BP307/BP335*91.25,"n/a")</f>
        <v>29.9376640419948</v>
      </c>
      <c r="BQ338" s="74" t="n">
        <f aca="false">IFERROR(BQ307/BQ335*365,"n/a")</f>
        <v>29.3849291541434</v>
      </c>
      <c r="BR338" s="74" t="n">
        <f aca="false">IFERROR(BR307/BR335*91.25,"n/a")</f>
        <v>32.1044864226682</v>
      </c>
      <c r="BS338" s="74" t="n">
        <f aca="false">IFERROR(BS307/BS335*91.25,"n/a")</f>
        <v>27.5471698113208</v>
      </c>
      <c r="BT338" s="74" t="n">
        <f aca="false">IFERROR(BT307/BT335*91.25,"n/a")</f>
        <v>25.7864372469636</v>
      </c>
      <c r="BU338" s="74" t="n">
        <f aca="false">IFERROR(BU307/BU335*91.25,"n/a")</f>
        <v>33.2985459662289</v>
      </c>
      <c r="BV338" s="74" t="n">
        <f aca="false">IFERROR(BV307/BV335*365,"n/a")</f>
        <v>33.3219901431589</v>
      </c>
      <c r="BW338" s="74" t="n">
        <f aca="false">IFERROR(BW307/BW335*91.25,"n/a")</f>
        <v>28.5373098859316</v>
      </c>
      <c r="BX338" s="74" t="n">
        <f aca="false">IFERROR(BX307/BX335*91.25,"n/a")</f>
        <v>21.9326790633609</v>
      </c>
      <c r="BY338" s="6"/>
      <c r="BZ338" s="6"/>
      <c r="CA338" s="75" t="n">
        <v>33</v>
      </c>
      <c r="CB338" s="75" t="n">
        <v>33</v>
      </c>
      <c r="CC338" s="75" t="n">
        <v>33</v>
      </c>
      <c r="CD338" s="75" t="n">
        <v>33</v>
      </c>
      <c r="CE338" s="75" t="n">
        <v>33</v>
      </c>
      <c r="CF338" s="6"/>
    </row>
    <row r="339" customFormat="false" ht="15" hidden="false" customHeight="true" outlineLevel="0" collapsed="false">
      <c r="B339" s="26" t="s">
        <v>539</v>
      </c>
      <c r="C339" s="38" t="n">
        <f aca="false">IFERROR(C308/(C334*1),"n/a")</f>
        <v>0.0113352066715011</v>
      </c>
      <c r="D339" s="38" t="n">
        <f aca="false">IFERROR(D308/(D334*1),"n/a")</f>
        <v>0.00963345566580581</v>
      </c>
      <c r="E339" s="38" t="n">
        <f aca="false">IFERROR(E308/(E334*1),"n/a")</f>
        <v>0.00907127022310268</v>
      </c>
      <c r="F339" s="38" t="n">
        <f aca="false">IFERROR(F308/(F334*1),"n/a")</f>
        <v>0.00894044402678257</v>
      </c>
      <c r="G339" s="38" t="n">
        <f aca="false">IFERROR(G308/(G334*1),"n/a")</f>
        <v>0.00981883448314544</v>
      </c>
      <c r="H339" s="38" t="n">
        <f aca="false">IFERROR(H308/(H334*1),"n/a")</f>
        <v>0.00976252990256141</v>
      </c>
      <c r="I339" s="38" t="n">
        <f aca="false">IFERROR(I308/(I334*1),"n/a")</f>
        <v>0.00955094228504123</v>
      </c>
      <c r="J339" s="38" t="n">
        <f aca="false">IFERROR(J308/(J334*4),"n/a")</f>
        <v>0.00804350649350649</v>
      </c>
      <c r="K339" s="38" t="n">
        <f aca="false">IFERROR(K308/(K334*4),"n/a")</f>
        <v>0.00722365381197796</v>
      </c>
      <c r="L339" s="38" t="n">
        <f aca="false">IFERROR(L308/(L334*4),"n/a")</f>
        <v>0.00776153614910567</v>
      </c>
      <c r="M339" s="38" t="n">
        <f aca="false">IFERROR(M308/(M334*4),"n/a")</f>
        <v>0.00830917431192661</v>
      </c>
      <c r="N339" s="38" t="n">
        <f aca="false">IFERROR(N308/(N334*1),"n/a")</f>
        <v>0.00840361864996521</v>
      </c>
      <c r="O339" s="38" t="n">
        <f aca="false">IFERROR(O308/(O334*4),"n/a")</f>
        <v>0.00752507581059016</v>
      </c>
      <c r="P339" s="38" t="n">
        <f aca="false">IFERROR(P308/(P334*4),"n/a")</f>
        <v>0.00649768380155409</v>
      </c>
      <c r="Q339" s="38" t="n">
        <f aca="false">IFERROR(Q308/(Q334*4),"n/a")</f>
        <v>0.0134656769951181</v>
      </c>
      <c r="R339" s="38" t="n">
        <f aca="false">IFERROR(R308/(R334*4),"n/a")</f>
        <v>0.0106785005255168</v>
      </c>
      <c r="S339" s="38" t="n">
        <f aca="false">IFERROR(S308/(S334*1),"n/a")</f>
        <v>0.0123651115618661</v>
      </c>
      <c r="T339" s="38" t="n">
        <f aca="false">IFERROR(T308/(T334*4),"n/a")</f>
        <v>0.00852979461961238</v>
      </c>
      <c r="U339" s="38" t="n">
        <f aca="false">IFERROR(U308/(U334*4),"n/a")</f>
        <v>0.00748589103538094</v>
      </c>
      <c r="V339" s="38" t="n">
        <f aca="false">IFERROR(V308/(V334*4),"n/a")</f>
        <v>0.00705253187950471</v>
      </c>
      <c r="W339" s="38" t="n">
        <f aca="false">IFERROR(W308/(W334*4),"n/a")</f>
        <v>0.00915788538953351</v>
      </c>
      <c r="X339" s="38" t="n">
        <f aca="false">IFERROR(X308/(X334*1),"n/a")</f>
        <v>0.00874081817154481</v>
      </c>
      <c r="Y339" s="38" t="n">
        <f aca="false">IFERROR(Y308/(Y334*4),"n/a")</f>
        <v>0.00540441176470588</v>
      </c>
      <c r="Z339" s="38" t="n">
        <f aca="false">IFERROR(Z308/(Z334*4),"n/a")</f>
        <v>0.00636038064054027</v>
      </c>
      <c r="AA339" s="38" t="n">
        <f aca="false">IFERROR(AA308/(AA334*4),"n/a")</f>
        <v>0.00757835854696983</v>
      </c>
      <c r="AB339" s="38" t="n">
        <f aca="false">IFERROR(AB308/(AB334*4),"n/a")</f>
        <v>0.0124968381112985</v>
      </c>
      <c r="AC339" s="38" t="n">
        <f aca="false">IFERROR(AC308/(AC334*1),"n/a")</f>
        <v>0.0124196082539017</v>
      </c>
      <c r="AD339" s="38" t="n">
        <f aca="false">IFERROR(AD308/(AD334*4),"n/a")</f>
        <v>0.00674250503614172</v>
      </c>
      <c r="AE339" s="38" t="n">
        <f aca="false">IFERROR(AE308/(AE334*4),"n/a")</f>
        <v>0.00851010813352139</v>
      </c>
      <c r="AF339" s="38" t="n">
        <f aca="false">IFERROR(AF308/(AF334*4),"n/a")</f>
        <v>0.0087075940057001</v>
      </c>
      <c r="AG339" s="38" t="n">
        <f aca="false">IFERROR(AG308/(AG334*4),"n/a")</f>
        <v>0.0114000515198351</v>
      </c>
      <c r="AH339" s="38" t="n">
        <f aca="false">IFERROR(AH308/(AH334*1),"n/a")</f>
        <v>0.0111597236231592</v>
      </c>
      <c r="AI339" s="38" t="n">
        <f aca="false">IFERROR(AI308/(AI334*4),"n/a")</f>
        <v>0.00727213216957606</v>
      </c>
      <c r="AJ339" s="38" t="n">
        <f aca="false">IFERROR(AJ308/(AJ334*4),"n/a")</f>
        <v>0.00808173299634149</v>
      </c>
      <c r="AK339" s="38" t="n">
        <f aca="false">IFERROR(AK308/(AK334*4),"n/a")</f>
        <v>0.00927199829457873</v>
      </c>
      <c r="AL339" s="38" t="n">
        <f aca="false">IFERROR(AL308/(AL334*4),"n/a")</f>
        <v>0.0126036788215852</v>
      </c>
      <c r="AM339" s="38" t="n">
        <f aca="false">IFERROR(AM308/(AM334*1),"n/a")</f>
        <v>0.0121184704536592</v>
      </c>
      <c r="AN339" s="38" t="n">
        <f aca="false">IFERROR(AN308/(AN334*4),"n/a")</f>
        <v>0.00727218024292964</v>
      </c>
      <c r="AO339" s="38" t="n">
        <f aca="false">IFERROR(AO308/(AO334*4),"n/a")</f>
        <v>0.00725457768384985</v>
      </c>
      <c r="AP339" s="38" t="n">
        <f aca="false">IFERROR(AP308/(AP334*4),"n/a")</f>
        <v>0.010004780861907</v>
      </c>
      <c r="AQ339" s="38" t="n">
        <f aca="false">IFERROR(AQ308/(AQ334*4),"n/a")</f>
        <v>0.0128813282080641</v>
      </c>
      <c r="AR339" s="38" t="n">
        <f aca="false">IFERROR(AR308/(AR334*1),"n/a")</f>
        <v>0.0119643020676086</v>
      </c>
      <c r="AS339" s="38" t="n">
        <f aca="false">IFERROR(AS308/(AS334*4),"n/a")</f>
        <v>0.00824462533917763</v>
      </c>
      <c r="AT339" s="38" t="n">
        <f aca="false">IFERROR(AT308/(AT334*4),"n/a")</f>
        <v>0.00853927278451126</v>
      </c>
      <c r="AU339" s="38" t="n">
        <f aca="false">IFERROR(AU308/(AU334*4),"n/a")</f>
        <v>0.00987588920841532</v>
      </c>
      <c r="AV339" s="38" t="n">
        <f aca="false">IFERROR(AV308/(AV334*4),"n/a")</f>
        <v>0.0175059342149881</v>
      </c>
      <c r="AW339" s="38" t="n">
        <f aca="false">IFERROR(AW308/(AW334*1),"n/a")</f>
        <v>0.0174633713186325</v>
      </c>
      <c r="AX339" s="38" t="n">
        <f aca="false">IFERROR(AX308/(AX334*4),"n/a")</f>
        <v>0.00913578990228013</v>
      </c>
      <c r="AY339" s="38" t="n">
        <f aca="false">IFERROR(AY308/(AY334*4),"n/a")</f>
        <v>0.00979751796211626</v>
      </c>
      <c r="AZ339" s="38" t="n">
        <f aca="false">IFERROR(AZ308/(AZ334*4),"n/a")</f>
        <v>0.0105149938996982</v>
      </c>
      <c r="BA339" s="38" t="n">
        <f aca="false">IFERROR(BA308/(BA334*4),"n/a")</f>
        <v>0.0144680566693397</v>
      </c>
      <c r="BB339" s="38" t="n">
        <f aca="false">IFERROR(BB308/(BB334*1),"n/a")</f>
        <v>0.0159955670483931</v>
      </c>
      <c r="BC339" s="38" t="n">
        <f aca="false">IFERROR(BC308/(BC334*4),"n/a")</f>
        <v>0.00875446863828404</v>
      </c>
      <c r="BD339" s="38" t="n">
        <f aca="false">IFERROR(BD308/(BD334*4),"n/a")</f>
        <v>0.00878662362185539</v>
      </c>
      <c r="BE339" s="38" t="n">
        <f aca="false">IFERROR(BE308/(BE334*4),"n/a")</f>
        <v>0.0106391786719656</v>
      </c>
      <c r="BF339" s="38" t="n">
        <f aca="false">IFERROR(BF308/(BF334*4),"n/a")</f>
        <v>0.0121232644768033</v>
      </c>
      <c r="BG339" s="38" t="n">
        <f aca="false">IFERROR(BG308/(BG334*1),"n/a")</f>
        <v>0.0116220559352022</v>
      </c>
      <c r="BH339" s="38" t="n">
        <f aca="false">IFERROR(BH308/(BH334*4),"n/a")</f>
        <v>0.00699726755778746</v>
      </c>
      <c r="BI339" s="38" t="n">
        <f aca="false">IFERROR(BI308/(BI334*4),"n/a")</f>
        <v>0.00873242530755712</v>
      </c>
      <c r="BJ339" s="38" t="n">
        <f aca="false">IFERROR(BJ308/(BJ334*4),"n/a")</f>
        <v>0.010593751567123</v>
      </c>
      <c r="BK339" s="38" t="n">
        <f aca="false">IFERROR(BK308/(BK334*4),"n/a")</f>
        <v>0.0159028727770178</v>
      </c>
      <c r="BL339" s="38" t="n">
        <f aca="false">IFERROR(BL308/(BL334*1),"n/a")</f>
        <v>0.0150947293867674</v>
      </c>
      <c r="BM339" s="38" t="n">
        <f aca="false">IFERROR(BM308/(BM334*4),"n/a")</f>
        <v>0.00739408473221423</v>
      </c>
      <c r="BN339" s="38" t="n">
        <f aca="false">IFERROR(BN308/(BN334*4),"n/a")</f>
        <v>0.00821995464852608</v>
      </c>
      <c r="BO339" s="38" t="n">
        <f aca="false">IFERROR(BO308/(BO334*4),"n/a")</f>
        <v>0.00886712546320805</v>
      </c>
      <c r="BP339" s="38" t="n">
        <f aca="false">IFERROR(BP308/(BP334*4),"n/a")</f>
        <v>0.0111825980392157</v>
      </c>
      <c r="BQ339" s="38" t="n">
        <f aca="false">IFERROR(BQ308/(BQ334*1),"n/a")</f>
        <v>0.0111689106487148</v>
      </c>
      <c r="BR339" s="38" t="n">
        <f aca="false">IFERROR(BR308/(BR334*4),"n/a")</f>
        <v>0.0088209982788296</v>
      </c>
      <c r="BS339" s="38" t="n">
        <f aca="false">IFERROR(BS308/(BS334*4),"n/a")</f>
        <v>0.00963331261653201</v>
      </c>
      <c r="BT339" s="38" t="n">
        <f aca="false">IFERROR(BT308/(BT334*4),"n/a")</f>
        <v>0.0119176598049837</v>
      </c>
      <c r="BU339" s="38" t="n">
        <f aca="false">IFERROR(BU308/(BU334*4),"n/a")</f>
        <v>0.0162972620599739</v>
      </c>
      <c r="BV339" s="38" t="n">
        <f aca="false">IFERROR(BV308/(BV334*1),"n/a")</f>
        <v>0.016260162601626</v>
      </c>
      <c r="BW339" s="38" t="n">
        <f aca="false">IFERROR(BW308/(BW334*4),"n/a")</f>
        <v>0.00972834067547724</v>
      </c>
      <c r="BX339" s="38" t="n">
        <f aca="false">IFERROR(BX308/(BX334*4),"n/a")</f>
        <v>0.0091165896250642</v>
      </c>
      <c r="BY339" s="6"/>
      <c r="BZ339" s="6"/>
      <c r="CA339" s="49" t="n">
        <v>0.016</v>
      </c>
      <c r="CB339" s="49" t="n">
        <v>0.016</v>
      </c>
      <c r="CC339" s="49" t="n">
        <v>0.016</v>
      </c>
      <c r="CD339" s="49" t="n">
        <v>0.016</v>
      </c>
      <c r="CE339" s="49" t="n">
        <v>0.016</v>
      </c>
      <c r="CF339" s="20" t="s">
        <v>540</v>
      </c>
    </row>
    <row r="340" customFormat="false" ht="15" hidden="false" customHeight="true" outlineLevel="0" collapsed="false">
      <c r="B340" s="26" t="s">
        <v>541</v>
      </c>
      <c r="C340" s="47" t="n">
        <f aca="false">IF(ISNUMBER(C296),C296+C297-C307-C308,"n/a")</f>
        <v>388.439</v>
      </c>
      <c r="D340" s="47" t="n">
        <f aca="false">IF(ISNUMBER(D296),D296+D297-D307-D308,"n/a")</f>
        <v>424.593</v>
      </c>
      <c r="E340" s="47" t="n">
        <f aca="false">IF(ISNUMBER(E296),E296+E297-E307-E308,"n/a")</f>
        <v>447.461</v>
      </c>
      <c r="F340" s="47" t="n">
        <f aca="false">IF(ISNUMBER(F296),F296+F297-F307-F308,"n/a")</f>
        <v>428.055</v>
      </c>
      <c r="G340" s="47" t="n">
        <f aca="false">IF(ISNUMBER(G296),G296+G297-G307-G308,"n/a")</f>
        <v>437.416</v>
      </c>
      <c r="H340" s="47" t="n">
        <f aca="false">IF(ISNUMBER(H296),H296+H297-H307-H308,"n/a")</f>
        <v>417.413</v>
      </c>
      <c r="I340" s="47" t="n">
        <f aca="false">IF(ISNUMBER(I296),I296+I297-I307-I308,"n/a")</f>
        <v>453.363</v>
      </c>
      <c r="J340" s="47" t="n">
        <f aca="false">IF(ISNUMBER(J296),J296+J297-J307-J308,"n/a")</f>
        <v>460.324</v>
      </c>
      <c r="K340" s="47" t="n">
        <f aca="false">IF(ISNUMBER(K296),K296+K297-K307-K308,"n/a")</f>
        <v>520.175</v>
      </c>
      <c r="L340" s="47" t="n">
        <f aca="false">IF(ISNUMBER(L296),L296+L297-L307-L308,"n/a")</f>
        <v>549.547</v>
      </c>
      <c r="M340" s="47" t="n">
        <f aca="false">IF(ISNUMBER(M296),M296+M297-M307-M308,"n/a")</f>
        <v>471.014</v>
      </c>
      <c r="N340" s="47" t="n">
        <f aca="false">IF(ISNUMBER(N296),N296+N297-N307-N308,"n/a")</f>
        <v>471.014</v>
      </c>
      <c r="O340" s="47" t="n">
        <f aca="false">IF(ISNUMBER(O296),O296+O297-O307-O308,"n/a")</f>
        <v>485.626</v>
      </c>
      <c r="P340" s="47" t="n">
        <f aca="false">IF(ISNUMBER(P296),P296+P297-P307-P308,"n/a")</f>
        <v>535.117</v>
      </c>
      <c r="Q340" s="47" t="n">
        <f aca="false">IF(ISNUMBER(Q296),Q296+Q297-Q307-Q308,"n/a")</f>
        <v>714.953</v>
      </c>
      <c r="R340" s="47" t="n">
        <f aca="false">IF(ISNUMBER(R296),R296+R297-R307-R308,"n/a")</f>
        <v>666.868</v>
      </c>
      <c r="S340" s="47" t="n">
        <f aca="false">IF(ISNUMBER(S296),S296+S297-S307-S308,"n/a")</f>
        <v>666.868</v>
      </c>
      <c r="T340" s="47" t="n">
        <f aca="false">IF(ISNUMBER(T296),T296+T297-T307-T308,"n/a")</f>
        <v>678.78</v>
      </c>
      <c r="U340" s="47" t="n">
        <f aca="false">IF(ISNUMBER(U296),U296+U297-U307-U308,"n/a")</f>
        <v>748.499</v>
      </c>
      <c r="V340" s="47" t="n">
        <f aca="false">IF(ISNUMBER(V296),V296+V297-V307-V308,"n/a")</f>
        <v>784.583</v>
      </c>
      <c r="W340" s="47" t="n">
        <f aca="false">IF(ISNUMBER(W296),W296+W297-W307-W308,"n/a")</f>
        <v>684.405</v>
      </c>
      <c r="X340" s="47" t="n">
        <f aca="false">IF(ISNUMBER(X296),X296+X297-X307-X308,"n/a")</f>
        <v>684.405</v>
      </c>
      <c r="Y340" s="47" t="n">
        <f aca="false">IF(ISNUMBER(Y296),Y296+Y297-Y307-Y308,"n/a")</f>
        <v>741.965</v>
      </c>
      <c r="Z340" s="47" t="n">
        <f aca="false">IF(ISNUMBER(Z296),Z296+Z297-Z307-Z308,"n/a")</f>
        <v>816.739</v>
      </c>
      <c r="AA340" s="47" t="n">
        <f aca="false">IF(ISNUMBER(AA296),AA296+AA297-AA307-AA308,"n/a")</f>
        <v>848.423</v>
      </c>
      <c r="AB340" s="47" t="n">
        <f aca="false">IF(ISNUMBER(AB296),AB296+AB297-AB307-AB308,"n/a")</f>
        <v>753.508</v>
      </c>
      <c r="AC340" s="47" t="n">
        <f aca="false">IF(ISNUMBER(AC296),AC296+AC297-AC307-AC308,"n/a")</f>
        <v>753.508</v>
      </c>
      <c r="AD340" s="47" t="n">
        <f aca="false">IF(ISNUMBER(AD296),AD296+AD297-AD307-AD308,"n/a")</f>
        <v>805.056</v>
      </c>
      <c r="AE340" s="47" t="n">
        <f aca="false">IF(ISNUMBER(AE296),AE296+AE297-AE307-AE308,"n/a")</f>
        <v>897.054</v>
      </c>
      <c r="AF340" s="47" t="n">
        <f aca="false">IF(ISNUMBER(AF296),AF296+AF297-AF307-AF308,"n/a")</f>
        <v>957.479</v>
      </c>
      <c r="AG340" s="47" t="n">
        <f aca="false">IF(ISNUMBER(AG296),AG296+AG297-AG307-AG308,"n/a")</f>
        <v>856.938</v>
      </c>
      <c r="AH340" s="47" t="n">
        <f aca="false">IF(ISNUMBER(AH296),AH296+AH297-AH307-AH308,"n/a")</f>
        <v>856.938</v>
      </c>
      <c r="AI340" s="47" t="n">
        <f aca="false">IF(ISNUMBER(AI296),AI296+AI297-AI307-AI308,"n/a")</f>
        <v>887.602</v>
      </c>
      <c r="AJ340" s="47" t="n">
        <f aca="false">IF(ISNUMBER(AJ296),AJ296+AJ297-AJ307-AJ308,"n/a")</f>
        <v>1098.856</v>
      </c>
      <c r="AK340" s="47" t="n">
        <f aca="false">IF(ISNUMBER(AK296),AK296+AK297-AK307-AK308,"n/a")</f>
        <v>1059.515</v>
      </c>
      <c r="AL340" s="47" t="n">
        <f aca="false">IF(ISNUMBER(AL296),AL296+AL297-AL307-AL308,"n/a")</f>
        <v>924.069</v>
      </c>
      <c r="AM340" s="47" t="n">
        <f aca="false">IF(ISNUMBER(AM296),AM296+AM297-AM307-AM308,"n/a")</f>
        <v>924.069</v>
      </c>
      <c r="AN340" s="47" t="n">
        <f aca="false">IF(ISNUMBER(AN296),AN296+AN297-AN307-AN308,"n/a")</f>
        <v>984.626</v>
      </c>
      <c r="AO340" s="47" t="n">
        <f aca="false">IF(ISNUMBER(AO296),AO296+AO297-AO307-AO308,"n/a")</f>
        <v>1120.638</v>
      </c>
      <c r="AP340" s="47" t="n">
        <f aca="false">IF(ISNUMBER(AP296),AP296+AP297-AP307-AP308,"n/a")</f>
        <v>1118.198</v>
      </c>
      <c r="AQ340" s="47" t="n">
        <f aca="false">IF(ISNUMBER(AQ296),AQ296+AQ297-AQ307-AQ308,"n/a")</f>
        <v>978.2</v>
      </c>
      <c r="AR340" s="47" t="n">
        <f aca="false">IF(ISNUMBER(AR296),AR296+AR297-AR307-AR308,"n/a")</f>
        <v>978.2</v>
      </c>
      <c r="AS340" s="47" t="n">
        <f aca="false">IF(ISNUMBER(AS296),AS296+AS297-AS307-AS308,"n/a")</f>
        <v>1029.7</v>
      </c>
      <c r="AT340" s="47" t="n">
        <f aca="false">IF(ISNUMBER(AT296),AT296+AT297-AT307-AT308,"n/a")</f>
        <v>1162.7</v>
      </c>
      <c r="AU340" s="47" t="n">
        <f aca="false">IF(ISNUMBER(AU296),AU296+AU297-AU307-AU308,"n/a")</f>
        <v>1137.9</v>
      </c>
      <c r="AV340" s="47" t="n">
        <f aca="false">IF(ISNUMBER(AV296),AV296+AV297-AV307-AV308,"n/a")</f>
        <v>993.7</v>
      </c>
      <c r="AW340" s="47" t="n">
        <f aca="false">IF(ISNUMBER(AW296),AW296+AW297-AW307-AW308,"n/a")</f>
        <v>993.7</v>
      </c>
      <c r="AX340" s="47" t="n">
        <f aca="false">IF(ISNUMBER(AX296),AX296+AX297-AX307-AX308,"n/a")</f>
        <v>1017.7</v>
      </c>
      <c r="AY340" s="47" t="n">
        <f aca="false">IF(ISNUMBER(AY296),AY296+AY297-AY307-AY308,"n/a")</f>
        <v>1153.5</v>
      </c>
      <c r="AZ340" s="47" t="n">
        <f aca="false">IF(ISNUMBER(AZ296),AZ296+AZ297-AZ307-AZ308,"n/a")</f>
        <v>1204.6</v>
      </c>
      <c r="BA340" s="47" t="n">
        <f aca="false">IF(ISNUMBER(BA296),BA296+BA297-BA307-BA308,"n/a")</f>
        <v>1083.8</v>
      </c>
      <c r="BB340" s="47" t="n">
        <f aca="false">IF(ISNUMBER(BB296),BB296+BB297-BB307-BB308,"n/a")</f>
        <v>1083.8</v>
      </c>
      <c r="BC340" s="47" t="n">
        <f aca="false">IF(ISNUMBER(BC296),BC296+BC297-BC307-BC308,"n/a")</f>
        <v>1114.7</v>
      </c>
      <c r="BD340" s="47" t="n">
        <f aca="false">IF(ISNUMBER(BD296),BD296+BD297-BD307-BD308,"n/a")</f>
        <v>1444.4</v>
      </c>
      <c r="BE340" s="47" t="n">
        <f aca="false">IF(ISNUMBER(BE296),BE296+BE297-BE307-BE308,"n/a")</f>
        <v>1424.5</v>
      </c>
      <c r="BF340" s="47" t="n">
        <f aca="false">IF(ISNUMBER(BF296),BF296+BF297-BF307-BF308,"n/a")</f>
        <v>1203</v>
      </c>
      <c r="BG340" s="47" t="n">
        <f aca="false">IF(ISNUMBER(BG296),BG296+BG297-BG307-BG308,"n/a")</f>
        <v>1203</v>
      </c>
      <c r="BH340" s="47" t="n">
        <f aca="false">IF(ISNUMBER(BH296),BH296+BH297-BH307-BH308,"n/a")</f>
        <v>1404.9</v>
      </c>
      <c r="BI340" s="47" t="n">
        <f aca="false">IF(ISNUMBER(BI296),BI296+BI297-BI307-BI308,"n/a")</f>
        <v>1523.4</v>
      </c>
      <c r="BJ340" s="47" t="n">
        <f aca="false">IF(ISNUMBER(BJ296),BJ296+BJ297-BJ307-BJ308,"n/a")</f>
        <v>1613.9</v>
      </c>
      <c r="BK340" s="47" t="n">
        <f aca="false">IF(ISNUMBER(BK296),BK296+BK297-BK307-BK308,"n/a")</f>
        <v>1296.3</v>
      </c>
      <c r="BL340" s="47" t="n">
        <f aca="false">IF(ISNUMBER(BL296),BL296+BL297-BL307-BL308,"n/a")</f>
        <v>1296.3</v>
      </c>
      <c r="BM340" s="47" t="n">
        <f aca="false">IF(ISNUMBER(BM296),BM296+BM297-BM307-BM308,"n/a")</f>
        <v>1477</v>
      </c>
      <c r="BN340" s="47" t="n">
        <f aca="false">IF(ISNUMBER(BN296),BN296+BN297-BN307-BN308,"n/a")</f>
        <v>1652</v>
      </c>
      <c r="BO340" s="47" t="n">
        <f aca="false">IF(ISNUMBER(BO296),BO296+BO297-BO307-BO308,"n/a")</f>
        <v>1623</v>
      </c>
      <c r="BP340" s="47" t="n">
        <f aca="false">IF(ISNUMBER(BP296),BP296+BP297-BP307-BP308,"n/a")</f>
        <v>1345</v>
      </c>
      <c r="BQ340" s="47" t="n">
        <f aca="false">IF(ISNUMBER(BQ296),BQ296+BQ297-BQ307-BQ308,"n/a")</f>
        <v>1345</v>
      </c>
      <c r="BR340" s="47" t="n">
        <f aca="false">IF(ISNUMBER(BR296),BR296+BR297-BR307-BR308,"n/a")</f>
        <v>1567</v>
      </c>
      <c r="BS340" s="47" t="n">
        <f aca="false">IF(ISNUMBER(BS296),BS296+BS297-BS307-BS308,"n/a")</f>
        <v>1661</v>
      </c>
      <c r="BT340" s="47" t="n">
        <f aca="false">IF(ISNUMBER(BT296),BT296+BT297-BT307-BT308,"n/a")</f>
        <v>1581</v>
      </c>
      <c r="BU340" s="47" t="n">
        <f aca="false">IF(ISNUMBER(BU296),BU296+BU297-BU307-BU308,"n/a")</f>
        <v>1312</v>
      </c>
      <c r="BV340" s="47" t="n">
        <f aca="false">IF(ISNUMBER(BV296),BV296+BV297-BV307-BV308,"n/a")</f>
        <v>1312</v>
      </c>
      <c r="BW340" s="47" t="n">
        <f aca="false">IF(ISNUMBER(BW296),BW296+BW297-BW307-BW308,"n/a")</f>
        <v>1611</v>
      </c>
      <c r="BX340" s="47" t="n">
        <f aca="false">IF(ISNUMBER(BX296),BX296+BX297-BX307-BX308,"n/a")</f>
        <v>1769</v>
      </c>
      <c r="BY340" s="6"/>
      <c r="BZ340" s="6"/>
      <c r="CA340" s="37" t="n">
        <f aca="false">IF(ISNUMBER(CA296),CA296+CA297-CA307-CA308,"n/a")</f>
        <v>2012.31830404238</v>
      </c>
      <c r="CB340" s="37" t="n">
        <f aca="false">IF(ISNUMBER(CB296),CB296+CB297-CB307-CB308,"n/a")</f>
        <v>2109.63201003336</v>
      </c>
      <c r="CC340" s="37" t="n">
        <f aca="false">IF(ISNUMBER(CC296),CC296+CC297-CC307-CC308,"n/a")</f>
        <v>2253.35659777907</v>
      </c>
      <c r="CD340" s="37" t="n">
        <f aca="false">IF(ISNUMBER(CD296),CD296+CD297-CD307-CD308,"n/a")</f>
        <v>2427.72670624897</v>
      </c>
      <c r="CE340" s="37" t="n">
        <f aca="false">IF(ISNUMBER(CE296),CE296+CE297-CE307-CE308,"n/a")</f>
        <v>2630.03438810727</v>
      </c>
      <c r="CF340" s="6"/>
    </row>
    <row r="341" customFormat="false" ht="15" hidden="false" customHeight="true" outlineLevel="0" collapsed="false">
      <c r="B341" s="26" t="s">
        <v>542</v>
      </c>
      <c r="C341" s="38" t="n">
        <f aca="false">IFERROR(C340/(C334*1),"n/a")</f>
        <v>0.176051033357505</v>
      </c>
      <c r="D341" s="38" t="n">
        <f aca="false">IFERROR(D340/(D334*1),"n/a")</f>
        <v>0.192375968465407</v>
      </c>
      <c r="E341" s="38" t="n">
        <f aca="false">IFERROR(E340/(E334*1),"n/a")</f>
        <v>0.211056553936135</v>
      </c>
      <c r="F341" s="38" t="n">
        <f aca="false">IFERROR(F340/(F334*1),"n/a")</f>
        <v>0.251412545518619</v>
      </c>
      <c r="G341" s="38" t="n">
        <f aca="false">IFERROR(G340/(G334*1),"n/a")</f>
        <v>0.245339615233608</v>
      </c>
      <c r="H341" s="38" t="n">
        <f aca="false">IFERROR(H340/(H334*1),"n/a")</f>
        <v>0.243545714452418</v>
      </c>
      <c r="I341" s="38" t="n">
        <f aca="false">IFERROR(I340/(I334*1),"n/a")</f>
        <v>0.222498527679623</v>
      </c>
      <c r="J341" s="38" t="n">
        <f aca="false">IFERROR(J340/(J334*4),"n/a")</f>
        <v>0.298911688311688</v>
      </c>
      <c r="K341" s="38" t="n">
        <f aca="false">IFERROR(K340/(K334*4),"n/a")</f>
        <v>0.231106717611516</v>
      </c>
      <c r="L341" s="38" t="n">
        <f aca="false">IFERROR(L340/(L334*4),"n/a")</f>
        <v>0.206503457087028</v>
      </c>
      <c r="M341" s="38" t="n">
        <f aca="false">IFERROR(M340/(M334*4),"n/a")</f>
        <v>0.216061467889908</v>
      </c>
      <c r="N341" s="38" t="n">
        <f aca="false">IFERROR(N340/(N334*1),"n/a")</f>
        <v>0.218517281373231</v>
      </c>
      <c r="O341" s="38" t="n">
        <f aca="false">IFERROR(O340/(O334*4),"n/a")</f>
        <v>0.283196874271052</v>
      </c>
      <c r="P341" s="38" t="n">
        <f aca="false">IFERROR(P340/(P334*4),"n/a")</f>
        <v>0.199909219964136</v>
      </c>
      <c r="Q341" s="38" t="n">
        <f aca="false">IFERROR(Q340/(Q334*4),"n/a")</f>
        <v>0.178079356381389</v>
      </c>
      <c r="R341" s="38" t="n">
        <f aca="false">IFERROR(R340/(R334*4),"n/a")</f>
        <v>0.194694616372767</v>
      </c>
      <c r="S341" s="38" t="n">
        <f aca="false">IFERROR(S340/(S334*1),"n/a")</f>
        <v>0.225445571331981</v>
      </c>
      <c r="T341" s="38" t="n">
        <f aca="false">IFERROR(T340/(T334*4),"n/a")</f>
        <v>0.245436794908881</v>
      </c>
      <c r="U341" s="38" t="n">
        <f aca="false">IFERROR(U340/(U334*4),"n/a")</f>
        <v>0.20308742131539</v>
      </c>
      <c r="V341" s="38" t="n">
        <f aca="false">IFERROR(V340/(V334*4),"n/a")</f>
        <v>0.181247227869155</v>
      </c>
      <c r="W341" s="38" t="n">
        <f aca="false">IFERROR(W340/(W334*4),"n/a")</f>
        <v>0.202582583471466</v>
      </c>
      <c r="X341" s="38" t="n">
        <f aca="false">IFERROR(X340/(X334*1),"n/a")</f>
        <v>0.19335659396542</v>
      </c>
      <c r="Y341" s="38" t="n">
        <f aca="false">IFERROR(Y340/(Y334*4),"n/a")</f>
        <v>0.23515625</v>
      </c>
      <c r="Z341" s="38" t="n">
        <f aca="false">IFERROR(Z340/(Z334*4),"n/a")</f>
        <v>0.20892740202599</v>
      </c>
      <c r="AA341" s="38" t="n">
        <f aca="false">IFERROR(AA340/(AA334*4),"n/a")</f>
        <v>0.19214217773349</v>
      </c>
      <c r="AB341" s="38" t="n">
        <f aca="false">IFERROR(AB340/(AB334*4),"n/a")</f>
        <v>0.1985423693086</v>
      </c>
      <c r="AC341" s="38" t="n">
        <f aca="false">IFERROR(AC340/(AC334*1),"n/a")</f>
        <v>0.197315387032576</v>
      </c>
      <c r="AD341" s="38" t="n">
        <f aca="false">IFERROR(AD340/(AD334*4),"n/a")</f>
        <v>0.238492712406683</v>
      </c>
      <c r="AE341" s="38" t="n">
        <f aca="false">IFERROR(AE340/(AE334*4),"n/a")</f>
        <v>0.210873060648801</v>
      </c>
      <c r="AF341" s="38" t="n">
        <f aca="false">IFERROR(AF340/(AF334*4),"n/a")</f>
        <v>0.220069642364623</v>
      </c>
      <c r="AG341" s="38" t="n">
        <f aca="false">IFERROR(AG340/(AG334*4),"n/a")</f>
        <v>0.220746522411128</v>
      </c>
      <c r="AH341" s="38" t="n">
        <f aca="false">IFERROR(AH340/(AH334*1),"n/a")</f>
        <v>0.216092898930805</v>
      </c>
      <c r="AI341" s="38" t="n">
        <f aca="false">IFERROR(AI340/(AI334*4),"n/a")</f>
        <v>0.27668391521197</v>
      </c>
      <c r="AJ341" s="38" t="n">
        <f aca="false">IFERROR(AJ340/(AJ334*4),"n/a")</f>
        <v>0.228470820515252</v>
      </c>
      <c r="AK341" s="38" t="n">
        <f aca="false">IFERROR(AK340/(AK334*4),"n/a")</f>
        <v>0.217177814765013</v>
      </c>
      <c r="AL341" s="38" t="n">
        <f aca="false">IFERROR(AL340/(AL334*4),"n/a")</f>
        <v>0.226439104191457</v>
      </c>
      <c r="AM341" s="38" t="n">
        <f aca="false">IFERROR(AM340/(AM334*1),"n/a")</f>
        <v>0.217721796353432</v>
      </c>
      <c r="AN341" s="38" t="n">
        <f aca="false">IFERROR(AN340/(AN334*4),"n/a")</f>
        <v>0.262160060918787</v>
      </c>
      <c r="AO341" s="38" t="n">
        <f aca="false">IFERROR(AO340/(AO334*4),"n/a")</f>
        <v>0.218965616959549</v>
      </c>
      <c r="AP341" s="38" t="n">
        <f aca="false">IFERROR(AP340/(AP334*4),"n/a")</f>
        <v>0.196831746049628</v>
      </c>
      <c r="AQ341" s="38" t="n">
        <f aca="false">IFERROR(AQ340/(AQ334*4),"n/a")</f>
        <v>0.222231309578983</v>
      </c>
      <c r="AR341" s="38" t="n">
        <f aca="false">IFERROR(AR340/(AR334*1),"n/a")</f>
        <v>0.206410586993559</v>
      </c>
      <c r="AS341" s="38" t="n">
        <f aca="false">IFERROR(AS340/(AS334*4),"n/a")</f>
        <v>0.268654769359215</v>
      </c>
      <c r="AT341" s="38" t="n">
        <f aca="false">IFERROR(AT340/(AT334*4),"n/a")</f>
        <v>0.228769872501181</v>
      </c>
      <c r="AU341" s="38" t="n">
        <f aca="false">IFERROR(AU340/(AU334*4),"n/a")</f>
        <v>0.215283033146663</v>
      </c>
      <c r="AV341" s="38" t="n">
        <f aca="false">IFERROR(AV340/(AV334*4),"n/a")</f>
        <v>0.210601051203798</v>
      </c>
      <c r="AW341" s="38" t="n">
        <f aca="false">IFERROR(AW340/(AW334*1),"n/a")</f>
        <v>0.210089008224275</v>
      </c>
      <c r="AX341" s="38" t="n">
        <f aca="false">IFERROR(AX340/(AX334*4),"n/a")</f>
        <v>0.258983102605863</v>
      </c>
      <c r="AY341" s="38" t="n">
        <f aca="false">IFERROR(AY340/(AY334*4),"n/a")</f>
        <v>0.209285869801872</v>
      </c>
      <c r="AZ341" s="38" t="n">
        <f aca="false">IFERROR(AZ340/(AZ334*4),"n/a")</f>
        <v>0.19337956719964</v>
      </c>
      <c r="BA341" s="38" t="n">
        <f aca="false">IFERROR(BA340/(BA334*4),"n/a")</f>
        <v>0.181067896284416</v>
      </c>
      <c r="BB341" s="38" t="n">
        <f aca="false">IFERROR(BB340/(BB334*1),"n/a")</f>
        <v>0.200184706316956</v>
      </c>
      <c r="BC341" s="38" t="n">
        <f aca="false">IFERROR(BC340/(BC334*4),"n/a")</f>
        <v>0.226417777055574</v>
      </c>
      <c r="BD341" s="38" t="n">
        <f aca="false">IFERROR(BD340/(BD334*4),"n/a")</f>
        <v>0.219954924773101</v>
      </c>
      <c r="BE341" s="38" t="n">
        <f aca="false">IFERROR(BE340/(BE334*4),"n/a")</f>
        <v>0.196569520340012</v>
      </c>
      <c r="BF341" s="38" t="n">
        <f aca="false">IFERROR(BF340/(BF334*4),"n/a")</f>
        <v>0.203691161530647</v>
      </c>
      <c r="BG341" s="38" t="n">
        <f aca="false">IFERROR(BG340/(BG334*1),"n/a")</f>
        <v>0.195270018017433</v>
      </c>
      <c r="BH341" s="38" t="n">
        <f aca="false">IFERROR(BH340/(BH334*4),"n/a")</f>
        <v>0.259378923270069</v>
      </c>
      <c r="BI341" s="38" t="n">
        <f aca="false">IFERROR(BI340/(BI334*4),"n/a")</f>
        <v>0.209166300527241</v>
      </c>
      <c r="BJ341" s="38" t="n">
        <f aca="false">IFERROR(BJ340/(BJ334*4),"n/a")</f>
        <v>0.202334386439998</v>
      </c>
      <c r="BK341" s="38" t="n">
        <f aca="false">IFERROR(BK340/(BK334*4),"n/a")</f>
        <v>0.201514115159806</v>
      </c>
      <c r="BL341" s="38" t="n">
        <f aca="false">IFERROR(BL340/(BL334*1),"n/a")</f>
        <v>0.191273682346692</v>
      </c>
      <c r="BM341" s="38" t="n">
        <f aca="false">IFERROR(BM340/(BM334*4),"n/a")</f>
        <v>0.295163868904876</v>
      </c>
      <c r="BN341" s="38" t="n">
        <f aca="false">IFERROR(BN340/(BN334*4),"n/a")</f>
        <v>0.234126984126984</v>
      </c>
      <c r="BO341" s="38" t="n">
        <f aca="false">IFERROR(BO340/(BO334*4),"n/a")</f>
        <v>0.214796188459502</v>
      </c>
      <c r="BP341" s="38" t="n">
        <f aca="false">IFERROR(BP340/(BP334*4),"n/a")</f>
        <v>0.206035539215686</v>
      </c>
      <c r="BQ341" s="38" t="n">
        <f aca="false">IFERROR(BQ340/(BQ334*1),"n/a")</f>
        <v>0.20578335373317</v>
      </c>
      <c r="BR341" s="38" t="n">
        <f aca="false">IFERROR(BR340/(BR334*4),"n/a")</f>
        <v>0.337134251290878</v>
      </c>
      <c r="BS341" s="38" t="n">
        <f aca="false">IFERROR(BS340/(BS334*4),"n/a")</f>
        <v>0.258079552517091</v>
      </c>
      <c r="BT341" s="38" t="n">
        <f aca="false">IFERROR(BT340/(BT334*4),"n/a")</f>
        <v>0.214111592632719</v>
      </c>
      <c r="BU341" s="38" t="n">
        <f aca="false">IFERROR(BU340/(BU334*4),"n/a")</f>
        <v>0.213820078226858</v>
      </c>
      <c r="BV341" s="38" t="n">
        <f aca="false">IFERROR(BV340/(BV334*1),"n/a")</f>
        <v>0.213333333333333</v>
      </c>
      <c r="BW341" s="38" t="n">
        <f aca="false">IFERROR(BW340/(BW334*4),"n/a")</f>
        <v>0.295704845814978</v>
      </c>
      <c r="BX341" s="38" t="n">
        <f aca="false">IFERROR(BX340/(BX334*4),"n/a")</f>
        <v>0.227144324601952</v>
      </c>
      <c r="BY341" s="6"/>
      <c r="BZ341" s="6"/>
      <c r="CA341" s="25" t="n">
        <f aca="false">IFERROR(CA340/(CA334*1),"n/a")</f>
        <v>0.220232709380698</v>
      </c>
      <c r="CB341" s="25" t="n">
        <f aca="false">IFERROR(CB340/(CB334*1),"n/a")</f>
        <v>0.214899755201063</v>
      </c>
      <c r="CC341" s="25" t="n">
        <f aca="false">IFERROR(CC340/(CC334*1),"n/a")</f>
        <v>0.212530884948231</v>
      </c>
      <c r="CD341" s="25" t="n">
        <f aca="false">IFERROR(CD340/(CD334*1),"n/a")</f>
        <v>0.211223695082425</v>
      </c>
      <c r="CE341" s="25" t="n">
        <f aca="false">IFERROR(CE340/(CE334*1),"n/a")</f>
        <v>0.210642515405862</v>
      </c>
      <c r="CF341" s="6"/>
    </row>
    <row r="342" customFormat="false" ht="15" hidden="false" customHeight="true" outlineLevel="0" collapsed="false">
      <c r="B342" s="26" t="s">
        <v>543</v>
      </c>
      <c r="D342" s="47" t="n">
        <f aca="false">IFERROR(D340-C340,"n/a")</f>
        <v>36.154</v>
      </c>
      <c r="E342" s="47" t="n">
        <f aca="false">IFERROR(E340-D340,"n/a")</f>
        <v>22.8680000000001</v>
      </c>
      <c r="F342" s="47" t="n">
        <f aca="false">IFERROR(F340-E340,"n/a")</f>
        <v>-19.406</v>
      </c>
      <c r="G342" s="47" t="n">
        <f aca="false">IFERROR(G340-F340,"n/a")</f>
        <v>9.36099999999999</v>
      </c>
      <c r="H342" s="47" t="n">
        <f aca="false">IFERROR(H340-G340,"n/a")</f>
        <v>-20.003</v>
      </c>
      <c r="I342" s="47" t="n">
        <f aca="false">IFERROR(I340-H340,"n/a")</f>
        <v>35.9499999999999</v>
      </c>
      <c r="N342" s="47" t="n">
        <f aca="false">IFERROR(N340-I340,"n/a")</f>
        <v>17.6510000000001</v>
      </c>
      <c r="O342" s="47" t="n">
        <f aca="false">IFERROR(O340-J340,"n/a")</f>
        <v>25.302</v>
      </c>
      <c r="P342" s="47" t="n">
        <f aca="false">IFERROR(P340-K340,"n/a")</f>
        <v>14.942</v>
      </c>
      <c r="Q342" s="47" t="n">
        <f aca="false">IFERROR(Q340-L340,"n/a")</f>
        <v>165.406</v>
      </c>
      <c r="R342" s="47" t="n">
        <f aca="false">IFERROR(R340-M340,"n/a")</f>
        <v>195.854</v>
      </c>
      <c r="S342" s="47" t="n">
        <f aca="false">IFERROR(S340-N340,"n/a")</f>
        <v>195.854</v>
      </c>
      <c r="T342" s="47" t="n">
        <f aca="false">IFERROR(T340-O340,"n/a")</f>
        <v>193.154</v>
      </c>
      <c r="U342" s="47" t="n">
        <f aca="false">IFERROR(U340-P340,"n/a")</f>
        <v>213.382</v>
      </c>
      <c r="V342" s="47" t="n">
        <f aca="false">IFERROR(V340-Q340,"n/a")</f>
        <v>69.6300000000001</v>
      </c>
      <c r="W342" s="47" t="n">
        <f aca="false">IFERROR(W340-R340,"n/a")</f>
        <v>17.5370000000002</v>
      </c>
      <c r="X342" s="47" t="n">
        <f aca="false">IFERROR(X340-S340,"n/a")</f>
        <v>17.5370000000002</v>
      </c>
      <c r="Y342" s="47" t="n">
        <f aca="false">IFERROR(Y340-T340,"n/a")</f>
        <v>63.1849999999999</v>
      </c>
      <c r="Z342" s="47" t="n">
        <f aca="false">IFERROR(Z340-U340,"n/a")</f>
        <v>68.24</v>
      </c>
      <c r="AA342" s="47" t="n">
        <f aca="false">IFERROR(AA340-V340,"n/a")</f>
        <v>63.8399999999999</v>
      </c>
      <c r="AB342" s="47" t="n">
        <f aca="false">IFERROR(AB340-W340,"n/a")</f>
        <v>69.1030000000001</v>
      </c>
      <c r="AC342" s="47" t="n">
        <f aca="false">IFERROR(AC340-X340,"n/a")</f>
        <v>69.1030000000001</v>
      </c>
      <c r="AD342" s="47" t="n">
        <f aca="false">IFERROR(AD340-Y340,"n/a")</f>
        <v>63.091</v>
      </c>
      <c r="AE342" s="47" t="n">
        <f aca="false">IFERROR(AE340-Z340,"n/a")</f>
        <v>80.3150000000002</v>
      </c>
      <c r="AF342" s="47" t="n">
        <f aca="false">IFERROR(AF340-AA340,"n/a")</f>
        <v>109.056</v>
      </c>
      <c r="AG342" s="47" t="n">
        <f aca="false">IFERROR(AG340-AB340,"n/a")</f>
        <v>103.43</v>
      </c>
      <c r="AH342" s="47" t="n">
        <f aca="false">IFERROR(AH340-AC340,"n/a")</f>
        <v>103.43</v>
      </c>
      <c r="AI342" s="47" t="n">
        <f aca="false">IFERROR(AI340-AD340,"n/a")</f>
        <v>82.5460000000002</v>
      </c>
      <c r="AJ342" s="47" t="n">
        <f aca="false">IFERROR(AJ340-AE340,"n/a")</f>
        <v>201.802</v>
      </c>
      <c r="AK342" s="47" t="n">
        <f aca="false">IFERROR(AK340-AF340,"n/a")</f>
        <v>102.036</v>
      </c>
      <c r="AL342" s="47" t="n">
        <f aca="false">IFERROR(AL340-AG340,"n/a")</f>
        <v>67.1309999999999</v>
      </c>
      <c r="AM342" s="47" t="n">
        <f aca="false">IFERROR(AM340-AH340,"n/a")</f>
        <v>67.1309999999999</v>
      </c>
      <c r="AN342" s="47" t="n">
        <f aca="false">IFERROR(AN340-AI340,"n/a")</f>
        <v>97.0239999999998</v>
      </c>
      <c r="AO342" s="47" t="n">
        <f aca="false">IFERROR(AO340-AJ340,"n/a")</f>
        <v>21.7819999999999</v>
      </c>
      <c r="AP342" s="47" t="n">
        <f aca="false">IFERROR(AP340-AK340,"n/a")</f>
        <v>58.683</v>
      </c>
      <c r="AQ342" s="47" t="n">
        <f aca="false">IFERROR(AQ340-AL340,"n/a")</f>
        <v>54.1310000000001</v>
      </c>
      <c r="AR342" s="47" t="n">
        <f aca="false">IFERROR(AR340-AM340,"n/a")</f>
        <v>54.1310000000001</v>
      </c>
      <c r="AS342" s="47" t="n">
        <f aca="false">IFERROR(AS340-AN340,"n/a")</f>
        <v>45.0740000000002</v>
      </c>
      <c r="AT342" s="47" t="n">
        <f aca="false">IFERROR(AT340-AO340,"n/a")</f>
        <v>42.0619999999997</v>
      </c>
      <c r="AU342" s="47" t="n">
        <f aca="false">IFERROR(AU340-AP340,"n/a")</f>
        <v>19.7019999999998</v>
      </c>
      <c r="AV342" s="47" t="n">
        <f aca="false">IFERROR(AV340-AQ340,"n/a")</f>
        <v>15.4999999999999</v>
      </c>
      <c r="AW342" s="47" t="n">
        <f aca="false">IFERROR(AW340-AR340,"n/a")</f>
        <v>15.4999999999999</v>
      </c>
      <c r="AX342" s="47" t="n">
        <f aca="false">IFERROR(AX340-AS340,"n/a")</f>
        <v>-12.0000000000001</v>
      </c>
      <c r="AY342" s="47" t="n">
        <f aca="false">IFERROR(AY340-AT340,"n/a")</f>
        <v>-9.19999999999982</v>
      </c>
      <c r="AZ342" s="47" t="n">
        <f aca="false">IFERROR(AZ340-AU340,"n/a")</f>
        <v>66.7000000000003</v>
      </c>
      <c r="BA342" s="47" t="n">
        <f aca="false">IFERROR(BA340-AV340,"n/a")</f>
        <v>90.1</v>
      </c>
      <c r="BB342" s="47" t="n">
        <f aca="false">IFERROR(BB340-AW340,"n/a")</f>
        <v>90.1</v>
      </c>
      <c r="BC342" s="47" t="n">
        <f aca="false">IFERROR(BC340-AX340,"n/a")</f>
        <v>97.0000000000001</v>
      </c>
      <c r="BD342" s="47" t="n">
        <f aca="false">IFERROR(BD340-AY340,"n/a")</f>
        <v>290.9</v>
      </c>
      <c r="BE342" s="47" t="n">
        <f aca="false">IFERROR(BE340-AZ340,"n/a")</f>
        <v>219.9</v>
      </c>
      <c r="BF342" s="47" t="n">
        <f aca="false">IFERROR(BF340-BA340,"n/a")</f>
        <v>119.2</v>
      </c>
      <c r="BG342" s="47" t="n">
        <f aca="false">IFERROR(BG340-BB340,"n/a")</f>
        <v>119.2</v>
      </c>
      <c r="BH342" s="47" t="n">
        <f aca="false">IFERROR(BH340-BC340,"n/a")</f>
        <v>290.2</v>
      </c>
      <c r="BI342" s="47" t="n">
        <f aca="false">IFERROR(BI340-BD340,"n/a")</f>
        <v>79.0000000000002</v>
      </c>
      <c r="BJ342" s="47" t="n">
        <f aca="false">IFERROR(BJ340-BE340,"n/a")</f>
        <v>189.4</v>
      </c>
      <c r="BK342" s="47" t="n">
        <f aca="false">IFERROR(BK340-BF340,"n/a")</f>
        <v>93.3000000000002</v>
      </c>
      <c r="BL342" s="47" t="n">
        <f aca="false">IFERROR(BL340-BG340,"n/a")</f>
        <v>93.3000000000002</v>
      </c>
      <c r="BM342" s="47" t="n">
        <f aca="false">IFERROR(BM340-BH340,"n/a")</f>
        <v>72.0999999999999</v>
      </c>
      <c r="BN342" s="47" t="n">
        <f aca="false">IFERROR(BN340-BI340,"n/a")</f>
        <v>128.6</v>
      </c>
      <c r="BO342" s="47" t="n">
        <f aca="false">IFERROR(BO340-BJ340,"n/a")</f>
        <v>9.10000000000014</v>
      </c>
      <c r="BP342" s="47" t="n">
        <f aca="false">IFERROR(BP340-BK340,"n/a")</f>
        <v>48.6999999999998</v>
      </c>
      <c r="BQ342" s="47" t="n">
        <f aca="false">IFERROR(BQ340-BL340,"n/a")</f>
        <v>48.6999999999998</v>
      </c>
      <c r="BR342" s="47" t="n">
        <f aca="false">IFERROR(BR340-BM340,"n/a")</f>
        <v>90</v>
      </c>
      <c r="BS342" s="47" t="n">
        <f aca="false">IFERROR(BS340-BN340,"n/a")</f>
        <v>9</v>
      </c>
      <c r="BT342" s="47" t="n">
        <f aca="false">IFERROR(BT340-BO340,"n/a")</f>
        <v>-42</v>
      </c>
      <c r="BU342" s="47" t="n">
        <f aca="false">IFERROR(BU340-BP340,"n/a")</f>
        <v>-33</v>
      </c>
      <c r="BV342" s="47" t="n">
        <f aca="false">IFERROR(BV340-BQ340,"n/a")</f>
        <v>-33</v>
      </c>
      <c r="BW342" s="47" t="n">
        <f aca="false">IFERROR(BW340-BR340,"n/a")</f>
        <v>44</v>
      </c>
      <c r="BX342" s="47" t="n">
        <f aca="false">IFERROR(BX340-BS340,"n/a")</f>
        <v>108</v>
      </c>
      <c r="BY342" s="6"/>
      <c r="BZ342" s="6"/>
      <c r="CA342" s="37" t="n">
        <f aca="false">IFERROR(CA340-BV340,"n/a")</f>
        <v>700.31830404238</v>
      </c>
      <c r="CB342" s="37" t="n">
        <f aca="false">IFERROR(CB340-CA340,"n/a")</f>
        <v>97.3137059909755</v>
      </c>
      <c r="CC342" s="37" t="n">
        <f aca="false">IFERROR(CC340-CB340,"n/a")</f>
        <v>143.724587745718</v>
      </c>
      <c r="CD342" s="37" t="n">
        <f aca="false">IFERROR(CD340-CC340,"n/a")</f>
        <v>174.370108469899</v>
      </c>
      <c r="CE342" s="37" t="n">
        <f aca="false">IFERROR(CE340-CD340,"n/a")</f>
        <v>202.307681858299</v>
      </c>
      <c r="CF342" s="6"/>
    </row>
    <row r="343" customFormat="false" ht="15" hidden="false" customHeight="true" outlineLevel="0" collapsed="false"/>
    <row r="344" customFormat="false" ht="15" hidden="false" customHeight="true" outlineLevel="0" collapsed="false">
      <c r="B344" s="11" t="s">
        <v>544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 t="s">
        <v>545</v>
      </c>
    </row>
    <row r="345" customFormat="false" ht="15" hidden="false" customHeight="true" outlineLevel="0" collapsed="false">
      <c r="B345" s="15" t="s">
        <v>546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6"/>
    </row>
    <row r="346" customFormat="false" ht="15" hidden="false" customHeight="true" outlineLevel="0" collapsed="false">
      <c r="B346" s="76" t="s">
        <v>547</v>
      </c>
      <c r="BY346" s="6"/>
      <c r="BZ346" s="6"/>
      <c r="CA346" s="52" t="n">
        <v>7222</v>
      </c>
      <c r="CB346" s="6"/>
      <c r="CC346" s="6"/>
      <c r="CD346" s="6"/>
      <c r="CE346" s="6"/>
      <c r="CF346" s="6"/>
    </row>
    <row r="347" customFormat="false" ht="15" hidden="false" customHeight="true" outlineLevel="0" collapsed="false">
      <c r="B347" s="76" t="s">
        <v>548</v>
      </c>
      <c r="BY347" s="6"/>
      <c r="BZ347" s="6"/>
      <c r="CA347" s="52" t="n">
        <v>26</v>
      </c>
      <c r="CB347" s="6"/>
      <c r="CC347" s="6"/>
      <c r="CD347" s="6"/>
      <c r="CE347" s="6"/>
      <c r="CF347" s="6"/>
    </row>
    <row r="348" customFormat="false" ht="15" hidden="false" customHeight="true" outlineLevel="0" collapsed="false">
      <c r="B348" s="76" t="s">
        <v>549</v>
      </c>
      <c r="BY348" s="6"/>
      <c r="BZ348" s="6"/>
      <c r="CA348" s="52" t="n">
        <v>6317</v>
      </c>
      <c r="CB348" s="6"/>
      <c r="CC348" s="6"/>
      <c r="CD348" s="6"/>
      <c r="CE348" s="6"/>
      <c r="CF348" s="6"/>
    </row>
    <row r="349" customFormat="false" ht="15" hidden="false" customHeight="true" outlineLevel="0" collapsed="false">
      <c r="B349" s="76" t="s">
        <v>550</v>
      </c>
      <c r="BY349" s="6"/>
      <c r="BZ349" s="6"/>
      <c r="CA349" s="73" t="n">
        <v>10.953543</v>
      </c>
      <c r="CB349" s="6"/>
      <c r="CC349" s="6"/>
      <c r="CD349" s="6"/>
      <c r="CE349" s="6"/>
      <c r="CF349" s="6"/>
    </row>
    <row r="350" customFormat="false" ht="15" hidden="false" customHeight="true" outlineLevel="0" collapsed="false">
      <c r="B350" s="76" t="s">
        <v>551</v>
      </c>
      <c r="BY350" s="6"/>
      <c r="BZ350" s="6"/>
      <c r="CA350" s="52" t="n">
        <v>224</v>
      </c>
      <c r="CB350" s="6"/>
      <c r="CC350" s="6"/>
      <c r="CD350" s="6"/>
      <c r="CE350" s="6"/>
      <c r="CF350" s="6"/>
    </row>
    <row r="351" customFormat="false" ht="15" hidden="false" customHeight="true" outlineLevel="0" collapsed="false">
      <c r="B351" s="76" t="s">
        <v>552</v>
      </c>
      <c r="BY351" s="6"/>
      <c r="BZ351" s="6"/>
      <c r="CA351" s="52" t="n">
        <v>152</v>
      </c>
      <c r="CB351" s="6"/>
      <c r="CC351" s="6"/>
      <c r="CD351" s="6"/>
      <c r="CE351" s="6"/>
      <c r="CF351" s="6"/>
    </row>
    <row r="352" customFormat="false" ht="15" hidden="false" customHeight="true" outlineLevel="0" collapsed="false">
      <c r="B352" s="76" t="s">
        <v>553</v>
      </c>
      <c r="BY352" s="6"/>
      <c r="BZ352" s="6"/>
      <c r="CA352" s="52" t="n">
        <v>336</v>
      </c>
      <c r="CB352" s="6"/>
      <c r="CC352" s="6"/>
      <c r="CD352" s="6"/>
      <c r="CE352" s="6"/>
      <c r="CF352" s="6"/>
    </row>
    <row r="353" customFormat="false" ht="15" hidden="false" customHeight="true" outlineLevel="0" collapsed="false">
      <c r="B353" s="76" t="s">
        <v>554</v>
      </c>
      <c r="BY353" s="6"/>
      <c r="BZ353" s="6"/>
      <c r="CA353" s="52" t="n">
        <v>3247</v>
      </c>
      <c r="CB353" s="6"/>
      <c r="CC353" s="6"/>
      <c r="CD353" s="6"/>
      <c r="CE353" s="6"/>
      <c r="CF353" s="6"/>
    </row>
    <row r="354" customFormat="false" ht="15" hidden="false" customHeight="true" outlineLevel="0" collapsed="false">
      <c r="B354" s="76" t="s">
        <v>555</v>
      </c>
      <c r="BY354" s="6"/>
      <c r="BZ354" s="6"/>
      <c r="CA354" s="52" t="n">
        <v>5900</v>
      </c>
      <c r="CB354" s="6"/>
      <c r="CC354" s="6"/>
      <c r="CD354" s="6"/>
      <c r="CE354" s="6"/>
      <c r="CF354" s="6"/>
    </row>
    <row r="355" customFormat="false" ht="15" hidden="false" customHeight="true" outlineLevel="0" collapsed="false">
      <c r="B355" s="76" t="s">
        <v>556</v>
      </c>
      <c r="BY355" s="6"/>
      <c r="BZ355" s="6"/>
      <c r="CA355" s="52" t="n">
        <v>66</v>
      </c>
      <c r="CB355" s="6"/>
      <c r="CC355" s="6"/>
      <c r="CD355" s="6"/>
      <c r="CE355" s="6"/>
      <c r="CF355" s="6"/>
    </row>
    <row r="356" customFormat="false" ht="15" hidden="false" customHeight="true" outlineLevel="0" collapsed="false">
      <c r="B356" s="76" t="s">
        <v>494</v>
      </c>
      <c r="BY356" s="6"/>
      <c r="BZ356" s="6"/>
      <c r="CA356" s="52" t="n">
        <v>6000</v>
      </c>
      <c r="CB356" s="6"/>
      <c r="CC356" s="6"/>
      <c r="CD356" s="6"/>
      <c r="CE356" s="6"/>
      <c r="CF356" s="6"/>
    </row>
    <row r="357" customFormat="false" ht="15" hidden="false" customHeight="true" outlineLevel="0" collapsed="false">
      <c r="B357" s="76" t="s">
        <v>557</v>
      </c>
      <c r="BY357" s="6"/>
      <c r="BZ357" s="6"/>
      <c r="CA357" s="52" t="n">
        <v>85</v>
      </c>
      <c r="CB357" s="6"/>
      <c r="CC357" s="6"/>
      <c r="CD357" s="6"/>
      <c r="CE357" s="6"/>
      <c r="CF357" s="6"/>
    </row>
    <row r="358" customFormat="false" ht="15" hidden="false" customHeight="true" outlineLevel="0" collapsed="false">
      <c r="B358" s="76" t="s">
        <v>558</v>
      </c>
      <c r="BY358" s="6"/>
      <c r="BZ358" s="6"/>
      <c r="CA358" s="52" t="n">
        <v>72</v>
      </c>
      <c r="CB358" s="6"/>
      <c r="CC358" s="6"/>
      <c r="CD358" s="6"/>
      <c r="CE358" s="6"/>
      <c r="CF358" s="6"/>
    </row>
    <row r="359" customFormat="false" ht="15" hidden="false" customHeight="true" outlineLevel="0" collapsed="false">
      <c r="B359" s="76" t="s">
        <v>506</v>
      </c>
      <c r="BY359" s="6"/>
      <c r="BZ359" s="6"/>
      <c r="CA359" s="52" t="n">
        <v>18</v>
      </c>
      <c r="CB359" s="6"/>
      <c r="CC359" s="6"/>
      <c r="CD359" s="6"/>
      <c r="CE359" s="6"/>
      <c r="CF359" s="6"/>
    </row>
    <row r="360" customFormat="false" ht="15" hidden="false" customHeight="true" outlineLevel="0" collapsed="false">
      <c r="B360" s="76" t="s">
        <v>510</v>
      </c>
      <c r="BY360" s="6"/>
      <c r="BZ360" s="6"/>
      <c r="CA360" s="52" t="n">
        <v>50</v>
      </c>
      <c r="CB360" s="6"/>
      <c r="CC360" s="6"/>
      <c r="CD360" s="6"/>
      <c r="CE360" s="6"/>
      <c r="CF360" s="6"/>
    </row>
    <row r="361" customFormat="false" ht="15" hidden="false" customHeight="true" outlineLevel="0" collapsed="false">
      <c r="B361" s="76" t="s">
        <v>559</v>
      </c>
      <c r="BY361" s="6"/>
      <c r="BZ361" s="6"/>
      <c r="CA361" s="52" t="n">
        <v>148</v>
      </c>
      <c r="CB361" s="6"/>
      <c r="CC361" s="6"/>
      <c r="CD361" s="6"/>
      <c r="CE361" s="6"/>
      <c r="CF361" s="6"/>
    </row>
    <row r="362" customFormat="false" ht="15" hidden="false" customHeight="true" outlineLevel="0" collapsed="false">
      <c r="B362" s="76" t="s">
        <v>430</v>
      </c>
      <c r="BY362" s="6"/>
      <c r="BZ362" s="6"/>
      <c r="CA362" s="52" t="n">
        <v>2039</v>
      </c>
      <c r="CB362" s="6"/>
      <c r="CC362" s="6"/>
      <c r="CD362" s="6"/>
      <c r="CE362" s="6"/>
      <c r="CF362" s="6"/>
    </row>
    <row r="363" customFormat="false" ht="15" hidden="false" customHeight="true" outlineLevel="0" collapsed="false">
      <c r="B363" s="61" t="s">
        <v>560</v>
      </c>
      <c r="BY363" s="6"/>
      <c r="BZ363" s="6"/>
      <c r="CA363" s="37" t="n">
        <f aca="false">ROUND($CA$347+$CA$350+$CA$351+$CA$352+$CA$353+$CA$354+$CA$355+$CA$356-($CA$357+$CA$358+$CA$359+$CA$360+$CA$361+$CA$362)-($CA$346+$CA$348),1)</f>
        <v>0</v>
      </c>
      <c r="CB363" s="6"/>
      <c r="CC363" s="6"/>
      <c r="CD363" s="6"/>
      <c r="CE363" s="6"/>
      <c r="CF363" s="6"/>
    </row>
    <row r="364" customFormat="false" ht="15" hidden="false" customHeight="true" outlineLevel="0" collapsed="false">
      <c r="B364" s="15" t="s">
        <v>561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6"/>
    </row>
    <row r="365" customFormat="false" ht="15" hidden="false" customHeight="true" outlineLevel="0" collapsed="false">
      <c r="B365" s="76" t="s">
        <v>562</v>
      </c>
      <c r="BY365" s="52" t="n">
        <v>6.25</v>
      </c>
      <c r="BZ365" s="52" t="n">
        <v>6.25</v>
      </c>
      <c r="CA365" s="37" t="n">
        <f aca="false">SUM(BW365,BX365,BY365,BZ365)</f>
        <v>12.5</v>
      </c>
      <c r="CB365" s="52" t="n">
        <v>25</v>
      </c>
      <c r="CC365" s="52" t="n">
        <v>25</v>
      </c>
      <c r="CD365" s="52" t="n">
        <v>25</v>
      </c>
      <c r="CE365" s="52" t="n">
        <v>25</v>
      </c>
      <c r="CF365" s="20" t="s">
        <v>563</v>
      </c>
    </row>
    <row r="366" customFormat="false" ht="15" hidden="false" customHeight="true" outlineLevel="0" collapsed="false">
      <c r="B366" s="76" t="s">
        <v>564</v>
      </c>
      <c r="BY366" s="6"/>
      <c r="BZ366" s="6"/>
      <c r="CA366" s="49" t="n">
        <v>0.246</v>
      </c>
      <c r="CB366" s="6"/>
      <c r="CC366" s="6"/>
      <c r="CD366" s="6"/>
      <c r="CE366" s="6"/>
      <c r="CF366" s="20" t="s">
        <v>565</v>
      </c>
    </row>
    <row r="367" customFormat="false" ht="15" hidden="false" customHeight="true" outlineLevel="0" collapsed="false">
      <c r="B367" s="76" t="s">
        <v>566</v>
      </c>
      <c r="BY367" s="6"/>
      <c r="BZ367" s="6"/>
      <c r="CA367" s="49" t="n">
        <v>0.09</v>
      </c>
      <c r="CB367" s="6"/>
      <c r="CC367" s="6"/>
      <c r="CD367" s="6"/>
      <c r="CE367" s="6"/>
      <c r="CF367" s="20" t="s">
        <v>567</v>
      </c>
    </row>
    <row r="368" customFormat="false" ht="15" hidden="false" customHeight="true" outlineLevel="0" collapsed="false">
      <c r="B368" s="76" t="s">
        <v>568</v>
      </c>
      <c r="BY368" s="6"/>
      <c r="BZ368" s="6"/>
      <c r="CA368" s="6"/>
      <c r="CB368" s="73" t="n">
        <v>0.15</v>
      </c>
      <c r="CC368" s="73" t="n">
        <v>0.15</v>
      </c>
      <c r="CD368" s="73" t="n">
        <v>0.15</v>
      </c>
      <c r="CE368" s="73" t="n">
        <v>0.15</v>
      </c>
      <c r="CF368" s="6"/>
    </row>
    <row r="369" customFormat="false" ht="15" hidden="false" customHeight="true" outlineLevel="0" collapsed="false">
      <c r="B369" s="76" t="s">
        <v>569</v>
      </c>
      <c r="BY369" s="6"/>
      <c r="BZ369" s="6"/>
      <c r="CA369" s="6"/>
      <c r="CB369" s="49" t="n">
        <v>0.07</v>
      </c>
      <c r="CC369" s="49" t="n">
        <v>0.07</v>
      </c>
      <c r="CD369" s="49" t="n">
        <v>0.07</v>
      </c>
      <c r="CE369" s="49" t="n">
        <v>0.07</v>
      </c>
      <c r="CF369" s="6"/>
    </row>
    <row r="370" customFormat="false" ht="15" hidden="false" customHeight="true" outlineLevel="0" collapsed="false">
      <c r="B370" s="15" t="s">
        <v>570</v>
      </c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6"/>
    </row>
    <row r="371" customFormat="false" ht="15" hidden="false" customHeight="true" outlineLevel="0" collapsed="false">
      <c r="B371" s="76" t="s">
        <v>571</v>
      </c>
      <c r="C371" s="47" t="n">
        <f aca="false">IF(ISNUMBER(C313),N(C309)+C313,"")</f>
        <v>705.264</v>
      </c>
      <c r="D371" s="47" t="n">
        <f aca="false">IF(ISNUMBER(D313),N(D309)+D313,"")</f>
        <v>1124.322</v>
      </c>
      <c r="E371" s="47" t="n">
        <f aca="false">IF(ISNUMBER(E313),N(E309)+E313,"")</f>
        <v>1354.944</v>
      </c>
      <c r="F371" s="47" t="n">
        <f aca="false">IF(ISNUMBER(F313),N(F309)+F313,"")</f>
        <v>1249.611</v>
      </c>
      <c r="G371" s="47" t="n">
        <f aca="false">IF(ISNUMBER(G313),N(G309)+G313,"")</f>
        <v>1030.759</v>
      </c>
      <c r="H371" s="47" t="n">
        <f aca="false">IF(ISNUMBER(H313),N(H309)+H313,"")</f>
        <v>1060.084</v>
      </c>
      <c r="I371" s="47" t="n">
        <f aca="false">IF(ISNUMBER(I313),N(I309)+I313,"")</f>
        <v>1047.859</v>
      </c>
      <c r="J371" s="47" t="n">
        <f aca="false">IF(ISNUMBER(J313),N(J309)+J313,"")</f>
        <v>1078.527</v>
      </c>
      <c r="K371" s="47" t="n">
        <f aca="false">IF(ISNUMBER(K313),N(K309)+K313,"")</f>
        <v>1093.319</v>
      </c>
      <c r="L371" s="47" t="n">
        <f aca="false">IF(ISNUMBER(L313),N(L309)+L313,"")</f>
        <v>1113.361</v>
      </c>
      <c r="M371" s="47" t="n">
        <f aca="false">IF(ISNUMBER(M313),N(M309)+M313,"")</f>
        <v>1030.921</v>
      </c>
      <c r="N371" s="47" t="n">
        <f aca="false">IF(ISNUMBER(N313),N(N309)+N313,"")</f>
        <v>1030.921</v>
      </c>
      <c r="O371" s="47" t="n">
        <f aca="false">IF(ISNUMBER(O313),N(O309)+O313,"")</f>
        <v>1067.944</v>
      </c>
      <c r="P371" s="47" t="n">
        <f aca="false">IF(ISNUMBER(P313),N(P309)+P313,"")</f>
        <v>1084.801</v>
      </c>
      <c r="Q371" s="47" t="n">
        <f aca="false">IF(ISNUMBER(Q313),N(Q309)+Q313,"")</f>
        <v>1618.275</v>
      </c>
      <c r="R371" s="47" t="n">
        <f aca="false">IF(ISNUMBER(R313),N(R309)+R313,"")</f>
        <v>1585.395</v>
      </c>
      <c r="S371" s="47" t="n">
        <f aca="false">IF(ISNUMBER(S313),N(S309)+S313,"")</f>
        <v>1585.395</v>
      </c>
      <c r="T371" s="47" t="n">
        <f aca="false">IF(ISNUMBER(T313),N(T309)+T313,"")</f>
        <v>1581.023</v>
      </c>
      <c r="U371" s="47" t="n">
        <f aca="false">IF(ISNUMBER(U313),N(U309)+U313,"")</f>
        <v>1658.001</v>
      </c>
      <c r="V371" s="47" t="n">
        <f aca="false">IF(ISNUMBER(V313),N(V309)+V313,"")</f>
        <v>1705.152</v>
      </c>
      <c r="W371" s="47" t="n">
        <f aca="false">IF(ISNUMBER(W313),N(W309)+W313,"")</f>
        <v>1572.895</v>
      </c>
      <c r="X371" s="47" t="n">
        <f aca="false">IF(ISNUMBER(X313),N(X309)+X313,"")</f>
        <v>1572.895</v>
      </c>
      <c r="Y371" s="47" t="n">
        <f aca="false">IF(ISNUMBER(Y313),N(Y309)+Y313,"")</f>
        <v>1752.757</v>
      </c>
      <c r="Z371" s="47" t="n">
        <f aca="false">IF(ISNUMBER(Z313),N(Z309)+Z313,"")</f>
        <v>1779.217</v>
      </c>
      <c r="AA371" s="47" t="n">
        <f aca="false">IF(ISNUMBER(AA313),N(AA309)+AA313,"")</f>
        <v>1764.835</v>
      </c>
      <c r="AB371" s="47" t="n">
        <f aca="false">IF(ISNUMBER(AB313),N(AB309)+AB313,"")</f>
        <v>1686.189</v>
      </c>
      <c r="AC371" s="47" t="n">
        <f aca="false">IF(ISNUMBER(AC313),N(AC309)+AC313,"")</f>
        <v>1686.189</v>
      </c>
      <c r="AD371" s="47" t="n">
        <f aca="false">IF(ISNUMBER(AD313),N(AD309)+AD313,"")</f>
        <v>1846.294</v>
      </c>
      <c r="AE371" s="47" t="n">
        <f aca="false">IF(ISNUMBER(AE313),N(AE309)+AE313,"")</f>
        <v>1781.981</v>
      </c>
      <c r="AF371" s="47" t="n">
        <f aca="false">IF(ISNUMBER(AF313),N(AF309)+AF313,"")</f>
        <v>1722.54</v>
      </c>
      <c r="AG371" s="47" t="n">
        <f aca="false">IF(ISNUMBER(AG313),N(AG309)+AG313,"")</f>
        <v>3027.203</v>
      </c>
      <c r="AH371" s="47" t="n">
        <f aca="false">IF(ISNUMBER(AH313),N(AH309)+AH313,"")</f>
        <v>3027.203</v>
      </c>
      <c r="AI371" s="47" t="n">
        <f aca="false">IF(ISNUMBER(AI313),N(AI309)+AI313,"")</f>
        <v>3028.108</v>
      </c>
      <c r="AJ371" s="47" t="n">
        <f aca="false">IF(ISNUMBER(AJ313),N(AJ309)+AJ313,"")</f>
        <v>3218.922</v>
      </c>
      <c r="AK371" s="47" t="n">
        <f aca="false">IF(ISNUMBER(AK313),N(AK309)+AK313,"")</f>
        <v>3209.698</v>
      </c>
      <c r="AL371" s="47" t="n">
        <f aca="false">IF(ISNUMBER(AL313),N(AL309)+AL313,"")</f>
        <v>3120.481</v>
      </c>
      <c r="AM371" s="47" t="n">
        <f aca="false">IF(ISNUMBER(AM313),N(AM309)+AM313,"")</f>
        <v>3120.481</v>
      </c>
      <c r="AN371" s="47" t="n">
        <f aca="false">IF(ISNUMBER(AN313),N(AN309)+AN313,"")</f>
        <v>3161.284</v>
      </c>
      <c r="AO371" s="47" t="n">
        <f aca="false">IF(ISNUMBER(AO313),N(AO309)+AO313,"")</f>
        <v>3117.061</v>
      </c>
      <c r="AP371" s="47" t="n">
        <f aca="false">IF(ISNUMBER(AP313),N(AP309)+AP313,"")</f>
        <v>2922.859</v>
      </c>
      <c r="AQ371" s="47" t="n">
        <f aca="false">IF(ISNUMBER(AQ313),N(AQ309)+AQ313,"")</f>
        <v>2773.6</v>
      </c>
      <c r="AR371" s="47" t="n">
        <f aca="false">IF(ISNUMBER(AR313),N(AR309)+AR313,"")</f>
        <v>2773.6</v>
      </c>
      <c r="AS371" s="47" t="n">
        <f aca="false">IF(ISNUMBER(AS313),N(AS309)+AS313,"")</f>
        <v>3263.8</v>
      </c>
      <c r="AT371" s="47" t="n">
        <f aca="false">IF(ISNUMBER(AT313),N(AT309)+AT313,"")</f>
        <v>2754.5</v>
      </c>
      <c r="AU371" s="47" t="n">
        <f aca="false">IF(ISNUMBER(AU313),N(AU309)+AU313,"")</f>
        <v>2625.2</v>
      </c>
      <c r="AV371" s="47" t="n">
        <f aca="false">IF(ISNUMBER(AV313),N(AV309)+AV313,"")</f>
        <v>2625.8</v>
      </c>
      <c r="AW371" s="47" t="n">
        <f aca="false">IF(ISNUMBER(AW313),N(AW309)+AW313,"")</f>
        <v>2625.8</v>
      </c>
      <c r="AX371" s="47" t="n">
        <f aca="false">IF(ISNUMBER(AX313),N(AX309)+AX313,"")</f>
        <v>2626.5</v>
      </c>
      <c r="AY371" s="47" t="n">
        <f aca="false">IF(ISNUMBER(AY313),N(AY309)+AY313,"")</f>
        <v>2867.3</v>
      </c>
      <c r="AZ371" s="47" t="n">
        <f aca="false">IF(ISNUMBER(AZ313),N(AZ309)+AZ313,"")</f>
        <v>5119.5</v>
      </c>
      <c r="BA371" s="47" t="n">
        <f aca="false">IF(ISNUMBER(BA313),N(BA309)+BA313,"")</f>
        <v>5100.8</v>
      </c>
      <c r="BB371" s="47" t="n">
        <f aca="false">IF(ISNUMBER(BB313),N(BB309)+BB313,"")</f>
        <v>5100.8</v>
      </c>
      <c r="BC371" s="47" t="n">
        <f aca="false">IF(ISNUMBER(BC313),N(BC309)+BC313,"")</f>
        <v>5102.3</v>
      </c>
      <c r="BD371" s="47" t="n">
        <f aca="false">IF(ISNUMBER(BD313),N(BD309)+BD313,"")</f>
        <v>5044.3</v>
      </c>
      <c r="BE371" s="47" t="n">
        <f aca="false">IF(ISNUMBER(BE313),N(BE309)+BE313,"")</f>
        <v>4339.9</v>
      </c>
      <c r="BF371" s="47" t="n">
        <f aca="false">IF(ISNUMBER(BF313),N(BF309)+BF313,"")</f>
        <v>4340.9</v>
      </c>
      <c r="BG371" s="47" t="n">
        <f aca="false">IF(ISNUMBER(BG313),N(BG309)+BG313,"")</f>
        <v>4340.9</v>
      </c>
      <c r="BH371" s="47" t="n">
        <f aca="false">IF(ISNUMBER(BH313),N(BH309)+BH313,"")</f>
        <v>4342</v>
      </c>
      <c r="BI371" s="47" t="n">
        <f aca="false">IF(ISNUMBER(BI313),N(BI309)+BI313,"")</f>
        <v>4343.1</v>
      </c>
      <c r="BJ371" s="47" t="n">
        <f aca="false">IF(ISNUMBER(BJ313),N(BJ309)+BJ313,"")</f>
        <v>4344.2</v>
      </c>
      <c r="BK371" s="47" t="n">
        <f aca="false">IF(ISNUMBER(BK313),N(BK309)+BK313,"")</f>
        <v>4345.2</v>
      </c>
      <c r="BL371" s="47" t="n">
        <f aca="false">IF(ISNUMBER(BL313),N(BL309)+BL313,"")</f>
        <v>4345.2</v>
      </c>
      <c r="BM371" s="47" t="n">
        <f aca="false">IF(ISNUMBER(BM313),N(BM309)+BM313,"")</f>
        <v>4347</v>
      </c>
      <c r="BN371" s="47" t="n">
        <f aca="false">IF(ISNUMBER(BN313),N(BN309)+BN313,"")</f>
        <v>4347</v>
      </c>
      <c r="BO371" s="47" t="n">
        <f aca="false">IF(ISNUMBER(BO313),N(BO309)+BO313,"")</f>
        <v>4043</v>
      </c>
      <c r="BP371" s="47" t="n">
        <f aca="false">IF(ISNUMBER(BP313),N(BP309)+BP313,"")</f>
        <v>5413</v>
      </c>
      <c r="BQ371" s="47" t="n">
        <f aca="false">IF(ISNUMBER(BQ313),N(BQ309)+BQ313,"")</f>
        <v>5413</v>
      </c>
      <c r="BR371" s="47" t="n">
        <f aca="false">IF(ISNUMBER(BR313),N(BR309)+BR313,"")</f>
        <v>5414</v>
      </c>
      <c r="BS371" s="47" t="n">
        <f aca="false">IF(ISNUMBER(BS313),N(BS309)+BS313,"")</f>
        <v>5416</v>
      </c>
      <c r="BT371" s="47" t="n">
        <f aca="false">IF(ISNUMBER(BT313),N(BT309)+BT313,"")</f>
        <v>5522</v>
      </c>
      <c r="BU371" s="47" t="n">
        <f aca="false">IF(ISNUMBER(BU313),N(BU309)+BU313,"")</f>
        <v>5323</v>
      </c>
      <c r="BV371" s="47" t="n">
        <f aca="false">IF(ISNUMBER(BV313),N(BV309)+BV313,"")</f>
        <v>5323</v>
      </c>
      <c r="BW371" s="47" t="n">
        <f aca="false">IF(ISNUMBER(BW313),N(BW309)+BW313,"")</f>
        <v>5294</v>
      </c>
      <c r="BX371" s="47" t="n">
        <f aca="false">IF(ISNUMBER(BX313),N(BX309)+BX313,"")</f>
        <v>5951</v>
      </c>
      <c r="BY371" s="6"/>
      <c r="BZ371" s="6"/>
      <c r="CA371" s="37" t="n">
        <f aca="false">CA375+CA382</f>
        <v>12382.587978462</v>
      </c>
      <c r="CB371" s="37" t="n">
        <f aca="false">CB375+CB382</f>
        <v>11002.6543899285</v>
      </c>
      <c r="CC371" s="37" t="n">
        <f aca="false">CC375+CC382</f>
        <v>10796</v>
      </c>
      <c r="CD371" s="37" t="n">
        <f aca="false">CD375+CD382</f>
        <v>10796</v>
      </c>
      <c r="CE371" s="37" t="n">
        <f aca="false">CE375+CE382</f>
        <v>10967.3516280626</v>
      </c>
      <c r="CF371" s="20" t="s">
        <v>572</v>
      </c>
    </row>
    <row r="372" customFormat="false" ht="15" hidden="false" customHeight="true" outlineLevel="0" collapsed="false">
      <c r="B372" s="76" t="s">
        <v>573</v>
      </c>
      <c r="BY372" s="6"/>
      <c r="BZ372" s="6"/>
      <c r="CA372" s="52" t="n">
        <v>0</v>
      </c>
      <c r="CB372" s="52" t="n">
        <v>-794</v>
      </c>
      <c r="CC372" s="52" t="n">
        <v>0</v>
      </c>
      <c r="CD372" s="52" t="n">
        <v>-750</v>
      </c>
      <c r="CE372" s="52" t="n">
        <v>-474</v>
      </c>
      <c r="CF372" s="20" t="s">
        <v>574</v>
      </c>
    </row>
    <row r="373" customFormat="false" ht="15" hidden="false" customHeight="true" outlineLevel="0" collapsed="false">
      <c r="B373" s="76" t="s">
        <v>575</v>
      </c>
      <c r="BY373" s="6"/>
      <c r="BZ373" s="6"/>
      <c r="CA373" s="6"/>
      <c r="CB373" s="49" t="n">
        <v>1</v>
      </c>
      <c r="CC373" s="49" t="n">
        <v>1</v>
      </c>
      <c r="CD373" s="49" t="n">
        <v>1</v>
      </c>
      <c r="CE373" s="49" t="n">
        <v>1</v>
      </c>
      <c r="CF373" s="20" t="s">
        <v>576</v>
      </c>
    </row>
    <row r="374" customFormat="false" ht="15" hidden="false" customHeight="true" outlineLevel="0" collapsed="false">
      <c r="B374" s="76" t="s">
        <v>577</v>
      </c>
      <c r="BY374" s="6"/>
      <c r="BZ374" s="6"/>
      <c r="CA374" s="6"/>
      <c r="CB374" s="37" t="n">
        <f aca="false">-CB372*CB373</f>
        <v>794</v>
      </c>
      <c r="CC374" s="37" t="n">
        <f aca="false">-CC372*CC373</f>
        <v>-0</v>
      </c>
      <c r="CD374" s="37" t="n">
        <f aca="false">-CD372*CD373</f>
        <v>750</v>
      </c>
      <c r="CE374" s="37" t="n">
        <f aca="false">-CE372*CE373</f>
        <v>474</v>
      </c>
      <c r="CF374" s="6"/>
    </row>
    <row r="375" customFormat="false" ht="15" hidden="false" customHeight="true" outlineLevel="0" collapsed="false">
      <c r="B375" s="76" t="s">
        <v>578</v>
      </c>
      <c r="BX375" s="36" t="n">
        <v>5296</v>
      </c>
      <c r="BY375" s="6"/>
      <c r="BZ375" s="6"/>
      <c r="CA375" s="37" t="n">
        <f aca="false">BX375+CA376+CA372</f>
        <v>10796</v>
      </c>
      <c r="CB375" s="37" t="n">
        <f aca="false">CA375+CB372+CB374</f>
        <v>10796</v>
      </c>
      <c r="CC375" s="37" t="n">
        <f aca="false">CB375+CC372+CC374</f>
        <v>10796</v>
      </c>
      <c r="CD375" s="37" t="n">
        <f aca="false">CC375+CD372+CD374</f>
        <v>10796</v>
      </c>
      <c r="CE375" s="37" t="n">
        <f aca="false">CD375+CE372+CE374</f>
        <v>10796</v>
      </c>
      <c r="CF375" s="6"/>
    </row>
    <row r="376" customFormat="false" ht="15" hidden="false" customHeight="true" outlineLevel="0" collapsed="false">
      <c r="B376" s="76" t="s">
        <v>579</v>
      </c>
      <c r="BY376" s="6"/>
      <c r="BZ376" s="6"/>
      <c r="CA376" s="52" t="n">
        <v>5500</v>
      </c>
      <c r="CB376" s="6"/>
      <c r="CC376" s="6"/>
      <c r="CD376" s="6"/>
      <c r="CE376" s="6"/>
      <c r="CF376" s="20" t="s">
        <v>580</v>
      </c>
    </row>
    <row r="377" customFormat="false" ht="15" hidden="false" customHeight="true" outlineLevel="0" collapsed="false">
      <c r="B377" s="76" t="s">
        <v>581</v>
      </c>
      <c r="BY377" s="6"/>
      <c r="BZ377" s="6"/>
      <c r="CA377" s="25" t="n">
        <f aca="false">(750*4.85%+1250*5.2%+1000*5.4%+1500*5.625%+1000*6.375%)/5500</f>
        <v>0.0551818181818182</v>
      </c>
      <c r="CB377" s="6"/>
      <c r="CC377" s="6"/>
      <c r="CD377" s="6"/>
      <c r="CE377" s="6"/>
      <c r="CF377" s="6"/>
    </row>
    <row r="378" customFormat="false" ht="15" hidden="false" customHeight="true" outlineLevel="0" collapsed="false">
      <c r="B378" s="76" t="s">
        <v>582</v>
      </c>
      <c r="BY378" s="6"/>
      <c r="BZ378" s="6"/>
      <c r="CA378" s="52" t="n">
        <v>1500</v>
      </c>
      <c r="CB378" s="6"/>
      <c r="CC378" s="6"/>
      <c r="CD378" s="6"/>
      <c r="CE378" s="6"/>
      <c r="CF378" s="20" t="s">
        <v>583</v>
      </c>
    </row>
    <row r="379" customFormat="false" ht="15" hidden="false" customHeight="true" outlineLevel="0" collapsed="false">
      <c r="B379" s="76" t="s">
        <v>584</v>
      </c>
      <c r="BY379" s="6"/>
      <c r="BZ379" s="6"/>
      <c r="CA379" s="49" t="n">
        <v>0.05</v>
      </c>
      <c r="CB379" s="6"/>
      <c r="CC379" s="6"/>
      <c r="CD379" s="6"/>
      <c r="CE379" s="6"/>
      <c r="CF379" s="20" t="s">
        <v>585</v>
      </c>
    </row>
    <row r="380" customFormat="false" ht="15" hidden="false" customHeight="true" outlineLevel="0" collapsed="false">
      <c r="B380" s="76" t="s">
        <v>586</v>
      </c>
      <c r="BY380" s="6"/>
      <c r="BZ380" s="6"/>
      <c r="CA380" s="37" t="n">
        <f aca="false">CA268+CA254+CA259+CA262+CA263+CA264+CA265+(BW260+BX260)+(BW261+BX261)+CA376+CA372</f>
        <v>-781.587978461999</v>
      </c>
      <c r="CB380" s="37" t="n">
        <f aca="false">CB268+CB254+CB259+CB262+CB263+CB264+CB265+CB372+CB374</f>
        <v>1529.93358853349</v>
      </c>
      <c r="CC380" s="37" t="n">
        <f aca="false">CC268+CC254+CC259+CC262+CC263+CC264+CC265+CC372+CC374</f>
        <v>1308.55156468293</v>
      </c>
      <c r="CD380" s="37" t="n">
        <f aca="false">CD268+CD254+CD259+CD262+CD263+CD264+CD265+CD372+CD374</f>
        <v>878.114379569466</v>
      </c>
      <c r="CE380" s="37" t="n">
        <f aca="false">CE268+CE254+CE259+CE262+CE263+CE264+CE265+CE372+CE374</f>
        <v>-21.3516280625809</v>
      </c>
      <c r="CF380" s="6"/>
    </row>
    <row r="381" customFormat="false" ht="15" hidden="false" customHeight="true" outlineLevel="0" collapsed="false">
      <c r="B381" s="76" t="s">
        <v>587</v>
      </c>
      <c r="BY381" s="6"/>
      <c r="BZ381" s="6"/>
      <c r="CA381" s="52" t="n">
        <v>150</v>
      </c>
      <c r="CB381" s="52" t="n">
        <v>150</v>
      </c>
      <c r="CC381" s="52" t="n">
        <v>150</v>
      </c>
      <c r="CD381" s="52" t="n">
        <v>150</v>
      </c>
      <c r="CE381" s="52" t="n">
        <v>150</v>
      </c>
      <c r="CF381" s="6"/>
    </row>
    <row r="382" customFormat="false" ht="15" hidden="false" customHeight="true" outlineLevel="0" collapsed="false">
      <c r="B382" s="76" t="s">
        <v>588</v>
      </c>
      <c r="BX382" s="47" t="n">
        <f aca="false">BX371-BX375</f>
        <v>655</v>
      </c>
      <c r="BY382" s="6"/>
      <c r="BZ382" s="6"/>
      <c r="CA382" s="37" t="n">
        <f aca="false">MAX(0,BX382+CA381-CA380)</f>
        <v>1586.587978462</v>
      </c>
      <c r="CB382" s="37" t="n">
        <f aca="false">MAX(0,CA382+CB381-CB380)</f>
        <v>206.654389928505</v>
      </c>
      <c r="CC382" s="37" t="n">
        <f aca="false">MAX(0,CB382+CC381-CC380)</f>
        <v>0</v>
      </c>
      <c r="CD382" s="37" t="n">
        <f aca="false">MAX(0,CC382+CD381-CD380)</f>
        <v>0</v>
      </c>
      <c r="CE382" s="37" t="n">
        <f aca="false">MAX(0,CD382+CE381-CE380)</f>
        <v>171.351628062581</v>
      </c>
      <c r="CF382" s="20" t="s">
        <v>589</v>
      </c>
    </row>
    <row r="383" customFormat="false" ht="15" hidden="false" customHeight="true" outlineLevel="0" collapsed="false">
      <c r="B383" s="76" t="s">
        <v>590</v>
      </c>
      <c r="D383" s="47" t="n">
        <f aca="false">IFERROR(D371-C371,"")</f>
        <v>419.058</v>
      </c>
      <c r="E383" s="47" t="n">
        <f aca="false">IFERROR(E371-D371,"")</f>
        <v>230.622</v>
      </c>
      <c r="F383" s="47" t="n">
        <f aca="false">IFERROR(F371-E371,"")</f>
        <v>-105.333</v>
      </c>
      <c r="G383" s="47" t="n">
        <f aca="false">IFERROR(G371-F371,"")</f>
        <v>-218.852</v>
      </c>
      <c r="H383" s="47" t="n">
        <f aca="false">IFERROR(H371-G371,"")</f>
        <v>29.325</v>
      </c>
      <c r="I383" s="47" t="n">
        <f aca="false">IFERROR(I371-H371,"")</f>
        <v>-12.2250000000001</v>
      </c>
      <c r="N383" s="47" t="n">
        <f aca="false">IFERROR(N371-I371,"")</f>
        <v>-16.9379999999999</v>
      </c>
      <c r="O383" s="47" t="n">
        <f aca="false">IFERROR(O371-J371,"")</f>
        <v>-10.5829999999999</v>
      </c>
      <c r="P383" s="47" t="n">
        <f aca="false">IFERROR(P371-K371,"")</f>
        <v>-8.51800000000026</v>
      </c>
      <c r="Q383" s="47" t="n">
        <f aca="false">IFERROR(Q371-L371,"")</f>
        <v>504.914</v>
      </c>
      <c r="R383" s="47" t="n">
        <f aca="false">IFERROR(R371-M371,"")</f>
        <v>554.474</v>
      </c>
      <c r="S383" s="47" t="n">
        <f aca="false">IFERROR(S371-N371,"")</f>
        <v>554.474</v>
      </c>
      <c r="T383" s="47" t="n">
        <f aca="false">IFERROR(T371-O371,"")</f>
        <v>513.079</v>
      </c>
      <c r="U383" s="47" t="n">
        <f aca="false">IFERROR(U371-P371,"")</f>
        <v>573.2</v>
      </c>
      <c r="V383" s="47" t="n">
        <f aca="false">IFERROR(V371-Q371,"")</f>
        <v>86.8770000000002</v>
      </c>
      <c r="W383" s="47" t="n">
        <f aca="false">IFERROR(W371-R371,"")</f>
        <v>-12.5</v>
      </c>
      <c r="X383" s="47" t="n">
        <f aca="false">IFERROR(X371-S371,"")</f>
        <v>-12.5</v>
      </c>
      <c r="Y383" s="47" t="n">
        <f aca="false">IFERROR(Y371-T371,"")</f>
        <v>171.734</v>
      </c>
      <c r="Z383" s="47" t="n">
        <f aca="false">IFERROR(Z371-U371,"")</f>
        <v>121.216</v>
      </c>
      <c r="AA383" s="47" t="n">
        <f aca="false">IFERROR(AA371-V371,"")</f>
        <v>59.683</v>
      </c>
      <c r="AB383" s="47" t="n">
        <f aca="false">IFERROR(AB371-W371,"")</f>
        <v>113.294</v>
      </c>
      <c r="AC383" s="47" t="n">
        <f aca="false">IFERROR(AC371-X371,"")</f>
        <v>113.294</v>
      </c>
      <c r="AD383" s="47" t="n">
        <f aca="false">IFERROR(AD371-Y371,"")</f>
        <v>93.537</v>
      </c>
      <c r="AE383" s="47" t="n">
        <f aca="false">IFERROR(AE371-Z371,"")</f>
        <v>2.76400000000012</v>
      </c>
      <c r="AF383" s="47" t="n">
        <f aca="false">IFERROR(AF371-AA371,"")</f>
        <v>-42.2950000000001</v>
      </c>
      <c r="AG383" s="47" t="n">
        <f aca="false">IFERROR(AG371-AB371,"")</f>
        <v>1341.014</v>
      </c>
      <c r="AH383" s="47" t="n">
        <f aca="false">IFERROR(AH371-AC371,"")</f>
        <v>1341.014</v>
      </c>
      <c r="AI383" s="47" t="n">
        <f aca="false">IFERROR(AI371-AD371,"")</f>
        <v>1181.814</v>
      </c>
      <c r="AJ383" s="47" t="n">
        <f aca="false">IFERROR(AJ371-AE371,"")</f>
        <v>1436.941</v>
      </c>
      <c r="AK383" s="47" t="n">
        <f aca="false">IFERROR(AK371-AF371,"")</f>
        <v>1487.158</v>
      </c>
      <c r="AL383" s="47" t="n">
        <f aca="false">IFERROR(AL371-AG371,"")</f>
        <v>93.2779999999998</v>
      </c>
      <c r="AM383" s="47" t="n">
        <f aca="false">IFERROR(AM371-AH371,"")</f>
        <v>93.2779999999998</v>
      </c>
      <c r="AN383" s="47" t="n">
        <f aca="false">IFERROR(AN371-AI371,"")</f>
        <v>133.176</v>
      </c>
      <c r="AO383" s="47" t="n">
        <f aca="false">IFERROR(AO371-AJ371,"")</f>
        <v>-101.861</v>
      </c>
      <c r="AP383" s="47" t="n">
        <f aca="false">IFERROR(AP371-AK371,"")</f>
        <v>-286.839</v>
      </c>
      <c r="AQ383" s="47" t="n">
        <f aca="false">IFERROR(AQ371-AL371,"")</f>
        <v>-346.881</v>
      </c>
      <c r="AR383" s="47" t="n">
        <f aca="false">IFERROR(AR371-AM371,"")</f>
        <v>-346.881</v>
      </c>
      <c r="AS383" s="47" t="n">
        <f aca="false">IFERROR(AS371-AN371,"")</f>
        <v>102.516</v>
      </c>
      <c r="AT383" s="47" t="n">
        <f aca="false">IFERROR(AT371-AO371,"")</f>
        <v>-362.561</v>
      </c>
      <c r="AU383" s="47" t="n">
        <f aca="false">IFERROR(AU371-AP371,"")</f>
        <v>-297.659</v>
      </c>
      <c r="AV383" s="47" t="n">
        <f aca="false">IFERROR(AV371-AQ371,"")</f>
        <v>-147.8</v>
      </c>
      <c r="AW383" s="47" t="n">
        <f aca="false">IFERROR(AW371-AR371,"")</f>
        <v>-147.8</v>
      </c>
      <c r="AX383" s="47" t="n">
        <f aca="false">IFERROR(AX371-AS371,"")</f>
        <v>-637.3</v>
      </c>
      <c r="AY383" s="47" t="n">
        <f aca="false">IFERROR(AY371-AT371,"")</f>
        <v>112.8</v>
      </c>
      <c r="AZ383" s="47" t="n">
        <f aca="false">IFERROR(AZ371-AU371,"")</f>
        <v>2494.3</v>
      </c>
      <c r="BA383" s="47" t="n">
        <f aca="false">IFERROR(BA371-AV371,"")</f>
        <v>2475</v>
      </c>
      <c r="BB383" s="47" t="n">
        <f aca="false">IFERROR(BB371-AW371,"")</f>
        <v>2475</v>
      </c>
      <c r="BC383" s="47" t="n">
        <f aca="false">IFERROR(BC371-AX371,"")</f>
        <v>2475.8</v>
      </c>
      <c r="BD383" s="47" t="n">
        <f aca="false">IFERROR(BD371-AY371,"")</f>
        <v>2177</v>
      </c>
      <c r="BE383" s="47" t="n">
        <f aca="false">IFERROR(BE371-AZ371,"")</f>
        <v>-779.6</v>
      </c>
      <c r="BF383" s="47" t="n">
        <f aca="false">IFERROR(BF371-BA371,"")</f>
        <v>-759.900000000001</v>
      </c>
      <c r="BG383" s="47" t="n">
        <f aca="false">IFERROR(BG371-BB371,"")</f>
        <v>-759.900000000001</v>
      </c>
      <c r="BH383" s="47" t="n">
        <f aca="false">IFERROR(BH371-BC371,"")</f>
        <v>-760.3</v>
      </c>
      <c r="BI383" s="47" t="n">
        <f aca="false">IFERROR(BI371-BD371,"")</f>
        <v>-701.2</v>
      </c>
      <c r="BJ383" s="47" t="n">
        <f aca="false">IFERROR(BJ371-BE371,"")</f>
        <v>4.30000000000018</v>
      </c>
      <c r="BK383" s="47" t="n">
        <f aca="false">IFERROR(BK371-BF371,"")</f>
        <v>4.30000000000018</v>
      </c>
      <c r="BL383" s="47" t="n">
        <f aca="false">IFERROR(BL371-BG371,"")</f>
        <v>4.30000000000018</v>
      </c>
      <c r="BM383" s="47" t="n">
        <f aca="false">IFERROR(BM371-BH371,"")</f>
        <v>5</v>
      </c>
      <c r="BN383" s="47" t="n">
        <f aca="false">IFERROR(BN371-BI371,"")</f>
        <v>3.89999999999964</v>
      </c>
      <c r="BO383" s="47" t="n">
        <f aca="false">IFERROR(BO371-BJ371,"")</f>
        <v>-301.2</v>
      </c>
      <c r="BP383" s="47" t="n">
        <f aca="false">IFERROR(BP371-BK371,"")</f>
        <v>1067.8</v>
      </c>
      <c r="BQ383" s="47" t="n">
        <f aca="false">IFERROR(BQ371-BL371,"")</f>
        <v>1067.8</v>
      </c>
      <c r="BR383" s="47" t="n">
        <f aca="false">IFERROR(BR371-BM371,"")</f>
        <v>1067</v>
      </c>
      <c r="BS383" s="47" t="n">
        <f aca="false">IFERROR(BS371-BN371,"")</f>
        <v>1069</v>
      </c>
      <c r="BT383" s="47" t="n">
        <f aca="false">IFERROR(BT371-BO371,"")</f>
        <v>1479</v>
      </c>
      <c r="BU383" s="47" t="n">
        <f aca="false">IFERROR(BU371-BP371,"")</f>
        <v>-90</v>
      </c>
      <c r="BV383" s="47" t="n">
        <f aca="false">IFERROR(BV371-BQ371,"")</f>
        <v>-90</v>
      </c>
      <c r="BW383" s="47" t="n">
        <f aca="false">IFERROR(BW371-BR371,"")</f>
        <v>-120</v>
      </c>
      <c r="BX383" s="47" t="n">
        <f aca="false">IFERROR(BX371-BS371,"")</f>
        <v>535</v>
      </c>
      <c r="BY383" s="6"/>
      <c r="BZ383" s="6"/>
      <c r="CA383" s="37" t="n">
        <f aca="false">IFERROR(CA371-BV371,"")</f>
        <v>7059.587978462</v>
      </c>
      <c r="CB383" s="37" t="n">
        <f aca="false">IFERROR(CB371-CA371,"")</f>
        <v>-1379.9335885335</v>
      </c>
      <c r="CC383" s="37" t="n">
        <f aca="false">IFERROR(CC371-CB371,"")</f>
        <v>-206.654389928504</v>
      </c>
      <c r="CD383" s="37" t="n">
        <f aca="false">IFERROR(CD371-CC371,"")</f>
        <v>0</v>
      </c>
      <c r="CE383" s="37" t="n">
        <f aca="false">IFERROR(CE371-CD371,"")</f>
        <v>171.351628062581</v>
      </c>
      <c r="CF383" s="6"/>
    </row>
    <row r="384" customFormat="false" ht="15" hidden="false" customHeight="true" outlineLevel="0" collapsed="false">
      <c r="B384" s="76" t="s">
        <v>591</v>
      </c>
      <c r="D384" s="38" t="n">
        <f aca="false">IF(AND(ISNUMBER(D161),ISNUMBER(C371)),IFERROR(D161/C371,""),"")</f>
        <v>0.0863506431634112</v>
      </c>
      <c r="E384" s="38" t="n">
        <f aca="false">IF(AND(ISNUMBER(E161),ISNUMBER(D371)),IFERROR(E161/D371,""),"")</f>
        <v>0.0660842712319069</v>
      </c>
      <c r="F384" s="38" t="n">
        <f aca="false">IF(AND(ISNUMBER(F161),ISNUMBER(E371)),IFERROR(F161/E371,""),"")</f>
        <v>0.054245784327618</v>
      </c>
      <c r="G384" s="38" t="n">
        <f aca="false">IF(AND(ISNUMBER(G161),ISNUMBER(F371)),IFERROR(G161/F371,""),"")</f>
        <v>0.0548170590687822</v>
      </c>
      <c r="H384" s="38" t="n">
        <f aca="false">IF(AND(ISNUMBER(H161),ISNUMBER(G371)),IFERROR(H161/G371,""),"")</f>
        <v>0.056851310539127</v>
      </c>
      <c r="I384" s="38" t="n">
        <f aca="false">IF(AND(ISNUMBER(I161),ISNUMBER(H371)),IFERROR(I161/H371,""),"")</f>
        <v>0.0502790344916063</v>
      </c>
      <c r="N384" s="38" t="n">
        <f aca="false">IF(AND(ISNUMBER(N161),ISNUMBER(I371)),IFERROR(N161/I371,""),"")</f>
        <v>0.0510564875617807</v>
      </c>
      <c r="S384" s="38" t="n">
        <f aca="false">IF(AND(ISNUMBER(S161),ISNUMBER(N371)),IFERROR(S161/N371,""),"")</f>
        <v>0.0641174250985284</v>
      </c>
      <c r="X384" s="38" t="n">
        <f aca="false">IF(AND(ISNUMBER(X161),ISNUMBER(S371)),IFERROR(X161/S371,""),"")</f>
        <v>0.0481268075148465</v>
      </c>
      <c r="AC384" s="38" t="n">
        <f aca="false">IF(AND(ISNUMBER(AC161),ISNUMBER(X371)),IFERROR(AC161/X371,""),"")</f>
        <v>0.0519424373527794</v>
      </c>
      <c r="AH384" s="38" t="n">
        <f aca="false">IF(AND(ISNUMBER(AH161),ISNUMBER(AC371)),IFERROR(AH161/AC371,""),"")</f>
        <v>0.0542643796158082</v>
      </c>
      <c r="AM384" s="38" t="n">
        <f aca="false">IF(AND(ISNUMBER(AM161),ISNUMBER(AH371)),IFERROR(AM161/AH371,""),"")</f>
        <v>0.0452790909628459</v>
      </c>
      <c r="AR384" s="38" t="n">
        <f aca="false">IF(AND(ISNUMBER(AR161),ISNUMBER(AM371)),IFERROR(AR161/AM371,""),"")</f>
        <v>0.0414503405084024</v>
      </c>
      <c r="AW384" s="38" t="n">
        <f aca="false">IF(AND(ISNUMBER(AW161),ISNUMBER(AR371)),IFERROR(AW161/AR371,""),"")</f>
        <v>0.0425800403807326</v>
      </c>
      <c r="BB384" s="38" t="n">
        <f aca="false">IF(AND(ISNUMBER(BB161),ISNUMBER(AW371)),IFERROR(BB161/AW371,""),"")</f>
        <v>0.0543453423718486</v>
      </c>
      <c r="BG384" s="38" t="n">
        <f aca="false">IF(AND(ISNUMBER(BG161),ISNUMBER(BB371)),IFERROR(BG161/BB371,""),"")</f>
        <v>0.0331320577164366</v>
      </c>
      <c r="BL384" s="38" t="n">
        <f aca="false">IF(AND(ISNUMBER(BL161),ISNUMBER(BG371)),IFERROR(BL161/BG371,""),"")</f>
        <v>0.0380796608998134</v>
      </c>
      <c r="BQ384" s="38" t="n">
        <f aca="false">IF(AND(ISNUMBER(BQ161),ISNUMBER(BL371)),IFERROR(BQ161/BL371,""),"")</f>
        <v>0.0388934916689681</v>
      </c>
      <c r="BV384" s="38" t="n">
        <f aca="false">IF(AND(ISNUMBER(BV161),ISNUMBER(BQ371)),IFERROR(BV161/BQ371,""),"")</f>
        <v>0.0424903011269167</v>
      </c>
      <c r="BY384" s="6"/>
      <c r="BZ384" s="6"/>
      <c r="CA384" s="6"/>
      <c r="CB384" s="49" t="n">
        <v>0.0472</v>
      </c>
      <c r="CC384" s="49" t="n">
        <v>0.0478</v>
      </c>
      <c r="CD384" s="49" t="n">
        <v>0.048</v>
      </c>
      <c r="CE384" s="49" t="n">
        <v>0.0485</v>
      </c>
      <c r="CF384" s="20" t="s">
        <v>592</v>
      </c>
    </row>
    <row r="385" customFormat="false" ht="15" hidden="false" customHeight="true" outlineLevel="0" collapsed="false">
      <c r="B385" s="76" t="s">
        <v>593</v>
      </c>
      <c r="BY385" s="6"/>
      <c r="BZ385" s="6"/>
      <c r="CA385" s="6"/>
      <c r="CB385" s="49" t="n">
        <v>0.05</v>
      </c>
      <c r="CC385" s="49" t="n">
        <v>0.05</v>
      </c>
      <c r="CD385" s="49" t="n">
        <v>0.05</v>
      </c>
      <c r="CE385" s="49" t="n">
        <v>0.05</v>
      </c>
      <c r="CF385" s="6"/>
    </row>
    <row r="386" customFormat="false" ht="15" hidden="false" customHeight="true" outlineLevel="0" collapsed="false">
      <c r="B386" s="76" t="s">
        <v>594</v>
      </c>
      <c r="BY386" s="6"/>
      <c r="BZ386" s="6"/>
      <c r="CA386" s="6"/>
      <c r="CB386" s="49" t="n">
        <v>0.03</v>
      </c>
      <c r="CC386" s="49" t="n">
        <v>0.03</v>
      </c>
      <c r="CD386" s="49" t="n">
        <v>0.03</v>
      </c>
      <c r="CE386" s="49" t="n">
        <v>0.03</v>
      </c>
      <c r="CF386" s="6"/>
    </row>
    <row r="387" customFormat="false" ht="15" hidden="false" customHeight="true" outlineLevel="0" collapsed="false">
      <c r="B387" s="15" t="s">
        <v>595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6"/>
    </row>
    <row r="388" customFormat="false" ht="15" hidden="false" customHeight="true" outlineLevel="0" collapsed="false">
      <c r="B388" s="76" t="s">
        <v>596</v>
      </c>
      <c r="BY388" s="6"/>
      <c r="BZ388" s="6"/>
      <c r="CA388" s="6"/>
      <c r="CB388" s="56" t="n">
        <f aca="false">CHOOSE(MATCH($CF$2,{"Bull","Base","Bear"},0),$CO$22,$CP$22,$CQ$22)</f>
        <v>2.25</v>
      </c>
      <c r="CC388" s="56" t="n">
        <f aca="false">CHOOSE(MATCH($CF$2,{"Bull","Base","Bear"},0),$CO$22,$CP$22,$CQ$22)</f>
        <v>2.25</v>
      </c>
      <c r="CD388" s="56" t="n">
        <f aca="false">CHOOSE(MATCH($CF$2,{"Bull","Base","Bear"},0),$CO$22,$CP$22,$CQ$22)</f>
        <v>2.25</v>
      </c>
      <c r="CE388" s="56" t="n">
        <f aca="false">CHOOSE(MATCH($CF$2,{"Bull","Base","Bear"},0),$CO$22,$CP$22,$CQ$22)</f>
        <v>2.25</v>
      </c>
      <c r="CF388" s="20" t="s">
        <v>597</v>
      </c>
    </row>
    <row r="389" customFormat="false" ht="15" hidden="false" customHeight="true" outlineLevel="0" collapsed="false">
      <c r="B389" s="76" t="s">
        <v>598</v>
      </c>
      <c r="BY389" s="6"/>
      <c r="BZ389" s="6"/>
      <c r="CA389" s="6"/>
      <c r="CB389" s="37" t="n">
        <f aca="false">CA375+CA382-CA294-CB254-CB259-CB262-CB264-CB265</f>
        <v>10860.6543899285</v>
      </c>
      <c r="CC389" s="37" t="n">
        <f aca="false">CB375+CB382-CB294-CC254-CC259-CC262-CC264-CC265</f>
        <v>9702.10282524557</v>
      </c>
      <c r="CD389" s="37" t="n">
        <f aca="false">CC375+CC382-CC294-CD254-CD259-CD262-CD264-CD265</f>
        <v>8546.39571949747</v>
      </c>
      <c r="CE389" s="37" t="n">
        <f aca="false">CD375+CD382-CD294-CE254-CE259-CE262-CE264-CE265</f>
        <v>8558.61451971669</v>
      </c>
      <c r="CF389" s="6"/>
    </row>
    <row r="390" customFormat="false" ht="15" hidden="false" customHeight="true" outlineLevel="0" collapsed="false">
      <c r="B390" s="76" t="s">
        <v>599</v>
      </c>
      <c r="BY390" s="6"/>
      <c r="BZ390" s="6"/>
      <c r="CA390" s="6"/>
      <c r="CB390" s="37" t="n">
        <f aca="false">CB388*CB204</f>
        <v>8082.75896898963</v>
      </c>
      <c r="CC390" s="37" t="n">
        <f aca="false">CC388*CC204</f>
        <v>9017.47304590055</v>
      </c>
      <c r="CD390" s="37" t="n">
        <f aca="false">CD388*CD204</f>
        <v>9925.88562043054</v>
      </c>
      <c r="CE390" s="37" t="n">
        <f aca="false">CE388*CE204</f>
        <v>10825.3516280626</v>
      </c>
      <c r="CF390" s="6"/>
    </row>
    <row r="391" customFormat="false" ht="15" hidden="false" customHeight="true" outlineLevel="0" collapsed="false">
      <c r="B391" s="76" t="s">
        <v>600</v>
      </c>
      <c r="BY391" s="6"/>
      <c r="BZ391" s="6"/>
      <c r="CA391" s="6"/>
      <c r="CB391" s="37" t="n">
        <f aca="false">MAX(0,CB390-CB389)</f>
        <v>0</v>
      </c>
      <c r="CC391" s="37" t="n">
        <f aca="false">MAX(0,CC390-CC389)</f>
        <v>0</v>
      </c>
      <c r="CD391" s="37" t="n">
        <f aca="false">MAX(0,CD390-CD389)</f>
        <v>1379.48990093307</v>
      </c>
      <c r="CE391" s="37" t="n">
        <f aca="false">MAX(0,CE390-CE389)</f>
        <v>2266.73710834589</v>
      </c>
      <c r="CF391" s="20" t="s">
        <v>601</v>
      </c>
    </row>
    <row r="392" customFormat="false" ht="15" hidden="false" customHeight="true" outlineLevel="0" collapsed="false">
      <c r="B392" s="15" t="s">
        <v>602</v>
      </c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6"/>
    </row>
    <row r="393" customFormat="false" ht="15" hidden="false" customHeight="true" outlineLevel="0" collapsed="false">
      <c r="B393" s="26" t="s">
        <v>603</v>
      </c>
      <c r="C393" s="38" t="n">
        <f aca="false">IF(AND(ISNUMBER(C176),ISNUMBER(C152)),IFERROR(C176/C152,""),"")</f>
        <v>0.0640994379985497</v>
      </c>
      <c r="D393" s="38" t="n">
        <f aca="false">IF(AND(ISNUMBER(D176),ISNUMBER(D152)),IFERROR(D176/D152,""),"")</f>
        <v>0.0681156268406506</v>
      </c>
      <c r="E393" s="38" t="n">
        <f aca="false">IF(AND(ISNUMBER(E176),ISNUMBER(E152)),IFERROR(E176/E152,""),"")</f>
        <v>0.0807174189896703</v>
      </c>
      <c r="F393" s="38" t="n">
        <f aca="false">IF(AND(ISNUMBER(F176),ISNUMBER(F152)),IFERROR(F176/F152,""),"")</f>
        <v>0.105362974274639</v>
      </c>
      <c r="G393" s="38" t="n">
        <f aca="false">IF(AND(ISNUMBER(G176),ISNUMBER(G152)),IFERROR(G176/G152,""),"")</f>
        <v>0.101821190195748</v>
      </c>
      <c r="H393" s="38" t="n">
        <f aca="false">IF(AND(ISNUMBER(H176),ISNUMBER(H152)),IFERROR(H176/H152,""),"")</f>
        <v>0.101176848124161</v>
      </c>
      <c r="I393" s="38" t="n">
        <f aca="false">IF(AND(ISNUMBER(I176),ISNUMBER(I152)),IFERROR(I176/I152,""),"")</f>
        <v>0.0869704554377699</v>
      </c>
      <c r="J393" s="38" t="n">
        <f aca="false">IF(AND(ISNUMBER(J176),ISNUMBER(J152)),IFERROR(J176/J152,""),"")</f>
        <v>0.1118</v>
      </c>
      <c r="K393" s="38" t="n">
        <f aca="false">IF(AND(ISNUMBER(K176),ISNUMBER(K152)),IFERROR(K176/K152,""),"")</f>
        <v>0.0763266394170962</v>
      </c>
      <c r="L393" s="38" t="n">
        <f aca="false">IF(AND(ISNUMBER(L176),ISNUMBER(L152)),IFERROR(L176/L152,""),"")</f>
        <v>0.0662934014730197</v>
      </c>
      <c r="M393" s="38" t="n">
        <f aca="false">IF(AND(ISNUMBER(M176),ISNUMBER(M152)),IFERROR(M176/M152,""),"")</f>
        <v>0.0801174311926605</v>
      </c>
      <c r="N393" s="38" t="n">
        <f aca="false">IF(AND(ISNUMBER(N176),ISNUMBER(N152)),IFERROR(N176/N152,""),"")</f>
        <v>0.0806128508466713</v>
      </c>
      <c r="O393" s="38" t="n">
        <f aca="false">IF(AND(ISNUMBER(O176),ISNUMBER(O152)),IFERROR(O176/O152,""),"")</f>
        <v>0.0990576160485188</v>
      </c>
      <c r="P393" s="38" t="n">
        <f aca="false">IF(AND(ISNUMBER(P176),ISNUMBER(P152)),IFERROR(P176/P152,""),"")</f>
        <v>0.0652734608487747</v>
      </c>
      <c r="Q393" s="38" t="n">
        <f aca="false">IF(AND(ISNUMBER(Q176),ISNUMBER(Q152)),IFERROR(Q176/Q152,""),"")</f>
        <v>0.067681578160805</v>
      </c>
      <c r="R393" s="38" t="n">
        <f aca="false">IF(AND(ISNUMBER(R176),ISNUMBER(R152)),IFERROR(R176/R152,""),"")</f>
        <v>0.0801903538479505</v>
      </c>
      <c r="S393" s="38" t="n">
        <f aca="false">IF(AND(ISNUMBER(S176),ISNUMBER(S152)),IFERROR(S176/S152,""),"")</f>
        <v>0.0753029073698445</v>
      </c>
      <c r="T393" s="38" t="n">
        <f aca="false">IF(AND(ISNUMBER(T176),ISNUMBER(T152)),IFERROR(T176/T152,""),"")</f>
        <v>0.0972924501012439</v>
      </c>
      <c r="U393" s="38" t="n">
        <f aca="false">IF(AND(ISNUMBER(U176),ISNUMBER(U152)),IFERROR(U176/U152,""),"")</f>
        <v>0.0734642934664641</v>
      </c>
      <c r="V393" s="38" t="n">
        <f aca="false">IF(AND(ISNUMBER(V176),ISNUMBER(V152)),IFERROR(V176/V152,""),"")</f>
        <v>0.0600415819626686</v>
      </c>
      <c r="W393" s="38" t="n">
        <f aca="false">IF(AND(ISNUMBER(W176),ISNUMBER(W152)),IFERROR(W176/W152,""),"")</f>
        <v>0.0753634856736917</v>
      </c>
      <c r="X393" s="38" t="n">
        <f aca="false">IF(AND(ISNUMBER(X176),ISNUMBER(X152)),IFERROR(X176/X152,""),"")</f>
        <v>0.0744680189851961</v>
      </c>
      <c r="Y393" s="38" t="n">
        <f aca="false">IF(AND(ISNUMBER(Y176),ISNUMBER(Y152)),IFERROR(Y176/Y152,""),"")</f>
        <v>0.0867266734279919</v>
      </c>
      <c r="Z393" s="38" t="n">
        <f aca="false">IF(AND(ISNUMBER(Z176),ISNUMBER(Z152)),IFERROR(Z176/Z152,""),"")</f>
        <v>0.0728609434155326</v>
      </c>
      <c r="AA393" s="38" t="n">
        <f aca="false">IF(AND(ISNUMBER(AA176),ISNUMBER(AA152)),IFERROR(AA176/AA152,""),"")</f>
        <v>0.065567533291059</v>
      </c>
      <c r="AB393" s="38" t="n">
        <f aca="false">IF(AND(ISNUMBER(AB176),ISNUMBER(AB152)),IFERROR(AB176/AB152,""),"")</f>
        <v>0.0772091062394603</v>
      </c>
      <c r="AC393" s="38" t="n">
        <f aca="false">IF(AND(ISNUMBER(AC176),ISNUMBER(AC152)),IFERROR(AC176/AC152,""),"")</f>
        <v>0.074697025243532</v>
      </c>
      <c r="AD393" s="38" t="n">
        <f aca="false">IF(AND(ISNUMBER(AD176),ISNUMBER(AD152)),IFERROR(AD176/AD152,""),"")</f>
        <v>0.0833937670340088</v>
      </c>
      <c r="AE393" s="38" t="n">
        <f aca="false">IF(AND(ISNUMBER(AE176),ISNUMBER(AE152)),IFERROR(AE176/AE152,""),"")</f>
        <v>0.0712045133991537</v>
      </c>
      <c r="AF393" s="38" t="n">
        <f aca="false">IF(AND(ISNUMBER(AF176),ISNUMBER(AF152)),IFERROR(AF176/AF152,""),"")</f>
        <v>0.0692433575434403</v>
      </c>
      <c r="AG393" s="38" t="n">
        <f aca="false">IF(AND(ISNUMBER(AG176),ISNUMBER(AG152)),IFERROR(AG176/AG152,""),"")</f>
        <v>0.0780463678516229</v>
      </c>
      <c r="AH393" s="38" t="n">
        <f aca="false">IF(AND(ISNUMBER(AH176),ISNUMBER(AH152)),IFERROR(AH176/AH152,""),"")</f>
        <v>0.0749349404881985</v>
      </c>
      <c r="AI393" s="38" t="n">
        <f aca="false">IF(AND(ISNUMBER(AI176),ISNUMBER(AI152)),IFERROR(AI176/AI152,""),"")</f>
        <v>0.095786783042394</v>
      </c>
      <c r="AJ393" s="38" t="n">
        <f aca="false">IF(AND(ISNUMBER(AJ176),ISNUMBER(AJ152)),IFERROR(AJ176/AJ152,""),"")</f>
        <v>0.0721255685489807</v>
      </c>
      <c r="AK393" s="38" t="n">
        <f aca="false">IF(AND(ISNUMBER(AK176),ISNUMBER(AK152)),IFERROR(AK176/AK152,""),"")</f>
        <v>0.0735093962152766</v>
      </c>
      <c r="AL393" s="38" t="n">
        <f aca="false">IF(AND(ISNUMBER(AL176),ISNUMBER(AL152)),IFERROR(AL176/AL152,""),"")</f>
        <v>0.0890329321772406</v>
      </c>
      <c r="AM393" s="38" t="n">
        <f aca="false">IF(AND(ISNUMBER(AM176),ISNUMBER(AM152)),IFERROR(AM176/AM152,""),"")</f>
        <v>0.0810583222301152</v>
      </c>
      <c r="AN393" s="38" t="n">
        <f aca="false">IF(AND(ISNUMBER(AN176),ISNUMBER(AN152)),IFERROR(AN176/AN152,""),"")</f>
        <v>0.0950109430164385</v>
      </c>
      <c r="AO393" s="38" t="n">
        <f aca="false">IF(AND(ISNUMBER(AO176),ISNUMBER(AO152)),IFERROR(AO176/AO152,""),"")</f>
        <v>0.0725106059706065</v>
      </c>
      <c r="AP393" s="38" t="n">
        <f aca="false">IF(AND(ISNUMBER(AP176),ISNUMBER(AP152)),IFERROR(AP176/AP152,""),"")</f>
        <v>0.0668813712554022</v>
      </c>
      <c r="AQ393" s="38" t="n">
        <f aca="false">IF(AND(ISNUMBER(AQ176),ISNUMBER(AQ152)),IFERROR(AQ176/AQ152,""),"")</f>
        <v>0.0858991485146715</v>
      </c>
      <c r="AR393" s="38" t="n">
        <f aca="false">IF(AND(ISNUMBER(AR176),ISNUMBER(AR152)),IFERROR(AR176/AR152,""),"")</f>
        <v>0.0783904447639614</v>
      </c>
      <c r="AS393" s="38" t="n">
        <f aca="false">IF(AND(ISNUMBER(AS176),ISNUMBER(AS152)),IFERROR(AS176/AS152,""),"")</f>
        <v>0.0991442287622626</v>
      </c>
      <c r="AT393" s="38" t="n">
        <f aca="false">IF(AND(ISNUMBER(AT176),ISNUMBER(AT152)),IFERROR(AT176/AT152,""),"")</f>
        <v>0.0774437273728947</v>
      </c>
      <c r="AU393" s="38" t="n">
        <f aca="false">IF(AND(ISNUMBER(AU176),ISNUMBER(AU152)),IFERROR(AU176/AU152,""),"")</f>
        <v>0.0747691841985773</v>
      </c>
      <c r="AV393" s="38" t="n">
        <f aca="false">IF(AND(ISNUMBER(AV176),ISNUMBER(AV152)),IFERROR(AV176/AV152,""),"")</f>
        <v>0.0858765683282469</v>
      </c>
      <c r="AW393" s="38" t="n">
        <f aca="false">IF(AND(ISNUMBER(AW176),ISNUMBER(AW152)),IFERROR(AW176/AW152,""),"")</f>
        <v>0.0831941478678196</v>
      </c>
      <c r="AX393" s="38" t="n">
        <f aca="false">IF(AND(ISNUMBER(AX176),ISNUMBER(AX152)),IFERROR(AX176/AX152,""),"")</f>
        <v>0.100366449511401</v>
      </c>
      <c r="AY393" s="38" t="n">
        <f aca="false">IF(AND(ISNUMBER(AY176),ISNUMBER(AY152)),IFERROR(AY176/AY152,""),"")</f>
        <v>0.0783075694898033</v>
      </c>
      <c r="AZ393" s="38" t="n">
        <f aca="false">IF(AND(ISNUMBER(AZ176),ISNUMBER(AZ152)),IFERROR(AZ176/AZ152,""),"")</f>
        <v>0.0728825531368394</v>
      </c>
      <c r="BA393" s="38" t="n">
        <f aca="false">IF(AND(ISNUMBER(BA176),ISNUMBER(BA152)),IFERROR(BA176/BA152,""),"")</f>
        <v>0.0880112269446672</v>
      </c>
      <c r="BB393" s="38" t="n">
        <f aca="false">IF(AND(ISNUMBER(BB176),ISNUMBER(BB152)),IFERROR(BB176/BB152,""),"")</f>
        <v>0.0834318433690432</v>
      </c>
      <c r="BC393" s="38" t="n">
        <f aca="false">IF(AND(ISNUMBER(BC176),ISNUMBER(BC152)),IFERROR(BC176/BC152,""),"")</f>
        <v>0.1041598960026</v>
      </c>
      <c r="BD393" s="38" t="n">
        <f aca="false">IF(AND(ISNUMBER(BD176),ISNUMBER(BD152)),IFERROR(BD176/BD152,""),"")</f>
        <v>0.0782116099165499</v>
      </c>
      <c r="BE393" s="38" t="n">
        <f aca="false">IF(AND(ISNUMBER(BE176),ISNUMBER(BE152)),IFERROR(BE176/BE152,""),"")</f>
        <v>0.0682784125407076</v>
      </c>
      <c r="BF393" s="38" t="n">
        <f aca="false">IF(AND(ISNUMBER(BF176),ISNUMBER(BF152)),IFERROR(BF176/BF152,""),"")</f>
        <v>0.0851337622756519</v>
      </c>
      <c r="BG393" s="38" t="n">
        <f aca="false">IF(AND(ISNUMBER(BG176),ISNUMBER(BG152)),IFERROR(BG176/BG152,""),"")</f>
        <v>0.0821335237878813</v>
      </c>
      <c r="BH393" s="38" t="n">
        <f aca="false">IF(AND(ISNUMBER(BH176),ISNUMBER(BH152)),IFERROR(BH176/BH152,""),"")</f>
        <v>0.0912783398567314</v>
      </c>
      <c r="BI393" s="38" t="n">
        <f aca="false">IF(AND(ISNUMBER(BI176),ISNUMBER(BI152)),IFERROR(BI176/BI152,""),"")</f>
        <v>0.0711225834797891</v>
      </c>
      <c r="BJ393" s="38" t="n">
        <f aca="false">IF(AND(ISNUMBER(BJ176),ISNUMBER(BJ152)),IFERROR(BJ176/BJ152,""),"")</f>
        <v>0.0659445363823279</v>
      </c>
      <c r="BK393" s="38" t="n">
        <f aca="false">IF(AND(ISNUMBER(BK176),ISNUMBER(BK152)),IFERROR(BK176/BK152,""),"")</f>
        <v>0.0799651784603905</v>
      </c>
      <c r="BL393" s="38" t="n">
        <f aca="false">IF(AND(ISNUMBER(BL176),ISNUMBER(BL152)),IFERROR(BL176/BL152,""),"")</f>
        <v>0.0757244879891401</v>
      </c>
      <c r="BM393" s="38" t="n">
        <f aca="false">IF(AND(ISNUMBER(BM176),ISNUMBER(BM152)),IFERROR(BM176/BM152,""),"")</f>
        <v>0.103916866506795</v>
      </c>
      <c r="BN393" s="38" t="n">
        <f aca="false">IF(AND(ISNUMBER(BN176),ISNUMBER(BN152)),IFERROR(BN176/BN152,""),"")</f>
        <v>0.0804988662131519</v>
      </c>
      <c r="BO393" s="38" t="n">
        <f aca="false">IF(AND(ISNUMBER(BO176),ISNUMBER(BO152)),IFERROR(BO176/BO152,""),"")</f>
        <v>0.0804658549497088</v>
      </c>
      <c r="BP393" s="38" t="n">
        <f aca="false">IF(AND(ISNUMBER(BP176),ISNUMBER(BP152)),IFERROR(BP176/BP152,""),"")</f>
        <v>0.0912990196078431</v>
      </c>
      <c r="BQ393" s="38" t="n">
        <f aca="false">IF(AND(ISNUMBER(BQ176),ISNUMBER(BQ152)),IFERROR(BQ176/BQ152,""),"")</f>
        <v>0.0876682986536108</v>
      </c>
      <c r="BR393" s="38" t="n">
        <f aca="false">IF(AND(ISNUMBER(BR176),ISNUMBER(BR152)),IFERROR(BR176/BR152,""),"")</f>
        <v>0.132530120481928</v>
      </c>
      <c r="BS393" s="38" t="n">
        <f aca="false">IF(AND(ISNUMBER(BS176),ISNUMBER(BS152)),IFERROR(BS176/BS152,""),"")</f>
        <v>0.103791174642635</v>
      </c>
      <c r="BT393" s="38" t="n">
        <f aca="false">IF(AND(ISNUMBER(BT176),ISNUMBER(BT152)),IFERROR(BT176/BT152,""),"")</f>
        <v>0.0861321776814735</v>
      </c>
      <c r="BU393" s="38" t="n">
        <f aca="false">IF(AND(ISNUMBER(BU176),ISNUMBER(BU152)),IFERROR(BU176/BU152,""),"")</f>
        <v>0.102346805736636</v>
      </c>
      <c r="BV393" s="38" t="n">
        <f aca="false">IF(AND(ISNUMBER(BV176),ISNUMBER(BV152)),IFERROR(BV176/BV152,""),"")</f>
        <v>0.103577235772358</v>
      </c>
      <c r="BW393" s="38" t="n">
        <f aca="false">IF(AND(ISNUMBER(BW176),ISNUMBER(BW152)),IFERROR(BW176/BW152,""),"")</f>
        <v>0.122613803230543</v>
      </c>
      <c r="BX393" s="38" t="n">
        <f aca="false">IF(AND(ISNUMBER(BX176),ISNUMBER(BX152)),IFERROR(BX176/BX152,""),"")</f>
        <v>0.104776579352851</v>
      </c>
      <c r="BY393" s="6"/>
      <c r="BZ393" s="6"/>
      <c r="CA393" s="25" t="n">
        <f aca="false">IFERROR(CA176/CA152,"")</f>
        <v>0.121871825164223</v>
      </c>
      <c r="CB393" s="25" t="n">
        <f aca="false">IFERROR(CB176/CB152,"")</f>
        <v>0.135542940734068</v>
      </c>
      <c r="CC393" s="25" t="n">
        <f aca="false">IFERROR(CC176/CC152,"")</f>
        <v>0.133119218233008</v>
      </c>
      <c r="CD393" s="25" t="n">
        <f aca="false">IFERROR(CD176/CD152,"")</f>
        <v>0.130983878477328</v>
      </c>
      <c r="CE393" s="25" t="n">
        <f aca="false">IFERROR(CE176/CE152,"")</f>
        <v>0.129022576247888</v>
      </c>
      <c r="CF393" s="6"/>
    </row>
    <row r="394" customFormat="false" ht="15" hidden="false" customHeight="true" outlineLevel="0" collapsed="false">
      <c r="B394" s="26" t="s">
        <v>466</v>
      </c>
      <c r="C394" s="38" t="n">
        <f aca="false">IFERROR(-N(C255)/C152,"")</f>
        <v>0.120547498187092</v>
      </c>
      <c r="D394" s="38" t="n">
        <f aca="false">IFERROR(-N(D255)/D152,"")</f>
        <v>0.120032168909429</v>
      </c>
      <c r="E394" s="38" t="n">
        <f aca="false">IFERROR(-N(E255)/E152,"")</f>
        <v>0.121808405263903</v>
      </c>
      <c r="F394" s="38" t="n">
        <f aca="false">IFERROR(-N(F255)/F152,"")</f>
        <v>0.0817749324562434</v>
      </c>
      <c r="G394" s="38" t="n">
        <f aca="false">IFERROR(-N(G255)/G152,"")</f>
        <v>0.0762331033709126</v>
      </c>
      <c r="H394" s="38" t="n">
        <f aca="false">IFERROR(-N(H255)/H152,"")</f>
        <v>0.0906488126495128</v>
      </c>
      <c r="I394" s="38" t="n">
        <f aca="false">IFERROR(-N(I255)/I152,"")</f>
        <v>0.0741180800942285</v>
      </c>
      <c r="J394" s="38" t="n">
        <f aca="false">IFERROR(-N(J255)/J152,"")</f>
        <v>0.0568311688311688</v>
      </c>
      <c r="K394" s="38" t="n">
        <f aca="false">IFERROR(-N(K255)/K152,"")</f>
        <v>0.0499768971032522</v>
      </c>
      <c r="L394" s="38" t="n">
        <f aca="false">IFERROR(-N(L255)/L152,"")</f>
        <v>0.0786712761160379</v>
      </c>
      <c r="M394" s="38" t="n">
        <f aca="false">IFERROR(-N(M255)/M152,"")</f>
        <v>0.0970477064220184</v>
      </c>
      <c r="N394" s="38" t="n">
        <f aca="false">IFERROR(-N(N255)/N152,"")</f>
        <v>0.0720171653908606</v>
      </c>
      <c r="O394" s="38" t="n">
        <f aca="false">IFERROR(-N(O255)/O152,"")</f>
        <v>0.0861045019827385</v>
      </c>
      <c r="P394" s="38" t="n">
        <f aca="false">IFERROR(-N(P255)/P152,"")</f>
        <v>0.0714644351464435</v>
      </c>
      <c r="Q394" s="38" t="n">
        <f aca="false">IFERROR(-N(Q255)/Q152,"")</f>
        <v>0.053634552157019</v>
      </c>
      <c r="R394" s="38" t="n">
        <f aca="false">IFERROR(-N(R255)/R152,"")</f>
        <v>0.109322667289501</v>
      </c>
      <c r="S394" s="38" t="n">
        <f aca="false">IFERROR(-N(S255)/S152,"")</f>
        <v>0.0784932386747803</v>
      </c>
      <c r="T394" s="38" t="n">
        <f aca="false">IFERROR(-N(T255)/T152,"")</f>
        <v>0.0811180214058432</v>
      </c>
      <c r="U394" s="38" t="n">
        <f aca="false">IFERROR(-N(U255)/U152,"")</f>
        <v>0.0780388539179509</v>
      </c>
      <c r="V394" s="38" t="n">
        <f aca="false">IFERROR(-N(V255)/V152,"")</f>
        <v>0.0780419515801146</v>
      </c>
      <c r="W394" s="38" t="n">
        <f aca="false">IFERROR(-N(W255)/W152,"")</f>
        <v>0.125248638408714</v>
      </c>
      <c r="X394" s="38" t="n">
        <f aca="false">IFERROR(-N(X255)/X152,"")</f>
        <v>0.0899062040908577</v>
      </c>
      <c r="Y394" s="38" t="n">
        <f aca="false">IFERROR(-N(Y255)/Y152,"")</f>
        <v>0.119457403651116</v>
      </c>
      <c r="Z394" s="38" t="n">
        <f aca="false">IFERROR(-N(Z255)/Z152,"")</f>
        <v>0.119033050240458</v>
      </c>
      <c r="AA394" s="38" t="n">
        <f aca="false">IFERROR(-N(AA255)/AA152,"")</f>
        <v>0.0678702781049008</v>
      </c>
      <c r="AB394" s="38" t="n">
        <f aca="false">IFERROR(-N(AB255)/AB152,"")</f>
        <v>0.107278667790894</v>
      </c>
      <c r="AC394" s="38" t="n">
        <f aca="false">IFERROR(-N(AC255)/AC152,"")</f>
        <v>0.101410652561014</v>
      </c>
      <c r="AD394" s="38" t="n">
        <f aca="false">IFERROR(-N(AD255)/AD152,"")</f>
        <v>0.120979973930561</v>
      </c>
      <c r="AE394" s="38" t="n">
        <f aca="false">IFERROR(-N(AE255)/AE152,"")</f>
        <v>0.107187588152327</v>
      </c>
      <c r="AF394" s="38" t="n">
        <f aca="false">IFERROR(-N(AF255)/AF152,"")</f>
        <v>0.0851852532867519</v>
      </c>
      <c r="AG394" s="38" t="n">
        <f aca="false">IFERROR(-N(AG255)/AG152,"")</f>
        <v>0.104667697063369</v>
      </c>
      <c r="AH394" s="38" t="n">
        <f aca="false">IFERROR(-N(AH255)/AH152,"")</f>
        <v>0.103471101472665</v>
      </c>
      <c r="AI394" s="38" t="n">
        <f aca="false">IFERROR(-N(AI255)/AI152,"")</f>
        <v>0.120023690773067</v>
      </c>
      <c r="AJ394" s="38" t="n">
        <f aca="false">IFERROR(-N(AJ255)/AJ152,"")</f>
        <v>0.0765225968331749</v>
      </c>
      <c r="AK394" s="38" t="n">
        <f aca="false">IFERROR(-N(AK255)/AK152,"")</f>
        <v>0.0605793512839854</v>
      </c>
      <c r="AL394" s="38" t="n">
        <f aca="false">IFERROR(-N(AL255)/AL152,"")</f>
        <v>0.111543807303929</v>
      </c>
      <c r="AM394" s="38" t="n">
        <f aca="false">IFERROR(-N(AM255)/AM152,"")</f>
        <v>0.08857929464819</v>
      </c>
      <c r="AN394" s="38" t="n">
        <f aca="false">IFERROR(-N(AN255)/AN152,"")</f>
        <v>0.138511430260236</v>
      </c>
      <c r="AO394" s="38" t="n">
        <f aca="false">IFERROR(-N(AO255)/AO152,"")</f>
        <v>0.0604907664748161</v>
      </c>
      <c r="AP394" s="38" t="n">
        <f aca="false">IFERROR(-N(AP255)/AP152,"")</f>
        <v>0.0531921934650758</v>
      </c>
      <c r="AQ394" s="38" t="n">
        <f aca="false">IFERROR(-N(AQ255)/AQ152,"")</f>
        <v>0.100417109675309</v>
      </c>
      <c r="AR394" s="38" t="n">
        <f aca="false">IFERROR(-N(AR255)/AR152,"")</f>
        <v>0.083032678370441</v>
      </c>
      <c r="AS394" s="38" t="n">
        <f aca="false">IFERROR(-N(AS255)/AS152,"")</f>
        <v>0.108641202254227</v>
      </c>
      <c r="AT394" s="38" t="n">
        <f aca="false">IFERROR(-N(AT255)/AT152,"")</f>
        <v>0.056351330080277</v>
      </c>
      <c r="AU394" s="38" t="n">
        <f aca="false">IFERROR(-N(AU255)/AU152,"")</f>
        <v>0.0568336612683518</v>
      </c>
      <c r="AV394" s="38" t="n">
        <f aca="false">IFERROR(-N(AV255)/AV152,"")</f>
        <v>0.0923194303153612</v>
      </c>
      <c r="AW394" s="38" t="n">
        <f aca="false">IFERROR(-N(AW255)/AW152,"")</f>
        <v>0.0760481194105584</v>
      </c>
      <c r="AX394" s="38" t="n">
        <f aca="false">IFERROR(-N(AX255)/AX152,"")</f>
        <v>0.112276058631922</v>
      </c>
      <c r="AY394" s="38" t="n">
        <f aca="false">IFERROR(-N(AY255)/AY152,"")</f>
        <v>0.0745337107192104</v>
      </c>
      <c r="AZ394" s="38" t="n">
        <f aca="false">IFERROR(-N(AZ255)/AZ152,"")</f>
        <v>0.0695434405702177</v>
      </c>
      <c r="BA394" s="38" t="n">
        <f aca="false">IFERROR(-N(BA255)/BA152,"")</f>
        <v>0.0680299385191125</v>
      </c>
      <c r="BB394" s="38" t="n">
        <f aca="false">IFERROR(-N(BB255)/BB152,"")</f>
        <v>0.0781492427041005</v>
      </c>
      <c r="BC394" s="38" t="n">
        <f aca="false">IFERROR(-N(BC255)/BC152,"")</f>
        <v>0.11358466038349</v>
      </c>
      <c r="BD394" s="38" t="n">
        <f aca="false">IFERROR(-N(BD255)/BD152,"")</f>
        <v>0.049278187244929</v>
      </c>
      <c r="BE394" s="38" t="n">
        <f aca="false">IFERROR(-N(BE255)/BE152,"")</f>
        <v>0.0487939504332947</v>
      </c>
      <c r="BF394" s="38" t="n">
        <f aca="false">IFERROR(-N(BF255)/BF152,"")</f>
        <v>0.116965797494074</v>
      </c>
      <c r="BG394" s="38" t="n">
        <f aca="false">IFERROR(-N(BG255)/BG152,"")</f>
        <v>0.0782053987371565</v>
      </c>
      <c r="BH394" s="38" t="n">
        <f aca="false">IFERROR(-N(BH255)/BH152,"")</f>
        <v>0.128424783989366</v>
      </c>
      <c r="BI394" s="38" t="n">
        <f aca="false">IFERROR(-N(BI255)/BI152,"")</f>
        <v>0.0656304920913884</v>
      </c>
      <c r="BJ394" s="38" t="n">
        <f aca="false">IFERROR(-N(BJ255)/BJ152,"")</f>
        <v>0.0856025274559952</v>
      </c>
      <c r="BK394" s="38" t="n">
        <f aca="false">IFERROR(-N(BK255)/BK152,"")</f>
        <v>0.115781619201592</v>
      </c>
      <c r="BL394" s="38" t="n">
        <f aca="false">IFERROR(-N(BL255)/BL152,"")</f>
        <v>0.0959540813315233</v>
      </c>
      <c r="BM394" s="38" t="n">
        <f aca="false">IFERROR(-N(BM255)/BM152,"")</f>
        <v>0.159872102318145</v>
      </c>
      <c r="BN394" s="38" t="n">
        <f aca="false">IFERROR(-N(BN255)/BN152,"")</f>
        <v>0.0787981859410431</v>
      </c>
      <c r="BO394" s="38" t="n">
        <f aca="false">IFERROR(-N(BO255)/BO152,"")</f>
        <v>0.149814716781366</v>
      </c>
      <c r="BP394" s="38" t="n">
        <f aca="false">IFERROR(-N(BP255)/BP152,"")</f>
        <v>0.142769607843137</v>
      </c>
      <c r="BQ394" s="38" t="n">
        <f aca="false">IFERROR(-N(BQ255)/BQ152,"")</f>
        <v>0.130813953488372</v>
      </c>
      <c r="BR394" s="38" t="n">
        <f aca="false">IFERROR(-N(BR255)/BR152,"")</f>
        <v>0.200516351118761</v>
      </c>
      <c r="BS394" s="38" t="n">
        <f aca="false">IFERROR(-N(BS255)/BS152,"")</f>
        <v>0.11124922311995</v>
      </c>
      <c r="BT394" s="38" t="n">
        <f aca="false">IFERROR(-N(BT255)/BT152,"")</f>
        <v>0.102925243770314</v>
      </c>
      <c r="BU394" s="38" t="n">
        <f aca="false">IFERROR(-N(BU255)/BU152,"")</f>
        <v>0.133637548891786</v>
      </c>
      <c r="BV394" s="38" t="n">
        <f aca="false">IFERROR(-N(BV255)/BV152,"")</f>
        <v>0.131219512195122</v>
      </c>
      <c r="BW394" s="38" t="n">
        <f aca="false">IFERROR(-N(BW255)/BW152,"")</f>
        <v>0.136563876651982</v>
      </c>
      <c r="BX394" s="38" t="n">
        <f aca="false">IFERROR(-N(BX255)/BX152,"")</f>
        <v>0.0657421674370827</v>
      </c>
      <c r="BY394" s="6"/>
      <c r="BZ394" s="6"/>
      <c r="CA394" s="25" t="n">
        <f aca="false">IFERROR(-N(CA255)/CA152,"")</f>
        <v>0.0797107190007903</v>
      </c>
      <c r="CB394" s="25" t="n">
        <f aca="false">IFERROR(-N(CB255)/CB152,"")</f>
        <v>0.085</v>
      </c>
      <c r="CC394" s="25" t="n">
        <f aca="false">IFERROR(-N(CC255)/CC152,"")</f>
        <v>0.085</v>
      </c>
      <c r="CD394" s="25" t="n">
        <f aca="false">IFERROR(-N(CD255)/CD152,"")</f>
        <v>0.085</v>
      </c>
      <c r="CE394" s="25" t="n">
        <f aca="false">IFERROR(-N(CE255)/CE152,"")</f>
        <v>0.085</v>
      </c>
      <c r="CF394" s="6"/>
    </row>
    <row r="395" customFormat="false" ht="15" hidden="false" customHeight="true" outlineLevel="0" collapsed="false"/>
    <row r="396" customFormat="false" ht="15" hidden="false" customHeight="true" outlineLevel="0" collapsed="false">
      <c r="B396" s="11" t="s">
        <v>604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 t="s">
        <v>605</v>
      </c>
    </row>
    <row r="397" customFormat="false" ht="15" hidden="false" customHeight="true" outlineLevel="0" collapsed="false">
      <c r="B397" s="15" t="s">
        <v>606</v>
      </c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6"/>
    </row>
    <row r="398" customFormat="false" ht="15" hidden="false" customHeight="true" outlineLevel="0" collapsed="false">
      <c r="B398" s="26" t="s">
        <v>607</v>
      </c>
      <c r="C398" s="47" t="n">
        <f aca="false">C212</f>
        <v>393.571</v>
      </c>
      <c r="D398" s="47" t="n">
        <f aca="false">D212</f>
        <v>440.262</v>
      </c>
      <c r="E398" s="47" t="n">
        <f aca="false">E212</f>
        <v>326.571</v>
      </c>
      <c r="F398" s="47" t="n">
        <f aca="false">F212</f>
        <v>186.4</v>
      </c>
      <c r="G398" s="47" t="n">
        <f aca="false">G212</f>
        <v>194.8</v>
      </c>
      <c r="H398" s="47" t="n">
        <f aca="false">H212</f>
        <v>164.1</v>
      </c>
      <c r="I398" s="47" t="n">
        <f aca="false">I212</f>
        <v>154.4</v>
      </c>
      <c r="N398" s="47" t="n">
        <f aca="false">N212</f>
        <v>218.3</v>
      </c>
      <c r="S398" s="47" t="n">
        <f aca="false">S212</f>
        <v>316.5</v>
      </c>
      <c r="X398" s="47" t="n">
        <f aca="false">X212</f>
        <v>506</v>
      </c>
      <c r="AC398" s="47" t="n">
        <f aca="false">AC212</f>
        <v>688.7</v>
      </c>
      <c r="AH398" s="47" t="n">
        <f aca="false">AH212</f>
        <v>710.4</v>
      </c>
      <c r="AM398" s="47" t="n">
        <f aca="false">AM212</f>
        <v>763.759</v>
      </c>
      <c r="AR398" s="47" t="n">
        <f aca="false">AR212</f>
        <v>877.14</v>
      </c>
      <c r="AW398" s="47" t="n">
        <f aca="false">AW212</f>
        <v>1006.8</v>
      </c>
      <c r="BB398" s="47" t="n">
        <f aca="false">BB212</f>
        <v>1086</v>
      </c>
      <c r="BG398" s="47" t="n">
        <f aca="false">BG212</f>
        <v>1103.7</v>
      </c>
      <c r="BL398" s="47" t="n">
        <f aca="false">BL212</f>
        <v>1622.9</v>
      </c>
      <c r="BQ398" s="47" t="n">
        <f aca="false">BQ212</f>
        <v>1502</v>
      </c>
      <c r="BV398" s="47" t="n">
        <f aca="false">BV212</f>
        <v>1484</v>
      </c>
      <c r="BY398" s="6"/>
      <c r="BZ398" s="6"/>
      <c r="CA398" s="37" t="n">
        <f aca="false">CA212</f>
        <v>1742.31040008067</v>
      </c>
      <c r="CB398" s="37" t="n">
        <f aca="false">CB212</f>
        <v>2261.73679727902</v>
      </c>
      <c r="CC398" s="37" t="n">
        <f aca="false">CC212</f>
        <v>2596.37060839369</v>
      </c>
      <c r="CD398" s="37" t="n">
        <f aca="false">CD212</f>
        <v>2906.02466624481</v>
      </c>
      <c r="CE398" s="37" t="n">
        <f aca="false">CE212</f>
        <v>3200.32094043046</v>
      </c>
      <c r="CF398" s="6"/>
    </row>
    <row r="399" customFormat="false" ht="15" hidden="false" customHeight="true" outlineLevel="0" collapsed="false">
      <c r="B399" s="26" t="s">
        <v>608</v>
      </c>
      <c r="C399" s="38" t="n">
        <f aca="false">C167</f>
        <v>0.304223744292237</v>
      </c>
      <c r="D399" s="38" t="n">
        <f aca="false">D167</f>
        <v>0.306656101426307</v>
      </c>
      <c r="E399" s="38" t="n">
        <f aca="false">E167</f>
        <v>0.295108919030004</v>
      </c>
      <c r="F399" s="38" t="n">
        <f aca="false">F167</f>
        <v>0.237640936686904</v>
      </c>
      <c r="G399" s="38" t="n">
        <f aca="false">G167</f>
        <v>0.22866092404072</v>
      </c>
      <c r="H399" s="38" t="n">
        <f aca="false">H167</f>
        <v>0.208747514910537</v>
      </c>
      <c r="I399" s="38" t="n">
        <f aca="false">I167</f>
        <v>0.164237123420797</v>
      </c>
      <c r="N399" s="38" t="n">
        <f aca="false">N167</f>
        <v>0.267965895249695</v>
      </c>
      <c r="S399" s="38" t="n">
        <f aca="false">S167</f>
        <v>0.380818619582664</v>
      </c>
      <c r="X399" s="38" t="n">
        <f aca="false">X167</f>
        <v>0.301836636056066</v>
      </c>
      <c r="AC399" s="38" t="n">
        <f aca="false">AC167</f>
        <v>0.299176276771005</v>
      </c>
      <c r="AH399" s="38" t="n">
        <f aca="false">AH167</f>
        <v>-0.152690256907416</v>
      </c>
      <c r="AM399" s="38" t="n">
        <f aca="false">AM167</f>
        <v>0.183489821743817</v>
      </c>
      <c r="AR399" s="38" t="n">
        <f aca="false">AR167</f>
        <v>0.182202914198969</v>
      </c>
      <c r="AW399" s="38" t="n">
        <f aca="false">AW167</f>
        <v>0.189137523895199</v>
      </c>
      <c r="BB399" s="38" t="n">
        <f aca="false">BB167</f>
        <v>0.179076563413209</v>
      </c>
      <c r="BG399" s="38" t="n">
        <f aca="false">BG167</f>
        <v>0.215195674090368</v>
      </c>
      <c r="BL399" s="38" t="n">
        <f aca="false">BL167</f>
        <v>0.195940514469453</v>
      </c>
      <c r="BQ399" s="38" t="n">
        <f aca="false">BQ167</f>
        <v>0.231124807395994</v>
      </c>
      <c r="BV399" s="38" t="n">
        <f aca="false">BV167</f>
        <v>0.192495921696574</v>
      </c>
      <c r="BY399" s="6"/>
      <c r="BZ399" s="6"/>
      <c r="CA399" s="25" t="n">
        <f aca="false">CA167</f>
        <v>0.219554759581796</v>
      </c>
      <c r="CB399" s="25" t="n">
        <f aca="false">CB167</f>
        <v>0.22</v>
      </c>
      <c r="CC399" s="25" t="n">
        <f aca="false">CC167</f>
        <v>0.22</v>
      </c>
      <c r="CD399" s="25" t="n">
        <f aca="false">CD167</f>
        <v>0.22</v>
      </c>
      <c r="CE399" s="25" t="n">
        <f aca="false">CE167</f>
        <v>0.22</v>
      </c>
      <c r="CF399" s="6"/>
    </row>
    <row r="400" customFormat="false" ht="15" hidden="false" customHeight="true" outlineLevel="0" collapsed="false">
      <c r="B400" s="26" t="s">
        <v>609</v>
      </c>
      <c r="C400" s="47" t="n">
        <f aca="false">IFERROR(C398*(1-C399),"n/a")</f>
        <v>273.83735673516</v>
      </c>
      <c r="D400" s="47" t="n">
        <f aca="false">IFERROR(D398*(1-D399),"n/a")</f>
        <v>305.252971473851</v>
      </c>
      <c r="E400" s="47" t="n">
        <f aca="false">IFERROR(E398*(1-E399),"n/a")</f>
        <v>230.196985203452</v>
      </c>
      <c r="F400" s="47" t="n">
        <f aca="false">IFERROR(F398*(1-F399),"n/a")</f>
        <v>142.103729401561</v>
      </c>
      <c r="G400" s="47" t="n">
        <f aca="false">IFERROR(G398*(1-G399),"n/a")</f>
        <v>150.256851996868</v>
      </c>
      <c r="H400" s="47" t="n">
        <f aca="false">IFERROR(H398*(1-H399),"n/a")</f>
        <v>129.844532803181</v>
      </c>
      <c r="I400" s="47" t="n">
        <f aca="false">IFERROR(I398*(1-I399),"n/a")</f>
        <v>129.041788143829</v>
      </c>
      <c r="N400" s="47" t="n">
        <f aca="false">IFERROR(N398*(1-N399),"n/a")</f>
        <v>159.803045066992</v>
      </c>
      <c r="S400" s="47" t="n">
        <f aca="false">IFERROR(S398*(1-S399),"n/a")</f>
        <v>195.970906902087</v>
      </c>
      <c r="X400" s="47" t="n">
        <f aca="false">IFERROR(X398*(1-X399),"n/a")</f>
        <v>353.270662155631</v>
      </c>
      <c r="AC400" s="47" t="n">
        <f aca="false">IFERROR(AC398*(1-AC399),"n/a")</f>
        <v>482.657298187809</v>
      </c>
      <c r="AH400" s="47" t="n">
        <f aca="false">IFERROR(AH398*(1-AH399),"n/a")</f>
        <v>818.871158507029</v>
      </c>
      <c r="AM400" s="47" t="n">
        <f aca="false">IFERROR(AM398*(1-AM399),"n/a")</f>
        <v>623.616997234764</v>
      </c>
      <c r="AR400" s="47" t="n">
        <f aca="false">IFERROR(AR398*(1-AR399),"n/a")</f>
        <v>717.322535839516</v>
      </c>
      <c r="AW400" s="47" t="n">
        <f aca="false">IFERROR(AW398*(1-AW399),"n/a")</f>
        <v>816.376340942314</v>
      </c>
      <c r="BB400" s="47" t="n">
        <f aca="false">IFERROR(BB398*(1-BB399),"n/a")</f>
        <v>891.522852133256</v>
      </c>
      <c r="BG400" s="47" t="n">
        <f aca="false">IFERROR(BG398*(1-BG399),"n/a")</f>
        <v>866.188534506462</v>
      </c>
      <c r="BL400" s="47" t="n">
        <f aca="false">IFERROR(BL398*(1-BL399),"n/a")</f>
        <v>1304.90813906752</v>
      </c>
      <c r="BQ400" s="47" t="n">
        <f aca="false">IFERROR(BQ398*(1-BQ399),"n/a")</f>
        <v>1154.85053929122</v>
      </c>
      <c r="BV400" s="47" t="n">
        <f aca="false">IFERROR(BV398*(1-BV399),"n/a")</f>
        <v>1198.33605220228</v>
      </c>
      <c r="BY400" s="6"/>
      <c r="BZ400" s="6"/>
      <c r="CA400" s="37" t="n">
        <f aca="false">IFERROR(CA398*(1-CA399),"n/a")</f>
        <v>1359.7778590741</v>
      </c>
      <c r="CB400" s="37" t="n">
        <f aca="false">IFERROR(CB398*(1-CB399),"n/a")</f>
        <v>1764.15470187763</v>
      </c>
      <c r="CC400" s="37" t="n">
        <f aca="false">IFERROR(CC398*(1-CC399),"n/a")</f>
        <v>2025.16907454707</v>
      </c>
      <c r="CD400" s="37" t="n">
        <f aca="false">IFERROR(CD398*(1-CD399),"n/a")</f>
        <v>2266.69923967095</v>
      </c>
      <c r="CE400" s="37" t="n">
        <f aca="false">IFERROR(CE398*(1-CE399),"n/a")</f>
        <v>2496.25033353576</v>
      </c>
      <c r="CF400" s="6"/>
    </row>
    <row r="401" customFormat="false" ht="15" hidden="false" customHeight="true" outlineLevel="0" collapsed="false">
      <c r="B401" s="26" t="s">
        <v>610</v>
      </c>
      <c r="C401" s="47" t="n">
        <f aca="false">IFERROR(C402+C403,"n/a")</f>
        <v>1926.954</v>
      </c>
      <c r="D401" s="47" t="n">
        <f aca="false">IFERROR(D402+D403,"n/a")</f>
        <v>2050.275</v>
      </c>
      <c r="E401" s="47" t="n">
        <f aca="false">IFERROR(E402+E403,"n/a")</f>
        <v>2384.41</v>
      </c>
      <c r="F401" s="47" t="n">
        <f aca="false">IFERROR(F402+F403,"n/a")</f>
        <v>2392.431</v>
      </c>
      <c r="G401" s="47" t="n">
        <f aca="false">IFERROR(G402+G403,"n/a")</f>
        <v>2428.695</v>
      </c>
      <c r="H401" s="47" t="n">
        <f aca="false">IFERROR(H402+H403,"n/a")</f>
        <v>2482.926</v>
      </c>
      <c r="I401" s="47" t="n">
        <f aca="false">IFERROR(I402+I403,"n/a")</f>
        <v>2472.764</v>
      </c>
      <c r="N401" s="47" t="n">
        <f aca="false">IFERROR(N402+N403,"n/a")</f>
        <v>2563.403</v>
      </c>
      <c r="S401" s="47" t="n">
        <f aca="false">IFERROR(S402+S403,"n/a")</f>
        <v>5829.492</v>
      </c>
      <c r="X401" s="47" t="n">
        <f aca="false">IFERROR(X402+X403,"n/a")</f>
        <v>5464.663</v>
      </c>
      <c r="AC401" s="47" t="n">
        <f aca="false">IFERROR(AC402+AC403,"n/a")</f>
        <v>5778.741</v>
      </c>
      <c r="AH401" s="47" t="n">
        <f aca="false">IFERROR(AH402+AH403,"n/a")</f>
        <v>6263.316</v>
      </c>
      <c r="AM401" s="47" t="n">
        <f aca="false">IFERROR(AM402+AM403,"n/a")</f>
        <v>8025.001</v>
      </c>
      <c r="AR401" s="47" t="n">
        <f aca="false">IFERROR(AR402+AR403,"n/a")</f>
        <v>8105.9</v>
      </c>
      <c r="AW401" s="47" t="n">
        <f aca="false">IFERROR(AW402+AW403,"n/a")</f>
        <v>8311.8</v>
      </c>
      <c r="BB401" s="47" t="n">
        <f aca="false">IFERROR(BB402+BB403,"n/a")</f>
        <v>11380</v>
      </c>
      <c r="BG401" s="47" t="n">
        <f aca="false">IFERROR(BG402+BG403,"n/a")</f>
        <v>11155.7</v>
      </c>
      <c r="BL401" s="47" t="n">
        <f aca="false">IFERROR(BL402+BL403,"n/a")</f>
        <v>11109</v>
      </c>
      <c r="BQ401" s="47" t="n">
        <f aca="false">IFERROR(BQ402+BQ403,"n/a")</f>
        <v>14199</v>
      </c>
      <c r="BV401" s="47" t="n">
        <f aca="false">IFERROR(BV402+BV403,"n/a")</f>
        <v>15290</v>
      </c>
      <c r="BY401" s="6"/>
      <c r="BZ401" s="6"/>
      <c r="CA401" s="37" t="n">
        <f aca="false">IFERROR(CA402+CA403,"n/a")</f>
        <v>30606.0351096278</v>
      </c>
      <c r="CB401" s="37" t="n">
        <f aca="false">IFERROR(CB402+CB403,"n/a")</f>
        <v>30296.9679123339</v>
      </c>
      <c r="CC401" s="37" t="n">
        <f aca="false">IFERROR(CC402+CC403,"n/a")</f>
        <v>30520.2989664641</v>
      </c>
      <c r="CD401" s="37" t="n">
        <f aca="false">IFERROR(CD402+CD403,"n/a")</f>
        <v>31005.9374533766</v>
      </c>
      <c r="CE401" s="37" t="n">
        <f aca="false">IFERROR(CE402+CE403,"n/a")</f>
        <v>31498.3792921971</v>
      </c>
      <c r="CF401" s="6"/>
    </row>
    <row r="402" customFormat="false" ht="15" hidden="false" customHeight="true" outlineLevel="0" collapsed="false">
      <c r="B402" s="26" t="s">
        <v>611</v>
      </c>
      <c r="C402" s="47" t="n">
        <f aca="false">C325</f>
        <v>1253.972</v>
      </c>
      <c r="D402" s="47" t="n">
        <f aca="false">D325</f>
        <v>945.991</v>
      </c>
      <c r="E402" s="47" t="n">
        <f aca="false">E325</f>
        <v>1067.26</v>
      </c>
      <c r="F402" s="47" t="n">
        <f aca="false">F325</f>
        <v>1406.411</v>
      </c>
      <c r="G402" s="47" t="n">
        <f aca="false">G325</f>
        <v>1468.259</v>
      </c>
      <c r="H402" s="47" t="n">
        <f aca="false">H325</f>
        <v>1448.864</v>
      </c>
      <c r="I402" s="47" t="n">
        <f aca="false">I325</f>
        <v>1450.299</v>
      </c>
      <c r="N402" s="47" t="n">
        <f aca="false">N325</f>
        <v>1574.919</v>
      </c>
      <c r="S402" s="47" t="n">
        <f aca="false">S325</f>
        <v>4352.748</v>
      </c>
      <c r="X402" s="47" t="n">
        <f aca="false">X325</f>
        <v>4060.177</v>
      </c>
      <c r="AC402" s="47" t="n">
        <f aca="false">AC325</f>
        <v>4142.59</v>
      </c>
      <c r="AH402" s="47" t="n">
        <f aca="false">AH325</f>
        <v>4682.477</v>
      </c>
      <c r="AM402" s="47" t="n">
        <f aca="false">AM325</f>
        <v>4949.412</v>
      </c>
      <c r="AR402" s="47" t="n">
        <f aca="false">AR325</f>
        <v>5353.3</v>
      </c>
      <c r="AW402" s="47" t="n">
        <f aca="false">AW325</f>
        <v>5893.3</v>
      </c>
      <c r="BB402" s="47" t="n">
        <f aca="false">BB325</f>
        <v>6537.6</v>
      </c>
      <c r="BG402" s="47" t="n">
        <f aca="false">BG325</f>
        <v>7172.8</v>
      </c>
      <c r="BL402" s="47" t="n">
        <f aca="false">BL325</f>
        <v>8035.6</v>
      </c>
      <c r="BQ402" s="47" t="n">
        <f aca="false">BQ325</f>
        <v>9456</v>
      </c>
      <c r="BV402" s="47" t="n">
        <f aca="false">BV325</f>
        <v>10034</v>
      </c>
      <c r="BY402" s="6"/>
      <c r="BZ402" s="6"/>
      <c r="CA402" s="37" t="n">
        <f aca="false">CA325</f>
        <v>18365.4471311658</v>
      </c>
      <c r="CB402" s="37" t="n">
        <f aca="false">CB325</f>
        <v>19436.3135224054</v>
      </c>
      <c r="CC402" s="37" t="n">
        <f aca="false">CC325</f>
        <v>20818.1961412186</v>
      </c>
      <c r="CD402" s="37" t="n">
        <f aca="false">CD325</f>
        <v>21080.0518329461</v>
      </c>
      <c r="CE402" s="37" t="n">
        <f aca="false">CE325</f>
        <v>20673.0276641345</v>
      </c>
      <c r="CF402" s="6"/>
    </row>
    <row r="403" customFormat="false" ht="15" hidden="false" customHeight="true" outlineLevel="0" collapsed="false">
      <c r="B403" s="26" t="s">
        <v>612</v>
      </c>
      <c r="C403" s="47" t="n">
        <f aca="false">C371-C294</f>
        <v>672.982</v>
      </c>
      <c r="D403" s="47" t="n">
        <f aca="false">D371-D294</f>
        <v>1104.284</v>
      </c>
      <c r="E403" s="47" t="n">
        <f aca="false">E371-E294</f>
        <v>1317.15</v>
      </c>
      <c r="F403" s="47" t="n">
        <f aca="false">F371-F294</f>
        <v>986.02</v>
      </c>
      <c r="G403" s="47" t="n">
        <f aca="false">G371-G294</f>
        <v>960.436</v>
      </c>
      <c r="H403" s="47" t="n">
        <f aca="false">H371-H294</f>
        <v>1034.062</v>
      </c>
      <c r="I403" s="47" t="n">
        <f aca="false">I371-I294</f>
        <v>1022.465</v>
      </c>
      <c r="N403" s="47" t="n">
        <f aca="false">N371-N294</f>
        <v>988.484</v>
      </c>
      <c r="S403" s="47" t="n">
        <f aca="false">S371-S294</f>
        <v>1476.744</v>
      </c>
      <c r="X403" s="47" t="n">
        <f aca="false">X371-X294</f>
        <v>1404.486</v>
      </c>
      <c r="AC403" s="47" t="n">
        <f aca="false">AC371-AC294</f>
        <v>1636.151</v>
      </c>
      <c r="AH403" s="47" t="n">
        <f aca="false">AH371-AH294</f>
        <v>1580.839</v>
      </c>
      <c r="AM403" s="47" t="n">
        <f aca="false">AM371-AM294</f>
        <v>3075.589</v>
      </c>
      <c r="AR403" s="47" t="n">
        <f aca="false">AR371-AR294</f>
        <v>2752.6</v>
      </c>
      <c r="AW403" s="47" t="n">
        <f aca="false">AW371-AW294</f>
        <v>2418.5</v>
      </c>
      <c r="BB403" s="47" t="n">
        <f aca="false">BB371-BB294</f>
        <v>4842.4</v>
      </c>
      <c r="BG403" s="47" t="n">
        <f aca="false">BG371-BG294</f>
        <v>3982.9</v>
      </c>
      <c r="BL403" s="47" t="n">
        <f aca="false">BL371-BL294</f>
        <v>3073.4</v>
      </c>
      <c r="BQ403" s="47" t="n">
        <f aca="false">BQ371-BQ294</f>
        <v>4743</v>
      </c>
      <c r="BV403" s="47" t="n">
        <f aca="false">BV371-BV294</f>
        <v>5256</v>
      </c>
      <c r="BY403" s="6"/>
      <c r="BZ403" s="6"/>
      <c r="CA403" s="37" t="n">
        <f aca="false">CA371-CA294</f>
        <v>12240.587978462</v>
      </c>
      <c r="CB403" s="37" t="n">
        <f aca="false">CB371-CB294</f>
        <v>10860.6543899285</v>
      </c>
      <c r="CC403" s="37" t="n">
        <f aca="false">CC371-CC294</f>
        <v>9702.10282524557</v>
      </c>
      <c r="CD403" s="37" t="n">
        <f aca="false">CD371-CD294</f>
        <v>9925.88562043053</v>
      </c>
      <c r="CE403" s="37" t="n">
        <f aca="false">CE371-CE294</f>
        <v>10825.3516280626</v>
      </c>
      <c r="CF403" s="6"/>
    </row>
    <row r="404" customFormat="false" ht="15" hidden="false" customHeight="true" outlineLevel="0" collapsed="false">
      <c r="B404" s="59" t="s">
        <v>613</v>
      </c>
      <c r="C404" s="77" t="n">
        <f aca="false">IFERROR(C400/C401,"n/a")</f>
        <v>0.142108922545717</v>
      </c>
      <c r="D404" s="77" t="n">
        <f aca="false">IFERROR(D400/D401,"n/a")</f>
        <v>0.148883916291157</v>
      </c>
      <c r="E404" s="77" t="n">
        <f aca="false">IFERROR(E400/E401,"n/a")</f>
        <v>0.0965425347165347</v>
      </c>
      <c r="F404" s="77" t="n">
        <f aca="false">IFERROR(F400/F401,"n/a")</f>
        <v>0.0593972112054898</v>
      </c>
      <c r="G404" s="77" t="n">
        <f aca="false">IFERROR(G400/G401,"n/a")</f>
        <v>0.0618673205144605</v>
      </c>
      <c r="H404" s="77" t="n">
        <f aca="false">IFERROR(H400/H401,"n/a")</f>
        <v>0.0522949668267121</v>
      </c>
      <c r="I404" s="77" t="n">
        <f aca="false">IFERROR(I400/I401,"n/a")</f>
        <v>0.0521852421597164</v>
      </c>
      <c r="J404" s="70"/>
      <c r="K404" s="70"/>
      <c r="L404" s="70"/>
      <c r="M404" s="70"/>
      <c r="N404" s="77" t="n">
        <f aca="false">IFERROR(N400/N401,"n/a")</f>
        <v>0.0623401958517609</v>
      </c>
      <c r="O404" s="70"/>
      <c r="P404" s="70"/>
      <c r="Q404" s="70"/>
      <c r="R404" s="70"/>
      <c r="S404" s="77" t="n">
        <f aca="false">IFERROR(S400/S401,"n/a")</f>
        <v>0.0336171499852966</v>
      </c>
      <c r="T404" s="70"/>
      <c r="U404" s="70"/>
      <c r="V404" s="70"/>
      <c r="W404" s="70"/>
      <c r="X404" s="77" t="n">
        <f aca="false">IFERROR(X400/X401,"n/a")</f>
        <v>0.0646463765753955</v>
      </c>
      <c r="Y404" s="70"/>
      <c r="Z404" s="70"/>
      <c r="AA404" s="70"/>
      <c r="AB404" s="70"/>
      <c r="AC404" s="77" t="n">
        <f aca="false">IFERROR(AC400/AC401,"n/a")</f>
        <v>0.0835229158371709</v>
      </c>
      <c r="AD404" s="70"/>
      <c r="AE404" s="70"/>
      <c r="AF404" s="70"/>
      <c r="AG404" s="70"/>
      <c r="AH404" s="77" t="n">
        <f aca="false">IFERROR(AH400/AH401,"n/a")</f>
        <v>0.130740834169476</v>
      </c>
      <c r="AI404" s="70"/>
      <c r="AJ404" s="70"/>
      <c r="AK404" s="70"/>
      <c r="AL404" s="70"/>
      <c r="AM404" s="77" t="n">
        <f aca="false">IFERROR(AM400/AM401,"n/a")</f>
        <v>0.0777092734611203</v>
      </c>
      <c r="AN404" s="70"/>
      <c r="AO404" s="70"/>
      <c r="AP404" s="70"/>
      <c r="AQ404" s="70"/>
      <c r="AR404" s="77" t="n">
        <f aca="false">IFERROR(AR400/AR401,"n/a")</f>
        <v>0.0884938792533236</v>
      </c>
      <c r="AS404" s="70"/>
      <c r="AT404" s="70"/>
      <c r="AU404" s="70"/>
      <c r="AV404" s="70"/>
      <c r="AW404" s="77" t="n">
        <f aca="false">IFERROR(AW400/AW401,"n/a")</f>
        <v>0.0982189587023646</v>
      </c>
      <c r="AX404" s="70"/>
      <c r="AY404" s="70"/>
      <c r="AZ404" s="70"/>
      <c r="BA404" s="70"/>
      <c r="BB404" s="77" t="n">
        <f aca="false">IFERROR(BB400/BB401,"n/a")</f>
        <v>0.0783411996602158</v>
      </c>
      <c r="BC404" s="70"/>
      <c r="BD404" s="70"/>
      <c r="BE404" s="70"/>
      <c r="BF404" s="70"/>
      <c r="BG404" s="77" t="n">
        <f aca="false">IFERROR(BG400/BG401,"n/a")</f>
        <v>0.0776453772068504</v>
      </c>
      <c r="BH404" s="70"/>
      <c r="BI404" s="70"/>
      <c r="BJ404" s="70"/>
      <c r="BK404" s="70"/>
      <c r="BL404" s="77" t="n">
        <f aca="false">IFERROR(BL400/BL401,"n/a")</f>
        <v>0.117464050685707</v>
      </c>
      <c r="BM404" s="70"/>
      <c r="BN404" s="70"/>
      <c r="BO404" s="70"/>
      <c r="BP404" s="70"/>
      <c r="BQ404" s="77" t="n">
        <f aca="false">IFERROR(BQ400/BQ401,"n/a")</f>
        <v>0.081333230459273</v>
      </c>
      <c r="BR404" s="70"/>
      <c r="BS404" s="70"/>
      <c r="BT404" s="70"/>
      <c r="BU404" s="70"/>
      <c r="BV404" s="77" t="n">
        <f aca="false">IFERROR(BV400/BV401,"n/a")</f>
        <v>0.0783738425246752</v>
      </c>
      <c r="BW404" s="70"/>
      <c r="BX404" s="70"/>
      <c r="BY404" s="70"/>
      <c r="BZ404" s="70"/>
      <c r="CA404" s="77" t="n">
        <f aca="false">IFERROR(CA400/CA401,"n/a")</f>
        <v>0.044428422505676</v>
      </c>
      <c r="CB404" s="77" t="n">
        <f aca="false">IFERROR(CB400/CB401,"n/a")</f>
        <v>0.0582287543420952</v>
      </c>
      <c r="CC404" s="77" t="n">
        <f aca="false">IFERROR(CC400/CC401,"n/a")</f>
        <v>0.0663548242686725</v>
      </c>
      <c r="CD404" s="77" t="n">
        <f aca="false">IFERROR(CD400/CD401,"n/a")</f>
        <v>0.0731053283932913</v>
      </c>
      <c r="CE404" s="77" t="n">
        <f aca="false">IFERROR(CE400/CE401,"n/a")</f>
        <v>0.0792501198356622</v>
      </c>
      <c r="CF404" s="6"/>
      <c r="CH404" s="39" t="n">
        <f aca="false">IFERROR(AVERAGE(CA404,CB404,CC404,CD404,CE404),"n/m")</f>
        <v>0.0642734898690795</v>
      </c>
      <c r="CI404" s="39" t="n">
        <f aca="false">IFERROR(AVERAGE(BB404,BG404,BL404,BQ404,BV404),"n/m")</f>
        <v>0.0866315401073444</v>
      </c>
      <c r="CJ404" s="39" t="n">
        <f aca="false">IFERROR(AVERAGE(AC404,AH404,AM404,AR404,AW404,BB404,BG404,BL404,BQ404,BV404),"n/m")</f>
        <v>0.0911843561960178</v>
      </c>
      <c r="CK404" s="39" t="n">
        <f aca="false">IFERROR(AVERAGE(C404,D404,E404,F404,G404,H404,I404,N404,S404,X404,AC404,AH404,AM404,AR404,AW404,BB404,BG404,BL404,BQ404,BV404),"n/m")</f>
        <v>0.0842863699316209</v>
      </c>
    </row>
    <row r="405" customFormat="false" ht="15" hidden="false" customHeight="true" outlineLevel="0" collapsed="false">
      <c r="B405" s="26" t="s">
        <v>614</v>
      </c>
      <c r="C405" s="38" t="n">
        <f aca="false">IFERROR(C398/C152,"n/a")</f>
        <v>0.178376994198695</v>
      </c>
      <c r="D405" s="38" t="n">
        <f aca="false">IFERROR(D398/D152,"n/a")</f>
        <v>0.199475329618051</v>
      </c>
      <c r="E405" s="38" t="n">
        <f aca="false">IFERROR(E398/E152,"n/a")</f>
        <v>0.154035658695345</v>
      </c>
      <c r="F405" s="38" t="n">
        <f aca="false">IFERROR(F398/F152,"n/a")</f>
        <v>0.109479619405615</v>
      </c>
      <c r="G405" s="38" t="n">
        <f aca="false">IFERROR(G398/G152,"n/a")</f>
        <v>0.109260194065848</v>
      </c>
      <c r="H405" s="38" t="n">
        <f aca="false">IFERROR(H398/H152,"n/a")</f>
        <v>0.0957465429721687</v>
      </c>
      <c r="I405" s="38" t="n">
        <f aca="false">IFERROR(I398/I152,"n/a")</f>
        <v>0.0757754220651747</v>
      </c>
      <c r="N405" s="38" t="n">
        <f aca="false">IFERROR(N398/N152,"n/a")</f>
        <v>0.101275806077476</v>
      </c>
      <c r="S405" s="38" t="n">
        <f aca="false">IFERROR(S398/S152,"n/a")</f>
        <v>0.106997971602434</v>
      </c>
      <c r="X405" s="38" t="n">
        <f aca="false">IFERROR(X398/X152,"n/a")</f>
        <v>0.142954006102384</v>
      </c>
      <c r="AC405" s="38" t="n">
        <f aca="false">IFERROR(AC398/AC152,"n/a")</f>
        <v>0.180344610872525</v>
      </c>
      <c r="AH405" s="38" t="n">
        <f aca="false">IFERROR(AH398/AH152,"n/a")</f>
        <v>0.179140609239459</v>
      </c>
      <c r="AM405" s="38" t="n">
        <f aca="false">IFERROR(AM398/AM152,"n/a")</f>
        <v>0.179950827764053</v>
      </c>
      <c r="AR405" s="38" t="n">
        <f aca="false">IFERROR(AR398/AR152,"n/a")</f>
        <v>0.185085853890339</v>
      </c>
      <c r="AW405" s="38" t="n">
        <f aca="false">IFERROR(AW398/AW152,"n/a")</f>
        <v>0.212858622803865</v>
      </c>
      <c r="BB405" s="38" t="n">
        <f aca="false">IFERROR(BB398/BB152,"n/a")</f>
        <v>0.200591060214259</v>
      </c>
      <c r="BG405" s="38" t="n">
        <f aca="false">IFERROR(BG398/BG152,"n/a")</f>
        <v>0.179151719772104</v>
      </c>
      <c r="BL405" s="38" t="n">
        <f aca="false">IFERROR(BL398/BL152,"n/a")</f>
        <v>0.239464675677271</v>
      </c>
      <c r="BQ405" s="38" t="n">
        <f aca="false">IFERROR(BQ398/BQ152,"n/a")</f>
        <v>0.229804161566707</v>
      </c>
      <c r="BV405" s="38" t="n">
        <f aca="false">IFERROR(BV398/BV152,"n/a")</f>
        <v>0.24130081300813</v>
      </c>
      <c r="BY405" s="6"/>
      <c r="BZ405" s="6"/>
      <c r="CA405" s="25" t="n">
        <f aca="false">IFERROR(CA398/CA152,"n/a")</f>
        <v>0.218623430417995</v>
      </c>
      <c r="CB405" s="25" t="n">
        <f aca="false">IFERROR(CB398/CB152,"n/a")</f>
        <v>0.230394060079137</v>
      </c>
      <c r="CC405" s="25" t="n">
        <f aca="false">IFERROR(CC398/CC152,"n/a")</f>
        <v>0.244883097331045</v>
      </c>
      <c r="CD405" s="25" t="n">
        <f aca="false">IFERROR(CD398/CD152,"n/a")</f>
        <v>0.252837877684058</v>
      </c>
      <c r="CE405" s="25" t="n">
        <f aca="false">IFERROR(CE398/CE152,"n/a")</f>
        <v>0.256317429173793</v>
      </c>
      <c r="CF405" s="6"/>
    </row>
    <row r="406" customFormat="false" ht="15" hidden="false" customHeight="true" outlineLevel="0" collapsed="false">
      <c r="B406" s="26" t="s">
        <v>615</v>
      </c>
      <c r="C406" s="71" t="n">
        <f aca="false">IFERROR(C152/C401,"n/a")</f>
        <v>1.14501954898768</v>
      </c>
      <c r="D406" s="71" t="n">
        <f aca="false">IFERROR(D152/D401,"n/a")</f>
        <v>1.07648973918133</v>
      </c>
      <c r="E406" s="71" t="n">
        <f aca="false">IFERROR(E152/E401,"n/a")</f>
        <v>0.88915077524419</v>
      </c>
      <c r="F406" s="71" t="n">
        <f aca="false">IFERROR(F152/F401,"n/a")</f>
        <v>0.711661067759112</v>
      </c>
      <c r="G406" s="71" t="n">
        <f aca="false">IFERROR(G152/G401,"n/a")</f>
        <v>0.734097941487095</v>
      </c>
      <c r="H406" s="71" t="n">
        <f aca="false">IFERROR(H152/H401,"n/a")</f>
        <v>0.690274297341121</v>
      </c>
      <c r="I406" s="71" t="n">
        <f aca="false">IFERROR(I152/I401,"n/a")</f>
        <v>0.824017172686112</v>
      </c>
      <c r="N406" s="71" t="n">
        <f aca="false">IFERROR(N152/N401,"n/a")</f>
        <v>0.840874415766854</v>
      </c>
      <c r="S406" s="71" t="n">
        <f aca="false">IFERROR(S152/S401,"n/a")</f>
        <v>0.50741985751074</v>
      </c>
      <c r="X406" s="71" t="n">
        <f aca="false">IFERROR(X152/X401,"n/a")</f>
        <v>0.64772521196641</v>
      </c>
      <c r="AC406" s="71" t="n">
        <f aca="false">IFERROR(AC152/AC401,"n/a")</f>
        <v>0.660835984862447</v>
      </c>
      <c r="AH406" s="71" t="n">
        <f aca="false">IFERROR(AH152/AH401,"n/a")</f>
        <v>0.63314704223769</v>
      </c>
      <c r="AM406" s="71" t="n">
        <f aca="false">IFERROR(AM152/AM401,"n/a")</f>
        <v>0.528880307927688</v>
      </c>
      <c r="AR406" s="71" t="n">
        <f aca="false">IFERROR(AR152/AR401,"n/a")</f>
        <v>0.584647972464501</v>
      </c>
      <c r="AW406" s="71" t="n">
        <f aca="false">IFERROR(AW152/AW401,"n/a")</f>
        <v>0.569058447027118</v>
      </c>
      <c r="BB406" s="71" t="n">
        <f aca="false">IFERROR(BB152/BB401,"n/a")</f>
        <v>0.475746924428823</v>
      </c>
      <c r="BG406" s="71" t="n">
        <f aca="false">IFERROR(BG152/BG401,"n/a")</f>
        <v>0.552246833457336</v>
      </c>
      <c r="BL406" s="71" t="n">
        <f aca="false">IFERROR(BL152/BL401,"n/a")</f>
        <v>0.610063912143307</v>
      </c>
      <c r="BQ406" s="71" t="n">
        <f aca="false">IFERROR(BQ152/BQ401,"n/a")</f>
        <v>0.460314106627227</v>
      </c>
      <c r="BV406" s="71" t="n">
        <f aca="false">IFERROR(BV152/BV401,"n/a")</f>
        <v>0.402223675604971</v>
      </c>
      <c r="BY406" s="6"/>
      <c r="BZ406" s="6"/>
      <c r="CA406" s="72" t="n">
        <f aca="false">IFERROR(CA152/CA401,"n/a")</f>
        <v>0.26038847154807</v>
      </c>
      <c r="CB406" s="72" t="n">
        <f aca="false">IFERROR(CB152/CB401,"n/a")</f>
        <v>0.324019851600732</v>
      </c>
      <c r="CC406" s="72" t="n">
        <f aca="false">IFERROR(CC152/CC401,"n/a")</f>
        <v>0.347391422483263</v>
      </c>
      <c r="CD406" s="72" t="n">
        <f aca="false">IFERROR(CD152/CD401,"n/a")</f>
        <v>0.370691214662528</v>
      </c>
      <c r="CE406" s="72" t="n">
        <f aca="false">IFERROR(CE152/CE401,"n/a")</f>
        <v>0.396394104238374</v>
      </c>
      <c r="CF406" s="6"/>
    </row>
    <row r="407" customFormat="false" ht="15" hidden="false" customHeight="true" outlineLevel="0" collapsed="false">
      <c r="B407" s="26" t="s">
        <v>616</v>
      </c>
      <c r="C407" s="38" t="n">
        <f aca="false">IFERROR(1-C399,"n/a")</f>
        <v>0.695776255707763</v>
      </c>
      <c r="D407" s="38" t="n">
        <f aca="false">IFERROR(1-D399,"n/a")</f>
        <v>0.693343898573693</v>
      </c>
      <c r="E407" s="38" t="n">
        <f aca="false">IFERROR(1-E399,"n/a")</f>
        <v>0.704891080969996</v>
      </c>
      <c r="F407" s="38" t="n">
        <f aca="false">IFERROR(1-F399,"n/a")</f>
        <v>0.762359063313096</v>
      </c>
      <c r="G407" s="38" t="n">
        <f aca="false">IFERROR(1-G399,"n/a")</f>
        <v>0.77133907595928</v>
      </c>
      <c r="H407" s="38" t="n">
        <f aca="false">IFERROR(1-H399,"n/a")</f>
        <v>0.791252485089463</v>
      </c>
      <c r="I407" s="38" t="n">
        <f aca="false">IFERROR(1-I399,"n/a")</f>
        <v>0.835762876579203</v>
      </c>
      <c r="N407" s="38" t="n">
        <f aca="false">IFERROR(1-N399,"n/a")</f>
        <v>0.732034104750305</v>
      </c>
      <c r="S407" s="38" t="n">
        <f aca="false">IFERROR(1-S399,"n/a")</f>
        <v>0.619181380417336</v>
      </c>
      <c r="X407" s="38" t="n">
        <f aca="false">IFERROR(1-X399,"n/a")</f>
        <v>0.698163363943934</v>
      </c>
      <c r="AC407" s="38" t="n">
        <f aca="false">IFERROR(1-AC399,"n/a")</f>
        <v>0.700823723228995</v>
      </c>
      <c r="AH407" s="38" t="n">
        <f aca="false">IFERROR(1-AH399,"n/a")</f>
        <v>1.15269025690742</v>
      </c>
      <c r="AM407" s="38" t="n">
        <f aca="false">IFERROR(1-AM399,"n/a")</f>
        <v>0.816510178256183</v>
      </c>
      <c r="AR407" s="38" t="n">
        <f aca="false">IFERROR(1-AR399,"n/a")</f>
        <v>0.817797085801031</v>
      </c>
      <c r="AW407" s="38" t="n">
        <f aca="false">IFERROR(1-AW399,"n/a")</f>
        <v>0.810862476104801</v>
      </c>
      <c r="BB407" s="38" t="n">
        <f aca="false">IFERROR(1-BB399,"n/a")</f>
        <v>0.820923436586792</v>
      </c>
      <c r="BG407" s="38" t="n">
        <f aca="false">IFERROR(1-BG399,"n/a")</f>
        <v>0.784804325909632</v>
      </c>
      <c r="BL407" s="38" t="n">
        <f aca="false">IFERROR(1-BL399,"n/a")</f>
        <v>0.804059485530547</v>
      </c>
      <c r="BQ407" s="38" t="n">
        <f aca="false">IFERROR(1-BQ399,"n/a")</f>
        <v>0.768875192604006</v>
      </c>
      <c r="BV407" s="38" t="n">
        <f aca="false">IFERROR(1-BV399,"n/a")</f>
        <v>0.807504078303426</v>
      </c>
      <c r="BY407" s="6"/>
      <c r="BZ407" s="6"/>
      <c r="CA407" s="25" t="n">
        <f aca="false">IFERROR(1-CA399,"n/a")</f>
        <v>0.780445240418204</v>
      </c>
      <c r="CB407" s="25" t="n">
        <f aca="false">IFERROR(1-CB399,"n/a")</f>
        <v>0.78</v>
      </c>
      <c r="CC407" s="25" t="n">
        <f aca="false">IFERROR(1-CC399,"n/a")</f>
        <v>0.78</v>
      </c>
      <c r="CD407" s="25" t="n">
        <f aca="false">IFERROR(1-CD399,"n/a")</f>
        <v>0.78</v>
      </c>
      <c r="CE407" s="25" t="n">
        <f aca="false">IFERROR(1-CE399,"n/a")</f>
        <v>0.78</v>
      </c>
      <c r="CF407" s="6"/>
    </row>
    <row r="408" customFormat="false" ht="15" hidden="false" customHeight="true" outlineLevel="0" collapsed="false">
      <c r="B408" s="61" t="s">
        <v>617</v>
      </c>
      <c r="C408" s="38" t="n">
        <f aca="false">IFERROR(C405*C406*C407,"n/a")</f>
        <v>0.142108922545717</v>
      </c>
      <c r="D408" s="38" t="n">
        <f aca="false">IFERROR(D405*D406*D407,"n/a")</f>
        <v>0.148883916291157</v>
      </c>
      <c r="E408" s="38" t="n">
        <f aca="false">IFERROR(E405*E406*E407,"n/a")</f>
        <v>0.0965425347165347</v>
      </c>
      <c r="F408" s="38" t="n">
        <f aca="false">IFERROR(F405*F406*F407,"n/a")</f>
        <v>0.0593972112054898</v>
      </c>
      <c r="G408" s="38" t="n">
        <f aca="false">IFERROR(G405*G406*G407,"n/a")</f>
        <v>0.0618673205144605</v>
      </c>
      <c r="H408" s="38" t="n">
        <f aca="false">IFERROR(H405*H406*H407,"n/a")</f>
        <v>0.0522949668267121</v>
      </c>
      <c r="I408" s="38" t="n">
        <f aca="false">IFERROR(I405*I406*I407,"n/a")</f>
        <v>0.0521852421597164</v>
      </c>
      <c r="N408" s="38" t="n">
        <f aca="false">IFERROR(N405*N406*N407,"n/a")</f>
        <v>0.0623401958517609</v>
      </c>
      <c r="S408" s="38" t="n">
        <f aca="false">IFERROR(S405*S406*S407,"n/a")</f>
        <v>0.0336171499852966</v>
      </c>
      <c r="X408" s="38" t="n">
        <f aca="false">IFERROR(X405*X406*X407,"n/a")</f>
        <v>0.0646463765753955</v>
      </c>
      <c r="AC408" s="38" t="n">
        <f aca="false">IFERROR(AC405*AC406*AC407,"n/a")</f>
        <v>0.0835229158371709</v>
      </c>
      <c r="AH408" s="38" t="n">
        <f aca="false">IFERROR(AH405*AH406*AH407,"n/a")</f>
        <v>0.130740834169476</v>
      </c>
      <c r="AM408" s="38" t="n">
        <f aca="false">IFERROR(AM405*AM406*AM407,"n/a")</f>
        <v>0.0777092734611203</v>
      </c>
      <c r="AR408" s="38" t="n">
        <f aca="false">IFERROR(AR405*AR406*AR407,"n/a")</f>
        <v>0.0884938792533236</v>
      </c>
      <c r="AW408" s="38" t="n">
        <f aca="false">IFERROR(AW405*AW406*AW407,"n/a")</f>
        <v>0.0982189587023646</v>
      </c>
      <c r="BB408" s="38" t="n">
        <f aca="false">IFERROR(BB405*BB406*BB407,"n/a")</f>
        <v>0.0783411996602158</v>
      </c>
      <c r="BG408" s="38" t="n">
        <f aca="false">IFERROR(BG405*BG406*BG407,"n/a")</f>
        <v>0.0776453772068504</v>
      </c>
      <c r="BL408" s="38" t="n">
        <f aca="false">IFERROR(BL405*BL406*BL407,"n/a")</f>
        <v>0.117464050685707</v>
      </c>
      <c r="BQ408" s="38" t="n">
        <f aca="false">IFERROR(BQ405*BQ406*BQ407,"n/a")</f>
        <v>0.081333230459273</v>
      </c>
      <c r="BV408" s="38" t="n">
        <f aca="false">IFERROR(BV405*BV406*BV407,"n/a")</f>
        <v>0.0783738425246752</v>
      </c>
      <c r="BY408" s="6"/>
      <c r="BZ408" s="6"/>
      <c r="CA408" s="25" t="n">
        <f aca="false">IFERROR(CA405*CA406*CA407,"n/a")</f>
        <v>0.044428422505676</v>
      </c>
      <c r="CB408" s="25" t="n">
        <f aca="false">IFERROR(CB405*CB406*CB407,"n/a")</f>
        <v>0.0582287543420952</v>
      </c>
      <c r="CC408" s="25" t="n">
        <f aca="false">IFERROR(CC405*CC406*CC407,"n/a")</f>
        <v>0.0663548242686725</v>
      </c>
      <c r="CD408" s="25" t="n">
        <f aca="false">IFERROR(CD405*CD406*CD407,"n/a")</f>
        <v>0.0731053283932913</v>
      </c>
      <c r="CE408" s="25" t="n">
        <f aca="false">IFERROR(CE405*CE406*CE407,"n/a")</f>
        <v>0.0792501198356622</v>
      </c>
      <c r="CF408" s="6"/>
    </row>
    <row r="409" customFormat="false" ht="15" hidden="false" customHeight="true" outlineLevel="0" collapsed="false">
      <c r="B409" s="15" t="s">
        <v>618</v>
      </c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6"/>
    </row>
    <row r="410" customFormat="false" ht="15" hidden="false" customHeight="true" outlineLevel="0" collapsed="false">
      <c r="B410" s="26" t="s">
        <v>609</v>
      </c>
      <c r="C410" s="47" t="n">
        <f aca="false">C400</f>
        <v>273.83735673516</v>
      </c>
      <c r="D410" s="47" t="n">
        <f aca="false">D400</f>
        <v>305.252971473851</v>
      </c>
      <c r="E410" s="47" t="n">
        <f aca="false">E400</f>
        <v>230.196985203452</v>
      </c>
      <c r="F410" s="47" t="n">
        <f aca="false">F400</f>
        <v>142.103729401561</v>
      </c>
      <c r="G410" s="47" t="n">
        <f aca="false">G400</f>
        <v>150.256851996868</v>
      </c>
      <c r="H410" s="47" t="n">
        <f aca="false">H400</f>
        <v>129.844532803181</v>
      </c>
      <c r="I410" s="47" t="n">
        <f aca="false">I400</f>
        <v>129.041788143829</v>
      </c>
      <c r="N410" s="47" t="n">
        <f aca="false">N400</f>
        <v>159.803045066992</v>
      </c>
      <c r="S410" s="47" t="n">
        <f aca="false">S400</f>
        <v>195.970906902087</v>
      </c>
      <c r="X410" s="47" t="n">
        <f aca="false">X400</f>
        <v>353.270662155631</v>
      </c>
      <c r="AC410" s="47" t="n">
        <f aca="false">AC400</f>
        <v>482.657298187809</v>
      </c>
      <c r="AH410" s="47" t="n">
        <f aca="false">AH400</f>
        <v>818.871158507029</v>
      </c>
      <c r="AM410" s="47" t="n">
        <f aca="false">AM400</f>
        <v>623.616997234764</v>
      </c>
      <c r="AR410" s="47" t="n">
        <f aca="false">AR400</f>
        <v>717.322535839516</v>
      </c>
      <c r="AW410" s="47" t="n">
        <f aca="false">AW400</f>
        <v>816.376340942314</v>
      </c>
      <c r="BB410" s="47" t="n">
        <f aca="false">BB400</f>
        <v>891.522852133256</v>
      </c>
      <c r="BG410" s="47" t="n">
        <f aca="false">BG400</f>
        <v>866.188534506462</v>
      </c>
      <c r="BL410" s="47" t="n">
        <f aca="false">BL400</f>
        <v>1304.90813906752</v>
      </c>
      <c r="BQ410" s="47" t="n">
        <f aca="false">BQ400</f>
        <v>1154.85053929122</v>
      </c>
      <c r="BV410" s="47" t="n">
        <f aca="false">BV400</f>
        <v>1198.33605220228</v>
      </c>
      <c r="BY410" s="6"/>
      <c r="BZ410" s="6"/>
      <c r="CA410" s="37" t="n">
        <f aca="false">CA400</f>
        <v>1359.7778590741</v>
      </c>
      <c r="CB410" s="37" t="n">
        <f aca="false">CB400</f>
        <v>1764.15470187763</v>
      </c>
      <c r="CC410" s="37" t="n">
        <f aca="false">CC400</f>
        <v>2025.16907454707</v>
      </c>
      <c r="CD410" s="37" t="n">
        <f aca="false">CD400</f>
        <v>2266.69923967095</v>
      </c>
      <c r="CE410" s="37" t="n">
        <f aca="false">CE400</f>
        <v>2496.25033353576</v>
      </c>
      <c r="CF410" s="6"/>
    </row>
    <row r="411" customFormat="false" ht="15" hidden="false" customHeight="true" outlineLevel="0" collapsed="false">
      <c r="B411" s="26" t="s">
        <v>619</v>
      </c>
      <c r="C411" s="47" t="n">
        <f aca="false">C305</f>
        <v>2506.421</v>
      </c>
      <c r="D411" s="47" t="n">
        <f aca="false">D305</f>
        <v>2683.805</v>
      </c>
      <c r="E411" s="47" t="n">
        <f aca="false">E305</f>
        <v>3032.502</v>
      </c>
      <c r="F411" s="47" t="n">
        <f aca="false">F305</f>
        <v>3239.283</v>
      </c>
      <c r="G411" s="47" t="n">
        <f aca="false">G305</f>
        <v>3074.743</v>
      </c>
      <c r="H411" s="47" t="n">
        <f aca="false">H305</f>
        <v>3147.822</v>
      </c>
      <c r="I411" s="47" t="n">
        <f aca="false">I305</f>
        <v>3160.926</v>
      </c>
      <c r="N411" s="47" t="n">
        <f aca="false">N305</f>
        <v>3259.826</v>
      </c>
      <c r="S411" s="47" t="n">
        <f aca="false">S305</f>
        <v>7464.392</v>
      </c>
      <c r="X411" s="47" t="n">
        <f aca="false">X305</f>
        <v>6961.732</v>
      </c>
      <c r="AC411" s="47" t="n">
        <f aca="false">AC305</f>
        <v>7300.905</v>
      </c>
      <c r="AH411" s="47" t="n">
        <f aca="false">AH305</f>
        <v>8992.511</v>
      </c>
      <c r="AM411" s="47" t="n">
        <f aca="false">AM305</f>
        <v>9551.419</v>
      </c>
      <c r="AR411" s="47" t="n">
        <f aca="false">AR305</f>
        <v>10131.6</v>
      </c>
      <c r="AW411" s="47" t="n">
        <f aca="false">AW305</f>
        <v>10580.8</v>
      </c>
      <c r="BB411" s="47" t="n">
        <f aca="false">BB305</f>
        <v>14393</v>
      </c>
      <c r="BG411" s="47" t="n">
        <f aca="false">BG305</f>
        <v>14993.6</v>
      </c>
      <c r="BL411" s="47" t="n">
        <f aca="false">BL305</f>
        <v>15124.9</v>
      </c>
      <c r="BQ411" s="47" t="n">
        <f aca="false">BQ305</f>
        <v>18170</v>
      </c>
      <c r="BV411" s="47" t="n">
        <f aca="false">BV305</f>
        <v>18711</v>
      </c>
      <c r="BY411" s="6"/>
      <c r="BZ411" s="6"/>
      <c r="CA411" s="37" t="n">
        <f aca="false">CA305</f>
        <v>37179.7399093491</v>
      </c>
      <c r="CB411" s="37" t="n">
        <f aca="false">CB305</f>
        <v>36807.4878608277</v>
      </c>
      <c r="CC411" s="37" t="n">
        <f aca="false">CC305</f>
        <v>37941.1462337869</v>
      </c>
      <c r="CD411" s="37" t="n">
        <f aca="false">CD305</f>
        <v>38174.2545667825</v>
      </c>
      <c r="CE411" s="37" t="n">
        <f aca="false">CE305</f>
        <v>37921.325274274</v>
      </c>
      <c r="CF411" s="6"/>
    </row>
    <row r="412" customFormat="false" ht="15" hidden="false" customHeight="true" outlineLevel="0" collapsed="false">
      <c r="B412" s="26" t="s">
        <v>620</v>
      </c>
      <c r="C412" s="47" t="n">
        <f aca="false">-(C301+C302)</f>
        <v>-581.486</v>
      </c>
      <c r="D412" s="47" t="n">
        <f aca="false">-(D301+D302)</f>
        <v>-584.093</v>
      </c>
      <c r="E412" s="47" t="n">
        <f aca="false">-(E301+E302)</f>
        <v>-636.187</v>
      </c>
      <c r="F412" s="47" t="n">
        <f aca="false">-(F301+F302)</f>
        <v>-636.693</v>
      </c>
      <c r="G412" s="47" t="n">
        <f aca="false">-(G301+G302)</f>
        <v>-644.075</v>
      </c>
      <c r="H412" s="47" t="n">
        <f aca="false">-(H301+H302)</f>
        <v>-670.804</v>
      </c>
      <c r="I412" s="47" t="n">
        <f aca="false">-(I301+I302)</f>
        <v>-666.637</v>
      </c>
      <c r="N412" s="47" t="n">
        <f aca="false">-(N301+N302)</f>
        <v>-665.212</v>
      </c>
      <c r="S412" s="47" t="n">
        <f aca="false">-(S301+S302)</f>
        <v>-2164.517</v>
      </c>
      <c r="X412" s="47" t="n">
        <f aca="false">-(X301+X302)</f>
        <v>-2134.062</v>
      </c>
      <c r="AC412" s="47" t="n">
        <f aca="false">-(AC301+AC302)</f>
        <v>-2228.447</v>
      </c>
      <c r="AH412" s="47" t="n">
        <f aca="false">-(AH301+AH302)</f>
        <v>-2227.523</v>
      </c>
      <c r="AM412" s="47" t="n">
        <f aca="false">-(AM301+AM302)</f>
        <v>-2900.4</v>
      </c>
      <c r="AR412" s="47" t="n">
        <f aca="false">-(AR301+AR302)</f>
        <v>-2883.6</v>
      </c>
      <c r="AW412" s="47" t="n">
        <f aca="false">-(AW301+AW302)</f>
        <v>-2922</v>
      </c>
      <c r="BB412" s="47" t="n">
        <f aca="false">-(BB301+BB302)</f>
        <v>-4559.4</v>
      </c>
      <c r="BG412" s="47" t="n">
        <f aca="false">-(BG301+BG302)</f>
        <v>-4497.3</v>
      </c>
      <c r="BL412" s="47" t="n">
        <f aca="false">-(BL301+BL302)</f>
        <v>-4087.2</v>
      </c>
      <c r="BQ412" s="47" t="n">
        <f aca="false">-(BQ301+BQ302)</f>
        <v>-4497</v>
      </c>
      <c r="BV412" s="47" t="n">
        <f aca="false">-(BV301+BV302)</f>
        <v>-4073</v>
      </c>
      <c r="BY412" s="6"/>
      <c r="BZ412" s="6"/>
      <c r="CA412" s="37" t="n">
        <f aca="false">-(CA301+CA302)</f>
        <v>-16278.5</v>
      </c>
      <c r="CB412" s="37" t="n">
        <f aca="false">-(CB301+CB302)</f>
        <v>-15888.5</v>
      </c>
      <c r="CC412" s="37" t="n">
        <f aca="false">-(CC301+CC302)</f>
        <v>-15721.8333333333</v>
      </c>
      <c r="CD412" s="37" t="n">
        <f aca="false">-(CD301+CD302)</f>
        <v>-15663.5</v>
      </c>
      <c r="CE412" s="37" t="n">
        <f aca="false">-(CE301+CE302)</f>
        <v>-15600.1666666667</v>
      </c>
      <c r="CF412" s="6"/>
    </row>
    <row r="413" customFormat="false" ht="15" hidden="false" customHeight="true" outlineLevel="0" collapsed="false">
      <c r="B413" s="26" t="s">
        <v>621</v>
      </c>
      <c r="C413" s="47" t="n">
        <f aca="false">-(C312-N(C309))</f>
        <v>-189.116</v>
      </c>
      <c r="D413" s="47" t="n">
        <f aca="false">-(D312-N(D309))</f>
        <v>-230.48</v>
      </c>
      <c r="E413" s="47" t="n">
        <f aca="false">-(E312-N(E309))</f>
        <v>-146.109</v>
      </c>
      <c r="F413" s="47" t="n">
        <f aca="false">-(F312-N(F309))</f>
        <v>-147.434</v>
      </c>
      <c r="G413" s="47" t="n">
        <f aca="false">-(G312-N(G309))</f>
        <v>-136.779</v>
      </c>
      <c r="H413" s="47" t="n">
        <f aca="false">-(H312-N(H309))</f>
        <v>-166.53</v>
      </c>
      <c r="I413" s="47" t="n">
        <f aca="false">-(I312-N(I309))</f>
        <v>-167.659</v>
      </c>
      <c r="N413" s="47" t="n">
        <f aca="false">-(N312-N(N309))</f>
        <v>-198.146</v>
      </c>
      <c r="S413" s="47" t="n">
        <f aca="false">-(S312-N(S309))</f>
        <v>-382.312</v>
      </c>
      <c r="X413" s="47" t="n">
        <f aca="false">-(X312-N(X309))</f>
        <v>-347.945</v>
      </c>
      <c r="AC413" s="47" t="n">
        <f aca="false">-(AC312-N(AC309))</f>
        <v>-366.552</v>
      </c>
      <c r="AH413" s="47" t="n">
        <f aca="false">-(AH312-N(AH309))</f>
        <v>-394.307</v>
      </c>
      <c r="AM413" s="47" t="n">
        <f aca="false">-(AM312-N(AM309))</f>
        <v>-396.708</v>
      </c>
      <c r="AR413" s="47" t="n">
        <f aca="false">-(AR312-N(AR309))</f>
        <v>-498.5</v>
      </c>
      <c r="AW413" s="47" t="n">
        <f aca="false">-(AW312-N(AW309))</f>
        <v>-499.3</v>
      </c>
      <c r="BB413" s="47" t="n">
        <f aca="false">-(BB312-N(BB309))</f>
        <v>-752.6</v>
      </c>
      <c r="BG413" s="47" t="n">
        <f aca="false">-(BG312-N(BG309))</f>
        <v>-1445.6</v>
      </c>
      <c r="BL413" s="47" t="n">
        <f aca="false">-(BL312-N(BL309))</f>
        <v>-770.6</v>
      </c>
      <c r="BQ413" s="47" t="n">
        <f aca="false">-(BQ312-N(BQ309))</f>
        <v>-891</v>
      </c>
      <c r="BV413" s="47" t="n">
        <f aca="false">-(BV312-N(BV309))</f>
        <v>-865</v>
      </c>
      <c r="BY413" s="6"/>
      <c r="BZ413" s="6"/>
      <c r="CA413" s="37" t="n">
        <f aca="false">-(CA312-N(CA309))</f>
        <v>-1300.42279972123</v>
      </c>
      <c r="CB413" s="37" t="n">
        <f aca="false">-(CB312-N(CB309))</f>
        <v>-1327.02794849377</v>
      </c>
      <c r="CC413" s="37" t="n">
        <f aca="false">-(CC312-N(CC309))</f>
        <v>-1375.24809256831</v>
      </c>
      <c r="CD413" s="37" t="n">
        <f aca="false">-(CD312-N(CD309))</f>
        <v>-1436.29073383642</v>
      </c>
      <c r="CE413" s="37" t="n">
        <f aca="false">-(CE312-N(CE309))</f>
        <v>-1508.82398207697</v>
      </c>
      <c r="CF413" s="6"/>
    </row>
    <row r="414" customFormat="false" ht="15" hidden="false" customHeight="true" outlineLevel="0" collapsed="false">
      <c r="B414" s="26" t="s">
        <v>622</v>
      </c>
      <c r="C414" s="47" t="n">
        <f aca="false">SUM(C411:C413)</f>
        <v>1735.819</v>
      </c>
      <c r="D414" s="47" t="n">
        <f aca="false">SUM(D411:D413)</f>
        <v>1869.232</v>
      </c>
      <c r="E414" s="47" t="n">
        <f aca="false">SUM(E411:E413)</f>
        <v>2250.206</v>
      </c>
      <c r="F414" s="47" t="n">
        <f aca="false">SUM(F411:F413)</f>
        <v>2455.156</v>
      </c>
      <c r="G414" s="47" t="n">
        <f aca="false">SUM(G411:G413)</f>
        <v>2293.889</v>
      </c>
      <c r="H414" s="47" t="n">
        <f aca="false">SUM(H411:H413)</f>
        <v>2310.488</v>
      </c>
      <c r="I414" s="47" t="n">
        <f aca="false">SUM(I411:I413)</f>
        <v>2326.63</v>
      </c>
      <c r="N414" s="47" t="n">
        <f aca="false">SUM(N411:N413)</f>
        <v>2396.468</v>
      </c>
      <c r="S414" s="47" t="n">
        <f aca="false">SUM(S411:S413)</f>
        <v>4917.563</v>
      </c>
      <c r="X414" s="47" t="n">
        <f aca="false">SUM(X411:X413)</f>
        <v>4479.725</v>
      </c>
      <c r="AC414" s="47" t="n">
        <f aca="false">SUM(AC411:AC413)</f>
        <v>4705.906</v>
      </c>
      <c r="AH414" s="47" t="n">
        <f aca="false">SUM(AH411:AH413)</f>
        <v>6370.681</v>
      </c>
      <c r="AM414" s="47" t="n">
        <f aca="false">SUM(AM411:AM413)</f>
        <v>6254.311</v>
      </c>
      <c r="AR414" s="47" t="n">
        <f aca="false">SUM(AR411:AR413)</f>
        <v>6749.5</v>
      </c>
      <c r="AW414" s="47" t="n">
        <f aca="false">SUM(AW411:AW413)</f>
        <v>7159.5</v>
      </c>
      <c r="BB414" s="47" t="n">
        <f aca="false">SUM(BB411:BB413)</f>
        <v>9081</v>
      </c>
      <c r="BG414" s="47" t="n">
        <f aca="false">SUM(BG411:BG413)</f>
        <v>9050.7</v>
      </c>
      <c r="BL414" s="47" t="n">
        <f aca="false">SUM(BL411:BL413)</f>
        <v>10267.1</v>
      </c>
      <c r="BQ414" s="47" t="n">
        <f aca="false">SUM(BQ411:BQ413)</f>
        <v>12782</v>
      </c>
      <c r="BV414" s="47" t="n">
        <f aca="false">SUM(BV411:BV413)</f>
        <v>13773</v>
      </c>
      <c r="BY414" s="6"/>
      <c r="BZ414" s="6"/>
      <c r="CA414" s="37" t="n">
        <f aca="false">SUM(CA411:CA413)</f>
        <v>19600.8171096278</v>
      </c>
      <c r="CB414" s="37" t="n">
        <f aca="false">SUM(CB411:CB413)</f>
        <v>19591.9599123339</v>
      </c>
      <c r="CC414" s="37" t="n">
        <f aca="false">SUM(CC411:CC413)</f>
        <v>20844.0648078852</v>
      </c>
      <c r="CD414" s="37" t="n">
        <f aca="false">SUM(CD411:CD413)</f>
        <v>21074.4638329461</v>
      </c>
      <c r="CE414" s="37" t="n">
        <f aca="false">SUM(CE411:CE413)</f>
        <v>20812.3346255304</v>
      </c>
      <c r="CF414" s="6"/>
    </row>
    <row r="415" customFormat="false" ht="15" hidden="false" customHeight="true" outlineLevel="0" collapsed="false">
      <c r="B415" s="59" t="s">
        <v>623</v>
      </c>
      <c r="C415" s="77" t="n">
        <f aca="false">IFERROR(C410/C414,"n/a")</f>
        <v>0.157756861017859</v>
      </c>
      <c r="D415" s="77" t="n">
        <f aca="false">IFERROR(D410/D414,"n/a")</f>
        <v>0.163303951287936</v>
      </c>
      <c r="E415" s="77" t="n">
        <f aca="false">IFERROR(E410/E414,"n/a")</f>
        <v>0.102300405031118</v>
      </c>
      <c r="F415" s="77" t="n">
        <f aca="false">IFERROR(F410/F414,"n/a")</f>
        <v>0.0578797149352469</v>
      </c>
      <c r="G415" s="77" t="n">
        <f aca="false">IFERROR(G410/G414,"n/a")</f>
        <v>0.0655031049875856</v>
      </c>
      <c r="H415" s="77" t="n">
        <f aca="false">IFERROR(H410/H414,"n/a")</f>
        <v>0.0561978823535032</v>
      </c>
      <c r="I415" s="77" t="n">
        <f aca="false">IFERROR(I410/I414,"n/a")</f>
        <v>0.0554629606528881</v>
      </c>
      <c r="J415" s="70"/>
      <c r="K415" s="70"/>
      <c r="L415" s="70"/>
      <c r="M415" s="70"/>
      <c r="N415" s="77" t="n">
        <f aca="false">IFERROR(N410/N414,"n/a")</f>
        <v>0.0666827368723436</v>
      </c>
      <c r="O415" s="70"/>
      <c r="P415" s="70"/>
      <c r="Q415" s="70"/>
      <c r="R415" s="70"/>
      <c r="S415" s="77" t="n">
        <f aca="false">IFERROR(S410/S414,"n/a")</f>
        <v>0.0398512244585554</v>
      </c>
      <c r="T415" s="70"/>
      <c r="U415" s="70"/>
      <c r="V415" s="70"/>
      <c r="W415" s="70"/>
      <c r="X415" s="77" t="n">
        <f aca="false">IFERROR(X410/X414,"n/a")</f>
        <v>0.0788598992473044</v>
      </c>
      <c r="Y415" s="70"/>
      <c r="Z415" s="70"/>
      <c r="AA415" s="70"/>
      <c r="AB415" s="70"/>
      <c r="AC415" s="77" t="n">
        <f aca="false">IFERROR(AC410/AC414,"n/a")</f>
        <v>0.102564160480003</v>
      </c>
      <c r="AD415" s="70"/>
      <c r="AE415" s="70"/>
      <c r="AF415" s="70"/>
      <c r="AG415" s="70"/>
      <c r="AH415" s="77" t="n">
        <f aca="false">IFERROR(AH410/AH414,"n/a")</f>
        <v>0.12853746067446</v>
      </c>
      <c r="AI415" s="70"/>
      <c r="AJ415" s="70"/>
      <c r="AK415" s="70"/>
      <c r="AL415" s="70"/>
      <c r="AM415" s="77" t="n">
        <f aca="false">IFERROR(AM410/AM414,"n/a")</f>
        <v>0.0997099436268462</v>
      </c>
      <c r="AN415" s="70"/>
      <c r="AO415" s="70"/>
      <c r="AP415" s="70"/>
      <c r="AQ415" s="70"/>
      <c r="AR415" s="77" t="n">
        <f aca="false">IFERROR(AR410/AR414,"n/a")</f>
        <v>0.106277877744946</v>
      </c>
      <c r="AS415" s="70"/>
      <c r="AT415" s="70"/>
      <c r="AU415" s="70"/>
      <c r="AV415" s="70"/>
      <c r="AW415" s="77" t="n">
        <f aca="false">IFERROR(AW410/AW414,"n/a")</f>
        <v>0.114027004810715</v>
      </c>
      <c r="AX415" s="70"/>
      <c r="AY415" s="70"/>
      <c r="AZ415" s="70"/>
      <c r="BA415" s="70"/>
      <c r="BB415" s="77" t="n">
        <f aca="false">IFERROR(BB410/BB414,"n/a")</f>
        <v>0.0981745239657808</v>
      </c>
      <c r="BC415" s="70"/>
      <c r="BD415" s="70"/>
      <c r="BE415" s="70"/>
      <c r="BF415" s="70"/>
      <c r="BG415" s="77" t="n">
        <f aca="false">IFERROR(BG410/BG414,"n/a")</f>
        <v>0.0957040377546998</v>
      </c>
      <c r="BH415" s="70"/>
      <c r="BI415" s="70"/>
      <c r="BJ415" s="70"/>
      <c r="BK415" s="70"/>
      <c r="BL415" s="77" t="n">
        <f aca="false">IFERROR(BL410/BL414,"n/a")</f>
        <v>0.12709607767213</v>
      </c>
      <c r="BM415" s="70"/>
      <c r="BN415" s="70"/>
      <c r="BO415" s="70"/>
      <c r="BP415" s="70"/>
      <c r="BQ415" s="77" t="n">
        <f aca="false">IFERROR(BQ410/BQ414,"n/a")</f>
        <v>0.0903497527218915</v>
      </c>
      <c r="BR415" s="70"/>
      <c r="BS415" s="70"/>
      <c r="BT415" s="70"/>
      <c r="BU415" s="70"/>
      <c r="BV415" s="77" t="n">
        <f aca="false">IFERROR(BV410/BV414,"n/a")</f>
        <v>0.0870061752851437</v>
      </c>
      <c r="BW415" s="70"/>
      <c r="BX415" s="70"/>
      <c r="BY415" s="70"/>
      <c r="BZ415" s="70"/>
      <c r="CA415" s="77" t="n">
        <f aca="false">IFERROR(CA410/CA414,"n/a")</f>
        <v>0.069373529249767</v>
      </c>
      <c r="CB415" s="77" t="n">
        <f aca="false">IFERROR(CB410/CB414,"n/a")</f>
        <v>0.0900448301125314</v>
      </c>
      <c r="CC415" s="77" t="n">
        <f aca="false">IFERROR(CC410/CC414,"n/a")</f>
        <v>0.0971580684100042</v>
      </c>
      <c r="CD415" s="77" t="n">
        <f aca="false">IFERROR(CD410/CD414,"n/a")</f>
        <v>0.107556674164463</v>
      </c>
      <c r="CE415" s="77" t="n">
        <f aca="false">IFERROR(CE410/CE414,"n/a")</f>
        <v>0.119940909006605</v>
      </c>
      <c r="CF415" s="6"/>
      <c r="CH415" s="39" t="n">
        <f aca="false">IFERROR(AVERAGE(CA415,CB415,CC415,CD415,CE415),"n/m")</f>
        <v>0.0968148021886742</v>
      </c>
      <c r="CI415" s="39" t="n">
        <f aca="false">IFERROR(AVERAGE(BB415,BG415,BL415,BQ415,BV415),"n/m")</f>
        <v>0.0996661134799291</v>
      </c>
      <c r="CJ415" s="39" t="n">
        <f aca="false">IFERROR(AVERAGE(AC415,AH415,AM415,AR415,AW415,BB415,BG415,BL415,BQ415,BV415),"n/m")</f>
        <v>0.104944701473662</v>
      </c>
      <c r="CK415" s="39" t="n">
        <f aca="false">IFERROR(AVERAGE(C415,D415,E415,F415,G415,H415,I415,N415,S415,X415,AC415,AH415,AM415,AR415,AW415,BB415,BG415,BL415,BQ415,BV415),"n/m")</f>
        <v>0.0946622877790478</v>
      </c>
    </row>
    <row r="416" customFormat="false" ht="15" hidden="false" customHeight="true" outlineLevel="0" collapsed="false">
      <c r="B416" s="15" t="s">
        <v>624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6"/>
    </row>
    <row r="417" customFormat="false" ht="15" hidden="false" customHeight="true" outlineLevel="0" collapsed="false">
      <c r="B417" s="26" t="s">
        <v>332</v>
      </c>
      <c r="C417" s="47" t="n">
        <f aca="false">C172</f>
        <v>245.4</v>
      </c>
      <c r="D417" s="47" t="n">
        <f aca="false">D172</f>
        <v>262.7</v>
      </c>
      <c r="E417" s="47" t="n">
        <f aca="false">E172</f>
        <v>176.3</v>
      </c>
      <c r="F417" s="47" t="n">
        <f aca="false">F172</f>
        <v>85.4999999999998</v>
      </c>
      <c r="G417" s="47" t="n">
        <f aca="false">G172</f>
        <v>97</v>
      </c>
      <c r="H417" s="47" t="n">
        <f aca="false">H172</f>
        <v>82.4</v>
      </c>
      <c r="I417" s="47" t="n">
        <f aca="false">I172</f>
        <v>84.4999999999999</v>
      </c>
      <c r="N417" s="47" t="n">
        <f aca="false">N172</f>
        <v>121.3</v>
      </c>
      <c r="S417" s="47" t="n">
        <f aca="false">S172</f>
        <v>155.6</v>
      </c>
      <c r="X417" s="47" t="n">
        <f aca="false">X172</f>
        <v>288.8</v>
      </c>
      <c r="AC417" s="47" t="n">
        <f aca="false">AC172</f>
        <v>425.4</v>
      </c>
      <c r="AH417" s="47" t="n">
        <f aca="false">AH172</f>
        <v>713.3</v>
      </c>
      <c r="AM417" s="47" t="n">
        <f aca="false">AM172</f>
        <v>469.998</v>
      </c>
      <c r="AR417" s="47" t="n">
        <f aca="false">AR172</f>
        <v>611.915</v>
      </c>
      <c r="AW417" s="47" t="n">
        <f aca="false">AW172</f>
        <v>721</v>
      </c>
      <c r="BB417" s="47" t="n">
        <f aca="false">BB172</f>
        <v>702.5</v>
      </c>
      <c r="BG417" s="47" t="n">
        <f aca="false">BG172</f>
        <v>866.8</v>
      </c>
      <c r="BL417" s="47" t="n">
        <f aca="false">BL172</f>
        <v>1168.9</v>
      </c>
      <c r="BQ417" s="47" t="n">
        <f aca="false">BQ172</f>
        <v>1995</v>
      </c>
      <c r="BV417" s="47" t="n">
        <f aca="false">BV172</f>
        <v>1137</v>
      </c>
      <c r="BY417" s="6"/>
      <c r="BZ417" s="6"/>
      <c r="CA417" s="37" t="n">
        <f aca="false">CA172</f>
        <v>2325.25646334676</v>
      </c>
      <c r="CB417" s="37" t="n">
        <f aca="false">CB172</f>
        <v>1288.63503471762</v>
      </c>
      <c r="CC417" s="37" t="n">
        <f aca="false">CC172</f>
        <v>1610.11428933986</v>
      </c>
      <c r="CD417" s="37" t="n">
        <f aca="false">CD172</f>
        <v>1880.2941935602</v>
      </c>
      <c r="CE417" s="37" t="n">
        <f aca="false">CE172</f>
        <v>2100.39833001768</v>
      </c>
      <c r="CF417" s="6"/>
    </row>
    <row r="418" customFormat="false" ht="15" hidden="false" customHeight="true" outlineLevel="0" collapsed="false">
      <c r="B418" s="26" t="s">
        <v>625</v>
      </c>
      <c r="C418" s="47" t="n">
        <f aca="false">C323</f>
        <v>1253.972</v>
      </c>
      <c r="D418" s="47" t="n">
        <f aca="false">D323</f>
        <v>945.991</v>
      </c>
      <c r="E418" s="47" t="n">
        <f aca="false">E323</f>
        <v>1021.704</v>
      </c>
      <c r="F418" s="47" t="n">
        <f aca="false">F323</f>
        <v>1365.24</v>
      </c>
      <c r="G418" s="47" t="n">
        <f aca="false">G323</f>
        <v>1425.44</v>
      </c>
      <c r="H418" s="47" t="n">
        <f aca="false">H323</f>
        <v>1409.321</v>
      </c>
      <c r="I418" s="47" t="n">
        <f aca="false">I323</f>
        <v>1410.545</v>
      </c>
      <c r="N418" s="47" t="n">
        <f aca="false">N323</f>
        <v>1537.877</v>
      </c>
      <c r="S418" s="47" t="n">
        <f aca="false">S323</f>
        <v>4351.166</v>
      </c>
      <c r="X418" s="47" t="n">
        <f aca="false">X323</f>
        <v>4057.284</v>
      </c>
      <c r="AC418" s="47" t="n">
        <f aca="false">AC323</f>
        <v>4139.978</v>
      </c>
      <c r="AH418" s="47" t="n">
        <f aca="false">AH323</f>
        <v>4679.6</v>
      </c>
      <c r="AM418" s="47" t="n">
        <f aca="false">AM323</f>
        <v>4946.363</v>
      </c>
      <c r="AR418" s="47" t="n">
        <f aca="false">AR323</f>
        <v>5350.8</v>
      </c>
      <c r="AW418" s="47" t="n">
        <f aca="false">AW323</f>
        <v>5890.7</v>
      </c>
      <c r="BB418" s="47" t="n">
        <f aca="false">BB323</f>
        <v>6535.3</v>
      </c>
      <c r="BG418" s="47" t="n">
        <f aca="false">BG323</f>
        <v>7170.5</v>
      </c>
      <c r="BL418" s="47" t="n">
        <f aca="false">BL323</f>
        <v>8033.2</v>
      </c>
      <c r="BQ418" s="47" t="n">
        <f aca="false">BQ323</f>
        <v>9453</v>
      </c>
      <c r="BV418" s="47" t="n">
        <f aca="false">BV323</f>
        <v>10032</v>
      </c>
      <c r="BY418" s="6"/>
      <c r="BZ418" s="6"/>
      <c r="CA418" s="37" t="n">
        <f aca="false">CA323</f>
        <v>18363.4471311658</v>
      </c>
      <c r="CB418" s="37" t="n">
        <f aca="false">CB323</f>
        <v>19434.3135224054</v>
      </c>
      <c r="CC418" s="37" t="n">
        <f aca="false">CC323</f>
        <v>20816.1961412186</v>
      </c>
      <c r="CD418" s="37" t="n">
        <f aca="false">CD323</f>
        <v>21078.0518329461</v>
      </c>
      <c r="CE418" s="37" t="n">
        <f aca="false">CE323</f>
        <v>20671.0276641345</v>
      </c>
      <c r="CF418" s="6"/>
    </row>
    <row r="419" customFormat="false" ht="15" hidden="false" customHeight="true" outlineLevel="0" collapsed="false">
      <c r="B419" s="59" t="s">
        <v>626</v>
      </c>
      <c r="C419" s="77" t="n">
        <f aca="false">IFERROR(C417/C418,"n/a")</f>
        <v>0.195698149559958</v>
      </c>
      <c r="D419" s="77" t="n">
        <f aca="false">IFERROR(D417/D418,"n/a")</f>
        <v>0.277698202202769</v>
      </c>
      <c r="E419" s="77" t="n">
        <f aca="false">IFERROR(E417/E418,"n/a")</f>
        <v>0.172554869120606</v>
      </c>
      <c r="F419" s="77" t="n">
        <f aca="false">IFERROR(F417/F418,"n/a")</f>
        <v>0.0626263514107408</v>
      </c>
      <c r="G419" s="77" t="n">
        <f aca="false">IFERROR(G417/G418,"n/a")</f>
        <v>0.0680491637669772</v>
      </c>
      <c r="H419" s="77" t="n">
        <f aca="false">IFERROR(H417/H418,"n/a")</f>
        <v>0.0584678721171401</v>
      </c>
      <c r="I419" s="77" t="n">
        <f aca="false">IFERROR(I417/I418,"n/a")</f>
        <v>0.0599059228879617</v>
      </c>
      <c r="J419" s="70"/>
      <c r="K419" s="70"/>
      <c r="L419" s="70"/>
      <c r="M419" s="70"/>
      <c r="N419" s="77" t="n">
        <f aca="false">IFERROR(N417/N418,"n/a")</f>
        <v>0.0788749685442984</v>
      </c>
      <c r="O419" s="70"/>
      <c r="P419" s="70"/>
      <c r="Q419" s="70"/>
      <c r="R419" s="70"/>
      <c r="S419" s="77" t="n">
        <f aca="false">IFERROR(S417/S418,"n/a")</f>
        <v>0.0357605294764668</v>
      </c>
      <c r="T419" s="70"/>
      <c r="U419" s="70"/>
      <c r="V419" s="70"/>
      <c r="W419" s="70"/>
      <c r="X419" s="77" t="n">
        <f aca="false">IFERROR(X417/X418,"n/a")</f>
        <v>0.0711806223079281</v>
      </c>
      <c r="Y419" s="70"/>
      <c r="Z419" s="70"/>
      <c r="AA419" s="70"/>
      <c r="AB419" s="70"/>
      <c r="AC419" s="77" t="n">
        <f aca="false">IFERROR(AC417/AC418,"n/a")</f>
        <v>0.102754169225054</v>
      </c>
      <c r="AD419" s="70"/>
      <c r="AE419" s="70"/>
      <c r="AF419" s="70"/>
      <c r="AG419" s="70"/>
      <c r="AH419" s="77" t="n">
        <f aca="false">IFERROR(AH417/AH418,"n/a")</f>
        <v>0.152427557910933</v>
      </c>
      <c r="AI419" s="70"/>
      <c r="AJ419" s="70"/>
      <c r="AK419" s="70"/>
      <c r="AL419" s="70"/>
      <c r="AM419" s="77" t="n">
        <f aca="false">IFERROR(AM417/AM418,"n/a")</f>
        <v>0.0950189058101883</v>
      </c>
      <c r="AN419" s="70"/>
      <c r="AO419" s="70"/>
      <c r="AP419" s="70"/>
      <c r="AQ419" s="70"/>
      <c r="AR419" s="77" t="n">
        <f aca="false">IFERROR(AR417/AR418,"n/a")</f>
        <v>0.1143595350228</v>
      </c>
      <c r="AS419" s="70"/>
      <c r="AT419" s="70"/>
      <c r="AU419" s="70"/>
      <c r="AV419" s="70"/>
      <c r="AW419" s="77" t="n">
        <f aca="false">IFERROR(AW417/AW418,"n/a")</f>
        <v>0.122396319622456</v>
      </c>
      <c r="AX419" s="70"/>
      <c r="AY419" s="70"/>
      <c r="AZ419" s="70"/>
      <c r="BA419" s="70"/>
      <c r="BB419" s="77" t="n">
        <f aca="false">IFERROR(BB417/BB418,"n/a")</f>
        <v>0.10749315257142</v>
      </c>
      <c r="BC419" s="70"/>
      <c r="BD419" s="70"/>
      <c r="BE419" s="70"/>
      <c r="BF419" s="70"/>
      <c r="BG419" s="77" t="n">
        <f aca="false">IFERROR(BG417/BG418,"n/a")</f>
        <v>0.120884178230249</v>
      </c>
      <c r="BH419" s="70"/>
      <c r="BI419" s="70"/>
      <c r="BJ419" s="70"/>
      <c r="BK419" s="70"/>
      <c r="BL419" s="77" t="n">
        <f aca="false">IFERROR(BL417/BL418,"n/a")</f>
        <v>0.145508639147538</v>
      </c>
      <c r="BM419" s="70"/>
      <c r="BN419" s="70"/>
      <c r="BO419" s="70"/>
      <c r="BP419" s="70"/>
      <c r="BQ419" s="77" t="n">
        <f aca="false">IFERROR(BQ417/BQ418,"n/a")</f>
        <v>0.211044112980006</v>
      </c>
      <c r="BR419" s="70"/>
      <c r="BS419" s="70"/>
      <c r="BT419" s="70"/>
      <c r="BU419" s="70"/>
      <c r="BV419" s="77" t="n">
        <f aca="false">IFERROR(BV417/BV418,"n/a")</f>
        <v>0.113337320574163</v>
      </c>
      <c r="BW419" s="70"/>
      <c r="BX419" s="70"/>
      <c r="BY419" s="70"/>
      <c r="BZ419" s="70"/>
      <c r="CA419" s="77" t="n">
        <f aca="false">IFERROR(CA417/CA418,"n/a")</f>
        <v>0.126624181545981</v>
      </c>
      <c r="CB419" s="77" t="n">
        <f aca="false">IFERROR(CB417/CB418,"n/a")</f>
        <v>0.0663072062325214</v>
      </c>
      <c r="CC419" s="77" t="n">
        <f aca="false">IFERROR(CC417/CC418,"n/a")</f>
        <v>0.0773491121248442</v>
      </c>
      <c r="CD419" s="77" t="n">
        <f aca="false">IFERROR(CD417/CD418,"n/a")</f>
        <v>0.0892062610179754</v>
      </c>
      <c r="CE419" s="77" t="n">
        <f aca="false">IFERROR(CE417/CE418,"n/a")</f>
        <v>0.10161073576724</v>
      </c>
      <c r="CF419" s="6"/>
      <c r="CH419" s="39" t="n">
        <f aca="false">IFERROR(AVERAGE(CA419,CB419,CC419,CD419,CE419),"n/m")</f>
        <v>0.0922194993377124</v>
      </c>
      <c r="CI419" s="39" t="n">
        <f aca="false">IFERROR(AVERAGE(BB419,BG419,BL419,BQ419,BV419),"n/m")</f>
        <v>0.139653480700675</v>
      </c>
      <c r="CJ419" s="39" t="n">
        <f aca="false">IFERROR(AVERAGE(AC419,AH419,AM419,AR419,AW419,BB419,BG419,BL419,BQ419,BV419),"n/m")</f>
        <v>0.128522389109481</v>
      </c>
      <c r="CK419" s="39" t="n">
        <f aca="false">IFERROR(AVERAGE(C419,D419,E419,F419,G419,H419,I419,N419,S419,X419,AC419,AH419,AM419,AR419,AW419,BB419,BG419,BL419,BQ419,BV419),"n/m")</f>
        <v>0.118302027124483</v>
      </c>
    </row>
    <row r="420" customFormat="false" ht="15" hidden="false" customHeight="true" outlineLevel="0" collapsed="false">
      <c r="B420" s="15" t="s">
        <v>627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6"/>
    </row>
    <row r="421" customFormat="false" ht="15" hidden="false" customHeight="true" outlineLevel="0" collapsed="false">
      <c r="B421" s="26" t="s">
        <v>628</v>
      </c>
      <c r="C421" s="47" t="n">
        <f aca="false">C403</f>
        <v>672.982</v>
      </c>
      <c r="D421" s="47" t="n">
        <f aca="false">D403</f>
        <v>1104.284</v>
      </c>
      <c r="E421" s="47" t="n">
        <f aca="false">E403</f>
        <v>1317.15</v>
      </c>
      <c r="F421" s="47" t="n">
        <f aca="false">F403</f>
        <v>986.02</v>
      </c>
      <c r="G421" s="47" t="n">
        <f aca="false">G403</f>
        <v>960.436</v>
      </c>
      <c r="H421" s="47" t="n">
        <f aca="false">H403</f>
        <v>1034.062</v>
      </c>
      <c r="I421" s="47" t="n">
        <f aca="false">I403</f>
        <v>1022.465</v>
      </c>
      <c r="N421" s="47" t="n">
        <f aca="false">N403</f>
        <v>988.484</v>
      </c>
      <c r="S421" s="47" t="n">
        <f aca="false">S403</f>
        <v>1476.744</v>
      </c>
      <c r="X421" s="47" t="n">
        <f aca="false">X403</f>
        <v>1404.486</v>
      </c>
      <c r="AC421" s="47" t="n">
        <f aca="false">AC403</f>
        <v>1636.151</v>
      </c>
      <c r="AH421" s="47" t="n">
        <f aca="false">AH403</f>
        <v>1580.839</v>
      </c>
      <c r="AM421" s="47" t="n">
        <f aca="false">AM403</f>
        <v>3075.589</v>
      </c>
      <c r="AR421" s="47" t="n">
        <f aca="false">AR403</f>
        <v>2752.6</v>
      </c>
      <c r="AW421" s="47" t="n">
        <f aca="false">AW403</f>
        <v>2418.5</v>
      </c>
      <c r="BB421" s="47" t="n">
        <f aca="false">BB403</f>
        <v>4842.4</v>
      </c>
      <c r="BG421" s="47" t="n">
        <f aca="false">BG403</f>
        <v>3982.9</v>
      </c>
      <c r="BL421" s="47" t="n">
        <f aca="false">BL403</f>
        <v>3073.4</v>
      </c>
      <c r="BQ421" s="47" t="n">
        <f aca="false">BQ403</f>
        <v>4743</v>
      </c>
      <c r="BV421" s="47" t="n">
        <f aca="false">BV403</f>
        <v>5256</v>
      </c>
      <c r="BY421" s="6"/>
      <c r="BZ421" s="6"/>
      <c r="CA421" s="37" t="n">
        <f aca="false">CA403</f>
        <v>12240.587978462</v>
      </c>
      <c r="CB421" s="37" t="n">
        <f aca="false">CB403</f>
        <v>10860.6543899285</v>
      </c>
      <c r="CC421" s="37" t="n">
        <f aca="false">CC403</f>
        <v>9702.10282524557</v>
      </c>
      <c r="CD421" s="37" t="n">
        <f aca="false">CD403</f>
        <v>9925.88562043053</v>
      </c>
      <c r="CE421" s="37" t="n">
        <f aca="false">CE403</f>
        <v>10825.3516280626</v>
      </c>
      <c r="CF421" s="6"/>
    </row>
    <row r="422" customFormat="false" ht="15" hidden="false" customHeight="true" outlineLevel="0" collapsed="false">
      <c r="B422" s="26" t="s">
        <v>629</v>
      </c>
      <c r="C422" s="47" t="n">
        <f aca="false">C214</f>
        <v>535</v>
      </c>
      <c r="D422" s="47" t="n">
        <f aca="false">D214</f>
        <v>590.6</v>
      </c>
      <c r="E422" s="47" t="n">
        <f aca="false">E214</f>
        <v>497.7</v>
      </c>
      <c r="F422" s="47" t="n">
        <f aca="false">F214</f>
        <v>364.1</v>
      </c>
      <c r="G422" s="47" t="n">
        <f aca="false">G214</f>
        <v>374.7</v>
      </c>
      <c r="H422" s="47" t="n">
        <f aca="false">H214</f>
        <v>335.9</v>
      </c>
      <c r="I422" s="47" t="n">
        <f aca="false">I214</f>
        <v>329.9</v>
      </c>
      <c r="N422" s="47" t="n">
        <f aca="false">N214</f>
        <v>390.2</v>
      </c>
      <c r="S422" s="47" t="n">
        <f aca="false">S214</f>
        <v>537</v>
      </c>
      <c r="X422" s="47" t="n">
        <f aca="false">X214</f>
        <v>766.7</v>
      </c>
      <c r="AC422" s="47" t="n">
        <f aca="false">AC214</f>
        <v>971.6</v>
      </c>
      <c r="AH422" s="47" t="n">
        <f aca="false">AH214</f>
        <v>1004.4</v>
      </c>
      <c r="AM422" s="47" t="n">
        <f aca="false">AM214</f>
        <v>1103.765</v>
      </c>
      <c r="AR422" s="47" t="n">
        <f aca="false">AR214</f>
        <v>1254.549</v>
      </c>
      <c r="AW422" s="47" t="n">
        <f aca="false">AW214</f>
        <v>1392.8</v>
      </c>
      <c r="BB422" s="47" t="n">
        <f aca="false">BB214</f>
        <v>1528.5</v>
      </c>
      <c r="BG422" s="47" t="n">
        <f aca="false">BG214</f>
        <v>1600.3</v>
      </c>
      <c r="BL422" s="47" t="n">
        <f aca="false">BL214</f>
        <v>2127.7</v>
      </c>
      <c r="BQ422" s="47" t="n">
        <f aca="false">BQ214</f>
        <v>2066</v>
      </c>
      <c r="BV422" s="47" t="n">
        <f aca="false">BV214</f>
        <v>2065</v>
      </c>
      <c r="BY422" s="6"/>
      <c r="BZ422" s="6"/>
      <c r="CA422" s="37" t="n">
        <f aca="false">CA214</f>
        <v>3197.22143129859</v>
      </c>
      <c r="CB422" s="37" t="n">
        <f aca="false">CB214</f>
        <v>3592.33731955095</v>
      </c>
      <c r="CC422" s="37" t="n">
        <f aca="false">CC214</f>
        <v>4007.76579817802</v>
      </c>
      <c r="CD422" s="37" t="n">
        <f aca="false">CD214</f>
        <v>4411.50472019135</v>
      </c>
      <c r="CE422" s="37" t="n">
        <f aca="false">CE214</f>
        <v>4811.26739025004</v>
      </c>
      <c r="CF422" s="6"/>
    </row>
    <row r="423" customFormat="false" ht="15" hidden="false" customHeight="true" outlineLevel="0" collapsed="false">
      <c r="B423" s="59" t="s">
        <v>630</v>
      </c>
      <c r="C423" s="78" t="n">
        <f aca="false">IFERROR(C421/C422,"n/a")</f>
        <v>1.25791028037383</v>
      </c>
      <c r="D423" s="78" t="n">
        <f aca="false">IFERROR(D421/D422,"n/a")</f>
        <v>1.86976633931595</v>
      </c>
      <c r="E423" s="78" t="n">
        <f aca="false">IFERROR(E421/E422,"n/a")</f>
        <v>2.64647377938517</v>
      </c>
      <c r="F423" s="78" t="n">
        <f aca="false">IFERROR(F421/F422,"n/a")</f>
        <v>2.70810216973359</v>
      </c>
      <c r="G423" s="78" t="n">
        <f aca="false">IFERROR(G421/G422,"n/a")</f>
        <v>2.56321323725647</v>
      </c>
      <c r="H423" s="78" t="n">
        <f aca="false">IFERROR(H421/H422,"n/a")</f>
        <v>3.07848169097946</v>
      </c>
      <c r="I423" s="78" t="n">
        <f aca="false">IFERROR(I421/I422,"n/a")</f>
        <v>3.09931797514398</v>
      </c>
      <c r="J423" s="70"/>
      <c r="K423" s="70"/>
      <c r="L423" s="70"/>
      <c r="M423" s="70"/>
      <c r="N423" s="78" t="n">
        <f aca="false">IFERROR(N421/N422,"n/a")</f>
        <v>2.53327524346489</v>
      </c>
      <c r="O423" s="70"/>
      <c r="P423" s="70"/>
      <c r="Q423" s="70"/>
      <c r="R423" s="70"/>
      <c r="S423" s="78" t="n">
        <f aca="false">IFERROR(S421/S422,"n/a")</f>
        <v>2.74998882681564</v>
      </c>
      <c r="T423" s="70"/>
      <c r="U423" s="70"/>
      <c r="V423" s="70"/>
      <c r="W423" s="70"/>
      <c r="X423" s="78" t="n">
        <f aca="false">IFERROR(X421/X422,"n/a")</f>
        <v>1.83185861484283</v>
      </c>
      <c r="Y423" s="70"/>
      <c r="Z423" s="70"/>
      <c r="AA423" s="70"/>
      <c r="AB423" s="70"/>
      <c r="AC423" s="78" t="n">
        <f aca="false">IFERROR(AC421/AC422,"n/a")</f>
        <v>1.68397591601482</v>
      </c>
      <c r="AD423" s="70"/>
      <c r="AE423" s="70"/>
      <c r="AF423" s="70"/>
      <c r="AG423" s="70"/>
      <c r="AH423" s="78" t="n">
        <f aca="false">IFERROR(AH421/AH422,"n/a")</f>
        <v>1.57391377937077</v>
      </c>
      <c r="AI423" s="70"/>
      <c r="AJ423" s="70"/>
      <c r="AK423" s="70"/>
      <c r="AL423" s="70"/>
      <c r="AM423" s="78" t="n">
        <f aca="false">IFERROR(AM421/AM422,"n/a")</f>
        <v>2.7864527322392</v>
      </c>
      <c r="AN423" s="70"/>
      <c r="AO423" s="70"/>
      <c r="AP423" s="70"/>
      <c r="AQ423" s="70"/>
      <c r="AR423" s="78" t="n">
        <f aca="false">IFERROR(AR421/AR422,"n/a")</f>
        <v>2.1940952485714</v>
      </c>
      <c r="AS423" s="70"/>
      <c r="AT423" s="70"/>
      <c r="AU423" s="70"/>
      <c r="AV423" s="70"/>
      <c r="AW423" s="78" t="n">
        <f aca="false">IFERROR(AW421/AW422,"n/a")</f>
        <v>1.73643021252154</v>
      </c>
      <c r="AX423" s="70"/>
      <c r="AY423" s="70"/>
      <c r="AZ423" s="70"/>
      <c r="BA423" s="70"/>
      <c r="BB423" s="78" t="n">
        <f aca="false">IFERROR(BB421/BB422,"n/a")</f>
        <v>3.16807327445208</v>
      </c>
      <c r="BC423" s="70"/>
      <c r="BD423" s="70"/>
      <c r="BE423" s="70"/>
      <c r="BF423" s="70"/>
      <c r="BG423" s="78" t="n">
        <f aca="false">IFERROR(BG421/BG422,"n/a")</f>
        <v>2.48884584140474</v>
      </c>
      <c r="BH423" s="70"/>
      <c r="BI423" s="70"/>
      <c r="BJ423" s="70"/>
      <c r="BK423" s="70"/>
      <c r="BL423" s="78" t="n">
        <f aca="false">IFERROR(BL421/BL422,"n/a")</f>
        <v>1.44447055505945</v>
      </c>
      <c r="BM423" s="70"/>
      <c r="BN423" s="70"/>
      <c r="BO423" s="70"/>
      <c r="BP423" s="70"/>
      <c r="BQ423" s="78" t="n">
        <f aca="false">IFERROR(BQ421/BQ422,"n/a")</f>
        <v>2.29574056147144</v>
      </c>
      <c r="BR423" s="70"/>
      <c r="BS423" s="70"/>
      <c r="BT423" s="70"/>
      <c r="BU423" s="70"/>
      <c r="BV423" s="78" t="n">
        <f aca="false">IFERROR(BV421/BV422,"n/a")</f>
        <v>2.5452784503632</v>
      </c>
      <c r="BW423" s="70"/>
      <c r="BX423" s="70"/>
      <c r="BY423" s="70"/>
      <c r="BZ423" s="70"/>
      <c r="CA423" s="78" t="n">
        <f aca="false">IFERROR(CA421/CA422,"n/a")</f>
        <v>3.82850804721721</v>
      </c>
      <c r="CB423" s="78" t="n">
        <f aca="false">IFERROR(CB421/CB422,"n/a")</f>
        <v>3.02328356828309</v>
      </c>
      <c r="CC423" s="78" t="n">
        <f aca="false">IFERROR(CC421/CC422,"n/a")</f>
        <v>2.42082579517403</v>
      </c>
      <c r="CD423" s="78" t="n">
        <f aca="false">IFERROR(CD421/CD422,"n/a")</f>
        <v>2.25</v>
      </c>
      <c r="CE423" s="78" t="n">
        <f aca="false">IFERROR(CE421/CE422,"n/a")</f>
        <v>2.25</v>
      </c>
      <c r="CF423" s="6"/>
    </row>
    <row r="424" customFormat="false" ht="15" hidden="false" customHeight="true" outlineLevel="0" collapsed="false"/>
    <row r="425" customFormat="false" ht="15" hidden="false" customHeight="true" outlineLevel="0" collapsed="false">
      <c r="B425" s="11" t="s">
        <v>631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 t="s">
        <v>632</v>
      </c>
    </row>
    <row r="426" customFormat="false" ht="15" hidden="false" customHeight="true" outlineLevel="0" collapsed="false">
      <c r="B426" s="76" t="s">
        <v>633</v>
      </c>
      <c r="BY426" s="6"/>
      <c r="BZ426" s="6"/>
      <c r="CA426" s="79" t="n">
        <v>518.7</v>
      </c>
      <c r="CB426" s="29" t="n">
        <f aca="false">CA426</f>
        <v>518.7</v>
      </c>
      <c r="CC426" s="29" t="n">
        <f aca="false">CB426</f>
        <v>518.7</v>
      </c>
      <c r="CD426" s="29" t="n">
        <f aca="false">CC426</f>
        <v>518.7</v>
      </c>
      <c r="CE426" s="29" t="n">
        <f aca="false">CD426</f>
        <v>518.7</v>
      </c>
      <c r="CF426" s="6"/>
    </row>
    <row r="427" customFormat="false" ht="15" hidden="false" customHeight="true" outlineLevel="0" collapsed="false">
      <c r="B427" s="26" t="s">
        <v>634</v>
      </c>
      <c r="BY427" s="6"/>
      <c r="BZ427" s="6"/>
      <c r="CA427" s="63" t="n">
        <f aca="false">CA288+N(CA368)+(BX180-BX179)</f>
        <v>71.204402</v>
      </c>
      <c r="CB427" s="63" t="n">
        <f aca="false">CB288+N(CB368)+0</f>
        <v>71.404402</v>
      </c>
      <c r="CC427" s="63" t="n">
        <f aca="false">CC288+N(CC368)+0</f>
        <v>71.554402</v>
      </c>
      <c r="CD427" s="63" t="n">
        <f aca="false">CD288+N(CD368)+0</f>
        <v>69.5334463853402</v>
      </c>
      <c r="CE427" s="63" t="n">
        <f aca="false">CE288+N(CE368)+0</f>
        <v>66.3495676752428</v>
      </c>
      <c r="CF427" s="6"/>
    </row>
    <row r="428" customFormat="false" ht="15" hidden="false" customHeight="true" outlineLevel="0" collapsed="false">
      <c r="B428" s="26" t="s">
        <v>635</v>
      </c>
      <c r="BY428" s="6"/>
      <c r="BZ428" s="6"/>
      <c r="CA428" s="37" t="n">
        <f aca="false">IFERROR(CA426*CA427,"n/a")</f>
        <v>36933.7233174</v>
      </c>
      <c r="CB428" s="37" t="n">
        <f aca="false">IFERROR(CB426*CB427,"n/a")</f>
        <v>37037.4633174</v>
      </c>
      <c r="CC428" s="37" t="n">
        <f aca="false">IFERROR(CC426*CC427,"n/a")</f>
        <v>37115.2683174</v>
      </c>
      <c r="CD428" s="37" t="n">
        <f aca="false">IFERROR(CD426*CD427,"n/a")</f>
        <v>36066.998640076</v>
      </c>
      <c r="CE428" s="37" t="n">
        <f aca="false">IFERROR(CE426*CE427,"n/a")</f>
        <v>34415.5207531485</v>
      </c>
      <c r="CF428" s="6"/>
    </row>
    <row r="429" customFormat="false" ht="15" hidden="false" customHeight="true" outlineLevel="0" collapsed="false">
      <c r="B429" s="26" t="s">
        <v>636</v>
      </c>
      <c r="BY429" s="6"/>
      <c r="BZ429" s="6"/>
      <c r="CA429" s="37" t="n">
        <f aca="false">CA421</f>
        <v>12240.587978462</v>
      </c>
      <c r="CB429" s="37" t="n">
        <f aca="false">CB421</f>
        <v>10860.6543899285</v>
      </c>
      <c r="CC429" s="37" t="n">
        <f aca="false">CC421</f>
        <v>9702.10282524557</v>
      </c>
      <c r="CD429" s="37" t="n">
        <f aca="false">CD421</f>
        <v>9925.88562043053</v>
      </c>
      <c r="CE429" s="37" t="n">
        <f aca="false">CE421</f>
        <v>10825.3516280626</v>
      </c>
      <c r="CF429" s="6"/>
    </row>
    <row r="430" customFormat="false" ht="15" hidden="false" customHeight="true" outlineLevel="0" collapsed="false">
      <c r="B430" s="26" t="s">
        <v>637</v>
      </c>
      <c r="BY430" s="6"/>
      <c r="BZ430" s="6"/>
      <c r="CA430" s="37" t="n">
        <f aca="false">CA324</f>
        <v>2</v>
      </c>
      <c r="CB430" s="37" t="n">
        <f aca="false">CB324</f>
        <v>2</v>
      </c>
      <c r="CC430" s="37" t="n">
        <f aca="false">CC324</f>
        <v>2</v>
      </c>
      <c r="CD430" s="37" t="n">
        <f aca="false">CD324</f>
        <v>2</v>
      </c>
      <c r="CE430" s="37" t="n">
        <f aca="false">CE324</f>
        <v>2</v>
      </c>
      <c r="CF430" s="6"/>
    </row>
    <row r="431" customFormat="false" ht="15" hidden="false" customHeight="true" outlineLevel="0" collapsed="false">
      <c r="B431" s="17" t="s">
        <v>638</v>
      </c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57"/>
      <c r="BZ431" s="57"/>
      <c r="CA431" s="34" t="n">
        <f aca="false">IFERROR(CA428+CA429+CA430,"n/a")</f>
        <v>49176.311295862</v>
      </c>
      <c r="CB431" s="34" t="n">
        <f aca="false">IFERROR(CB428+CB429+CB430,"n/a")</f>
        <v>47900.1177073285</v>
      </c>
      <c r="CC431" s="34" t="n">
        <f aca="false">IFERROR(CC428+CC429+CC430,"n/a")</f>
        <v>46819.3711426456</v>
      </c>
      <c r="CD431" s="34" t="n">
        <f aca="false">IFERROR(CD428+CD429+CD430,"n/a")</f>
        <v>45994.8842605065</v>
      </c>
      <c r="CE431" s="34" t="n">
        <f aca="false">IFERROR(CE428+CE429+CE430,"n/a")</f>
        <v>45242.872381211</v>
      </c>
      <c r="CF431" s="6"/>
    </row>
    <row r="432" customFormat="false" ht="15" hidden="false" customHeight="true" outlineLevel="0" collapsed="false">
      <c r="B432" s="15" t="s">
        <v>639</v>
      </c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6"/>
    </row>
    <row r="433" customFormat="false" ht="15" hidden="false" customHeight="true" outlineLevel="0" collapsed="false">
      <c r="B433" s="26" t="s">
        <v>640</v>
      </c>
      <c r="BY433" s="6"/>
      <c r="BZ433" s="6"/>
      <c r="CA433" s="56" t="n">
        <f aca="false">IFERROR(CA431/CA334,"n/a")</f>
        <v>5.38196777929234</v>
      </c>
      <c r="CB433" s="56" t="n">
        <f aca="false">IFERROR(CB431/CB334,"n/a")</f>
        <v>4.8793929559517</v>
      </c>
      <c r="CC433" s="56" t="n">
        <f aca="false">IFERROR(CC431/CC334,"n/a")</f>
        <v>4.41588445942088</v>
      </c>
      <c r="CD433" s="56" t="n">
        <f aca="false">IFERROR(CD431/CD334,"n/a")</f>
        <v>4.00177226842943</v>
      </c>
      <c r="CE433" s="56" t="n">
        <f aca="false">IFERROR(CE431/CE334,"n/a")</f>
        <v>3.62355431003436</v>
      </c>
      <c r="CF433" s="6"/>
    </row>
    <row r="434" customFormat="false" ht="15" hidden="false" customHeight="true" outlineLevel="0" collapsed="false">
      <c r="B434" s="26" t="s">
        <v>641</v>
      </c>
      <c r="BY434" s="6"/>
      <c r="BZ434" s="6"/>
      <c r="CA434" s="56" t="n">
        <f aca="false">IFERROR(CA431/CA214,"n/a")</f>
        <v>15.3809526029257</v>
      </c>
      <c r="CB434" s="56" t="n">
        <f aca="false">IFERROR(CB431/CB214,"n/a")</f>
        <v>13.3339699049521</v>
      </c>
      <c r="CC434" s="56" t="n">
        <f aca="false">IFERROR(CC431/CC214,"n/a")</f>
        <v>11.682162456681</v>
      </c>
      <c r="CD434" s="56" t="n">
        <f aca="false">IFERROR(CD431/CD214,"n/a")</f>
        <v>10.4261215113267</v>
      </c>
      <c r="CE434" s="56" t="n">
        <f aca="false">IFERROR(CE431/CE214,"n/a")</f>
        <v>9.40352483274886</v>
      </c>
      <c r="CF434" s="6"/>
    </row>
    <row r="435" customFormat="false" ht="15" hidden="false" customHeight="true" outlineLevel="0" collapsed="false">
      <c r="B435" s="26" t="s">
        <v>642</v>
      </c>
      <c r="BY435" s="6"/>
      <c r="BZ435" s="6"/>
      <c r="CA435" s="56" t="n">
        <f aca="false">IFERROR(CA431/CA212,"n/a")</f>
        <v>28.2247705653281</v>
      </c>
      <c r="CB435" s="56" t="n">
        <f aca="false">IFERROR(CB431/CB212,"n/a")</f>
        <v>21.1784668158358</v>
      </c>
      <c r="CC435" s="56" t="n">
        <f aca="false">IFERROR(CC431/CC212,"n/a")</f>
        <v>18.032622535198</v>
      </c>
      <c r="CD435" s="56" t="n">
        <f aca="false">IFERROR(CD431/CD212,"n/a")</f>
        <v>15.8274239013744</v>
      </c>
      <c r="CE435" s="56" t="n">
        <f aca="false">IFERROR(CE431/CE212,"n/a")</f>
        <v>14.1369797665123</v>
      </c>
      <c r="CF435" s="6"/>
    </row>
    <row r="436" customFormat="false" ht="15" hidden="false" customHeight="true" outlineLevel="0" collapsed="false">
      <c r="B436" s="26" t="s">
        <v>643</v>
      </c>
      <c r="BY436" s="6"/>
      <c r="BZ436" s="6"/>
      <c r="CA436" s="56" t="n">
        <f aca="false">IFERROR(CA431/CA401,"n/a")</f>
        <v>1.60675210362</v>
      </c>
      <c r="CB436" s="56" t="n">
        <f aca="false">IFERROR(CB431/CB401,"n/a")</f>
        <v>1.58102018148913</v>
      </c>
      <c r="CC436" s="56" t="n">
        <f aca="false">IFERROR(CC431/CC401,"n/a")</f>
        <v>1.53404038387995</v>
      </c>
      <c r="CD436" s="56" t="n">
        <f aca="false">IFERROR(CD431/CD401,"n/a")</f>
        <v>1.48342182298693</v>
      </c>
      <c r="CE436" s="56" t="n">
        <f aca="false">IFERROR(CE431/CE401,"n/a")</f>
        <v>1.43635556488517</v>
      </c>
      <c r="CF436" s="6"/>
    </row>
    <row r="437" customFormat="false" ht="15" hidden="false" customHeight="true" outlineLevel="0" collapsed="false">
      <c r="B437" s="26" t="s">
        <v>644</v>
      </c>
      <c r="BY437" s="6"/>
      <c r="BZ437" s="6"/>
      <c r="CA437" s="56" t="n">
        <f aca="false">IFERROR(CA426/CA183,"n/a")</f>
        <v>37.160212177246</v>
      </c>
      <c r="CB437" s="56" t="n">
        <f aca="false">IFERROR(CB426/CB183,"n/a")</f>
        <v>28.7114348287975</v>
      </c>
      <c r="CC437" s="56" t="n">
        <f aca="false">IFERROR(CC426/CC183,"n/a")</f>
        <v>23.0271640111964</v>
      </c>
      <c r="CD437" s="56" t="n">
        <f aca="false">IFERROR(CD426/CD183,"n/a")</f>
        <v>19.4603236047096</v>
      </c>
      <c r="CE437" s="56" t="n">
        <f aca="false">IFERROR(CE426/CE183,"n/a")</f>
        <v>16.7783696991968</v>
      </c>
      <c r="CF437" s="6"/>
    </row>
    <row r="438" customFormat="false" ht="15" hidden="false" customHeight="true" outlineLevel="0" collapsed="false">
      <c r="B438" s="26" t="s">
        <v>645</v>
      </c>
      <c r="BY438" s="6"/>
      <c r="BZ438" s="6"/>
      <c r="CA438" s="56" t="n">
        <f aca="false">IFERROR(CA426/CA224,"n/a")</f>
        <v>30.6065485154291</v>
      </c>
      <c r="CB438" s="56" t="n">
        <f aca="false">IFERROR(CB426/CB224,"n/a")</f>
        <v>28.2888478996844</v>
      </c>
      <c r="CC438" s="56" t="n">
        <f aca="false">IFERROR(CC426/CC224,"n/a")</f>
        <v>22.9175660406169</v>
      </c>
      <c r="CD438" s="56" t="n">
        <f aca="false">IFERROR(CD426/CD224,"n/a")</f>
        <v>19.3809565747328</v>
      </c>
      <c r="CE438" s="56" t="n">
        <f aca="false">IFERROR(CE426/CE224,"n/a")</f>
        <v>16.7170853440772</v>
      </c>
      <c r="CF438" s="6"/>
    </row>
    <row r="439" customFormat="false" ht="15" hidden="false" customHeight="true" outlineLevel="0" collapsed="false">
      <c r="B439" s="26" t="s">
        <v>646</v>
      </c>
      <c r="BY439" s="6"/>
      <c r="BZ439" s="6"/>
      <c r="CA439" s="25" t="n">
        <f aca="false">IFERROR(CA273/CA428,"n/a")</f>
        <v>0.0253959376780052</v>
      </c>
      <c r="CB439" s="25" t="n">
        <f aca="false">IFERROR(CB273/CB428,"n/a")</f>
        <v>0.0449928212161598</v>
      </c>
      <c r="CC439" s="25" t="n">
        <f aca="false">IFERROR(CC273/CC428,"n/a")</f>
        <v>0.0528354166524599</v>
      </c>
      <c r="CD439" s="25" t="n">
        <f aca="false">IFERROR(CD273/CD428,"n/a")</f>
        <v>0.0616938251271535</v>
      </c>
      <c r="CE439" s="25" t="n">
        <f aca="false">IFERROR(CE273/CE428,"n/a")</f>
        <v>0.0710538977936271</v>
      </c>
      <c r="CF439" s="6"/>
    </row>
    <row r="440" customFormat="false" ht="15" hidden="false" customHeight="true" outlineLevel="0" collapsed="false">
      <c r="B440" s="26" t="s">
        <v>647</v>
      </c>
      <c r="BY440" s="6"/>
      <c r="BZ440" s="6"/>
      <c r="CA440" s="25" t="n">
        <f aca="false">IFERROR(CA186/CA426,"n/a")</f>
        <v>0.00656063235010603</v>
      </c>
      <c r="CB440" s="25" t="n">
        <f aca="false">IFERROR(CB186/CB426,"n/a")</f>
        <v>0.0069542702911124</v>
      </c>
      <c r="CC440" s="25" t="n">
        <f aca="false">IFERROR(CC186/CC426,"n/a")</f>
        <v>0.00737152650857914</v>
      </c>
      <c r="CD440" s="25" t="n">
        <f aca="false">IFERROR(CD186/CD426,"n/a")</f>
        <v>0.00781381809909389</v>
      </c>
      <c r="CE440" s="25" t="n">
        <f aca="false">IFERROR(CE186/CE426,"n/a")</f>
        <v>0.00828264718503952</v>
      </c>
      <c r="CF440" s="6"/>
    </row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H27" activeCellId="0" sqref="H27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9" min="9" style="0" width="13.57"/>
    <col collapsed="false" customWidth="true" hidden="false" outlineLevel="0" max="10" min="10" style="0" width="12.57"/>
    <col collapsed="false" customWidth="true" hidden="false" outlineLevel="0" max="11" min="11" style="0" width="9.71"/>
    <col collapsed="false" customWidth="true" hidden="false" outlineLevel="0" max="14" min="14" style="0" width="41.43"/>
    <col collapsed="false" customWidth="true" hidden="false" outlineLevel="0" max="15" min="15" style="0" width="11.43"/>
    <col collapsed="false" customWidth="true" hidden="false" outlineLevel="0" max="26" min="26" style="0" width="41.43"/>
    <col collapsed="false" customWidth="true" hidden="false" outlineLevel="0" max="27" min="27" style="0" width="11.72"/>
  </cols>
  <sheetData>
    <row r="2" customFormat="false" ht="19.5" hidden="false" customHeight="true" outlineLevel="0" collapsed="false">
      <c r="B2" s="80" t="s">
        <v>648</v>
      </c>
      <c r="J2" s="11" t="s">
        <v>649</v>
      </c>
      <c r="K2" s="81" t="n">
        <f aca="false">Model!$CA$426</f>
        <v>518.7</v>
      </c>
    </row>
    <row r="3" customFormat="false" ht="15" hidden="false" customHeight="true" outlineLevel="0" collapsed="false">
      <c r="B3" s="4" t="s">
        <v>650</v>
      </c>
      <c r="J3" s="11" t="s">
        <v>651</v>
      </c>
      <c r="K3" s="82" t="n">
        <f aca="true">TODAY()</f>
        <v>46299</v>
      </c>
    </row>
    <row r="5" customFormat="false" ht="15" hidden="false" customHeight="true" outlineLevel="0" collapsed="false">
      <c r="B5" s="11" t="s">
        <v>652</v>
      </c>
      <c r="C5" s="83" t="str">
        <f aca="false">Model!$CF$2</f>
        <v>Base</v>
      </c>
      <c r="N5" s="84" t="s">
        <v>652</v>
      </c>
      <c r="O5" s="85" t="s">
        <v>80</v>
      </c>
      <c r="P5" s="4" t="s">
        <v>653</v>
      </c>
      <c r="Z5" s="84" t="s">
        <v>652</v>
      </c>
      <c r="AA5" s="85" t="s">
        <v>81</v>
      </c>
      <c r="AB5" s="4" t="s">
        <v>654</v>
      </c>
    </row>
    <row r="7" customFormat="false" ht="15" hidden="false" customHeight="true" outlineLevel="0" collapsed="false">
      <c r="B7" s="86" t="s">
        <v>655</v>
      </c>
      <c r="C7" s="87" t="s">
        <v>656</v>
      </c>
      <c r="D7" s="87" t="s">
        <v>64</v>
      </c>
      <c r="E7" s="87" t="s">
        <v>65</v>
      </c>
      <c r="F7" s="87" t="s">
        <v>66</v>
      </c>
      <c r="G7" s="87" t="s">
        <v>67</v>
      </c>
      <c r="H7" s="87" t="s">
        <v>68</v>
      </c>
      <c r="I7" s="87" t="s">
        <v>657</v>
      </c>
      <c r="J7" s="88" t="s">
        <v>658</v>
      </c>
      <c r="K7" s="88" t="s">
        <v>659</v>
      </c>
      <c r="L7" s="88" t="s">
        <v>660</v>
      </c>
      <c r="N7" s="86" t="s">
        <v>655</v>
      </c>
      <c r="O7" s="87" t="s">
        <v>656</v>
      </c>
      <c r="P7" s="87" t="s">
        <v>64</v>
      </c>
      <c r="Q7" s="87" t="s">
        <v>65</v>
      </c>
      <c r="R7" s="87" t="s">
        <v>66</v>
      </c>
      <c r="S7" s="87" t="s">
        <v>67</v>
      </c>
      <c r="T7" s="87" t="s">
        <v>68</v>
      </c>
      <c r="U7" s="87" t="s">
        <v>657</v>
      </c>
      <c r="V7" s="88" t="s">
        <v>658</v>
      </c>
      <c r="W7" s="88" t="s">
        <v>659</v>
      </c>
      <c r="X7" s="88" t="s">
        <v>660</v>
      </c>
      <c r="Z7" s="86" t="s">
        <v>655</v>
      </c>
      <c r="AA7" s="87" t="s">
        <v>656</v>
      </c>
      <c r="AB7" s="87" t="s">
        <v>64</v>
      </c>
      <c r="AC7" s="87" t="s">
        <v>65</v>
      </c>
      <c r="AD7" s="87" t="s">
        <v>66</v>
      </c>
      <c r="AE7" s="87" t="s">
        <v>67</v>
      </c>
      <c r="AF7" s="87" t="s">
        <v>68</v>
      </c>
      <c r="AG7" s="87" t="s">
        <v>657</v>
      </c>
      <c r="AH7" s="88" t="s">
        <v>658</v>
      </c>
      <c r="AI7" s="88" t="s">
        <v>659</v>
      </c>
      <c r="AJ7" s="88" t="s">
        <v>660</v>
      </c>
    </row>
    <row r="9" customFormat="false" ht="15" hidden="false" customHeight="true" outlineLevel="0" collapsed="false">
      <c r="B9" s="89" t="s">
        <v>661</v>
      </c>
      <c r="C9" s="90" t="n">
        <f aca="false">Model!BV152</f>
        <v>6150</v>
      </c>
      <c r="D9" s="91" t="n">
        <f aca="false">Model!CA152</f>
        <v>7969.45870234257</v>
      </c>
      <c r="E9" s="91" t="n">
        <f aca="false">Model!CB152</f>
        <v>9816.81904690659</v>
      </c>
      <c r="F9" s="91" t="n">
        <f aca="false">Model!CC152</f>
        <v>10602.4900725744</v>
      </c>
      <c r="G9" s="91" t="n">
        <f aca="false">Model!CD152</f>
        <v>11493.6286163425</v>
      </c>
      <c r="H9" s="91" t="n">
        <f aca="false">Model!CE152</f>
        <v>12485.771844491</v>
      </c>
      <c r="I9" s="92" t="n">
        <f aca="false">IFERROR((H9/C9)^(1/5)-1,"n/m")</f>
        <v>0.152147430960566</v>
      </c>
      <c r="N9" s="89" t="s">
        <v>661</v>
      </c>
      <c r="O9" s="90" t="n">
        <v>6150</v>
      </c>
      <c r="P9" s="91" t="n">
        <v>8069.45870234257</v>
      </c>
      <c r="Q9" s="91" t="n">
        <v>10326.5916507403</v>
      </c>
      <c r="R9" s="91" t="n">
        <v>11672.0725281244</v>
      </c>
      <c r="S9" s="91" t="n">
        <v>13190.6412373199</v>
      </c>
      <c r="T9" s="91" t="n">
        <v>14888.0577491729</v>
      </c>
      <c r="U9" s="92" t="n">
        <v>0.193418005174561</v>
      </c>
      <c r="Z9" s="89" t="s">
        <v>661</v>
      </c>
      <c r="AA9" s="90" t="n">
        <v>6150</v>
      </c>
      <c r="AB9" s="91" t="n">
        <v>7869.45870234257</v>
      </c>
      <c r="AC9" s="91" t="n">
        <v>9400.95408358085</v>
      </c>
      <c r="AD9" s="91" t="n">
        <v>9752.40003177748</v>
      </c>
      <c r="AE9" s="91" t="n">
        <v>10086.6279764516</v>
      </c>
      <c r="AF9" s="91" t="n">
        <v>10477.5435621144</v>
      </c>
      <c r="AG9" s="92" t="n">
        <v>0.112440705637439</v>
      </c>
    </row>
    <row r="10" customFormat="false" ht="15" hidden="false" customHeight="true" outlineLevel="0" collapsed="false">
      <c r="B10" s="93" t="s">
        <v>662</v>
      </c>
      <c r="C10" s="94"/>
      <c r="D10" s="95" t="n">
        <f aca="false">IFERROR(D9/C9-1,"")</f>
        <v>0.295846943470336</v>
      </c>
      <c r="E10" s="95" t="n">
        <f aca="false">IFERROR(E9/D9-1,"")</f>
        <v>0.231804996244099</v>
      </c>
      <c r="F10" s="95" t="n">
        <f aca="false">IFERROR(F9/E9-1,"")</f>
        <v>0.0800331575751534</v>
      </c>
      <c r="G10" s="95" t="n">
        <f aca="false">IFERROR(G9/F9-1,"")</f>
        <v>0.0840499295607189</v>
      </c>
      <c r="H10" s="95" t="n">
        <f aca="false">IFERROR(H9/G9-1,"")</f>
        <v>0.086321148983165</v>
      </c>
      <c r="N10" s="93" t="s">
        <v>662</v>
      </c>
      <c r="O10" s="94"/>
      <c r="P10" s="95" t="n">
        <v>0.312107106071962</v>
      </c>
      <c r="Q10" s="95" t="n">
        <v>0.279713055318386</v>
      </c>
      <c r="R10" s="95" t="n">
        <v>0.130292832610228</v>
      </c>
      <c r="S10" s="95" t="n">
        <v>0.130102747865594</v>
      </c>
      <c r="T10" s="95" t="n">
        <v>0.128683396152911</v>
      </c>
      <c r="Z10" s="93" t="s">
        <v>662</v>
      </c>
      <c r="AA10" s="94"/>
      <c r="AB10" s="95" t="n">
        <v>0.27958678086871</v>
      </c>
      <c r="AC10" s="95" t="n">
        <v>0.194612544415842</v>
      </c>
      <c r="AD10" s="95" t="n">
        <v>0.0373840724113792</v>
      </c>
      <c r="AE10" s="95" t="n">
        <v>0.0342713530602754</v>
      </c>
      <c r="AF10" s="95" t="n">
        <v>0.0387558246993411</v>
      </c>
    </row>
    <row r="11" customFormat="false" ht="15" hidden="false" customHeight="true" outlineLevel="0" collapsed="false">
      <c r="B11" s="89" t="s">
        <v>663</v>
      </c>
      <c r="C11" s="96" t="n">
        <f aca="false">Model!BV231</f>
        <v>0.0387231815803244</v>
      </c>
      <c r="D11" s="97" t="n">
        <f aca="false">Model!CA231</f>
        <v>0.185796299445257</v>
      </c>
      <c r="E11" s="97" t="n">
        <f aca="false">Model!CB231</f>
        <v>0.03</v>
      </c>
      <c r="F11" s="97" t="n">
        <f aca="false">Model!CC231</f>
        <v>0.03</v>
      </c>
      <c r="G11" s="97" t="n">
        <f aca="false">Model!CD231</f>
        <v>0.025</v>
      </c>
      <c r="H11" s="97" t="n">
        <f aca="false">Model!CE231</f>
        <v>0.025</v>
      </c>
      <c r="N11" s="89" t="s">
        <v>663</v>
      </c>
      <c r="O11" s="96" t="n">
        <v>0.0387231815803244</v>
      </c>
      <c r="P11" s="97" t="n">
        <v>0.201974553423153</v>
      </c>
      <c r="Q11" s="97" t="n">
        <v>0.05</v>
      </c>
      <c r="R11" s="97" t="n">
        <v>0.05</v>
      </c>
      <c r="S11" s="97" t="n">
        <v>0.045</v>
      </c>
      <c r="T11" s="97" t="n">
        <v>0.045</v>
      </c>
      <c r="Z11" s="89" t="s">
        <v>663</v>
      </c>
      <c r="AA11" s="96" t="n">
        <v>0.0387231815803244</v>
      </c>
      <c r="AB11" s="97" t="n">
        <v>0.169618045467361</v>
      </c>
      <c r="AC11" s="97" t="n">
        <v>0.01</v>
      </c>
      <c r="AD11" s="97" t="n">
        <v>0.01</v>
      </c>
      <c r="AE11" s="97" t="n">
        <v>0.005</v>
      </c>
      <c r="AF11" s="97" t="n">
        <v>0.005</v>
      </c>
    </row>
    <row r="12" customFormat="false" ht="15" hidden="false" customHeight="true" outlineLevel="0" collapsed="false">
      <c r="B12" s="89" t="s">
        <v>664</v>
      </c>
      <c r="C12" s="90" t="n">
        <f aca="false">Model!BV204</f>
        <v>2065</v>
      </c>
      <c r="D12" s="91" t="n">
        <f aca="false">Model!CA204</f>
        <v>2709.56287770606</v>
      </c>
      <c r="E12" s="91" t="n">
        <f aca="false">Model!CB204</f>
        <v>3592.33731955095</v>
      </c>
      <c r="F12" s="91" t="n">
        <f aca="false">Model!CC204</f>
        <v>4007.76579817802</v>
      </c>
      <c r="G12" s="91" t="n">
        <f aca="false">Model!CD204</f>
        <v>4411.50472019135</v>
      </c>
      <c r="H12" s="91" t="n">
        <f aca="false">Model!CE204</f>
        <v>4811.26739025004</v>
      </c>
      <c r="I12" s="92" t="n">
        <f aca="false">IFERROR((H12/C12)^(1/5)-1,"n/m")</f>
        <v>0.184316793485251</v>
      </c>
      <c r="N12" s="89" t="s">
        <v>664</v>
      </c>
      <c r="O12" s="90" t="n">
        <v>2065</v>
      </c>
      <c r="P12" s="91" t="n">
        <v>2779.56287770606</v>
      </c>
      <c r="Q12" s="91" t="n">
        <v>3991.80635795564</v>
      </c>
      <c r="R12" s="91" t="n">
        <v>4627.59279199338</v>
      </c>
      <c r="S12" s="91" t="n">
        <v>5283.37155685881</v>
      </c>
      <c r="T12" s="91" t="n">
        <v>5966.54140120796</v>
      </c>
      <c r="U12" s="92" t="n">
        <v>0.236404339018682</v>
      </c>
      <c r="Z12" s="89" t="s">
        <v>664</v>
      </c>
      <c r="AA12" s="90" t="n">
        <v>2065</v>
      </c>
      <c r="AB12" s="91" t="n">
        <v>2639.56287770606</v>
      </c>
      <c r="AC12" s="91" t="n">
        <v>3238.45021519228</v>
      </c>
      <c r="AD12" s="91" t="n">
        <v>3488.11571267632</v>
      </c>
      <c r="AE12" s="91" t="n">
        <v>3682.49099798454</v>
      </c>
      <c r="AF12" s="91" t="n">
        <v>3856.73275606047</v>
      </c>
      <c r="AG12" s="92" t="n">
        <v>0.133078236838573</v>
      </c>
    </row>
    <row r="13" customFormat="false" ht="15" hidden="false" customHeight="true" outlineLevel="0" collapsed="false">
      <c r="B13" s="93" t="s">
        <v>665</v>
      </c>
      <c r="C13" s="98" t="n">
        <f aca="false">IFERROR(C12/C9,"")</f>
        <v>0.335772357723577</v>
      </c>
      <c r="D13" s="99" t="n">
        <f aca="false">IFERROR(D12/D9,"")</f>
        <v>0.339993339435915</v>
      </c>
      <c r="E13" s="99" t="n">
        <f aca="false">IFERROR(E12/E9,"")</f>
        <v>0.365937000813205</v>
      </c>
      <c r="F13" s="99" t="n">
        <f aca="false">IFERROR(F12/F9,"")</f>
        <v>0.378002315564053</v>
      </c>
      <c r="G13" s="99" t="n">
        <f aca="false">IFERROR(G12/G9,"")</f>
        <v>0.383821756161386</v>
      </c>
      <c r="H13" s="99" t="n">
        <f aca="false">IFERROR(H12/H9,"")</f>
        <v>0.385340005421681</v>
      </c>
      <c r="J13" s="100" t="n">
        <f aca="false">IFERROR(AVERAGE(Model!C205,Model!D205,Model!E205,Model!F205,Model!G205,Model!H205,Model!I205,Model!N205,Model!S205,Model!X205,Model!AC205,Model!AH205,Model!AM205,Model!AR205,Model!AW205,Model!BB205,Model!BG205,Model!BL205,Model!BQ205,Model!BV205),"")</f>
        <v>0.247037657604221</v>
      </c>
      <c r="K13" s="100" t="n">
        <f aca="false">IFERROR(MIN(Model!C205,Model!D205,Model!E205,Model!F205,Model!G205,Model!H205,Model!I205,Model!N205,Model!S205,Model!X205,Model!AC205,Model!AH205,Model!AM205,Model!AR205,Model!AW205,Model!BB205,Model!BG205,Model!BL205,Model!BQ205,Model!BV205),"")</f>
        <v>0.161906164114645</v>
      </c>
      <c r="L13" s="100" t="n">
        <f aca="false">IFERROR(MAX(Model!C205,Model!D205,Model!E205,Model!F205,Model!G205,Model!H205,Model!I205,Model!N205,Model!S205,Model!X205,Model!AC205,Model!AH205,Model!AM205,Model!AR205,Model!AW205,Model!BB205,Model!BG205,Model!BL205,Model!BQ205,Model!BV205),"")</f>
        <v>0.335772357723577</v>
      </c>
      <c r="N13" s="93" t="s">
        <v>665</v>
      </c>
      <c r="O13" s="98" t="n">
        <v>0.335772357723577</v>
      </c>
      <c r="P13" s="99" t="n">
        <v>0.344454687759807</v>
      </c>
      <c r="Q13" s="99" t="n">
        <v>0.386556038329399</v>
      </c>
      <c r="R13" s="99" t="n">
        <v>0.39646710392203</v>
      </c>
      <c r="S13" s="99" t="n">
        <v>0.400539402277935</v>
      </c>
      <c r="T13" s="99" t="n">
        <v>0.400760226869715</v>
      </c>
      <c r="V13" s="100" t="n">
        <v>0.247037657604221</v>
      </c>
      <c r="W13" s="100" t="n">
        <v>0.161906164114645</v>
      </c>
      <c r="X13" s="100" t="n">
        <v>0.335772357723577</v>
      </c>
      <c r="Z13" s="93" t="s">
        <v>665</v>
      </c>
      <c r="AA13" s="98" t="n">
        <v>0.335772357723577</v>
      </c>
      <c r="AB13" s="99" t="n">
        <v>0.335418607244272</v>
      </c>
      <c r="AC13" s="99" t="n">
        <v>0.34448101611818</v>
      </c>
      <c r="AD13" s="99" t="n">
        <v>0.357667415334743</v>
      </c>
      <c r="AE13" s="99" t="n">
        <v>0.365086429932952</v>
      </c>
      <c r="AF13" s="99" t="n">
        <v>0.368095129664359</v>
      </c>
      <c r="AH13" s="100" t="n">
        <v>0.247037657604221</v>
      </c>
      <c r="AI13" s="100" t="n">
        <v>0.161906164114645</v>
      </c>
      <c r="AJ13" s="100" t="n">
        <v>0.335772357723577</v>
      </c>
    </row>
    <row r="15" customFormat="false" ht="15" hidden="false" customHeight="true" outlineLevel="0" collapsed="false">
      <c r="B15" s="89" t="s">
        <v>666</v>
      </c>
      <c r="C15" s="90" t="n">
        <f aca="false">Model!BV160</f>
        <v>1437</v>
      </c>
      <c r="D15" s="91" t="n">
        <f aca="false">Model!CA160</f>
        <v>1487.31040008068</v>
      </c>
      <c r="E15" s="91" t="n">
        <f aca="false">Model!CB160</f>
        <v>2221.73679727902</v>
      </c>
      <c r="F15" s="91" t="n">
        <f aca="false">Model!CC160</f>
        <v>2571.37060839369</v>
      </c>
      <c r="G15" s="91" t="n">
        <f aca="false">Model!CD160</f>
        <v>2881.02466624481</v>
      </c>
      <c r="H15" s="91" t="n">
        <f aca="false">Model!CE160</f>
        <v>3175.32094043046</v>
      </c>
      <c r="I15" s="92" t="n">
        <f aca="false">IFERROR((H15/C15)^(1/5)-1,"n/m")</f>
        <v>0.171834208410622</v>
      </c>
      <c r="N15" s="89" t="s">
        <v>666</v>
      </c>
      <c r="O15" s="90" t="n">
        <v>1437</v>
      </c>
      <c r="P15" s="91" t="n">
        <v>1557.31040008068</v>
      </c>
      <c r="Q15" s="91" t="n">
        <v>2567.99036086832</v>
      </c>
      <c r="R15" s="91" t="n">
        <v>3078.82595848667</v>
      </c>
      <c r="S15" s="91" t="n">
        <v>3574.32633451795</v>
      </c>
      <c r="T15" s="91" t="n">
        <v>4077.7144485956</v>
      </c>
      <c r="U15" s="92" t="n">
        <v>0.23194695482757</v>
      </c>
      <c r="Z15" s="89" t="s">
        <v>666</v>
      </c>
      <c r="AA15" s="90" t="n">
        <v>1437</v>
      </c>
      <c r="AB15" s="91" t="n">
        <v>1417.31040008068</v>
      </c>
      <c r="AC15" s="91" t="n">
        <v>1909.90199394653</v>
      </c>
      <c r="AD15" s="91" t="n">
        <v>2138.4195716879</v>
      </c>
      <c r="AE15" s="91" t="n">
        <v>2297.53413435292</v>
      </c>
      <c r="AF15" s="91" t="n">
        <v>2429.8500112126</v>
      </c>
      <c r="AG15" s="92" t="n">
        <v>0.110771017899289</v>
      </c>
    </row>
    <row r="16" customFormat="false" ht="15" hidden="false" customHeight="true" outlineLevel="0" collapsed="false">
      <c r="B16" s="93" t="s">
        <v>667</v>
      </c>
      <c r="C16" s="94"/>
      <c r="D16" s="95" t="n">
        <f aca="false">IFERROR(D15/C15-1,"")</f>
        <v>0.035010716827192</v>
      </c>
      <c r="E16" s="95" t="n">
        <f aca="false">IFERROR(E15/D15-1,"")</f>
        <v>0.493794971889194</v>
      </c>
      <c r="F16" s="95" t="n">
        <f aca="false">IFERROR(F15/E15-1,"")</f>
        <v>0.15736959100775</v>
      </c>
      <c r="G16" s="95" t="n">
        <f aca="false">IFERROR(G15/F15-1,"")</f>
        <v>0.120423736990818</v>
      </c>
      <c r="H16" s="95" t="n">
        <f aca="false">IFERROR(H15/G15-1,"")</f>
        <v>0.102149862732431</v>
      </c>
      <c r="N16" s="93" t="s">
        <v>667</v>
      </c>
      <c r="O16" s="94"/>
      <c r="P16" s="95" t="n">
        <v>0.0837233125126484</v>
      </c>
      <c r="Q16" s="95" t="n">
        <v>0.648990696225547</v>
      </c>
      <c r="R16" s="95" t="n">
        <v>0.19892426599515</v>
      </c>
      <c r="S16" s="95" t="n">
        <v>0.160938092218384</v>
      </c>
      <c r="T16" s="95" t="n">
        <v>0.140834402616328</v>
      </c>
      <c r="Z16" s="93" t="s">
        <v>667</v>
      </c>
      <c r="AA16" s="94"/>
      <c r="AB16" s="95" t="n">
        <v>-0.0137018788582631</v>
      </c>
      <c r="AC16" s="95" t="n">
        <v>0.347553784857444</v>
      </c>
      <c r="AD16" s="95" t="n">
        <v>0.119648850289522</v>
      </c>
      <c r="AE16" s="95" t="n">
        <v>0.074407550684463</v>
      </c>
      <c r="AF16" s="95" t="n">
        <v>0.0575903856579492</v>
      </c>
    </row>
    <row r="17" customFormat="false" ht="15" hidden="false" customHeight="true" outlineLevel="0" collapsed="false">
      <c r="B17" s="93" t="s">
        <v>668</v>
      </c>
      <c r="C17" s="98" t="n">
        <f aca="false">IFERROR(C15/C9,"")</f>
        <v>0.233658536585366</v>
      </c>
      <c r="D17" s="99" t="n">
        <f aca="false">IFERROR(D15/D9,"")</f>
        <v>0.186626276091184</v>
      </c>
      <c r="E17" s="99" t="n">
        <f aca="false">IFERROR(E15/E9,"")</f>
        <v>0.226319420441911</v>
      </c>
      <c r="F17" s="99" t="n">
        <f aca="false">IFERROR(F15/F9,"")</f>
        <v>0.242525160673819</v>
      </c>
      <c r="G17" s="99" t="n">
        <f aca="false">IFERROR(G15/G9,"")</f>
        <v>0.25066275955257</v>
      </c>
      <c r="H17" s="99" t="n">
        <f aca="false">IFERROR(H15/H9,"")</f>
        <v>0.254315150074721</v>
      </c>
      <c r="J17" s="100" t="n">
        <f aca="false">IFERROR(AVERAGE(Model!C240,Model!D240,Model!E240,Model!F240,Model!G240,Model!H240,Model!I240,Model!N240,Model!S240,Model!X240,Model!AC240,Model!AH240,Model!AM240,Model!AR240,Model!AW240,Model!BB240,Model!BG240,Model!BL240,Model!BQ240,Model!BV240),"")</f>
        <v>0.171518521269678</v>
      </c>
      <c r="K17" s="100" t="n">
        <f aca="false">IFERROR(MIN(Model!C240,Model!D240,Model!E240,Model!F240,Model!G240,Model!H240,Model!I240,Model!N240,Model!S240,Model!X240,Model!AC240,Model!AH240,Model!AM240,Model!AR240,Model!AW240,Model!BB240,Model!BG240,Model!BL240,Model!BQ240,Model!BV240),"")</f>
        <v>0.0760698861405575</v>
      </c>
      <c r="L17" s="100" t="n">
        <f aca="false">IFERROR(MAX(Model!C240,Model!D240,Model!E240,Model!F240,Model!G240,Model!H240,Model!I240,Model!N240,Model!S240,Model!X240,Model!AC240,Model!AH240,Model!AM240,Model!AR240,Model!AW240,Model!BB240,Model!BG240,Model!BL240,Model!BQ240,Model!BV240),"")</f>
        <v>0.414167686658507</v>
      </c>
      <c r="N17" s="93" t="s">
        <v>668</v>
      </c>
      <c r="O17" s="98" t="n">
        <v>0.233658536585366</v>
      </c>
      <c r="P17" s="99" t="n">
        <v>0.192988211170668</v>
      </c>
      <c r="Q17" s="99" t="n">
        <v>0.248677438570374</v>
      </c>
      <c r="R17" s="99" t="n">
        <v>0.263777144210515</v>
      </c>
      <c r="S17" s="99" t="n">
        <v>0.270974418165904</v>
      </c>
      <c r="T17" s="99" t="n">
        <v>0.273891632964826</v>
      </c>
      <c r="V17" s="100" t="n">
        <v>0.171518521269678</v>
      </c>
      <c r="W17" s="100" t="n">
        <v>0.0760698861405575</v>
      </c>
      <c r="X17" s="100" t="n">
        <v>0.414167686658507</v>
      </c>
      <c r="Z17" s="93" t="s">
        <v>668</v>
      </c>
      <c r="AA17" s="98" t="n">
        <v>0.233658536585366</v>
      </c>
      <c r="AB17" s="99" t="n">
        <v>0.180102654285329</v>
      </c>
      <c r="AC17" s="99" t="n">
        <v>0.203160442755726</v>
      </c>
      <c r="AD17" s="99" t="n">
        <v>0.219271109134164</v>
      </c>
      <c r="AE17" s="99" t="n">
        <v>0.22778019965808</v>
      </c>
      <c r="AF17" s="99" t="n">
        <v>0.231910275228887</v>
      </c>
      <c r="AH17" s="100" t="n">
        <v>0.171518521269678</v>
      </c>
      <c r="AI17" s="100" t="n">
        <v>0.0760698861405575</v>
      </c>
      <c r="AJ17" s="100" t="n">
        <v>0.414167686658507</v>
      </c>
    </row>
    <row r="19" customFormat="false" ht="15" hidden="false" customHeight="true" outlineLevel="0" collapsed="false">
      <c r="B19" s="89" t="s">
        <v>669</v>
      </c>
      <c r="C19" s="90" t="n">
        <f aca="false">Model!BV222</f>
        <v>1020.68515497553</v>
      </c>
      <c r="D19" s="91" t="n">
        <f aca="false">Model!CA222</f>
        <v>1088.16844625274</v>
      </c>
      <c r="E19" s="91" t="n">
        <f aca="false">Model!CB222</f>
        <v>1307.88503471762</v>
      </c>
      <c r="F19" s="91" t="n">
        <f aca="false">Model!CC222</f>
        <v>1617.81428933986</v>
      </c>
      <c r="G19" s="91" t="n">
        <f aca="false">Model!CD222</f>
        <v>1887.9941935602</v>
      </c>
      <c r="H19" s="91" t="n">
        <f aca="false">Model!CE222</f>
        <v>2108.09833001768</v>
      </c>
      <c r="I19" s="92" t="n">
        <f aca="false">IFERROR((H19/C19)^(1/5)-1,"n/m")</f>
        <v>0.156111744846453</v>
      </c>
      <c r="N19" s="89" t="s">
        <v>669</v>
      </c>
      <c r="O19" s="90" t="n">
        <v>1020.68515497553</v>
      </c>
      <c r="P19" s="91" t="n">
        <v>1143.39537514836</v>
      </c>
      <c r="Q19" s="91" t="n">
        <v>1575.72483323164</v>
      </c>
      <c r="R19" s="91" t="n">
        <v>2000.61204325245</v>
      </c>
      <c r="S19" s="91" t="n">
        <v>2370.81080370465</v>
      </c>
      <c r="T19" s="91" t="n">
        <v>2695.30466311083</v>
      </c>
      <c r="U19" s="92" t="n">
        <v>0.214348142548769</v>
      </c>
      <c r="Z19" s="89" t="s">
        <v>669</v>
      </c>
      <c r="AA19" s="90" t="n">
        <v>1020.68515497553</v>
      </c>
      <c r="AB19" s="91" t="n">
        <v>1032.94151735713</v>
      </c>
      <c r="AC19" s="91" t="n">
        <v>1062.99741875145</v>
      </c>
      <c r="AD19" s="91" t="n">
        <v>1270.10195965704</v>
      </c>
      <c r="AE19" s="91" t="n">
        <v>1432.05142117476</v>
      </c>
      <c r="AF19" s="91" t="n">
        <v>1560.99677676723</v>
      </c>
      <c r="AG19" s="92" t="n">
        <v>0.0886845045991473</v>
      </c>
    </row>
    <row r="21" customFormat="false" ht="15" hidden="false" customHeight="true" outlineLevel="0" collapsed="false">
      <c r="B21" s="89" t="s">
        <v>670</v>
      </c>
      <c r="C21" s="101" t="n">
        <f aca="false">Model!BV180</f>
        <v>60.6</v>
      </c>
      <c r="D21" s="102" t="n">
        <f aca="false">Model!CA180</f>
        <v>64.2087533125</v>
      </c>
      <c r="E21" s="102" t="n">
        <f aca="false">Model!CB180</f>
        <v>71.329402</v>
      </c>
      <c r="F21" s="102" t="n">
        <f aca="false">Model!CC180</f>
        <v>71.479402</v>
      </c>
      <c r="G21" s="102" t="n">
        <f aca="false">Model!CD180</f>
        <v>70.5439241926701</v>
      </c>
      <c r="H21" s="102" t="n">
        <f aca="false">Model!CE180</f>
        <v>67.9415070302915</v>
      </c>
      <c r="I21" s="92" t="n">
        <f aca="false">IFERROR((H21/C21)^(1/5)-1,"n/m")</f>
        <v>0.0231339841977125</v>
      </c>
      <c r="N21" s="89" t="s">
        <v>670</v>
      </c>
      <c r="O21" s="101" t="n">
        <v>60.6</v>
      </c>
      <c r="P21" s="102" t="n">
        <v>64.1605558958815</v>
      </c>
      <c r="Q21" s="102" t="n">
        <v>71.1366123335261</v>
      </c>
      <c r="R21" s="102" t="n">
        <v>70.1662566552633</v>
      </c>
      <c r="S21" s="102" t="n">
        <v>67.0665730588887</v>
      </c>
      <c r="T21" s="102" t="n">
        <v>62.8049377305377</v>
      </c>
      <c r="U21" s="92" t="n">
        <v>0.007173366932405</v>
      </c>
      <c r="Z21" s="89" t="s">
        <v>670</v>
      </c>
      <c r="AA21" s="101" t="n">
        <v>60.6</v>
      </c>
      <c r="AB21" s="102" t="n">
        <v>64.2087533125</v>
      </c>
      <c r="AC21" s="102" t="n">
        <v>71.329402</v>
      </c>
      <c r="AD21" s="102" t="n">
        <v>71.479402</v>
      </c>
      <c r="AE21" s="102" t="n">
        <v>71.629402</v>
      </c>
      <c r="AF21" s="102" t="n">
        <v>71.3088694263272</v>
      </c>
      <c r="AG21" s="92" t="n">
        <v>0.0330805506547189</v>
      </c>
    </row>
    <row r="23" customFormat="false" ht="15" hidden="false" customHeight="true" outlineLevel="0" collapsed="false">
      <c r="B23" s="89" t="s">
        <v>671</v>
      </c>
      <c r="C23" s="103" t="n">
        <f aca="false">Model!BV224</f>
        <v>16.8429893560319</v>
      </c>
      <c r="D23" s="104" t="n">
        <f aca="false">Model!CA224</f>
        <v>16.9473535945589</v>
      </c>
      <c r="E23" s="104" t="n">
        <f aca="false">Model!CB224</f>
        <v>18.3358474632609</v>
      </c>
      <c r="F23" s="104" t="n">
        <f aca="false">Model!CC224</f>
        <v>22.6332935653248</v>
      </c>
      <c r="G23" s="104" t="n">
        <f aca="false">Model!CD224</f>
        <v>26.76338487215</v>
      </c>
      <c r="H23" s="104" t="n">
        <f aca="false">Model!CE224</f>
        <v>31.028136144784</v>
      </c>
      <c r="I23" s="92" t="n">
        <f aca="false">IFERROR((H23/C23)^(1/5)-1,"n/m")</f>
        <v>0.129971013281329</v>
      </c>
      <c r="N23" s="89" t="s">
        <v>671</v>
      </c>
      <c r="O23" s="103" t="n">
        <v>16.8429893560319</v>
      </c>
      <c r="P23" s="104" t="n">
        <v>17.8208458325055</v>
      </c>
      <c r="Q23" s="104" t="n">
        <v>22.1506869886326</v>
      </c>
      <c r="R23" s="104" t="n">
        <v>28.5124522615157</v>
      </c>
      <c r="S23" s="104" t="n">
        <v>35.3501110250993</v>
      </c>
      <c r="T23" s="104" t="n">
        <v>42.9154897768538</v>
      </c>
      <c r="U23" s="92" t="n">
        <v>0.205699219636205</v>
      </c>
      <c r="Z23" s="89" t="s">
        <v>671</v>
      </c>
      <c r="AA23" s="103" t="n">
        <v>16.8429893560319</v>
      </c>
      <c r="AB23" s="104" t="n">
        <v>16.0872383291709</v>
      </c>
      <c r="AC23" s="104" t="n">
        <v>14.9026542904628</v>
      </c>
      <c r="AD23" s="104" t="n">
        <v>17.7687826719232</v>
      </c>
      <c r="AE23" s="104" t="n">
        <v>19.9925084000389</v>
      </c>
      <c r="AF23" s="104" t="n">
        <v>21.8906398225816</v>
      </c>
      <c r="AG23" s="92" t="n">
        <v>0.0538234447538377</v>
      </c>
    </row>
    <row r="24" customFormat="false" ht="15" hidden="false" customHeight="true" outlineLevel="0" collapsed="false">
      <c r="B24" s="93" t="s">
        <v>672</v>
      </c>
      <c r="C24" s="94"/>
      <c r="D24" s="95" t="n">
        <f aca="false">IFERROR(D23/C23-1,"")</f>
        <v>0.00619630140000615</v>
      </c>
      <c r="E24" s="95" t="n">
        <f aca="false">IFERROR(E23/D23-1,"")</f>
        <v>0.0819298341156782</v>
      </c>
      <c r="F24" s="95" t="n">
        <f aca="false">IFERROR(F23/E23-1,"")</f>
        <v>0.234374010291839</v>
      </c>
      <c r="G24" s="95" t="n">
        <f aca="false">IFERROR(G23/F23-1,"")</f>
        <v>0.182478581603903</v>
      </c>
      <c r="H24" s="95" t="n">
        <f aca="false">IFERROR(H23/G23-1,"")</f>
        <v>0.159350220198489</v>
      </c>
      <c r="N24" s="93" t="s">
        <v>672</v>
      </c>
      <c r="O24" s="94"/>
      <c r="P24" s="95" t="n">
        <v>0.0580571806942021</v>
      </c>
      <c r="Q24" s="95" t="n">
        <v>0.242964963437896</v>
      </c>
      <c r="R24" s="95" t="n">
        <v>0.287203971423001</v>
      </c>
      <c r="S24" s="95" t="n">
        <v>0.239813071877113</v>
      </c>
      <c r="T24" s="95" t="n">
        <v>0.214012871031238</v>
      </c>
      <c r="Z24" s="93" t="s">
        <v>672</v>
      </c>
      <c r="AA24" s="94"/>
      <c r="AB24" s="95" t="n">
        <v>-0.0448703618393164</v>
      </c>
      <c r="AC24" s="95" t="n">
        <v>-0.0736350151884134</v>
      </c>
      <c r="AD24" s="95" t="n">
        <v>0.192323348955001</v>
      </c>
      <c r="AE24" s="95" t="n">
        <v>0.125147893875104</v>
      </c>
      <c r="AF24" s="95" t="n">
        <v>0.0949421345517145</v>
      </c>
    </row>
    <row r="26" customFormat="false" ht="15" hidden="false" customHeight="true" outlineLevel="0" collapsed="false">
      <c r="B26" s="93" t="s">
        <v>673</v>
      </c>
      <c r="C26" s="105"/>
      <c r="D26" s="105"/>
      <c r="E26" s="105"/>
      <c r="F26" s="105" t="n">
        <v>26</v>
      </c>
      <c r="G26" s="105" t="n">
        <v>26</v>
      </c>
      <c r="H26" s="105" t="n">
        <v>26</v>
      </c>
      <c r="N26" s="93" t="s">
        <v>673</v>
      </c>
      <c r="O26" s="105"/>
      <c r="P26" s="105"/>
      <c r="Q26" s="105"/>
      <c r="R26" s="105" t="n">
        <v>30</v>
      </c>
      <c r="S26" s="105" t="n">
        <v>30</v>
      </c>
      <c r="T26" s="105" t="n">
        <v>30</v>
      </c>
      <c r="Z26" s="93" t="s">
        <v>673</v>
      </c>
      <c r="AA26" s="105"/>
      <c r="AB26" s="105"/>
      <c r="AC26" s="105"/>
      <c r="AD26" s="105" t="n">
        <v>21</v>
      </c>
      <c r="AE26" s="105" t="n">
        <v>21</v>
      </c>
      <c r="AF26" s="105" t="n">
        <v>21</v>
      </c>
    </row>
    <row r="27" customFormat="false" ht="15" hidden="false" customHeight="true" outlineLevel="0" collapsed="false">
      <c r="B27" s="11" t="s">
        <v>674</v>
      </c>
      <c r="C27" s="106"/>
      <c r="D27" s="106"/>
      <c r="E27" s="106"/>
      <c r="F27" s="106" t="n">
        <f aca="false">F26*F23</f>
        <v>588.465632698444</v>
      </c>
      <c r="G27" s="106" t="n">
        <f aca="false">G26*G23</f>
        <v>695.848006675899</v>
      </c>
      <c r="H27" s="106" t="n">
        <f aca="false">H26*H23</f>
        <v>806.731539764384</v>
      </c>
      <c r="N27" s="11" t="s">
        <v>674</v>
      </c>
      <c r="O27" s="106"/>
      <c r="P27" s="106"/>
      <c r="Q27" s="106"/>
      <c r="R27" s="106" t="n">
        <f aca="false">R26*R23</f>
        <v>855.373567845471</v>
      </c>
      <c r="S27" s="106" t="n">
        <f aca="false">S26*S23</f>
        <v>1060.50333075298</v>
      </c>
      <c r="T27" s="106" t="n">
        <f aca="false">T26*T23</f>
        <v>1287.46469330561</v>
      </c>
      <c r="Z27" s="11" t="s">
        <v>674</v>
      </c>
      <c r="AA27" s="106"/>
      <c r="AB27" s="106"/>
      <c r="AC27" s="106"/>
      <c r="AD27" s="106" t="n">
        <f aca="false">AD26*AD23</f>
        <v>373.144436110387</v>
      </c>
      <c r="AE27" s="106" t="n">
        <f aca="false">AE26*AE23</f>
        <v>419.842676400817</v>
      </c>
      <c r="AF27" s="106" t="n">
        <f aca="false">AF26*AF23</f>
        <v>459.703436274214</v>
      </c>
    </row>
    <row r="28" customFormat="false" ht="15" hidden="false" customHeight="true" outlineLevel="0" collapsed="false">
      <c r="B28" s="0" t="s">
        <v>675</v>
      </c>
      <c r="E28" s="107"/>
      <c r="F28" s="107" t="n">
        <f aca="false">IFERROR(F27/$K$2-1,"")</f>
        <v>0.134500930592721</v>
      </c>
      <c r="G28" s="107" t="n">
        <f aca="false">IFERROR(G27/$K$2-1,"")</f>
        <v>0.341523051235588</v>
      </c>
      <c r="H28" s="107" t="n">
        <f aca="false">IFERROR(H27/$K$2-1,"")</f>
        <v>0.555295044851328</v>
      </c>
      <c r="N28" s="108" t="s">
        <v>675</v>
      </c>
      <c r="O28" s="107"/>
      <c r="P28" s="107"/>
      <c r="Q28" s="107"/>
      <c r="R28" s="107" t="n">
        <f aca="false">IFERROR(R27/$K$2-1,"")</f>
        <v>0.649071848554986</v>
      </c>
      <c r="S28" s="107" t="n">
        <f aca="false">IFERROR(S27/$K$2-1,"")</f>
        <v>1.04454083430303</v>
      </c>
      <c r="T28" s="107" t="n">
        <f aca="false">IFERROR(T27/$K$2-1,"")</f>
        <v>1.48209888819282</v>
      </c>
      <c r="Z28" s="108" t="s">
        <v>675</v>
      </c>
      <c r="AA28" s="107"/>
      <c r="AB28" s="107"/>
      <c r="AC28" s="107"/>
      <c r="AD28" s="107" t="n">
        <f aca="false">IFERROR(AD27/$K$2-1,"")</f>
        <v>-0.280616086156955</v>
      </c>
      <c r="AE28" s="107" t="n">
        <f aca="false">IFERROR(AE27/$K$2-1,"")</f>
        <v>-0.190586704451866</v>
      </c>
      <c r="AF28" s="107" t="n">
        <f aca="false">IFERROR(AF27/$K$2-1,"")</f>
        <v>-0.113739278437992</v>
      </c>
    </row>
    <row r="29" customFormat="false" ht="15" hidden="false" customHeight="true" outlineLevel="0" collapsed="false">
      <c r="B29" s="83" t="s">
        <v>676</v>
      </c>
      <c r="C29" s="109"/>
      <c r="D29" s="109"/>
      <c r="E29" s="109"/>
      <c r="F29" s="109" t="n">
        <f aca="false">IFERROR((F27/$K$2)^(1/((DATE(2028-1,12,31)-$K$3)/365.25))-1,"")</f>
        <v>0.10710467309925</v>
      </c>
      <c r="G29" s="109" t="n">
        <f aca="false">IFERROR((G27/$K$2)^(1/((DATE(2029-1,12,31)-$K$3)/365.25))-1,"")</f>
        <v>0.14000047181511</v>
      </c>
      <c r="H29" s="109" t="n">
        <f aca="false">IFERROR((H27/$K$2)^(1/((DATE(2030-1,12,31)-$K$3)/365.25))-1,"")</f>
        <v>0.145966645250626</v>
      </c>
      <c r="N29" s="83" t="s">
        <v>676</v>
      </c>
      <c r="O29" s="109"/>
      <c r="P29" s="109"/>
      <c r="Q29" s="109"/>
      <c r="R29" s="109" t="n">
        <f aca="false">IFERROR((R27/$K$2)^(1/((DATE(2028-1,12,31)-$K$3)/365.25))-1,"")</f>
        <v>0.496781481574409</v>
      </c>
      <c r="S29" s="109" t="n">
        <f aca="false">IFERROR((S27/$K$2)^(1/((DATE(2029-1,12,31)-$K$3)/365.25))-1,"")</f>
        <v>0.375677455413457</v>
      </c>
      <c r="T29" s="109" t="n">
        <f aca="false">IFERROR((T27/$K$2)^(1/((DATE(2030-1,12,31)-$K$3)/365.25))-1,"")</f>
        <v>0.323722703825216</v>
      </c>
      <c r="Z29" s="83" t="s">
        <v>676</v>
      </c>
      <c r="AA29" s="109"/>
      <c r="AB29" s="109"/>
      <c r="AC29" s="109"/>
      <c r="AD29" s="109" t="n">
        <f aca="false">IFERROR((AD27/$K$2)^(1/((DATE(2028-1,12,31)-$K$3)/365.25))-1,"")</f>
        <v>-0.233223733713296</v>
      </c>
      <c r="AE29" s="109" t="n">
        <f aca="false">IFERROR((AE27/$K$2)^(1/((DATE(2029-1,12,31)-$K$3)/365.25))-1,"")</f>
        <v>-0.0899889624992714</v>
      </c>
      <c r="AF29" s="109" t="n">
        <f aca="false">IFERROR((AF27/$K$2)^(1/((DATE(2030-1,12,31)-$K$3)/365.25))-1,"")</f>
        <v>-0.036562950235415</v>
      </c>
    </row>
    <row r="31" customFormat="false" ht="15" hidden="false" customHeight="true" outlineLevel="0" collapsed="false">
      <c r="B31" s="89" t="s">
        <v>677</v>
      </c>
      <c r="C31" s="90" t="n">
        <f aca="false">Model!BV273</f>
        <v>978</v>
      </c>
      <c r="D31" s="91" t="n">
        <f aca="false">Model!CA273</f>
        <v>937.966535585376</v>
      </c>
      <c r="E31" s="91" t="n">
        <f aca="false">Model!CB273</f>
        <v>1666.41996533985</v>
      </c>
      <c r="F31" s="91" t="n">
        <f aca="false">Model!CC273</f>
        <v>1961.00066571767</v>
      </c>
      <c r="G31" s="91" t="n">
        <f aca="false">Model!CD273</f>
        <v>2225.11110696213</v>
      </c>
      <c r="H31" s="91" t="n">
        <f aca="false">Model!CE273</f>
        <v>2445.35689410866</v>
      </c>
      <c r="I31" s="92" t="n">
        <f aca="false">IFERROR((H31/C31)^(1/5)-1,"n/m")</f>
        <v>0.201159497311263</v>
      </c>
      <c r="N31" s="89" t="s">
        <v>677</v>
      </c>
      <c r="O31" s="90" t="n">
        <v>978</v>
      </c>
      <c r="P31" s="91" t="n">
        <v>980.414388990213</v>
      </c>
      <c r="Q31" s="91" t="n">
        <v>1889.32869025163</v>
      </c>
      <c r="R31" s="91" t="n">
        <v>2257.83235391201</v>
      </c>
      <c r="S31" s="91" t="n">
        <v>2626.1708863504</v>
      </c>
      <c r="T31" s="91" t="n">
        <v>2954.26391886549</v>
      </c>
      <c r="U31" s="92" t="n">
        <v>0.247446954615274</v>
      </c>
      <c r="Z31" s="89" t="s">
        <v>677</v>
      </c>
      <c r="AA31" s="90" t="n">
        <v>978</v>
      </c>
      <c r="AB31" s="91" t="n">
        <v>895.492962076907</v>
      </c>
      <c r="AC31" s="91" t="n">
        <v>1452.21351186587</v>
      </c>
      <c r="AD31" s="91" t="n">
        <v>1682.63122647077</v>
      </c>
      <c r="AE31" s="91" t="n">
        <v>1849.29338762066</v>
      </c>
      <c r="AF31" s="91" t="n">
        <v>1971.04956677729</v>
      </c>
      <c r="AG31" s="92" t="n">
        <v>0.150460568984161</v>
      </c>
    </row>
    <row r="32" customFormat="false" ht="15" hidden="false" customHeight="true" outlineLevel="0" collapsed="false">
      <c r="B32" s="93" t="s">
        <v>678</v>
      </c>
      <c r="C32" s="98" t="n">
        <f aca="false">IFERROR(C31/C9,"")</f>
        <v>0.159024390243902</v>
      </c>
      <c r="D32" s="99" t="n">
        <f aca="false">IFERROR(D31/D9,"")</f>
        <v>0.117695137225527</v>
      </c>
      <c r="E32" s="99" t="n">
        <f aca="false">IFERROR(E31/E9,"")</f>
        <v>0.169751521075961</v>
      </c>
      <c r="F32" s="99" t="n">
        <f aca="false">IFERROR(F31/F9,"")</f>
        <v>0.184956614181626</v>
      </c>
      <c r="G32" s="99" t="n">
        <f aca="false">IFERROR(G31/G9,"")</f>
        <v>0.193595180533178</v>
      </c>
      <c r="H32" s="99" t="n">
        <f aca="false">IFERROR(H31/H9,"")</f>
        <v>0.195851479953769</v>
      </c>
      <c r="J32" s="100" t="n">
        <f aca="false">IFERROR(AVERAGE(Model!C275,Model!D275,Model!E275,Model!F275,Model!G275,Model!H275,Model!I275,Model!N275,Model!S275,Model!X275,Model!AC275,Model!AH275,Model!AM275,Model!AR275,Model!AW275,Model!BB275,Model!BG275,Model!BL275,Model!BQ275,Model!BV275),"")</f>
        <v>0.0840887289198586</v>
      </c>
      <c r="K32" s="100" t="n">
        <f aca="false">IFERROR(MIN(Model!C275,Model!D275,Model!E275,Model!F275,Model!G275,Model!H275,Model!I275,Model!N275,Model!S275,Model!X275,Model!AC275,Model!AH275,Model!AM275,Model!AR275,Model!AW275,Model!BB275,Model!BG275,Model!BL275,Model!BQ275,Model!BV275),"")</f>
        <v>0.0327302393038434</v>
      </c>
      <c r="L32" s="100" t="n">
        <f aca="false">IFERROR(MAX(Model!C275,Model!D275,Model!E275,Model!F275,Model!G275,Model!H275,Model!I275,Model!N275,Model!S275,Model!X275,Model!AC275,Model!AH275,Model!AM275,Model!AR275,Model!AW275,Model!BB275,Model!BG275,Model!BL275,Model!BQ275,Model!BV275),"")</f>
        <v>0.159024390243902</v>
      </c>
      <c r="N32" s="93" t="s">
        <v>678</v>
      </c>
      <c r="O32" s="98" t="n">
        <v>0.159024390243902</v>
      </c>
      <c r="P32" s="99" t="n">
        <v>0.121496921312157</v>
      </c>
      <c r="Q32" s="99" t="n">
        <v>0.182957625725055</v>
      </c>
      <c r="R32" s="99" t="n">
        <v>0.193438855736344</v>
      </c>
      <c r="S32" s="99" t="n">
        <v>0.19909349660123</v>
      </c>
      <c r="T32" s="99" t="n">
        <v>0.198431787989915</v>
      </c>
      <c r="V32" s="100" t="n">
        <v>0.0840887289198586</v>
      </c>
      <c r="W32" s="100" t="n">
        <v>0.0327302393038434</v>
      </c>
      <c r="X32" s="100" t="n">
        <v>0.159024390243902</v>
      </c>
      <c r="Z32" s="93" t="s">
        <v>678</v>
      </c>
      <c r="AA32" s="98" t="n">
        <v>0.159024390243902</v>
      </c>
      <c r="AB32" s="99" t="n">
        <v>0.11379346355936</v>
      </c>
      <c r="AC32" s="99" t="n">
        <v>0.154475120179793</v>
      </c>
      <c r="AD32" s="99" t="n">
        <v>0.172535090950744</v>
      </c>
      <c r="AE32" s="99" t="n">
        <v>0.183341091982182</v>
      </c>
      <c r="AF32" s="99" t="n">
        <v>0.188121343050711</v>
      </c>
      <c r="AH32" s="100" t="n">
        <v>0.0840887289198586</v>
      </c>
      <c r="AI32" s="100" t="n">
        <v>0.0327302393038434</v>
      </c>
      <c r="AJ32" s="100" t="n">
        <v>0.159024390243902</v>
      </c>
    </row>
    <row r="33" customFormat="false" ht="15" hidden="false" customHeight="true" outlineLevel="0" collapsed="false">
      <c r="B33" s="93" t="s">
        <v>679</v>
      </c>
      <c r="C33" s="110" t="n">
        <f aca="false">IFERROR(C31/C21,"")</f>
        <v>16.1386138613861</v>
      </c>
      <c r="D33" s="111" t="n">
        <f aca="false">IFERROR(D31/D21,"")</f>
        <v>14.6080789175325</v>
      </c>
      <c r="E33" s="111" t="n">
        <f aca="false">IFERROR(E31/E21,"")</f>
        <v>23.3623150988965</v>
      </c>
      <c r="F33" s="111" t="n">
        <f aca="false">IFERROR(F31/F21,"")</f>
        <v>27.4344861715222</v>
      </c>
      <c r="G33" s="111" t="n">
        <f aca="false">IFERROR(G31/G21,"")</f>
        <v>31.5422076731214</v>
      </c>
      <c r="H33" s="111" t="n">
        <f aca="false">IFERROR(H31/H21,"")</f>
        <v>35.9920908586618</v>
      </c>
      <c r="N33" s="93" t="s">
        <v>679</v>
      </c>
      <c r="O33" s="110" t="n">
        <v>16.1386138613861</v>
      </c>
      <c r="P33" s="111" t="n">
        <v>15.2806405010145</v>
      </c>
      <c r="Q33" s="111" t="n">
        <v>26.5591603012167</v>
      </c>
      <c r="R33" s="111" t="n">
        <v>32.178321340485</v>
      </c>
      <c r="S33" s="111" t="n">
        <v>39.1576722437339</v>
      </c>
      <c r="T33" s="111" t="n">
        <v>47.0387206104821</v>
      </c>
      <c r="Z33" s="93" t="s">
        <v>679</v>
      </c>
      <c r="AA33" s="110" t="n">
        <v>16.1386138613861</v>
      </c>
      <c r="AB33" s="111" t="n">
        <v>13.9465869664</v>
      </c>
      <c r="AC33" s="111" t="n">
        <v>20.3592553862412</v>
      </c>
      <c r="AD33" s="111" t="n">
        <v>23.5400853867071</v>
      </c>
      <c r="AE33" s="111" t="n">
        <v>25.8175181697128</v>
      </c>
      <c r="AF33" s="111" t="n">
        <v>27.6410155235133</v>
      </c>
    </row>
    <row r="34" customFormat="false" ht="15" hidden="false" customHeight="true" outlineLevel="0" collapsed="false">
      <c r="B34" s="93" t="s">
        <v>680</v>
      </c>
      <c r="E34" s="112"/>
      <c r="F34" s="112" t="n">
        <f aca="false">IFERROR(F33/F$27,"")</f>
        <v>0.0466203710923945</v>
      </c>
      <c r="G34" s="112" t="n">
        <f aca="false">IFERROR(G33/G$27,"")</f>
        <v>0.0453291629357394</v>
      </c>
      <c r="H34" s="112" t="n">
        <f aca="false">IFERROR(H33/H$27,"")</f>
        <v>0.0446147064848534</v>
      </c>
      <c r="N34" s="93" t="s">
        <v>680</v>
      </c>
      <c r="Q34" s="112"/>
      <c r="R34" s="112" t="n">
        <f aca="false">IFERROR(R33/R$27,"")</f>
        <v>0.0376190269960484</v>
      </c>
      <c r="S34" s="112" t="n">
        <f aca="false">IFERROR(S33/S$27,"")</f>
        <v>0.0369236673834217</v>
      </c>
      <c r="T34" s="112" t="n">
        <f aca="false">IFERROR(T33/T$27,"")</f>
        <v>0.0365359305424589</v>
      </c>
      <c r="Z34" s="93" t="s">
        <v>680</v>
      </c>
      <c r="AC34" s="112"/>
      <c r="AD34" s="112" t="n">
        <f aca="false">IFERROR(AD33/AD$27,"")</f>
        <v>0.0630857199214495</v>
      </c>
      <c r="AE34" s="112" t="n">
        <f aca="false">IFERROR(AE33/AE$27,"")</f>
        <v>0.0614933155224678</v>
      </c>
      <c r="AF34" s="112" t="n">
        <f aca="false">IFERROR(AF33/AF$27,"")</f>
        <v>0.060127928882884</v>
      </c>
    </row>
    <row r="35" customFormat="false" ht="15" hidden="false" customHeight="true" outlineLevel="0" collapsed="false">
      <c r="B35" s="89" t="s">
        <v>681</v>
      </c>
      <c r="C35" s="90" t="n">
        <f aca="false">Model!BV214</f>
        <v>2065</v>
      </c>
      <c r="D35" s="91" t="n">
        <f aca="false">Model!CA214</f>
        <v>3197.22143129859</v>
      </c>
      <c r="E35" s="91" t="n">
        <f aca="false">Model!CB214</f>
        <v>3592.33731955095</v>
      </c>
      <c r="F35" s="91" t="n">
        <f aca="false">Model!CC214</f>
        <v>4007.76579817802</v>
      </c>
      <c r="G35" s="91" t="n">
        <f aca="false">Model!CD214</f>
        <v>4411.50472019135</v>
      </c>
      <c r="H35" s="91" t="n">
        <f aca="false">Model!CE214</f>
        <v>4811.26739025004</v>
      </c>
      <c r="I35" s="92" t="n">
        <f aca="false">IFERROR((H35/C35)^(1/5)-1,"n/m")</f>
        <v>0.184316793485251</v>
      </c>
      <c r="N35" s="89" t="s">
        <v>681</v>
      </c>
      <c r="O35" s="90" t="n">
        <v>2065</v>
      </c>
      <c r="P35" s="91" t="n">
        <v>3267.22143129859</v>
      </c>
      <c r="Q35" s="91" t="n">
        <v>3991.80635795564</v>
      </c>
      <c r="R35" s="91" t="n">
        <v>4627.59279199338</v>
      </c>
      <c r="S35" s="91" t="n">
        <v>5283.37155685881</v>
      </c>
      <c r="T35" s="91" t="n">
        <v>5966.54140120796</v>
      </c>
      <c r="U35" s="92" t="n">
        <v>0.236404339018682</v>
      </c>
      <c r="Z35" s="89" t="s">
        <v>681</v>
      </c>
      <c r="AA35" s="90" t="n">
        <v>2065</v>
      </c>
      <c r="AB35" s="91" t="n">
        <v>3127.22143129859</v>
      </c>
      <c r="AC35" s="91" t="n">
        <v>3238.45021519228</v>
      </c>
      <c r="AD35" s="91" t="n">
        <v>3488.11571267632</v>
      </c>
      <c r="AE35" s="91" t="n">
        <v>3682.49099798454</v>
      </c>
      <c r="AF35" s="91" t="n">
        <v>3856.73275606047</v>
      </c>
      <c r="AG35" s="92" t="n">
        <v>0.133078236838573</v>
      </c>
    </row>
    <row r="36" customFormat="false" ht="15" hidden="false" customHeight="true" outlineLevel="0" collapsed="false">
      <c r="B36" s="93" t="s">
        <v>682</v>
      </c>
      <c r="C36" s="98" t="n">
        <f aca="false">IFERROR(C35/C9,"")</f>
        <v>0.335772357723577</v>
      </c>
      <c r="D36" s="99" t="n">
        <f aca="false">IFERROR(D35/D9,"")</f>
        <v>0.401184264918619</v>
      </c>
      <c r="E36" s="99" t="n">
        <f aca="false">IFERROR(E35/E9,"")</f>
        <v>0.365937000813205</v>
      </c>
      <c r="F36" s="99" t="n">
        <f aca="false">IFERROR(F35/F9,"")</f>
        <v>0.378002315564053</v>
      </c>
      <c r="G36" s="99" t="n">
        <f aca="false">IFERROR(G35/G9,"")</f>
        <v>0.383821756161386</v>
      </c>
      <c r="H36" s="99" t="n">
        <f aca="false">IFERROR(H35/H9,"")</f>
        <v>0.385340005421681</v>
      </c>
      <c r="J36" s="100" t="n">
        <f aca="false">IFERROR(AVERAGE(Model!C238,Model!D238,Model!E238,Model!F238,Model!G238,Model!H238,Model!I238,Model!N238,Model!S238,Model!X238,Model!AC238,Model!AH238,Model!AM238,Model!AR238,Model!AW238,Model!BB238,Model!BG238,Model!BL238,Model!BQ238,Model!BV238),"")</f>
        <v>0.247037657604221</v>
      </c>
      <c r="K36" s="100" t="n">
        <f aca="false">IFERROR(MIN(Model!C238,Model!D238,Model!E238,Model!F238,Model!G238,Model!H238,Model!I238,Model!N238,Model!S238,Model!X238,Model!AC238,Model!AH238,Model!AM238,Model!AR238,Model!AW238,Model!BB238,Model!BG238,Model!BL238,Model!BQ238,Model!BV238),"")</f>
        <v>0.161906164114645</v>
      </c>
      <c r="L36" s="100" t="n">
        <f aca="false">IFERROR(MAX(Model!C238,Model!D238,Model!E238,Model!F238,Model!G238,Model!H238,Model!I238,Model!N238,Model!S238,Model!X238,Model!AC238,Model!AH238,Model!AM238,Model!AR238,Model!AW238,Model!BB238,Model!BG238,Model!BL238,Model!BQ238,Model!BV238),"")</f>
        <v>0.335772357723577</v>
      </c>
      <c r="N36" s="93" t="s">
        <v>682</v>
      </c>
      <c r="O36" s="98" t="n">
        <v>0.335772357723577</v>
      </c>
      <c r="P36" s="99" t="n">
        <v>0.404887310514411</v>
      </c>
      <c r="Q36" s="99" t="n">
        <v>0.386556038329399</v>
      </c>
      <c r="R36" s="99" t="n">
        <v>0.39646710392203</v>
      </c>
      <c r="S36" s="99" t="n">
        <v>0.400539402277935</v>
      </c>
      <c r="T36" s="99" t="n">
        <v>0.400760226869715</v>
      </c>
      <c r="V36" s="100" t="n">
        <v>0.247037657604221</v>
      </c>
      <c r="W36" s="100" t="n">
        <v>0.161906164114645</v>
      </c>
      <c r="X36" s="100" t="n">
        <v>0.335772357723577</v>
      </c>
      <c r="Z36" s="93" t="s">
        <v>682</v>
      </c>
      <c r="AA36" s="98" t="n">
        <v>0.335772357723577</v>
      </c>
      <c r="AB36" s="99" t="n">
        <v>0.397387107497964</v>
      </c>
      <c r="AC36" s="99" t="n">
        <v>0.34448101611818</v>
      </c>
      <c r="AD36" s="99" t="n">
        <v>0.357667415334743</v>
      </c>
      <c r="AE36" s="99" t="n">
        <v>0.365086429932952</v>
      </c>
      <c r="AF36" s="99" t="n">
        <v>0.368095129664359</v>
      </c>
      <c r="AH36" s="100" t="n">
        <v>0.247037657604221</v>
      </c>
      <c r="AI36" s="100" t="n">
        <v>0.161906164114645</v>
      </c>
      <c r="AJ36" s="100" t="n">
        <v>0.335772357723577</v>
      </c>
    </row>
    <row r="38" customFormat="false" ht="15" hidden="false" customHeight="true" outlineLevel="0" collapsed="false">
      <c r="B38" s="89" t="s">
        <v>683</v>
      </c>
      <c r="C38" s="90" t="n">
        <f aca="false">Model!BV421</f>
        <v>5256</v>
      </c>
      <c r="D38" s="91" t="n">
        <f aca="false">Model!CA421</f>
        <v>12240.587978462</v>
      </c>
      <c r="E38" s="91" t="n">
        <f aca="false">Model!CB421</f>
        <v>10860.6543899285</v>
      </c>
      <c r="F38" s="91" t="n">
        <f aca="false">Model!CC421</f>
        <v>9702.10282524557</v>
      </c>
      <c r="G38" s="91" t="n">
        <f aca="false">Model!CD421</f>
        <v>9925.88562043053</v>
      </c>
      <c r="H38" s="91" t="n">
        <f aca="false">Model!CE421</f>
        <v>10825.3516280626</v>
      </c>
      <c r="N38" s="89" t="s">
        <v>683</v>
      </c>
      <c r="O38" s="90" t="n">
        <v>5256</v>
      </c>
      <c r="P38" s="91" t="n">
        <v>12297.9721088628</v>
      </c>
      <c r="Q38" s="91" t="n">
        <v>11194.4343683884</v>
      </c>
      <c r="R38" s="91" t="n">
        <v>11568.9819799835</v>
      </c>
      <c r="S38" s="91" t="n">
        <v>13208.428892147</v>
      </c>
      <c r="T38" s="91" t="n">
        <v>14916.3535030199</v>
      </c>
      <c r="Z38" s="89" t="s">
        <v>683</v>
      </c>
      <c r="AA38" s="90" t="n">
        <v>5256</v>
      </c>
      <c r="AB38" s="91" t="n">
        <v>12283.0615519705</v>
      </c>
      <c r="AC38" s="91" t="n">
        <v>11117.334416911</v>
      </c>
      <c r="AD38" s="91" t="n">
        <v>9737.15229147494</v>
      </c>
      <c r="AE38" s="91" t="n">
        <v>8457.2629050683</v>
      </c>
      <c r="AF38" s="91" t="n">
        <v>7713.46551212094</v>
      </c>
    </row>
    <row r="39" customFormat="false" ht="15" hidden="false" customHeight="true" outlineLevel="0" collapsed="false">
      <c r="B39" s="93" t="s">
        <v>684</v>
      </c>
      <c r="C39" s="113" t="n">
        <f aca="false">IFERROR(C38/C35,"")</f>
        <v>2.5452784503632</v>
      </c>
      <c r="D39" s="114" t="n">
        <f aca="false">IFERROR(D38/D35,"")</f>
        <v>3.82850804721721</v>
      </c>
      <c r="E39" s="114" t="n">
        <f aca="false">IFERROR(E38/E35,"")</f>
        <v>3.02328356828309</v>
      </c>
      <c r="F39" s="114" t="n">
        <f aca="false">IFERROR(F38/F35,"")</f>
        <v>2.42082579517403</v>
      </c>
      <c r="G39" s="114" t="n">
        <f aca="false">IFERROR(G38/G35,"")</f>
        <v>2.25</v>
      </c>
      <c r="H39" s="114" t="n">
        <f aca="false">IFERROR(H38/H35,"")</f>
        <v>2.25</v>
      </c>
      <c r="N39" s="93" t="s">
        <v>684</v>
      </c>
      <c r="O39" s="113" t="n">
        <v>2.5452784503632</v>
      </c>
      <c r="P39" s="114" t="n">
        <v>3.76404610690095</v>
      </c>
      <c r="Q39" s="114" t="n">
        <v>2.8043530583787</v>
      </c>
      <c r="R39" s="114" t="n">
        <v>2.5</v>
      </c>
      <c r="S39" s="114" t="n">
        <v>2.5</v>
      </c>
      <c r="T39" s="114" t="n">
        <v>2.5</v>
      </c>
      <c r="Z39" s="93" t="s">
        <v>684</v>
      </c>
      <c r="AA39" s="113" t="n">
        <v>2.5452784503632</v>
      </c>
      <c r="AB39" s="114" t="n">
        <v>3.92778759733361</v>
      </c>
      <c r="AC39" s="114" t="n">
        <v>3.43291811767157</v>
      </c>
      <c r="AD39" s="114" t="n">
        <v>2.79152215509615</v>
      </c>
      <c r="AE39" s="114" t="n">
        <v>2.29661468546618</v>
      </c>
      <c r="AF39" s="114" t="n">
        <v>2</v>
      </c>
    </row>
    <row r="41" customFormat="false" ht="15" hidden="false" customHeight="true" outlineLevel="0" collapsed="false">
      <c r="B41" s="89" t="s">
        <v>685</v>
      </c>
      <c r="C41" s="96" t="n">
        <f aca="false">Model!BV404</f>
        <v>0.0783738425246752</v>
      </c>
      <c r="D41" s="97" t="n">
        <f aca="false">Model!CA404</f>
        <v>0.044428422505676</v>
      </c>
      <c r="E41" s="97" t="n">
        <f aca="false">Model!CB404</f>
        <v>0.0582287543420952</v>
      </c>
      <c r="F41" s="97" t="n">
        <f aca="false">Model!CC404</f>
        <v>0.0663548242686725</v>
      </c>
      <c r="G41" s="97" t="n">
        <f aca="false">Model!CD404</f>
        <v>0.0731053283932913</v>
      </c>
      <c r="H41" s="97" t="n">
        <f aca="false">Model!CE404</f>
        <v>0.0792501198356622</v>
      </c>
      <c r="J41" s="100" t="n">
        <f aca="false">IFERROR(AVERAGE(Model!C404,Model!D404,Model!E404,Model!F404,Model!G404,Model!H404,Model!I404,Model!N404,Model!S404,Model!X404,Model!AC404,Model!AH404,Model!AM404,Model!AR404,Model!AW404,Model!BB404,Model!BG404,Model!BL404,Model!BQ404,Model!BV404),"")</f>
        <v>0.0842863699316209</v>
      </c>
      <c r="K41" s="100" t="n">
        <f aca="false">IFERROR(MIN(Model!C404,Model!D404,Model!E404,Model!F404,Model!G404,Model!H404,Model!I404,Model!N404,Model!S404,Model!X404,Model!AC404,Model!AH404,Model!AM404,Model!AR404,Model!AW404,Model!BB404,Model!BG404,Model!BL404,Model!BQ404,Model!BV404),"")</f>
        <v>0.0336171499852966</v>
      </c>
      <c r="L41" s="100" t="n">
        <f aca="false">IFERROR(MAX(Model!C404,Model!D404,Model!E404,Model!F404,Model!G404,Model!H404,Model!I404,Model!N404,Model!S404,Model!X404,Model!AC404,Model!AH404,Model!AM404,Model!AR404,Model!AW404,Model!BB404,Model!BG404,Model!BL404,Model!BQ404,Model!BV404),"")</f>
        <v>0.148883916291157</v>
      </c>
      <c r="N41" s="89" t="s">
        <v>685</v>
      </c>
      <c r="O41" s="96" t="n">
        <v>0.0783738425246752</v>
      </c>
      <c r="P41" s="97" t="n">
        <v>0.0462211867687235</v>
      </c>
      <c r="Q41" s="97" t="n">
        <v>0.0659191962390115</v>
      </c>
      <c r="R41" s="97" t="n">
        <v>0.0764289567443564</v>
      </c>
      <c r="S41" s="97" t="n">
        <v>0.0857099039732913</v>
      </c>
      <c r="T41" s="97" t="n">
        <v>0.0945574474611834</v>
      </c>
      <c r="V41" s="100" t="n">
        <v>0.0842863699316209</v>
      </c>
      <c r="W41" s="100" t="n">
        <v>0.0336171499852966</v>
      </c>
      <c r="X41" s="100" t="n">
        <v>0.148883916291157</v>
      </c>
      <c r="Z41" s="89" t="s">
        <v>685</v>
      </c>
      <c r="AA41" s="96" t="n">
        <v>0.0783738425246752</v>
      </c>
      <c r="AB41" s="97" t="n">
        <v>0.0426327469944516</v>
      </c>
      <c r="AC41" s="97" t="n">
        <v>0.050279489682874</v>
      </c>
      <c r="AD41" s="97" t="n">
        <v>0.0564419009793325</v>
      </c>
      <c r="AE41" s="97" t="n">
        <v>0.060805271060016</v>
      </c>
      <c r="AF41" s="97" t="n">
        <v>0.0644736841351628</v>
      </c>
      <c r="AH41" s="100" t="n">
        <v>0.0842863699316209</v>
      </c>
      <c r="AI41" s="100" t="n">
        <v>0.0336171499852966</v>
      </c>
      <c r="AJ41" s="100" t="n">
        <v>0.148883916291157</v>
      </c>
    </row>
    <row r="42" customFormat="false" ht="15" hidden="false" customHeight="true" outlineLevel="0" collapsed="false">
      <c r="B42" s="89" t="s">
        <v>686</v>
      </c>
      <c r="C42" s="96" t="n">
        <f aca="false">Model!BV415</f>
        <v>0.0870061752851437</v>
      </c>
      <c r="D42" s="97" t="n">
        <f aca="false">Model!CA415</f>
        <v>0.069373529249767</v>
      </c>
      <c r="E42" s="97" t="n">
        <f aca="false">Model!CB415</f>
        <v>0.0900448301125314</v>
      </c>
      <c r="F42" s="97" t="n">
        <f aca="false">Model!CC415</f>
        <v>0.0971580684100042</v>
      </c>
      <c r="G42" s="97" t="n">
        <f aca="false">Model!CD415</f>
        <v>0.107556674164463</v>
      </c>
      <c r="H42" s="97" t="n">
        <f aca="false">Model!CE415</f>
        <v>0.119940909006605</v>
      </c>
      <c r="J42" s="100" t="n">
        <f aca="false">IFERROR(AVERAGE(Model!C415,Model!D415,Model!E415,Model!F415,Model!G415,Model!H415,Model!I415,Model!N415,Model!S415,Model!X415,Model!AC415,Model!AH415,Model!AM415,Model!AR415,Model!AW415,Model!BB415,Model!BG415,Model!BL415,Model!BQ415,Model!BV415),"")</f>
        <v>0.0946622877790478</v>
      </c>
      <c r="K42" s="100" t="n">
        <f aca="false">IFERROR(MIN(Model!C415,Model!D415,Model!E415,Model!F415,Model!G415,Model!H415,Model!I415,Model!N415,Model!S415,Model!X415,Model!AC415,Model!AH415,Model!AM415,Model!AR415,Model!AW415,Model!BB415,Model!BG415,Model!BL415,Model!BQ415,Model!BV415),"")</f>
        <v>0.0398512244585554</v>
      </c>
      <c r="L42" s="100" t="n">
        <f aca="false">IFERROR(MAX(Model!C415,Model!D415,Model!E415,Model!F415,Model!G415,Model!H415,Model!I415,Model!N415,Model!S415,Model!X415,Model!AC415,Model!AH415,Model!AM415,Model!AR415,Model!AW415,Model!BB415,Model!BG415,Model!BL415,Model!BQ415,Model!BV415),"")</f>
        <v>0.163303951287936</v>
      </c>
      <c r="N42" s="89" t="s">
        <v>686</v>
      </c>
      <c r="O42" s="96" t="n">
        <v>0.0870061752851437</v>
      </c>
      <c r="P42" s="97" t="n">
        <v>0.0721543251632129</v>
      </c>
      <c r="Q42" s="97" t="n">
        <v>0.102063005664314</v>
      </c>
      <c r="R42" s="97" t="n">
        <v>0.117496100658367</v>
      </c>
      <c r="S42" s="97" t="n">
        <v>0.130970343730141</v>
      </c>
      <c r="T42" s="97" t="n">
        <v>0.143607835713655</v>
      </c>
      <c r="V42" s="100" t="n">
        <v>0.0946622877790478</v>
      </c>
      <c r="W42" s="100" t="n">
        <v>0.0398512244585554</v>
      </c>
      <c r="X42" s="100" t="n">
        <v>0.163303951287936</v>
      </c>
      <c r="Z42" s="89" t="s">
        <v>686</v>
      </c>
      <c r="AA42" s="96" t="n">
        <v>0.0870061752851437</v>
      </c>
      <c r="AB42" s="97" t="n">
        <v>0.0665867406395839</v>
      </c>
      <c r="AC42" s="97" t="n">
        <v>0.077818990494523</v>
      </c>
      <c r="AD42" s="97" t="n">
        <v>0.0826805998170848</v>
      </c>
      <c r="AE42" s="97" t="n">
        <v>0.0832007253446687</v>
      </c>
      <c r="AF42" s="97" t="n">
        <v>0.0846755861383709</v>
      </c>
      <c r="AH42" s="100" t="n">
        <v>0.0946622877790478</v>
      </c>
      <c r="AI42" s="100" t="n">
        <v>0.0398512244585554</v>
      </c>
      <c r="AJ42" s="100" t="n">
        <v>0.163303951287936</v>
      </c>
    </row>
    <row r="44" customFormat="false" ht="15" hidden="false" customHeight="true" outlineLevel="0" collapsed="false">
      <c r="B44" s="93" t="s">
        <v>687</v>
      </c>
      <c r="E44" s="115"/>
      <c r="F44" s="115" t="n">
        <f aca="false">F27*F21</f>
        <v>42063.1715228364</v>
      </c>
      <c r="G44" s="115" t="n">
        <f aca="false">G27*G21</f>
        <v>49087.8490325653</v>
      </c>
      <c r="H44" s="115" t="n">
        <f aca="false">H27*H21</f>
        <v>54810.5565804598</v>
      </c>
      <c r="N44" s="93" t="s">
        <v>687</v>
      </c>
      <c r="Q44" s="115"/>
      <c r="R44" s="115" t="n">
        <f aca="false">R27*R21</f>
        <v>60018.3612975736</v>
      </c>
      <c r="S44" s="115" t="n">
        <f aca="false">S27*S21</f>
        <v>71124.3241111395</v>
      </c>
      <c r="T44" s="115" t="n">
        <f aca="false">T27*T21</f>
        <v>80859.1398933249</v>
      </c>
      <c r="Z44" s="93" t="s">
        <v>687</v>
      </c>
      <c r="AC44" s="115"/>
      <c r="AD44" s="115" t="n">
        <f aca="false">AD27*AD21</f>
        <v>26672.1411527977</v>
      </c>
      <c r="AE44" s="115" t="n">
        <f aca="false">AE27*AE21</f>
        <v>30073.07984467</v>
      </c>
      <c r="AF44" s="115" t="n">
        <f aca="false">AF27*AF21</f>
        <v>32780.9323121118</v>
      </c>
    </row>
    <row r="45" customFormat="false" ht="15" hidden="false" customHeight="true" outlineLevel="0" collapsed="false">
      <c r="B45" s="93" t="s">
        <v>688</v>
      </c>
      <c r="E45" s="115"/>
      <c r="F45" s="115" t="n">
        <f aca="false">F38+Model!CC324</f>
        <v>9704.10282524557</v>
      </c>
      <c r="G45" s="115" t="n">
        <f aca="false">G38+Model!CD324</f>
        <v>9927.88562043053</v>
      </c>
      <c r="H45" s="115" t="n">
        <f aca="false">H38+Model!CE324</f>
        <v>10827.3516280626</v>
      </c>
      <c r="N45" s="93" t="s">
        <v>688</v>
      </c>
      <c r="Q45" s="115"/>
      <c r="R45" s="115" t="n">
        <f aca="false">R38+Model!CC324</f>
        <v>11570.9819799835</v>
      </c>
      <c r="S45" s="115" t="n">
        <f aca="false">S38+Model!CD324</f>
        <v>13210.428892147</v>
      </c>
      <c r="T45" s="115" t="n">
        <f aca="false">T38+Model!CE324</f>
        <v>14918.3535030199</v>
      </c>
      <c r="Z45" s="93" t="s">
        <v>688</v>
      </c>
      <c r="AC45" s="115"/>
      <c r="AD45" s="115" t="n">
        <f aca="false">AD38+Model!CC324</f>
        <v>9739.15229147494</v>
      </c>
      <c r="AE45" s="115" t="n">
        <f aca="false">AE38+Model!CD324</f>
        <v>8459.2629050683</v>
      </c>
      <c r="AF45" s="115" t="n">
        <f aca="false">AF38+Model!CE324</f>
        <v>7715.46551212094</v>
      </c>
    </row>
    <row r="46" customFormat="false" ht="15" hidden="false" customHeight="true" outlineLevel="0" collapsed="false">
      <c r="B46" s="93" t="s">
        <v>689</v>
      </c>
      <c r="E46" s="115"/>
      <c r="F46" s="115" t="n">
        <f aca="false">F44+F45</f>
        <v>51767.274348082</v>
      </c>
      <c r="G46" s="115" t="n">
        <f aca="false">G44+G45</f>
        <v>59015.7346529958</v>
      </c>
      <c r="H46" s="115" t="n">
        <f aca="false">H44+H45</f>
        <v>65637.9082085224</v>
      </c>
      <c r="N46" s="93" t="s">
        <v>689</v>
      </c>
      <c r="Q46" s="115"/>
      <c r="R46" s="115" t="n">
        <f aca="false">R44+R45</f>
        <v>71589.3432775571</v>
      </c>
      <c r="S46" s="115" t="n">
        <f aca="false">S44+S45</f>
        <v>84334.7530032865</v>
      </c>
      <c r="T46" s="115" t="n">
        <f aca="false">T44+T45</f>
        <v>95777.4933963448</v>
      </c>
      <c r="Z46" s="93" t="s">
        <v>689</v>
      </c>
      <c r="AC46" s="115"/>
      <c r="AD46" s="115" t="n">
        <f aca="false">AD44+AD45</f>
        <v>36411.2934442726</v>
      </c>
      <c r="AE46" s="115" t="n">
        <f aca="false">AE44+AE45</f>
        <v>38532.3427497383</v>
      </c>
      <c r="AF46" s="115" t="n">
        <f aca="false">AF44+AF45</f>
        <v>40496.3978242328</v>
      </c>
    </row>
    <row r="47" customFormat="false" ht="15" hidden="false" customHeight="true" outlineLevel="0" collapsed="false">
      <c r="B47" s="93" t="s">
        <v>690</v>
      </c>
      <c r="E47" s="116"/>
      <c r="F47" s="116" t="n">
        <f aca="false">IFERROR(F46/F35,"")</f>
        <v>12.9167413853414</v>
      </c>
      <c r="G47" s="116" t="n">
        <f aca="false">IFERROR(G46/G35,"")</f>
        <v>13.3776882030483</v>
      </c>
      <c r="H47" s="116" t="n">
        <f aca="false">IFERROR(H46/H35,"")</f>
        <v>13.6425400802991</v>
      </c>
      <c r="N47" s="93" t="s">
        <v>690</v>
      </c>
      <c r="Q47" s="116"/>
      <c r="R47" s="116" t="n">
        <f aca="false">IFERROR(R46/R35,"")</f>
        <v>15.4701043275502</v>
      </c>
      <c r="S47" s="116" t="n">
        <f aca="false">IFERROR(S46/S35,"")</f>
        <v>15.9622983346314</v>
      </c>
      <c r="T47" s="116" t="n">
        <f aca="false">IFERROR(T46/T35,"")</f>
        <v>16.0524308734293</v>
      </c>
      <c r="Z47" s="93" t="s">
        <v>690</v>
      </c>
      <c r="AC47" s="116"/>
      <c r="AD47" s="116" t="n">
        <f aca="false">IFERROR(AD46/AD35,"")</f>
        <v>10.4386713181414</v>
      </c>
      <c r="AE47" s="116" t="n">
        <f aca="false">IFERROR(AE46/AE35,"")</f>
        <v>10.4636624423053</v>
      </c>
      <c r="AF47" s="116" t="n">
        <f aca="false">IFERROR(AF46/AF35,"")</f>
        <v>10.5001825082634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16"/>
  <sheetViews>
    <sheetView showFormulas="false" showGridLines="true" showRowColHeaders="true" showZeros="true" rightToLeft="false" tabSelected="false" showOutlineSymbols="true" defaultGridColor="true" view="normal" topLeftCell="A62" colorId="64" zoomScale="50" zoomScaleNormal="50" zoomScalePageLayoutView="100" workbookViewId="0">
      <selection pane="topLeft" activeCell="C84" activeCellId="0" sqref="C84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50"/>
    <col collapsed="false" customWidth="true" hidden="false" outlineLevel="0" max="14" min="3" style="0" width="12.57"/>
    <col collapsed="false" customWidth="true" hidden="false" outlineLevel="0" max="17" min="16" style="0" width="13.29"/>
  </cols>
  <sheetData>
    <row r="2" customFormat="false" ht="17.25" hidden="false" customHeight="true" outlineLevel="0" collapsed="false">
      <c r="B2" s="117" t="s">
        <v>691</v>
      </c>
    </row>
    <row r="4" customFormat="false" ht="15" hidden="false" customHeight="true" outlineLevel="0" collapsed="false">
      <c r="B4" s="16" t="s">
        <v>692</v>
      </c>
    </row>
    <row r="5" customFormat="false" ht="15" hidden="false" customHeight="true" outlineLevel="0" collapsed="false">
      <c r="B5" s="26" t="s">
        <v>693</v>
      </c>
      <c r="C5" s="118" t="n">
        <v>0.045</v>
      </c>
      <c r="D5" s="4" t="s">
        <v>694</v>
      </c>
    </row>
    <row r="6" customFormat="false" ht="15" hidden="false" customHeight="true" outlineLevel="0" collapsed="false">
      <c r="B6" s="26" t="s">
        <v>695</v>
      </c>
      <c r="C6" s="118" t="n">
        <v>0.05</v>
      </c>
      <c r="D6" s="4" t="s">
        <v>696</v>
      </c>
    </row>
    <row r="7" customFormat="false" ht="15" hidden="false" customHeight="true" outlineLevel="0" collapsed="false">
      <c r="B7" s="26" t="s">
        <v>697</v>
      </c>
      <c r="C7" s="119" t="n">
        <v>1</v>
      </c>
      <c r="D7" s="4" t="s">
        <v>698</v>
      </c>
    </row>
    <row r="8" customFormat="false" ht="15" hidden="false" customHeight="true" outlineLevel="0" collapsed="false">
      <c r="B8" s="26" t="s">
        <v>699</v>
      </c>
      <c r="C8" s="120" t="n">
        <f aca="false">C5+C7*C6</f>
        <v>0.095</v>
      </c>
    </row>
    <row r="9" customFormat="false" ht="15" hidden="false" customHeight="true" outlineLevel="0" collapsed="false">
      <c r="B9" s="26" t="s">
        <v>700</v>
      </c>
      <c r="C9" s="118" t="n">
        <v>0.055</v>
      </c>
      <c r="D9" s="4" t="s">
        <v>701</v>
      </c>
    </row>
    <row r="10" customFormat="false" ht="15" hidden="false" customHeight="true" outlineLevel="0" collapsed="false">
      <c r="B10" s="26" t="s">
        <v>702</v>
      </c>
      <c r="C10" s="118" t="n">
        <v>0.22</v>
      </c>
      <c r="D10" s="4" t="s">
        <v>703</v>
      </c>
    </row>
    <row r="11" customFormat="false" ht="15" hidden="false" customHeight="true" outlineLevel="0" collapsed="false">
      <c r="B11" s="26" t="s">
        <v>704</v>
      </c>
      <c r="C11" s="120" t="n">
        <f aca="false">C9*(1-C10)</f>
        <v>0.0429</v>
      </c>
    </row>
    <row r="12" customFormat="false" ht="15" hidden="false" customHeight="true" outlineLevel="0" collapsed="false">
      <c r="B12" s="26" t="s">
        <v>705</v>
      </c>
      <c r="C12" s="118" t="n">
        <v>0.25</v>
      </c>
      <c r="D12" s="4" t="s">
        <v>706</v>
      </c>
    </row>
    <row r="13" customFormat="false" ht="15" hidden="false" customHeight="true" outlineLevel="0" collapsed="false">
      <c r="B13" s="84" t="s">
        <v>707</v>
      </c>
      <c r="C13" s="121" t="n">
        <f aca="false">C8*(1-C12)+C11*C12</f>
        <v>0.081975</v>
      </c>
    </row>
    <row r="15" customFormat="false" ht="15" hidden="false" customHeight="true" outlineLevel="0" collapsed="false">
      <c r="B15" s="0" t="s">
        <v>708</v>
      </c>
      <c r="C15" s="82" t="n">
        <f aca="true">TODAY()</f>
        <v>46299</v>
      </c>
      <c r="D15" s="4" t="s">
        <v>709</v>
      </c>
    </row>
    <row r="16" customFormat="false" ht="15" hidden="false" customHeight="true" outlineLevel="0" collapsed="false">
      <c r="B16" s="16" t="s">
        <v>710</v>
      </c>
    </row>
    <row r="17" customFormat="false" ht="15" hidden="false" customHeight="true" outlineLevel="0" collapsed="false">
      <c r="D17" s="11" t="s">
        <v>64</v>
      </c>
      <c r="E17" s="11" t="s">
        <v>65</v>
      </c>
      <c r="F17" s="11" t="s">
        <v>66</v>
      </c>
      <c r="G17" s="11" t="s">
        <v>67</v>
      </c>
      <c r="H17" s="11" t="s">
        <v>68</v>
      </c>
      <c r="I17" s="11" t="s">
        <v>711</v>
      </c>
      <c r="J17" s="11" t="s">
        <v>712</v>
      </c>
      <c r="K17" s="11" t="s">
        <v>713</v>
      </c>
      <c r="L17" s="11" t="s">
        <v>714</v>
      </c>
      <c r="M17" s="11" t="s">
        <v>715</v>
      </c>
      <c r="N17" s="11" t="s">
        <v>716</v>
      </c>
      <c r="P17" s="11" t="s">
        <v>717</v>
      </c>
      <c r="Q17" s="11" t="s">
        <v>718</v>
      </c>
    </row>
    <row r="18" customFormat="false" ht="15" hidden="false" customHeight="true" outlineLevel="0" collapsed="false">
      <c r="B18" s="0" t="s">
        <v>719</v>
      </c>
      <c r="D18" s="122" t="n">
        <f aca="false">Model!CA212</f>
        <v>1742.31040008067</v>
      </c>
      <c r="E18" s="122" t="n">
        <f aca="false">Model!CB212</f>
        <v>2261.73679727902</v>
      </c>
      <c r="F18" s="122" t="n">
        <f aca="false">Model!CC212</f>
        <v>2596.37060839369</v>
      </c>
      <c r="G18" s="122" t="n">
        <f aca="false">Model!CD212</f>
        <v>2906.02466624481</v>
      </c>
      <c r="H18" s="122" t="n">
        <f aca="false">Model!CE212</f>
        <v>3200.32094043046</v>
      </c>
      <c r="I18" s="123" t="n">
        <f aca="false">H18*(1+I$31)</f>
        <v>3424.34340626059</v>
      </c>
      <c r="J18" s="123" t="n">
        <f aca="false">I18*(1+J$31)</f>
        <v>3646.92572766753</v>
      </c>
      <c r="K18" s="123" t="n">
        <f aca="false">J18*(1+K$31)</f>
        <v>3865.74127132758</v>
      </c>
      <c r="L18" s="123" t="n">
        <f aca="false">K18*(1+L$31)</f>
        <v>4078.3570412506</v>
      </c>
      <c r="M18" s="123" t="n">
        <f aca="false">L18*(1+M$31)</f>
        <v>4282.27489331313</v>
      </c>
      <c r="P18" s="124" t="n">
        <f aca="false">IFERROR(($H18/$D18)^(1/(VALUE(LEFT($H$17,4))-VALUE(LEFT($D$17,4))))-1,"n/m")</f>
        <v>0.164171601620703</v>
      </c>
      <c r="Q18" s="124" t="n">
        <f aca="false">IFERROR(($M18/$D18)^(1/(VALUE(LEFT($M$17,4))-VALUE(LEFT($D$17,4))))-1,"n/m")</f>
        <v>0.105081567013024</v>
      </c>
    </row>
    <row r="19" customFormat="false" ht="15" hidden="false" customHeight="true" outlineLevel="0" collapsed="false">
      <c r="B19" s="125" t="s">
        <v>720</v>
      </c>
      <c r="C19" s="125"/>
      <c r="D19" s="126"/>
      <c r="E19" s="126" t="n">
        <f aca="false">IFERROR(E18/D18-1,"")</f>
        <v>0.298125062660644</v>
      </c>
      <c r="F19" s="126" t="n">
        <f aca="false">IFERROR(F18/E18-1,"")</f>
        <v>0.14795435592561</v>
      </c>
      <c r="G19" s="126" t="n">
        <f aca="false">IFERROR(G18/F18-1,"")</f>
        <v>0.119264197819084</v>
      </c>
      <c r="H19" s="126" t="n">
        <f aca="false">IFERROR(H18/G18-1,"")</f>
        <v>0.101271086100569</v>
      </c>
      <c r="I19" s="127" t="n">
        <f aca="false">IFERROR(I18/H18-1,"")</f>
        <v>0.0700000000000001</v>
      </c>
      <c r="J19" s="127" t="n">
        <f aca="false">IFERROR(J18/I18-1,"")</f>
        <v>0.065</v>
      </c>
      <c r="K19" s="127" t="n">
        <f aca="false">IFERROR(K18/J18-1,"")</f>
        <v>0.0600000000000001</v>
      </c>
      <c r="L19" s="127" t="n">
        <f aca="false">IFERROR(L18/K18-1,"")</f>
        <v>0.0549999999999999</v>
      </c>
      <c r="M19" s="127" t="n">
        <f aca="false">IFERROR(M18/L18-1,"")</f>
        <v>0.05</v>
      </c>
      <c r="N19" s="127"/>
    </row>
    <row r="20" customFormat="false" ht="15" hidden="false" customHeight="true" outlineLevel="0" collapsed="false">
      <c r="B20" s="0" t="s">
        <v>721</v>
      </c>
      <c r="D20" s="122" t="n">
        <f aca="false">-Model!CA158</f>
        <v>-106</v>
      </c>
      <c r="E20" s="122" t="n">
        <f aca="false">-Model!CB158</f>
        <v>-25</v>
      </c>
      <c r="F20" s="122" t="n">
        <f aca="false">-Model!CC158</f>
        <v>-10</v>
      </c>
      <c r="G20" s="122" t="n">
        <f aca="false">-Model!CD158</f>
        <v>-10</v>
      </c>
      <c r="H20" s="122" t="n">
        <f aca="false">-Model!CE158</f>
        <v>-10</v>
      </c>
      <c r="I20" s="123" t="n">
        <f aca="false">H20*(1+I$31)</f>
        <v>-10.7</v>
      </c>
      <c r="J20" s="123" t="n">
        <f aca="false">I20*(1+J$31)</f>
        <v>-11.3955</v>
      </c>
      <c r="K20" s="123" t="n">
        <f aca="false">J20*(1+K$31)</f>
        <v>-12.07923</v>
      </c>
      <c r="L20" s="123" t="n">
        <f aca="false">K20*(1+L$31)</f>
        <v>-12.74358765</v>
      </c>
      <c r="M20" s="123" t="n">
        <f aca="false">L20*(1+M$31)</f>
        <v>-13.3807670325</v>
      </c>
    </row>
    <row r="21" customFormat="false" ht="15" hidden="false" customHeight="true" outlineLevel="0" collapsed="false">
      <c r="B21" s="0" t="s">
        <v>722</v>
      </c>
      <c r="D21" s="128" t="n">
        <f aca="false">1-$C$10</f>
        <v>0.78</v>
      </c>
      <c r="E21" s="128" t="n">
        <f aca="false">1-$C$10</f>
        <v>0.78</v>
      </c>
      <c r="F21" s="128" t="n">
        <f aca="false">1-$C$10</f>
        <v>0.78</v>
      </c>
      <c r="G21" s="128" t="n">
        <f aca="false">1-$C$10</f>
        <v>0.78</v>
      </c>
      <c r="H21" s="128" t="n">
        <f aca="false">1-$C$10</f>
        <v>0.78</v>
      </c>
      <c r="I21" s="128" t="n">
        <f aca="false">1-$C$10</f>
        <v>0.78</v>
      </c>
      <c r="J21" s="128" t="n">
        <f aca="false">1-$C$10</f>
        <v>0.78</v>
      </c>
      <c r="K21" s="128" t="n">
        <f aca="false">1-$C$10</f>
        <v>0.78</v>
      </c>
      <c r="L21" s="128" t="n">
        <f aca="false">1-$C$10</f>
        <v>0.78</v>
      </c>
      <c r="M21" s="128" t="n">
        <f aca="false">1-$C$10</f>
        <v>0.78</v>
      </c>
    </row>
    <row r="22" customFormat="false" ht="15" hidden="false" customHeight="true" outlineLevel="0" collapsed="false">
      <c r="B22" s="0" t="s">
        <v>723</v>
      </c>
      <c r="D22" s="123" t="n">
        <f aca="false">(D18+D20)*D21</f>
        <v>1276.32211206293</v>
      </c>
      <c r="E22" s="123" t="n">
        <f aca="false">(E18+E20)*E21</f>
        <v>1744.65470187763</v>
      </c>
      <c r="F22" s="123" t="n">
        <f aca="false">(F18+F20)*F21</f>
        <v>2017.36907454707</v>
      </c>
      <c r="G22" s="123" t="n">
        <f aca="false">(G18+G20)*G21</f>
        <v>2258.89923967095</v>
      </c>
      <c r="H22" s="123" t="n">
        <f aca="false">(H18+H20)*H21</f>
        <v>2488.45033353576</v>
      </c>
      <c r="I22" s="123" t="n">
        <f aca="false">(I18+I20)*I21</f>
        <v>2662.64185688326</v>
      </c>
      <c r="J22" s="123" t="n">
        <f aca="false">(J18+J20)*J21</f>
        <v>2835.71357758067</v>
      </c>
      <c r="K22" s="123" t="n">
        <f aca="false">(K18+K20)*K21</f>
        <v>3005.85639223551</v>
      </c>
      <c r="L22" s="123" t="n">
        <f aca="false">(L18+L20)*L21</f>
        <v>3171.17849380847</v>
      </c>
      <c r="M22" s="123" t="n">
        <f aca="false">(M18+M20)*M21</f>
        <v>3329.73741849889</v>
      </c>
    </row>
    <row r="23" customFormat="false" ht="15" hidden="false" customHeight="true" outlineLevel="0" collapsed="false">
      <c r="B23" s="0" t="s">
        <v>724</v>
      </c>
      <c r="D23" s="122" t="n">
        <f aca="false">Model!CA176</f>
        <v>971.252477625388</v>
      </c>
      <c r="E23" s="122" t="n">
        <f aca="false">Model!CB176</f>
        <v>1330.60052227193</v>
      </c>
      <c r="F23" s="122" t="n">
        <f aca="false">Model!CC176</f>
        <v>1411.39518978434</v>
      </c>
      <c r="G23" s="122" t="n">
        <f aca="false">Model!CD176</f>
        <v>1505.48005394654</v>
      </c>
      <c r="H23" s="122" t="n">
        <f aca="false">Model!CE176</f>
        <v>1610.94644981958</v>
      </c>
      <c r="I23" s="123" t="n">
        <f aca="false">H23*(1+I$31)</f>
        <v>1723.71270130695</v>
      </c>
      <c r="J23" s="123" t="n">
        <f aca="false">I23*(1+J$31)</f>
        <v>1835.7540268919</v>
      </c>
      <c r="K23" s="123" t="n">
        <f aca="false">J23*(1+K$31)</f>
        <v>1945.89926850541</v>
      </c>
      <c r="L23" s="123" t="n">
        <f aca="false">K23*(1+L$31)</f>
        <v>2052.92372827321</v>
      </c>
      <c r="M23" s="123" t="n">
        <f aca="false">L23*(1+M$31)</f>
        <v>2155.56991468687</v>
      </c>
    </row>
    <row r="24" customFormat="false" ht="15" hidden="false" customHeight="true" outlineLevel="0" collapsed="false">
      <c r="B24" s="0" t="s">
        <v>725</v>
      </c>
      <c r="D24" s="122" t="n">
        <f aca="false">D29</f>
        <v>-635.251283210831</v>
      </c>
      <c r="E24" s="122" t="n">
        <f aca="false">E29+Model!CB256</f>
        <v>-834.42961898706</v>
      </c>
      <c r="F24" s="122" t="n">
        <f aca="false">F29+Model!CC256</f>
        <v>-1401.21165616883</v>
      </c>
      <c r="G24" s="122" t="n">
        <f aca="false">G29+Model!CD256</f>
        <v>-1726.95843238912</v>
      </c>
      <c r="H24" s="122" t="n">
        <f aca="false">H29+Model!CE256</f>
        <v>-1811.29060678174</v>
      </c>
      <c r="I24" s="123" t="n">
        <f aca="false">I29</f>
        <v>-1135.58094925646</v>
      </c>
      <c r="J24" s="123" t="n">
        <f aca="false">J29</f>
        <v>-1209.39371095813</v>
      </c>
      <c r="K24" s="123" t="n">
        <f aca="false">K29</f>
        <v>-1281.95733361561</v>
      </c>
      <c r="L24" s="123" t="n">
        <f aca="false">L29</f>
        <v>-1352.46498696447</v>
      </c>
      <c r="M24" s="123" t="n">
        <f aca="false">M29</f>
        <v>-1420.0882363127</v>
      </c>
    </row>
    <row r="25" customFormat="false" ht="15" hidden="false" customHeight="true" outlineLevel="0" collapsed="false">
      <c r="B25" s="0" t="s">
        <v>726</v>
      </c>
      <c r="D25" s="122" t="n">
        <f aca="false">Model!CA253</f>
        <v>-80.3183040423801</v>
      </c>
      <c r="E25" s="122" t="n">
        <f aca="false">Model!CB253</f>
        <v>-97.3137059909756</v>
      </c>
      <c r="F25" s="122" t="n">
        <f aca="false">Model!CC253</f>
        <v>-143.724587745718</v>
      </c>
      <c r="G25" s="122" t="n">
        <f aca="false">Model!CD253</f>
        <v>-174.370108469898</v>
      </c>
      <c r="H25" s="122" t="n">
        <f aca="false">Model!CE253</f>
        <v>-202.307681858299</v>
      </c>
      <c r="I25" s="123" t="n">
        <f aca="false">H25*(1+I$31)</f>
        <v>-216.46921958838</v>
      </c>
      <c r="J25" s="123" t="n">
        <f aca="false">I25*(1+J$31)</f>
        <v>-230.539718861625</v>
      </c>
      <c r="K25" s="123" t="n">
        <f aca="false">J25*(1+K$31)</f>
        <v>-244.372101993323</v>
      </c>
      <c r="L25" s="123" t="n">
        <f aca="false">K25*(1+L$31)</f>
        <v>-257.812567602955</v>
      </c>
      <c r="M25" s="123" t="n">
        <f aca="false">L25*(1+M$31)</f>
        <v>-270.703195983103</v>
      </c>
    </row>
    <row r="26" customFormat="false" ht="15" hidden="false" customHeight="true" outlineLevel="0" collapsed="false">
      <c r="B26" s="129" t="s">
        <v>727</v>
      </c>
      <c r="D26" s="130" t="n">
        <f aca="false">D22+D23+D24+D25</f>
        <v>1532.0050024351</v>
      </c>
      <c r="E26" s="130" t="n">
        <f aca="false">E22+E23+E24+E25</f>
        <v>2143.51189917153</v>
      </c>
      <c r="F26" s="130" t="n">
        <f aca="false">F22+F23+F24+F25</f>
        <v>1883.82802041686</v>
      </c>
      <c r="G26" s="130" t="n">
        <f aca="false">G22+G23+G24+G25</f>
        <v>1863.05075275848</v>
      </c>
      <c r="H26" s="130" t="n">
        <f aca="false">H22+H23+H24+H25</f>
        <v>2085.7984947153</v>
      </c>
      <c r="I26" s="130" t="n">
        <f aca="false">I22+I23+I24+I25</f>
        <v>3034.30438934537</v>
      </c>
      <c r="J26" s="130" t="n">
        <f aca="false">J22+J23+J24+J25</f>
        <v>3231.53417465282</v>
      </c>
      <c r="K26" s="130" t="n">
        <f aca="false">K22+K23+K24+K25</f>
        <v>3425.42622513199</v>
      </c>
      <c r="L26" s="130" t="n">
        <f aca="false">L22+L23+L24+L25</f>
        <v>3613.82466751425</v>
      </c>
      <c r="M26" s="130" t="n">
        <f aca="false">M22+M23+M24+M25</f>
        <v>3794.51590088996</v>
      </c>
      <c r="N26" s="130" t="n">
        <f aca="false">M26*(1+$C$32)</f>
        <v>3946.29653692556</v>
      </c>
      <c r="P26" s="124" t="n">
        <f aca="false">IFERROR(($H26/$D26)^(1/(VALUE(LEFT($H$17,4))-VALUE(LEFT($D$17,4))))-1,"n/m")</f>
        <v>0.0801971860032118</v>
      </c>
      <c r="Q26" s="124" t="n">
        <f aca="false">IFERROR(($M26/$D26)^(1/(VALUE(LEFT($M$17,4))-VALUE(LEFT($D$17,4))))-1,"n/m")</f>
        <v>0.106028310994767</v>
      </c>
    </row>
    <row r="27" customFormat="false" ht="15" hidden="false" customHeight="true" outlineLevel="0" collapsed="false">
      <c r="B27" s="125" t="s">
        <v>720</v>
      </c>
      <c r="C27" s="125"/>
      <c r="D27" s="126"/>
      <c r="E27" s="126" t="n">
        <f aca="false">IFERROR(E26/D26-1,"")</f>
        <v>0.399154634459052</v>
      </c>
      <c r="F27" s="126" t="n">
        <f aca="false">IFERROR(F26/E26-1,"")</f>
        <v>-0.121148792714904</v>
      </c>
      <c r="G27" s="126" t="n">
        <f aca="false">IFERROR(G26/F26-1,"")</f>
        <v>-0.0110292805039542</v>
      </c>
      <c r="H27" s="126" t="n">
        <f aca="false">IFERROR(H26/G26-1,"")</f>
        <v>0.119560748212047</v>
      </c>
      <c r="I27" s="127" t="n">
        <f aca="false">IFERROR(I26/H26-1,"")</f>
        <v>0.454744740219758</v>
      </c>
      <c r="J27" s="127" t="n">
        <f aca="false">IFERROR(J26/I26-1,"")</f>
        <v>0.0649999999999997</v>
      </c>
      <c r="K27" s="127" t="n">
        <f aca="false">IFERROR(K26/J26-1,"")</f>
        <v>0.0600000000000001</v>
      </c>
      <c r="L27" s="127" t="n">
        <f aca="false">IFERROR(L26/K26-1,"")</f>
        <v>0.0549999999999999</v>
      </c>
      <c r="M27" s="127" t="n">
        <f aca="false">IFERROR(M26/L26-1,"")</f>
        <v>0.0499999999999998</v>
      </c>
      <c r="N27" s="127"/>
    </row>
    <row r="28" customFormat="false" ht="15" hidden="false" customHeight="true" outlineLevel="0" collapsed="false">
      <c r="B28" s="0" t="s">
        <v>728</v>
      </c>
      <c r="N28" s="130" t="n">
        <f aca="false">N26/($C$13-$C$32)</f>
        <v>94015.4029047185</v>
      </c>
    </row>
    <row r="29" customFormat="false" ht="15" hidden="false" customHeight="true" outlineLevel="0" collapsed="false">
      <c r="B29" s="4" t="s">
        <v>729</v>
      </c>
      <c r="D29" s="122" t="n">
        <f aca="false">Model!CA255</f>
        <v>-635.251283210831</v>
      </c>
      <c r="E29" s="122" t="n">
        <f aca="false">Model!CB255</f>
        <v>-834.42961898706</v>
      </c>
      <c r="F29" s="122" t="n">
        <f aca="false">Model!CC255</f>
        <v>-901.211656168827</v>
      </c>
      <c r="G29" s="122" t="n">
        <f aca="false">Model!CD255</f>
        <v>-976.958432389116</v>
      </c>
      <c r="H29" s="122" t="n">
        <f aca="false">Model!CE255</f>
        <v>-1061.29060678174</v>
      </c>
      <c r="I29" s="123" t="n">
        <f aca="false">H29*(1+I$31)</f>
        <v>-1135.58094925646</v>
      </c>
      <c r="J29" s="123" t="n">
        <f aca="false">I29*(1+J$31)</f>
        <v>-1209.39371095813</v>
      </c>
      <c r="K29" s="123" t="n">
        <f aca="false">J29*(1+K$31)</f>
        <v>-1281.95733361561</v>
      </c>
      <c r="L29" s="123" t="n">
        <f aca="false">K29*(1+L$31)</f>
        <v>-1352.46498696447</v>
      </c>
      <c r="M29" s="123" t="n">
        <f aca="false">L29*(1+M$31)</f>
        <v>-1420.0882363127</v>
      </c>
    </row>
    <row r="31" customFormat="false" ht="15" hidden="false" customHeight="true" outlineLevel="0" collapsed="false">
      <c r="B31" s="0" t="s">
        <v>730</v>
      </c>
      <c r="I31" s="131" t="n">
        <v>0.07</v>
      </c>
      <c r="J31" s="132" t="n">
        <f aca="false">I31+($M$31-$I$31)/(COLUMNS($I$31:$M$31)-1)</f>
        <v>0.065</v>
      </c>
      <c r="K31" s="132" t="n">
        <f aca="false">J31+($M$31-$I$31)/(COLUMNS($I$31:$M$31)-1)</f>
        <v>0.06</v>
      </c>
      <c r="L31" s="132" t="n">
        <f aca="false">K31+($M$31-$I$31)/(COLUMNS($I$31:$M$31)-1)</f>
        <v>0.055</v>
      </c>
      <c r="M31" s="131" t="n">
        <v>0.05</v>
      </c>
    </row>
    <row r="32" customFormat="false" ht="15" hidden="false" customHeight="true" outlineLevel="0" collapsed="false">
      <c r="B32" s="0" t="s">
        <v>731</v>
      </c>
      <c r="C32" s="133" t="n">
        <v>0.04</v>
      </c>
    </row>
    <row r="34" customFormat="false" ht="15" hidden="false" customHeight="true" outlineLevel="0" collapsed="false">
      <c r="B34" s="0" t="s">
        <v>732</v>
      </c>
      <c r="D34" s="134" t="n">
        <f aca="false">(DATE(2026,12,31)-$C$15)/365.25</f>
        <v>0.240930869267625</v>
      </c>
      <c r="E34" s="134" t="n">
        <f aca="false">(DATE(2027,12,31)-$C$15)/365.25</f>
        <v>1.24024640657084</v>
      </c>
      <c r="F34" s="134" t="n">
        <f aca="false">(DATE(2028,12,31)-$C$15)/365.25</f>
        <v>2.24229979466119</v>
      </c>
      <c r="G34" s="134" t="n">
        <f aca="false">(DATE(2029,12,31)-$C$15)/365.25</f>
        <v>3.24161533196441</v>
      </c>
      <c r="H34" s="134" t="n">
        <f aca="false">(DATE(2030,12,31)-$C$15)/365.25</f>
        <v>4.24093086926763</v>
      </c>
      <c r="I34" s="134" t="n">
        <f aca="false">(DATE(2031,12,31)-$C$15)/365.25</f>
        <v>5.24024640657084</v>
      </c>
      <c r="J34" s="134" t="n">
        <f aca="false">(DATE(2032,12,31)-$C$15)/365.25</f>
        <v>6.24229979466119</v>
      </c>
      <c r="K34" s="134" t="n">
        <f aca="false">(DATE(2033,12,31)-$C$15)/365.25</f>
        <v>7.24161533196441</v>
      </c>
      <c r="L34" s="134" t="n">
        <f aca="false">(DATE(2034,12,31)-$C$15)/365.25</f>
        <v>8.24093086926763</v>
      </c>
      <c r="M34" s="134" t="n">
        <f aca="false">(DATE(2035,12,31)-$C$15)/365.25</f>
        <v>9.24024640657084</v>
      </c>
      <c r="N34" s="134" t="n">
        <f aca="false">M34</f>
        <v>9.24024640657084</v>
      </c>
    </row>
    <row r="35" customFormat="false" ht="15" hidden="false" customHeight="true" outlineLevel="0" collapsed="false">
      <c r="B35" s="0" t="s">
        <v>733</v>
      </c>
      <c r="D35" s="135" t="n">
        <f aca="false">1/(1+$C$13)^D34</f>
        <v>0.981196553294831</v>
      </c>
      <c r="E35" s="135" t="n">
        <f aca="false">1/(1+$C$13)^E34</f>
        <v>0.906905860298912</v>
      </c>
      <c r="F35" s="135" t="n">
        <f aca="false">1/(1+$C$13)^F34</f>
        <v>0.838059244136368</v>
      </c>
      <c r="G35" s="135" t="n">
        <f aca="false">1/(1+$C$13)^G34</f>
        <v>0.774606104386274</v>
      </c>
      <c r="H35" s="135" t="n">
        <f aca="false">1/(1+$C$13)^H34</f>
        <v>0.715957280049817</v>
      </c>
      <c r="I35" s="135" t="n">
        <f aca="false">1/(1+$C$13)^I34</f>
        <v>0.661749015343049</v>
      </c>
      <c r="J35" s="135" t="n">
        <f aca="false">1/(1+$C$13)^J34</f>
        <v>0.61151317229728</v>
      </c>
      <c r="K35" s="135" t="n">
        <f aca="false">1/(1+$C$13)^K34</f>
        <v>0.565212828911904</v>
      </c>
      <c r="L35" s="135" t="n">
        <f aca="false">1/(1+$C$13)^L34</f>
        <v>0.522418087522884</v>
      </c>
      <c r="M35" s="135" t="n">
        <f aca="false">1/(1+$C$13)^M34</f>
        <v>0.48286352363316</v>
      </c>
      <c r="N35" s="135" t="n">
        <f aca="false">1/(1+$C$13)^N34</f>
        <v>0.48286352363316</v>
      </c>
    </row>
    <row r="36" customFormat="false" ht="15" hidden="false" customHeight="true" outlineLevel="0" collapsed="false">
      <c r="B36" s="0" t="s">
        <v>734</v>
      </c>
      <c r="D36" s="123" t="n">
        <f aca="false">D26*D35</f>
        <v>1503.19802801976</v>
      </c>
      <c r="E36" s="123" t="n">
        <f aca="false">E26*E35</f>
        <v>1943.96350297911</v>
      </c>
      <c r="F36" s="123" t="n">
        <f aca="false">F26*F35</f>
        <v>1578.75948687347</v>
      </c>
      <c r="G36" s="123" t="n">
        <f aca="false">G26*G35</f>
        <v>1443.13048586816</v>
      </c>
      <c r="H36" s="123" t="n">
        <f aca="false">H26*H35</f>
        <v>1493.34261700837</v>
      </c>
      <c r="I36" s="123" t="n">
        <f aca="false">I26*I35</f>
        <v>2007.94794190039</v>
      </c>
      <c r="J36" s="123" t="n">
        <f aca="false">J26*J35</f>
        <v>1976.12571452902</v>
      </c>
      <c r="K36" s="123" t="n">
        <f aca="false">K26*K35</f>
        <v>1936.09484693588</v>
      </c>
      <c r="L36" s="123" t="n">
        <f aca="false">L26*L35</f>
        <v>1887.92737144582</v>
      </c>
      <c r="M36" s="123" t="n">
        <f aca="false">M26*M35</f>
        <v>1832.23331838578</v>
      </c>
      <c r="N36" s="123" t="n">
        <f aca="false">N28*N35</f>
        <v>45396.6087223636</v>
      </c>
    </row>
    <row r="37" customFormat="false" ht="15" hidden="false" customHeight="true" outlineLevel="0" collapsed="false">
      <c r="D37" s="4" t="s">
        <v>735</v>
      </c>
    </row>
    <row r="39" customFormat="false" ht="15.75" hidden="false" customHeight="true" outlineLevel="0" collapsed="false">
      <c r="B39" s="0" t="s">
        <v>736</v>
      </c>
      <c r="D39" s="136" t="str">
        <f aca="false">D17</f>
        <v>2026E</v>
      </c>
      <c r="E39" s="136" t="str">
        <f aca="false">E17</f>
        <v>2027E</v>
      </c>
      <c r="F39" s="136" t="str">
        <f aca="false">F17</f>
        <v>2028E</v>
      </c>
      <c r="G39" s="136" t="str">
        <f aca="false">G17</f>
        <v>2029E</v>
      </c>
      <c r="H39" s="136" t="str">
        <f aca="false">H17</f>
        <v>2030E</v>
      </c>
      <c r="I39" s="136" t="str">
        <f aca="false">I17</f>
        <v>2031E</v>
      </c>
      <c r="J39" s="136" t="str">
        <f aca="false">J17</f>
        <v>2032E</v>
      </c>
      <c r="K39" s="136" t="str">
        <f aca="false">K17</f>
        <v>2033E</v>
      </c>
      <c r="L39" s="136" t="str">
        <f aca="false">L17</f>
        <v>2034E</v>
      </c>
      <c r="M39" s="136" t="str">
        <f aca="false">M17</f>
        <v>2035E</v>
      </c>
      <c r="N39" s="136" t="s">
        <v>716</v>
      </c>
    </row>
    <row r="40" customFormat="false" ht="15.75" hidden="false" customHeight="true" outlineLevel="0" collapsed="false">
      <c r="B40" s="0" t="s">
        <v>737</v>
      </c>
      <c r="D40" s="54" t="n">
        <f aca="false">D22</f>
        <v>1276.32211206293</v>
      </c>
      <c r="E40" s="54" t="n">
        <f aca="false">E22</f>
        <v>1744.65470187763</v>
      </c>
      <c r="F40" s="54" t="n">
        <f aca="false">F22</f>
        <v>2017.36907454707</v>
      </c>
      <c r="G40" s="54" t="n">
        <f aca="false">G22</f>
        <v>2258.89923967095</v>
      </c>
      <c r="H40" s="54" t="n">
        <f aca="false">H22</f>
        <v>2488.45033353576</v>
      </c>
      <c r="I40" s="137" t="n">
        <f aca="false">I22</f>
        <v>2662.64185688326</v>
      </c>
      <c r="J40" s="137" t="n">
        <f aca="false">J22</f>
        <v>2835.71357758067</v>
      </c>
      <c r="K40" s="137" t="n">
        <f aca="false">K22</f>
        <v>3005.85639223551</v>
      </c>
      <c r="L40" s="137" t="n">
        <f aca="false">L22</f>
        <v>3171.17849380847</v>
      </c>
      <c r="M40" s="137" t="n">
        <f aca="false">M22</f>
        <v>3329.73741849889</v>
      </c>
      <c r="N40" s="137" t="n">
        <f aca="false">M40*(1+$C$32)</f>
        <v>3462.92691523885</v>
      </c>
    </row>
    <row r="41" customFormat="false" ht="15.75" hidden="false" customHeight="true" outlineLevel="0" collapsed="false">
      <c r="B41" s="0" t="s">
        <v>738</v>
      </c>
      <c r="D41" s="54" t="n">
        <f aca="false">D40-D26</f>
        <v>-255.682890372177</v>
      </c>
      <c r="E41" s="54" t="n">
        <f aca="false">E40-E26</f>
        <v>-398.857197293893</v>
      </c>
      <c r="F41" s="54" t="n">
        <f aca="false">F40-F26</f>
        <v>133.54105413021</v>
      </c>
      <c r="G41" s="54" t="n">
        <f aca="false">G40-G26</f>
        <v>395.84848691247</v>
      </c>
      <c r="H41" s="54" t="n">
        <f aca="false">H40-H26</f>
        <v>402.65183882046</v>
      </c>
      <c r="I41" s="137" t="n">
        <f aca="false">I40-I26</f>
        <v>-371.662532462109</v>
      </c>
      <c r="J41" s="137" t="n">
        <f aca="false">J40-J26</f>
        <v>-395.820597072145</v>
      </c>
      <c r="K41" s="137" t="n">
        <f aca="false">K40-K26</f>
        <v>-419.569832896474</v>
      </c>
      <c r="L41" s="137" t="n">
        <f aca="false">L40-L26</f>
        <v>-442.64617370578</v>
      </c>
      <c r="M41" s="137" t="n">
        <f aca="false">M40-M26</f>
        <v>-464.778482391069</v>
      </c>
      <c r="N41" s="137" t="n">
        <f aca="false">N40-N26</f>
        <v>-483.369621686712</v>
      </c>
    </row>
    <row r="42" customFormat="false" ht="15.75" hidden="false" customHeight="true" outlineLevel="0" collapsed="false">
      <c r="B42" s="0" t="s">
        <v>739</v>
      </c>
      <c r="D42" s="122" t="n">
        <f aca="false">Model!BV401+Model!CA346+Model!CA348</f>
        <v>28829</v>
      </c>
      <c r="E42" s="54" t="n">
        <f aca="false">D43</f>
        <v>28573.3171096278</v>
      </c>
      <c r="F42" s="54" t="n">
        <f aca="false">E43</f>
        <v>28174.4599123339</v>
      </c>
      <c r="G42" s="54" t="n">
        <f aca="false">F43</f>
        <v>28308.0009664641</v>
      </c>
      <c r="H42" s="54" t="n">
        <f aca="false">G43</f>
        <v>28703.8494533766</v>
      </c>
      <c r="I42" s="137" t="n">
        <f aca="false">H43</f>
        <v>29106.5012921971</v>
      </c>
      <c r="J42" s="137" t="n">
        <f aca="false">I43</f>
        <v>28734.838759735</v>
      </c>
      <c r="K42" s="137" t="n">
        <f aca="false">J43</f>
        <v>28339.0181626628</v>
      </c>
      <c r="L42" s="137" t="n">
        <f aca="false">K43</f>
        <v>27919.4483297663</v>
      </c>
      <c r="M42" s="137" t="n">
        <f aca="false">L43</f>
        <v>27476.8021560606</v>
      </c>
      <c r="N42" s="137" t="n">
        <f aca="false">M43</f>
        <v>27012.0236736695</v>
      </c>
    </row>
    <row r="43" customFormat="false" ht="15.75" hidden="false" customHeight="true" outlineLevel="0" collapsed="false">
      <c r="B43" s="0" t="s">
        <v>740</v>
      </c>
      <c r="D43" s="54" t="n">
        <f aca="false">D42+D41</f>
        <v>28573.3171096278</v>
      </c>
      <c r="E43" s="54" t="n">
        <f aca="false">E42+E41</f>
        <v>28174.4599123339</v>
      </c>
      <c r="F43" s="54" t="n">
        <f aca="false">F42+F41</f>
        <v>28308.0009664641</v>
      </c>
      <c r="G43" s="54" t="n">
        <f aca="false">G42+G41</f>
        <v>28703.8494533766</v>
      </c>
      <c r="H43" s="54" t="n">
        <f aca="false">H42+H41</f>
        <v>29106.5012921971</v>
      </c>
      <c r="I43" s="137" t="n">
        <f aca="false">I42+I41</f>
        <v>28734.838759735</v>
      </c>
      <c r="J43" s="137" t="n">
        <f aca="false">J42+J41</f>
        <v>28339.0181626628</v>
      </c>
      <c r="K43" s="137" t="n">
        <f aca="false">K42+K41</f>
        <v>27919.4483297663</v>
      </c>
      <c r="L43" s="137" t="n">
        <f aca="false">L42+L41</f>
        <v>27476.8021560606</v>
      </c>
      <c r="M43" s="137" t="n">
        <f aca="false">M42+M41</f>
        <v>27012.0236736695</v>
      </c>
      <c r="N43" s="137"/>
    </row>
    <row r="44" customFormat="false" ht="15.75" hidden="false" customHeight="true" outlineLevel="0" collapsed="false">
      <c r="B44" s="138" t="s">
        <v>741</v>
      </c>
      <c r="C44" s="139"/>
      <c r="D44" s="140" t="n">
        <f aca="false">IFERROR(D40/D42,"")</f>
        <v>0.0442721603962304</v>
      </c>
      <c r="E44" s="140" t="n">
        <f aca="false">IFERROR(E40/E42,"")</f>
        <v>0.0610588786448518</v>
      </c>
      <c r="F44" s="140" t="n">
        <f aca="false">IFERROR(F40/F42,"")</f>
        <v>0.0716027594077831</v>
      </c>
      <c r="G44" s="140" t="n">
        <f aca="false">IFERROR(G40/G42,"")</f>
        <v>0.0797972008813698</v>
      </c>
      <c r="H44" s="140" t="n">
        <f aca="false">IFERROR(H40/H42,"")</f>
        <v>0.0866939585081689</v>
      </c>
      <c r="I44" s="141" t="n">
        <f aca="false">IFERROR(I40/I42,"")</f>
        <v>0.0914792825889063</v>
      </c>
      <c r="J44" s="141" t="n">
        <f aca="false">IFERROR(J40/J42,"")</f>
        <v>0.0986855573226411</v>
      </c>
      <c r="K44" s="141" t="n">
        <f aca="false">IFERROR(K40/K42,"")</f>
        <v>0.106067767591038</v>
      </c>
      <c r="L44" s="141" t="n">
        <f aca="false">IFERROR(L40/L42,"")</f>
        <v>0.113583135896977</v>
      </c>
      <c r="M44" s="141" t="n">
        <f aca="false">IFERROR(M40/M42,"")</f>
        <v>0.121183586051496</v>
      </c>
      <c r="N44" s="140" t="n">
        <f aca="false">IFERROR(N40/N42,"")</f>
        <v>0.128199462471759</v>
      </c>
    </row>
    <row r="45" customFormat="false" ht="15.75" hidden="false" customHeight="true" outlineLevel="0" collapsed="false">
      <c r="B45" s="0" t="s">
        <v>742</v>
      </c>
      <c r="C45" s="142"/>
      <c r="D45" s="124" t="n">
        <f aca="false">IFERROR(D41/D40,"")</f>
        <v>-0.200327870179194</v>
      </c>
      <c r="E45" s="124" t="n">
        <f aca="false">IFERROR(E41/E40,"")</f>
        <v>-0.228616698114896</v>
      </c>
      <c r="F45" s="124" t="n">
        <f aca="false">IFERROR(F41/F40,"")</f>
        <v>0.0661956484884609</v>
      </c>
      <c r="G45" s="124" t="n">
        <f aca="false">IFERROR(G41/G40,"")</f>
        <v>0.175239550290934</v>
      </c>
      <c r="H45" s="124" t="n">
        <f aca="false">IFERROR(H41/H40,"")</f>
        <v>0.161808268139451</v>
      </c>
      <c r="I45" s="35" t="n">
        <f aca="false">IFERROR(I41/I40,"")</f>
        <v>-0.139584124504508</v>
      </c>
      <c r="J45" s="35" t="n">
        <f aca="false">IFERROR(J41/J40,"")</f>
        <v>-0.139584124504508</v>
      </c>
      <c r="K45" s="35" t="n">
        <f aca="false">IFERROR(K41/K40,"")</f>
        <v>-0.139584124504508</v>
      </c>
      <c r="L45" s="35" t="n">
        <f aca="false">IFERROR(L41/L40,"")</f>
        <v>-0.139584124504508</v>
      </c>
      <c r="M45" s="35" t="n">
        <f aca="false">IFERROR(M41/M40,"")</f>
        <v>-0.139584124504508</v>
      </c>
      <c r="N45" s="124" t="n">
        <f aca="false">IFERROR(N41/N40,"")</f>
        <v>-0.139584124504508</v>
      </c>
    </row>
    <row r="46" customFormat="false" ht="15.75" hidden="false" customHeight="true" outlineLevel="0" collapsed="false">
      <c r="B46" s="138" t="s">
        <v>743</v>
      </c>
      <c r="C46" s="139"/>
      <c r="D46" s="140"/>
      <c r="E46" s="140" t="n">
        <f aca="false">IFERROR((E40-D40)/D41,"")</f>
        <v>-1.83169311459595</v>
      </c>
      <c r="F46" s="140" t="n">
        <f aca="false">IFERROR((F40-E40)/E41,"")</f>
        <v>-0.683739379707106</v>
      </c>
      <c r="G46" s="140" t="n">
        <f aca="false">IFERROR((G40-F40)/F41,"")</f>
        <v>1.80865851851348</v>
      </c>
      <c r="H46" s="140" t="n">
        <f aca="false">IFERROR((H40-G40)/G41,"")</f>
        <v>0.579896352908302</v>
      </c>
      <c r="I46" s="141" t="n">
        <f aca="false">IFERROR((I40-H40)/H41,"")</f>
        <v>0.432610773262045</v>
      </c>
      <c r="J46" s="141" t="n">
        <f aca="false">IFERROR((J40-I40)/I41,"")</f>
        <v>-0.465669002336297</v>
      </c>
      <c r="K46" s="141" t="n">
        <f aca="false">IFERROR((K40-J40)/J41,"")</f>
        <v>-0.429848309848891</v>
      </c>
      <c r="L46" s="141" t="n">
        <f aca="false">IFERROR((L40-K40)/K41,"")</f>
        <v>-0.394027617361482</v>
      </c>
      <c r="M46" s="141" t="n">
        <f aca="false">IFERROR((M40-L40)/L41,"")</f>
        <v>-0.358206924874075</v>
      </c>
      <c r="N46" s="140" t="n">
        <f aca="false">IFERROR($C$32/N45,"")</f>
        <v>-0.286565539899261</v>
      </c>
    </row>
    <row r="47" customFormat="false" ht="15.75" hidden="false" customHeight="true" outlineLevel="0" collapsed="false">
      <c r="B47" s="0" t="s">
        <v>744</v>
      </c>
      <c r="C47" s="124" t="n">
        <f aca="false">IFERROR((M40-D40)/SUM(D41:L41),"")</f>
        <v>-1.51857608384704</v>
      </c>
      <c r="D47" s="124"/>
      <c r="E47" s="124"/>
      <c r="F47" s="124"/>
      <c r="G47" s="124"/>
      <c r="H47" s="124"/>
      <c r="I47" s="35"/>
      <c r="J47" s="35"/>
      <c r="K47" s="35"/>
      <c r="L47" s="35"/>
      <c r="M47" s="35"/>
      <c r="N47" s="124"/>
    </row>
    <row r="48" customFormat="false" ht="15" hidden="false" customHeight="false" outlineLevel="0" collapsed="false">
      <c r="D48" s="4" t="s">
        <v>745</v>
      </c>
    </row>
    <row r="49" customFormat="false" ht="15" hidden="false" customHeight="true" outlineLevel="0" collapsed="false">
      <c r="B49" s="16" t="s">
        <v>746</v>
      </c>
    </row>
    <row r="50" customFormat="false" ht="15" hidden="false" customHeight="true" outlineLevel="0" collapsed="false">
      <c r="B50" s="26" t="s">
        <v>747</v>
      </c>
      <c r="C50" s="123" t="n">
        <f aca="false">SUM(D36:M36)</f>
        <v>17602.7233139457</v>
      </c>
    </row>
    <row r="51" customFormat="false" ht="15" hidden="false" customHeight="true" outlineLevel="0" collapsed="false">
      <c r="B51" s="26" t="s">
        <v>748</v>
      </c>
      <c r="C51" s="123" t="n">
        <f aca="false">N36</f>
        <v>45396.6087223636</v>
      </c>
    </row>
    <row r="52" customFormat="false" ht="15" hidden="false" customHeight="true" outlineLevel="0" collapsed="false">
      <c r="B52" s="84" t="s">
        <v>749</v>
      </c>
      <c r="C52" s="130" t="n">
        <f aca="false">C50+C51</f>
        <v>62999.3320363093</v>
      </c>
    </row>
    <row r="53" customFormat="false" ht="15" hidden="false" customHeight="true" outlineLevel="0" collapsed="false">
      <c r="B53" s="26" t="s">
        <v>750</v>
      </c>
      <c r="C53" s="123" t="n">
        <f aca="false">Model!CA421</f>
        <v>12240.587978462</v>
      </c>
    </row>
    <row r="54" customFormat="false" ht="15" hidden="false" customHeight="true" outlineLevel="0" collapsed="false">
      <c r="B54" s="26" t="s">
        <v>751</v>
      </c>
      <c r="C54" s="123" t="n">
        <f aca="false">Model!CA324</f>
        <v>2</v>
      </c>
    </row>
    <row r="55" customFormat="false" ht="15" hidden="false" customHeight="true" outlineLevel="0" collapsed="false">
      <c r="B55" s="84" t="s">
        <v>752</v>
      </c>
      <c r="C55" s="130" t="n">
        <f aca="false">C52-C53-C54</f>
        <v>50756.7440578473</v>
      </c>
    </row>
    <row r="56" customFormat="false" ht="15" hidden="false" customHeight="true" outlineLevel="0" collapsed="false">
      <c r="B56" s="26" t="s">
        <v>753</v>
      </c>
      <c r="C56" s="143" t="n">
        <f aca="false">Model!CA427</f>
        <v>71.204402</v>
      </c>
    </row>
    <row r="57" customFormat="false" ht="15" hidden="false" customHeight="true" outlineLevel="0" collapsed="false">
      <c r="B57" s="84" t="s">
        <v>754</v>
      </c>
      <c r="C57" s="144" t="n">
        <f aca="false">C55/C56</f>
        <v>712.831547378873</v>
      </c>
    </row>
    <row r="58" customFormat="false" ht="15" hidden="false" customHeight="true" outlineLevel="0" collapsed="false">
      <c r="B58" s="26" t="s">
        <v>755</v>
      </c>
      <c r="C58" s="145" t="n">
        <f aca="false">Model!CA426</f>
        <v>518.7</v>
      </c>
    </row>
    <row r="59" customFormat="false" ht="15" hidden="false" customHeight="true" outlineLevel="0" collapsed="false">
      <c r="B59" s="26" t="s">
        <v>756</v>
      </c>
      <c r="C59" s="142" t="n">
        <f aca="false">C57/C58-1</f>
        <v>0.374265562712306</v>
      </c>
    </row>
    <row r="62" customFormat="false" ht="15" hidden="false" customHeight="true" outlineLevel="0" collapsed="false">
      <c r="B62" s="16" t="s">
        <v>757</v>
      </c>
    </row>
    <row r="63" customFormat="false" ht="15" hidden="false" customHeight="false" outlineLevel="0" collapsed="false">
      <c r="B63" s="0" t="s">
        <v>758</v>
      </c>
      <c r="C63" s="146" t="n">
        <v>0.005</v>
      </c>
    </row>
    <row r="64" customFormat="false" ht="15" hidden="false" customHeight="true" outlineLevel="0" collapsed="false">
      <c r="B64" s="0" t="s">
        <v>759</v>
      </c>
      <c r="C64" s="146" t="n">
        <v>0.005</v>
      </c>
    </row>
    <row r="65" customFormat="false" ht="15" hidden="false" customHeight="true" outlineLevel="0" collapsed="false">
      <c r="B65" s="0" t="s">
        <v>760</v>
      </c>
      <c r="D65" s="147" t="n">
        <f aca="false">E65-$C$63</f>
        <v>0.071975</v>
      </c>
      <c r="E65" s="147" t="n">
        <f aca="false">F65-$C$63</f>
        <v>0.076975</v>
      </c>
      <c r="F65" s="147" t="n">
        <f aca="false">$C$13</f>
        <v>0.081975</v>
      </c>
      <c r="G65" s="147" t="n">
        <f aca="false">F65+$C$63</f>
        <v>0.086975</v>
      </c>
      <c r="H65" s="147" t="n">
        <f aca="false">G65+$C$63</f>
        <v>0.091975</v>
      </c>
    </row>
    <row r="66" customFormat="false" ht="15" hidden="false" customHeight="true" outlineLevel="0" collapsed="false">
      <c r="B66" s="147" t="n">
        <f aca="false">B67-$C$64</f>
        <v>0.03</v>
      </c>
      <c r="D66" s="148" t="n">
        <f aca="false">IFERROR((SUMPRODUCT($D$26:$M$26/(1+D$65)^$D$34:$M$34)+($M$26*(1+$B66)/(D$65-$B66))/(1+D$65)^$M$34-$C$53-$C$54)/$C$56,"")</f>
        <v>774.927340075942</v>
      </c>
      <c r="E66" s="148" t="n">
        <f aca="false">IFERROR((SUMPRODUCT($D$26:$M$26/(1+E$65)^$D$34:$M$34)+($M$26*(1+$B66)/(E$65-$B66))/(1+E$65)^$M$34-$C$53-$C$54)/$C$56,"")</f>
        <v>669.891682587079</v>
      </c>
      <c r="F66" s="148" t="n">
        <f aca="false">IFERROR((SUMPRODUCT($D$26:$M$26/(1+F$65)^$D$34:$M$34)+($M$26*(1+$B66)/(F$65-$B66))/(1+F$65)^$M$34-$C$53-$C$54)/$C$56,"")</f>
        <v>585.2153039972</v>
      </c>
      <c r="G66" s="148" t="n">
        <f aca="false">IFERROR((SUMPRODUCT($D$26:$M$26/(1+G$65)^$D$34:$M$34)+($M$26*(1+$B66)/(G$65-$B66))/(1+G$65)^$M$34-$C$53-$C$54)/$C$56,"")</f>
        <v>515.533503138738</v>
      </c>
      <c r="H66" s="148" t="n">
        <f aca="false">IFERROR((SUMPRODUCT($D$26:$M$26/(1+H$65)^$D$34:$M$34)+($M$26*(1+$B66)/(H$65-$B66))/(1+H$65)^$M$34-$C$53-$C$54)/$C$56,"")</f>
        <v>457.212992509056</v>
      </c>
    </row>
    <row r="67" customFormat="false" ht="15" hidden="false" customHeight="true" outlineLevel="0" collapsed="false">
      <c r="B67" s="147" t="n">
        <f aca="false">B68-$C$64</f>
        <v>0.035</v>
      </c>
      <c r="D67" s="148" t="n">
        <f aca="false">IFERROR((SUMPRODUCT($D$26:$M$26/(1+D$65)^$D$34:$M$34)+($M$26*(1+$B67)/(D$65-$B67))/(1+D$65)^$M$34-$C$53-$C$54)/$C$56,"")</f>
        <v>871.753261439306</v>
      </c>
      <c r="E67" s="148" t="n">
        <f aca="false">IFERROR((SUMPRODUCT($D$26:$M$26/(1+E$65)^$D$34:$M$34)+($M$26*(1+$B67)/(E$65-$B67))/(1+E$65)^$M$34-$C$53-$C$54)/$C$56,"")</f>
        <v>743.238248149428</v>
      </c>
      <c r="F67" s="148" t="n">
        <f aca="false">IFERROR((SUMPRODUCT($D$26:$M$26/(1+F$65)^$D$34:$M$34)+($M$26*(1+$B67)/(F$65-$B67))/(1+F$65)^$M$34-$C$53-$C$54)/$C$56,"")</f>
        <v>642.231715023764</v>
      </c>
      <c r="G67" s="148" t="n">
        <f aca="false">IFERROR((SUMPRODUCT($D$26:$M$26/(1+G$65)^$D$34:$M$34)+($M$26*(1+$B67)/(G$65-$B67))/(1+G$65)^$M$34-$C$53-$C$54)/$C$56,"")</f>
        <v>560.790178139857</v>
      </c>
      <c r="H67" s="148" t="n">
        <f aca="false">IFERROR((SUMPRODUCT($D$26:$M$26/(1+H$65)^$D$34:$M$34)+($M$26*(1+$B67)/(H$65-$B67))/(1+H$65)^$M$34-$C$53-$C$54)/$C$56,"")</f>
        <v>493.758722477804</v>
      </c>
    </row>
    <row r="68" customFormat="false" ht="15" hidden="false" customHeight="true" outlineLevel="0" collapsed="false">
      <c r="B68" s="147" t="n">
        <f aca="false">$C$32</f>
        <v>0.04</v>
      </c>
      <c r="D68" s="148" t="n">
        <f aca="false">IFERROR((SUMPRODUCT($D$26:$M$26/(1+D$65)^$D$34:$M$34)+($M$26*(1+$B68)/(D$65-$B68))/(1+D$65)^$M$34-$C$53-$C$54)/$C$56,"")</f>
        <v>998.860940852197</v>
      </c>
      <c r="E68" s="148" t="n">
        <f aca="false">IFERROR((SUMPRODUCT($D$26:$M$26/(1+E$65)^$D$34:$M$34)+($M$26*(1+$B68)/(E$65-$B68))/(1+E$65)^$M$34-$C$53-$C$54)/$C$56,"")</f>
        <v>836.421613052507</v>
      </c>
      <c r="F68" s="149" t="n">
        <f aca="false">IFERROR((SUMPRODUCT($D$26:$M$26/(1+F$65)^$D$34:$M$34)+($M$26*(1+$B68)/(F$65-$B68))/(1+F$65)^$M$34-$C$53-$C$54)/$C$56,"")</f>
        <v>712.831547378873</v>
      </c>
      <c r="G68" s="148" t="n">
        <f aca="false">IFERROR((SUMPRODUCT($D$26:$M$26/(1+G$65)^$D$34:$M$34)+($M$26*(1+$B68)/(G$65-$B68))/(1+G$65)^$M$34-$C$53-$C$54)/$C$56,"")</f>
        <v>615.681057505238</v>
      </c>
      <c r="H68" s="148" t="n">
        <f aca="false">IFERROR((SUMPRODUCT($D$26:$M$26/(1+H$65)^$D$34:$M$34)+($M$26*(1+$B68)/(H$65-$B68))/(1+H$65)^$M$34-$C$53-$C$54)/$C$56,"")</f>
        <v>537.335857923946</v>
      </c>
    </row>
    <row r="69" customFormat="false" ht="15" hidden="false" customHeight="true" outlineLevel="0" collapsed="false">
      <c r="B69" s="147" t="n">
        <f aca="false">B68+$C$64</f>
        <v>0.045</v>
      </c>
      <c r="D69" s="148" t="n">
        <f aca="false">IFERROR((SUMPRODUCT($D$26:$M$26/(1+D$65)^$D$34:$M$34)+($M$26*(1+$B69)/(D$65-$B69))/(1+D$65)^$M$34-$C$53-$C$54)/$C$56,"")</f>
        <v>1173.0891687036</v>
      </c>
      <c r="E69" s="148" t="n">
        <f aca="false">IFERROR((SUMPRODUCT($D$26:$M$26/(1+E$65)^$D$34:$M$34)+($M$26*(1+$B69)/(E$65-$B69))/(1+E$65)^$M$34-$C$53-$C$54)/$C$56,"")</f>
        <v>958.747547119957</v>
      </c>
      <c r="F69" s="148" t="n">
        <f aca="false">IFERROR((SUMPRODUCT($D$26:$M$26/(1+F$65)^$D$34:$M$34)+($M$26*(1+$B69)/(F$65-$B69))/(1+F$65)^$M$34-$C$53-$C$54)/$C$56,"")</f>
        <v>802.525316814471</v>
      </c>
      <c r="G69" s="148" t="n">
        <f aca="false">IFERROR((SUMPRODUCT($D$26:$M$26/(1+G$65)^$D$34:$M$34)+($M$26*(1+$B69)/(G$65-$B69))/(1+G$65)^$M$34-$C$53-$C$54)/$C$56,"")</f>
        <v>683.64897781532</v>
      </c>
      <c r="H69" s="148" t="n">
        <f aca="false">IFERROR((SUMPRODUCT($D$26:$M$26/(1+H$65)^$D$34:$M$34)+($M$26*(1+$B69)/(H$65-$B69))/(1+H$65)^$M$34-$C$53-$C$54)/$C$56,"")</f>
        <v>590.189658712534</v>
      </c>
    </row>
    <row r="70" customFormat="false" ht="15" hidden="false" customHeight="true" outlineLevel="0" collapsed="false">
      <c r="B70" s="147" t="n">
        <f aca="false">B69+$C$64</f>
        <v>0.05</v>
      </c>
      <c r="D70" s="148" t="n">
        <f aca="false">IFERROR((SUMPRODUCT($D$26:$M$26/(1+D$65)^$D$34:$M$34)+($M$26*(1+$B70)/(D$65-$B70))/(1+D$65)^$M$34-$C$53-$C$54)/$C$56,"")</f>
        <v>1426.60214187988</v>
      </c>
      <c r="E70" s="148" t="n">
        <f aca="false">IFERROR((SUMPRODUCT($D$26:$M$26/(1+E$65)^$D$34:$M$34)+($M$26*(1+$B70)/(E$65-$B70))/(1+E$65)^$M$34-$C$53-$C$54)/$C$56,"")</f>
        <v>1126.42137148118</v>
      </c>
      <c r="F70" s="148" t="n">
        <f aca="false">IFERROR((SUMPRODUCT($D$26:$M$26/(1+F$65)^$D$34:$M$34)+($M$26*(1+$B70)/(F$65-$B70))/(1+F$65)^$M$34-$C$53-$C$54)/$C$56,"")</f>
        <v>920.270304212726</v>
      </c>
      <c r="G70" s="148" t="n">
        <f aca="false">IFERROR((SUMPRODUCT($D$26:$M$26/(1+G$65)^$D$34:$M$34)+($M$26*(1+$B70)/(G$65-$B70))/(1+G$65)^$M$34-$C$53-$C$54)/$C$56,"")</f>
        <v>769.999026674443</v>
      </c>
      <c r="H70" s="148" t="n">
        <f aca="false">IFERROR((SUMPRODUCT($D$26:$M$26/(1+H$65)^$D$34:$M$34)+($M$26*(1+$B70)/(H$65-$B70))/(1+H$65)^$M$34-$C$53-$C$54)/$C$56,"")</f>
        <v>655.635192863501</v>
      </c>
    </row>
    <row r="73" customFormat="false" ht="15" hidden="false" customHeight="true" outlineLevel="0" collapsed="false">
      <c r="B73" s="16" t="s">
        <v>761</v>
      </c>
    </row>
    <row r="74" customFormat="false" ht="15" hidden="false" customHeight="true" outlineLevel="0" collapsed="false">
      <c r="B74" s="4" t="s">
        <v>762</v>
      </c>
    </row>
    <row r="76" customFormat="false" ht="15" hidden="false" customHeight="true" outlineLevel="0" collapsed="false">
      <c r="B76" s="16" t="s">
        <v>763</v>
      </c>
    </row>
    <row r="77" customFormat="false" ht="15" hidden="false" customHeight="true" outlineLevel="0" collapsed="false">
      <c r="B77" s="4" t="s">
        <v>764</v>
      </c>
    </row>
    <row r="78" customFormat="false" ht="15" hidden="false" customHeight="true" outlineLevel="0" collapsed="false">
      <c r="B78" s="4" t="s">
        <v>765</v>
      </c>
    </row>
    <row r="80" customFormat="false" ht="15" hidden="false" customHeight="true" outlineLevel="0" collapsed="false">
      <c r="B80" s="16" t="s">
        <v>766</v>
      </c>
      <c r="C80" s="16" t="s">
        <v>767</v>
      </c>
      <c r="D80" s="16" t="s">
        <v>768</v>
      </c>
    </row>
    <row r="81" customFormat="false" ht="15" hidden="false" customHeight="true" outlineLevel="0" collapsed="false">
      <c r="B81" s="0" t="s">
        <v>769</v>
      </c>
      <c r="C81" s="150" t="n">
        <f aca="false">$C$13</f>
        <v>0.081975</v>
      </c>
      <c r="D81" s="4" t="s">
        <v>770</v>
      </c>
    </row>
    <row r="82" customFormat="false" ht="15" hidden="false" customHeight="true" outlineLevel="0" collapsed="false">
      <c r="B82" s="0" t="s">
        <v>771</v>
      </c>
      <c r="C82" s="118" t="n">
        <v>0.09</v>
      </c>
      <c r="D82" s="4" t="s">
        <v>772</v>
      </c>
    </row>
    <row r="83" customFormat="false" ht="15" hidden="false" customHeight="true" outlineLevel="0" collapsed="false">
      <c r="B83" s="0" t="s">
        <v>773</v>
      </c>
      <c r="C83" s="118" t="n">
        <v>0.15</v>
      </c>
      <c r="D83" s="4" t="s">
        <v>774</v>
      </c>
    </row>
    <row r="84" customFormat="false" ht="15" hidden="false" customHeight="true" outlineLevel="0" collapsed="false">
      <c r="B84" s="0" t="s">
        <v>775</v>
      </c>
      <c r="C84" s="151" t="n">
        <v>15</v>
      </c>
      <c r="D84" s="4" t="s">
        <v>776</v>
      </c>
    </row>
    <row r="86" customFormat="false" ht="15" hidden="false" customHeight="true" outlineLevel="0" collapsed="false">
      <c r="B86" s="16" t="s">
        <v>777</v>
      </c>
      <c r="C86" s="16" t="s">
        <v>767</v>
      </c>
    </row>
    <row r="87" customFormat="false" ht="15" hidden="false" customHeight="true" outlineLevel="0" collapsed="false">
      <c r="B87" s="0" t="s">
        <v>778</v>
      </c>
      <c r="C87" s="134" t="n">
        <f aca="false">1/C81</f>
        <v>12.1988411100945</v>
      </c>
    </row>
    <row r="88" customFormat="false" ht="15" hidden="false" customHeight="true" outlineLevel="0" collapsed="false">
      <c r="B88" s="0" t="s">
        <v>779</v>
      </c>
      <c r="C88" s="134" t="n">
        <f aca="false">1-C81/C83</f>
        <v>0.4535</v>
      </c>
    </row>
    <row r="89" customFormat="false" ht="15" hidden="false" customHeight="true" outlineLevel="0" collapsed="false">
      <c r="B89" s="0" t="s">
        <v>780</v>
      </c>
      <c r="C89" s="134" t="n">
        <f aca="false">C82*C88/(C81*(C81-C82))</f>
        <v>-62.0430778702192</v>
      </c>
    </row>
    <row r="90" customFormat="false" ht="15" hidden="false" customHeight="true" outlineLevel="0" collapsed="false">
      <c r="B90" s="0" t="s">
        <v>781</v>
      </c>
      <c r="C90" s="134" t="n">
        <f aca="false">1-((1+C82)/(1+C81))^C84</f>
        <v>-0.117220966212317</v>
      </c>
    </row>
    <row r="91" customFormat="false" ht="15" hidden="false" customHeight="true" outlineLevel="0" collapsed="false">
      <c r="B91" s="0" t="s">
        <v>782</v>
      </c>
      <c r="C91" s="134" t="n">
        <f aca="false">C89*C90</f>
        <v>7.27274953473313</v>
      </c>
    </row>
    <row r="92" customFormat="false" ht="15" hidden="false" customHeight="true" outlineLevel="0" collapsed="false">
      <c r="B92" s="11" t="s">
        <v>783</v>
      </c>
      <c r="C92" s="152" t="n">
        <f aca="false">C87+C91</f>
        <v>19.4715906448277</v>
      </c>
    </row>
    <row r="94" customFormat="false" ht="15" hidden="false" customHeight="true" outlineLevel="0" collapsed="false">
      <c r="B94" s="16" t="s">
        <v>784</v>
      </c>
      <c r="C94" s="16" t="s">
        <v>785</v>
      </c>
    </row>
    <row r="95" customFormat="false" ht="15" hidden="false" customHeight="true" outlineLevel="0" collapsed="false">
      <c r="B95" s="0" t="s">
        <v>786</v>
      </c>
      <c r="C95" s="123" t="n">
        <f aca="false">Model!CC212</f>
        <v>2596.37060839369</v>
      </c>
    </row>
    <row r="96" customFormat="false" ht="15" hidden="false" customHeight="true" outlineLevel="0" collapsed="false">
      <c r="B96" s="0" t="s">
        <v>787</v>
      </c>
      <c r="C96" s="123" t="n">
        <f aca="false">-Model!CC158</f>
        <v>-10</v>
      </c>
    </row>
    <row r="97" customFormat="false" ht="15" hidden="false" customHeight="true" outlineLevel="0" collapsed="false">
      <c r="B97" s="0" t="s">
        <v>788</v>
      </c>
      <c r="C97" s="142" t="n">
        <f aca="false">$C$10</f>
        <v>0.22</v>
      </c>
    </row>
    <row r="98" customFormat="false" ht="15" hidden="false" customHeight="true" outlineLevel="0" collapsed="false">
      <c r="B98" s="0" t="s">
        <v>789</v>
      </c>
      <c r="C98" s="123" t="n">
        <f aca="false">(C95+C96)*(1-C97)</f>
        <v>2017.36907454707</v>
      </c>
    </row>
    <row r="99" customFormat="false" ht="15" hidden="false" customHeight="true" outlineLevel="0" collapsed="false">
      <c r="B99" s="0" t="s">
        <v>790</v>
      </c>
      <c r="C99" s="153" t="n">
        <f aca="false">C92</f>
        <v>19.4715906448277</v>
      </c>
    </row>
    <row r="100" customFormat="false" ht="15" hidden="false" customHeight="true" outlineLevel="0" collapsed="false">
      <c r="B100" s="0" t="s">
        <v>791</v>
      </c>
      <c r="C100" s="123" t="n">
        <f aca="false">C98*C99</f>
        <v>39281.3847991155</v>
      </c>
    </row>
    <row r="101" customFormat="false" ht="15" hidden="false" customHeight="true" outlineLevel="0" collapsed="false">
      <c r="B101" s="0" t="s">
        <v>792</v>
      </c>
      <c r="C101" s="123" t="n">
        <f aca="false">Model!CB421+Model!CB324</f>
        <v>10862.6543899285</v>
      </c>
    </row>
    <row r="102" customFormat="false" ht="15" hidden="false" customHeight="true" outlineLevel="0" collapsed="false">
      <c r="B102" s="0" t="s">
        <v>793</v>
      </c>
      <c r="C102" s="123" t="n">
        <f aca="false">C100-C101</f>
        <v>28418.730409187</v>
      </c>
    </row>
    <row r="103" customFormat="false" ht="15" hidden="false" customHeight="true" outlineLevel="0" collapsed="false">
      <c r="B103" s="0" t="s">
        <v>794</v>
      </c>
      <c r="C103" s="123" t="n">
        <f aca="false">Model!CC427</f>
        <v>71.554402</v>
      </c>
    </row>
    <row r="104" customFormat="false" ht="15" hidden="false" customHeight="true" outlineLevel="0" collapsed="false">
      <c r="B104" s="0" t="s">
        <v>795</v>
      </c>
      <c r="C104" s="145" t="n">
        <f aca="false">C102/C103</f>
        <v>397.162573019434</v>
      </c>
    </row>
    <row r="106" customFormat="false" ht="15" hidden="false" customHeight="true" outlineLevel="0" collapsed="false">
      <c r="B106" s="0" t="s">
        <v>755</v>
      </c>
      <c r="C106" s="145" t="n">
        <f aca="false">C58</f>
        <v>518.7</v>
      </c>
    </row>
    <row r="107" customFormat="false" ht="15" hidden="false" customHeight="true" outlineLevel="0" collapsed="false">
      <c r="B107" s="0" t="s">
        <v>756</v>
      </c>
      <c r="C107" s="142" t="n">
        <f aca="false">C104/C106-1</f>
        <v>-0.234311600116764</v>
      </c>
    </row>
    <row r="109" customFormat="false" ht="15" hidden="false" customHeight="true" outlineLevel="0" collapsed="false">
      <c r="B109" s="16" t="s">
        <v>796</v>
      </c>
      <c r="C109" s="16" t="s">
        <v>785</v>
      </c>
    </row>
    <row r="110" customFormat="false" ht="15" hidden="false" customHeight="true" outlineLevel="0" collapsed="false">
      <c r="B110" s="0" t="s">
        <v>797</v>
      </c>
      <c r="C110" s="123" t="n">
        <f aca="false">C58*C56</f>
        <v>36933.7233174</v>
      </c>
    </row>
    <row r="111" customFormat="false" ht="15" hidden="false" customHeight="true" outlineLevel="0" collapsed="false">
      <c r="B111" s="0" t="s">
        <v>798</v>
      </c>
      <c r="C111" s="123" t="n">
        <f aca="false">C53+C54</f>
        <v>12242.587978462</v>
      </c>
    </row>
    <row r="112" customFormat="false" ht="15" hidden="false" customHeight="true" outlineLevel="0" collapsed="false">
      <c r="B112" s="0" t="s">
        <v>799</v>
      </c>
      <c r="C112" s="123" t="n">
        <f aca="false">C110+C111</f>
        <v>49176.311295862</v>
      </c>
    </row>
    <row r="113" customFormat="false" ht="15" hidden="false" customHeight="true" outlineLevel="0" collapsed="false">
      <c r="B113" s="0" t="s">
        <v>800</v>
      </c>
      <c r="C113" s="153" t="n">
        <f aca="false">C112/C98</f>
        <v>24.3764573950866</v>
      </c>
    </row>
    <row r="115" customFormat="false" ht="15" hidden="false" customHeight="true" outlineLevel="0" collapsed="false">
      <c r="B115" s="0" t="s">
        <v>801</v>
      </c>
      <c r="C115" s="153" t="n">
        <f aca="false">C92-C113</f>
        <v>-4.90486675025891</v>
      </c>
    </row>
    <row r="116" customFormat="false" ht="15" hidden="false" customHeight="true" outlineLevel="0" collapsed="false">
      <c r="B116" s="0" t="s">
        <v>802</v>
      </c>
      <c r="C116" s="142" t="n">
        <f aca="false">C92/C113-1</f>
        <v>-0.201213271918977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2" min="2" style="0" width="30"/>
  </cols>
  <sheetData>
    <row r="2" customFormat="false" ht="17.25" hidden="false" customHeight="true" outlineLevel="0" collapsed="false">
      <c r="B2" s="154" t="s">
        <v>803</v>
      </c>
    </row>
    <row r="3" customFormat="false" ht="15" hidden="false" customHeight="true" outlineLevel="0" collapsed="false">
      <c r="B3" s="4" t="s">
        <v>804</v>
      </c>
    </row>
    <row r="7" customFormat="false" ht="15" hidden="false" customHeight="true" outlineLevel="0" collapsed="false">
      <c r="C7" s="11" t="n">
        <v>2006</v>
      </c>
      <c r="D7" s="11" t="n">
        <v>2007</v>
      </c>
      <c r="E7" s="11" t="n">
        <v>2008</v>
      </c>
      <c r="F7" s="11" t="n">
        <v>2009</v>
      </c>
      <c r="G7" s="11" t="n">
        <v>2010</v>
      </c>
      <c r="H7" s="11" t="n">
        <v>2011</v>
      </c>
      <c r="I7" s="11" t="n">
        <v>2012</v>
      </c>
      <c r="J7" s="11" t="n">
        <v>2013</v>
      </c>
      <c r="K7" s="11" t="n">
        <v>2014</v>
      </c>
      <c r="L7" s="11" t="n">
        <v>2015</v>
      </c>
      <c r="M7" s="11" t="n">
        <v>2016</v>
      </c>
      <c r="N7" s="11" t="n">
        <v>2017</v>
      </c>
      <c r="O7" s="11" t="n">
        <v>2018</v>
      </c>
      <c r="P7" s="11" t="n">
        <v>2019</v>
      </c>
      <c r="Q7" s="11" t="n">
        <v>2020</v>
      </c>
      <c r="R7" s="11" t="n">
        <v>2021</v>
      </c>
      <c r="S7" s="11" t="n">
        <v>2022</v>
      </c>
      <c r="T7" s="11" t="n">
        <v>2023</v>
      </c>
      <c r="U7" s="11" t="n">
        <v>2024</v>
      </c>
      <c r="V7" s="11" t="n">
        <v>2025</v>
      </c>
    </row>
    <row r="8" customFormat="false" ht="15" hidden="false" customHeight="true" outlineLevel="0" collapsed="false">
      <c r="B8" s="0" t="s">
        <v>805</v>
      </c>
      <c r="C8" s="155" t="n">
        <f aca="false">IFERROR(Model!C12+0,IFERROR(Model!C24+0,0))</f>
        <v>0</v>
      </c>
      <c r="D8" s="155" t="n">
        <f aca="false">IFERROR(Model!D12+0,IFERROR(Model!D24+0,0))</f>
        <v>-0.0814348329890675</v>
      </c>
      <c r="E8" s="155" t="n">
        <f aca="false">IFERROR(Model!E12+0,IFERROR(Model!E24+0,0))</f>
        <v>-0.125988613801652</v>
      </c>
      <c r="F8" s="155" t="n">
        <f aca="false">IFERROR(Model!F12+0,IFERROR(Model!F24+0,0))</f>
        <v>-0.22562203884409</v>
      </c>
      <c r="G8" s="155" t="n">
        <f aca="false">IFERROR(Model!G12+0,IFERROR(Model!G24+0,0))</f>
        <v>0.0535327914684647</v>
      </c>
      <c r="H8" s="155" t="n">
        <f aca="false">IFERROR(Model!H12+0,IFERROR(Model!H24+0,0))</f>
        <v>-0.0379441107017315</v>
      </c>
      <c r="I8" s="155" t="n">
        <f aca="false">IFERROR(Model!I12+0,IFERROR(Model!I24+0,0))</f>
        <v>0.0260405839742872</v>
      </c>
      <c r="J8" s="155" t="n">
        <f aca="false">IFERROR(Model!N12+0,IFERROR(Model!N24+0,0))</f>
        <v>0.000794819646071421</v>
      </c>
      <c r="K8" s="155" t="n">
        <f aca="false">IFERROR(Model!S12+0,IFERROR(Model!S24+0,0))</f>
        <v>0.137168796181667</v>
      </c>
      <c r="L8" s="155" t="n">
        <f aca="false">IFERROR(Model!X12+0,IFERROR(Model!X24+0,0))</f>
        <v>0.0710167750770283</v>
      </c>
      <c r="M8" s="155" t="n">
        <f aca="false">IFERROR(Model!AC12+0,IFERROR(Model!AC24+0,0))</f>
        <v>0.0140900896293361</v>
      </c>
      <c r="N8" s="155" t="n">
        <f aca="false">IFERROR(Model!AH12+0,IFERROR(Model!AH24+0,0))</f>
        <v>-0.00585023892678371</v>
      </c>
      <c r="O8" s="155" t="n">
        <f aca="false">IFERROR(Model!AM12+0,IFERROR(Model!AM24+0,0))</f>
        <v>0.083311139012543</v>
      </c>
      <c r="P8" s="155" t="n">
        <f aca="false">IFERROR(Model!AR12+0,IFERROR(Model!AR24+0,0))</f>
        <v>0.118768877754103</v>
      </c>
      <c r="Q8" s="155" t="n">
        <f aca="false">IFERROR(Model!AW12+0,IFERROR(Model!AW24+0,0))</f>
        <v>-0.0242039282986093</v>
      </c>
      <c r="R8" s="155" t="n">
        <f aca="false">IFERROR(Model!BB12+0,IFERROR(Model!BB24+0,0))</f>
        <v>0.0788203753351207</v>
      </c>
      <c r="S8" s="155" t="n">
        <f aca="false">IFERROR(Model!BG12+0,IFERROR(Model!BG24+0,0))</f>
        <v>0.0323061630218688</v>
      </c>
      <c r="T8" s="155" t="n">
        <f aca="false">IFERROR(Model!BL12+0,IFERROR(Model!BL24+0,0))</f>
        <v>-0.0428502648050071</v>
      </c>
      <c r="U8" s="155" t="n">
        <f aca="false">IFERROR(Model!BQ12+0,IFERROR(Model!BQ24+0,0))</f>
        <v>-0.0387323943661972</v>
      </c>
      <c r="V8" s="155" t="n">
        <f aca="false">IFERROR(Model!BV12+0,IFERROR(Model!BV24+0,0))</f>
        <v>0.0387231815803244</v>
      </c>
    </row>
    <row r="9" customFormat="false" ht="15" hidden="false" customHeight="true" outlineLevel="0" collapsed="false">
      <c r="B9" s="0" t="s">
        <v>806</v>
      </c>
      <c r="C9" s="155" t="n">
        <f aca="false">IFERROR(Model!C14+0,IFERROR(Model!C25+0,0))</f>
        <v>0</v>
      </c>
      <c r="D9" s="155" t="n">
        <f aca="false">IFERROR(Model!D14+0,IFERROR(Model!D25+0,0))</f>
        <v>0.104</v>
      </c>
      <c r="E9" s="155" t="n">
        <f aca="false">IFERROR(Model!E14+0,IFERROR(Model!E25+0,0))</f>
        <v>0.069</v>
      </c>
      <c r="F9" s="155" t="n">
        <f aca="false">IFERROR(Model!F14+0,IFERROR(Model!F25+0,0))</f>
        <v>0.021</v>
      </c>
      <c r="G9" s="155" t="n">
        <f aca="false">IFERROR(Model!G14+0,IFERROR(Model!G25+0,0))</f>
        <v>-0.034</v>
      </c>
      <c r="H9" s="155" t="n">
        <f aca="false">IFERROR(Model!H14+0,IFERROR(Model!H25+0,0))</f>
        <v>0.027</v>
      </c>
      <c r="I9" s="155" t="n">
        <f aca="false">IFERROR(Model!I14+0,IFERROR(Model!I25+0,0))</f>
        <v>0.008</v>
      </c>
      <c r="J9" s="155" t="n">
        <f aca="false">IFERROR(Model!N14+0,IFERROR(Model!N25+0,0))</f>
        <v>0.0290416263310747</v>
      </c>
      <c r="K9" s="155" t="n">
        <f aca="false">IFERROR(Model!S14+0,IFERROR(Model!S25+0,0))</f>
        <v>0.045</v>
      </c>
      <c r="L9" s="155" t="n">
        <f aca="false">IFERROR(Model!X14+0,IFERROR(Model!X25+0,0))</f>
        <v>0.08</v>
      </c>
      <c r="M9" s="155" t="n">
        <f aca="false">IFERROR(Model!AC14+0,IFERROR(Model!AC25+0,0))</f>
        <v>0.073</v>
      </c>
      <c r="N9" s="155" t="n">
        <f aca="false">IFERROR(Model!AH14+0,IFERROR(Model!AH25+0,0))</f>
        <v>0.0450310559006211</v>
      </c>
      <c r="O9" s="155" t="n">
        <f aca="false">IFERROR(Model!AM14+0,IFERROR(Model!AM25+0,0))</f>
        <v>0.0185735512630014</v>
      </c>
      <c r="P9" s="155" t="n">
        <f aca="false">IFERROR(Model!AR14+0,IFERROR(Model!AR25+0,0))</f>
        <v>0.0452224653537563</v>
      </c>
      <c r="Q9" s="155" t="n">
        <f aca="false">IFERROR(Model!AW14+0,IFERROR(Model!AW25+0,0))</f>
        <v>0.0307048150732727</v>
      </c>
      <c r="R9" s="155" t="n">
        <f aca="false">IFERROR(Model!BB14+0,IFERROR(Model!BB25+0,0))</f>
        <v>0.020988490182803</v>
      </c>
      <c r="S9" s="155" t="n">
        <f aca="false">IFERROR(Model!BG14+0,IFERROR(Model!BG25+0,0))</f>
        <v>0.106100795755968</v>
      </c>
      <c r="T9" s="155" t="n">
        <f aca="false">IFERROR(Model!BL14+0,IFERROR(Model!BL25+0,0))</f>
        <v>0.189448441247002</v>
      </c>
      <c r="U9" s="155" t="n">
        <f aca="false">IFERROR(Model!BQ14+0,IFERROR(Model!BQ25+0,0))</f>
        <v>0.0987903225806452</v>
      </c>
      <c r="V9" s="155" t="n">
        <f aca="false">IFERROR(Model!BV14+0,IFERROR(Model!BV25+0,0))</f>
        <v>0.0688073394495412</v>
      </c>
    </row>
    <row r="11" customFormat="false" ht="15" hidden="false" customHeight="true" outlineLevel="0" collapsed="false">
      <c r="C11" s="11" t="n">
        <f aca="false">C7</f>
        <v>2006</v>
      </c>
      <c r="D11" s="11" t="n">
        <f aca="false">D7</f>
        <v>2007</v>
      </c>
      <c r="E11" s="11" t="n">
        <f aca="false">E7</f>
        <v>2008</v>
      </c>
      <c r="F11" s="11" t="n">
        <f aca="false">F7</f>
        <v>2009</v>
      </c>
      <c r="G11" s="11" t="n">
        <f aca="false">G7</f>
        <v>2010</v>
      </c>
      <c r="H11" s="11" t="n">
        <f aca="false">H7</f>
        <v>2011</v>
      </c>
      <c r="I11" s="11" t="n">
        <f aca="false">I7</f>
        <v>2012</v>
      </c>
      <c r="J11" s="11" t="n">
        <f aca="false">J7</f>
        <v>2013</v>
      </c>
      <c r="K11" s="11" t="n">
        <f aca="false">K7</f>
        <v>2014</v>
      </c>
      <c r="L11" s="11" t="n">
        <f aca="false">L7</f>
        <v>2015</v>
      </c>
      <c r="M11" s="11" t="n">
        <f aca="false">M7</f>
        <v>2016</v>
      </c>
      <c r="N11" s="11" t="n">
        <f aca="false">N7</f>
        <v>2017</v>
      </c>
      <c r="O11" s="11" t="n">
        <f aca="false">O7</f>
        <v>2018</v>
      </c>
      <c r="P11" s="11" t="n">
        <f aca="false">P7</f>
        <v>2019</v>
      </c>
      <c r="Q11" s="11" t="n">
        <f aca="false">Q7</f>
        <v>2020</v>
      </c>
      <c r="R11" s="11" t="n">
        <f aca="false">R7</f>
        <v>2021</v>
      </c>
      <c r="S11" s="11" t="n">
        <f aca="false">S7</f>
        <v>2022</v>
      </c>
      <c r="T11" s="11" t="n">
        <f aca="false">T7</f>
        <v>2023</v>
      </c>
      <c r="U11" s="11" t="n">
        <f aca="false">U7</f>
        <v>2024</v>
      </c>
      <c r="V11" s="11" t="n">
        <f aca="false">V7</f>
        <v>2025</v>
      </c>
    </row>
    <row r="12" customFormat="false" ht="15" hidden="false" customHeight="true" outlineLevel="0" collapsed="false">
      <c r="B12" s="0" t="s">
        <v>807</v>
      </c>
      <c r="C12" s="122" t="n">
        <f aca="false">Model!C204</f>
        <v>535</v>
      </c>
      <c r="D12" s="122" t="n">
        <f aca="false">Model!D204</f>
        <v>590.6</v>
      </c>
      <c r="E12" s="122" t="n">
        <f aca="false">Model!E204</f>
        <v>497.7</v>
      </c>
      <c r="F12" s="122" t="n">
        <f aca="false">Model!F204</f>
        <v>364.1</v>
      </c>
      <c r="G12" s="122" t="n">
        <f aca="false">Model!G204</f>
        <v>374.7</v>
      </c>
      <c r="H12" s="122" t="n">
        <f aca="false">Model!H204</f>
        <v>335.9</v>
      </c>
      <c r="I12" s="122" t="n">
        <f aca="false">Model!I204</f>
        <v>329.9</v>
      </c>
      <c r="J12" s="122" t="n">
        <f aca="false">Model!N204</f>
        <v>390.2</v>
      </c>
      <c r="K12" s="122" t="n">
        <f aca="false">Model!S204</f>
        <v>537</v>
      </c>
      <c r="L12" s="122" t="n">
        <f aca="false">Model!X204</f>
        <v>766.7</v>
      </c>
      <c r="M12" s="122" t="n">
        <f aca="false">Model!AC204</f>
        <v>971.6</v>
      </c>
      <c r="N12" s="122" t="n">
        <f aca="false">Model!AH204</f>
        <v>1004.4</v>
      </c>
      <c r="O12" s="122" t="n">
        <f aca="false">Model!AM204</f>
        <v>1103.765</v>
      </c>
      <c r="P12" s="122" t="n">
        <f aca="false">Model!AR204</f>
        <v>1254.549</v>
      </c>
      <c r="Q12" s="122" t="n">
        <f aca="false">Model!AW204</f>
        <v>1392.8</v>
      </c>
      <c r="R12" s="122" t="n">
        <f aca="false">Model!BB204</f>
        <v>1528.5</v>
      </c>
      <c r="S12" s="122" t="n">
        <f aca="false">Model!BG204</f>
        <v>1600.3</v>
      </c>
      <c r="T12" s="122" t="n">
        <f aca="false">Model!BL204</f>
        <v>2127.7</v>
      </c>
      <c r="U12" s="122" t="n">
        <f aca="false">Model!BQ204</f>
        <v>2066</v>
      </c>
      <c r="V12" s="122" t="n">
        <f aca="false">Model!BV204</f>
        <v>2065</v>
      </c>
    </row>
    <row r="13" customFormat="false" ht="15" hidden="false" customHeight="true" outlineLevel="0" collapsed="false">
      <c r="B13" s="0" t="s">
        <v>666</v>
      </c>
      <c r="C13" s="122" t="n">
        <f aca="false">Model!C160</f>
        <v>388</v>
      </c>
      <c r="D13" s="122" t="n">
        <f aca="false">Model!D160</f>
        <v>433</v>
      </c>
      <c r="E13" s="122" t="n">
        <f aca="false">Model!E160</f>
        <v>323.3</v>
      </c>
      <c r="F13" s="122" t="n">
        <f aca="false">Model!F160</f>
        <v>187.6</v>
      </c>
      <c r="G13" s="122" t="n">
        <f aca="false">Model!G160</f>
        <v>196.4</v>
      </c>
      <c r="H13" s="122" t="n">
        <f aca="false">Model!H160</f>
        <v>161</v>
      </c>
      <c r="I13" s="122" t="n">
        <f aca="false">Model!I160</f>
        <v>155</v>
      </c>
      <c r="J13" s="122" t="n">
        <f aca="false">Model!N160</f>
        <v>218</v>
      </c>
      <c r="K13" s="122" t="n">
        <f aca="false">Model!S160</f>
        <v>314.9</v>
      </c>
      <c r="L13" s="122" t="n">
        <f aca="false">Model!X160</f>
        <v>479.4</v>
      </c>
      <c r="M13" s="122" t="n">
        <f aca="false">Model!AC160</f>
        <v>667.3</v>
      </c>
      <c r="N13" s="122" t="n">
        <f aca="false">Model!AH160</f>
        <v>700.4</v>
      </c>
      <c r="O13" s="122" t="n">
        <f aca="false">Model!AM160</f>
        <v>690.737</v>
      </c>
      <c r="P13" s="122" t="n">
        <f aca="false">Model!AR160</f>
        <v>884.934</v>
      </c>
      <c r="Q13" s="122" t="n">
        <f aca="false">Model!AW160</f>
        <v>1005.4</v>
      </c>
      <c r="R13" s="122" t="n">
        <f aca="false">Model!BB160</f>
        <v>973.8</v>
      </c>
      <c r="S13" s="122" t="n">
        <f aca="false">Model!BG160</f>
        <v>1206.7</v>
      </c>
      <c r="T13" s="122" t="n">
        <f aca="false">Model!BL160</f>
        <v>1596</v>
      </c>
      <c r="U13" s="122" t="n">
        <f aca="false">Model!BQ160</f>
        <v>2707</v>
      </c>
      <c r="V13" s="122" t="n">
        <f aca="false">Model!BV160</f>
        <v>1437</v>
      </c>
    </row>
    <row r="14" customFormat="false" ht="15" hidden="false" customHeight="true" outlineLevel="0" collapsed="false">
      <c r="B14" s="0" t="s">
        <v>808</v>
      </c>
      <c r="C14" s="155" t="n">
        <f aca="false">Model!C238</f>
        <v>0.242476432197244</v>
      </c>
      <c r="D14" s="155" t="n">
        <f aca="false">Model!D238</f>
        <v>0.267590956458701</v>
      </c>
      <c r="E14" s="155" t="n">
        <f aca="false">Model!E238</f>
        <v>0.234753077685015</v>
      </c>
      <c r="F14" s="155" t="n">
        <f aca="false">Model!F238</f>
        <v>0.213849406789616</v>
      </c>
      <c r="G14" s="155" t="n">
        <f aca="false">Model!G238</f>
        <v>0.210163217230355</v>
      </c>
      <c r="H14" s="155" t="n">
        <f aca="false">Model!H238</f>
        <v>0.195985763463446</v>
      </c>
      <c r="I14" s="155" t="n">
        <f aca="false">Model!I238</f>
        <v>0.161906164114645</v>
      </c>
      <c r="J14" s="155" t="n">
        <f aca="false">Model!N238</f>
        <v>0.181025284156808</v>
      </c>
      <c r="K14" s="155" t="n">
        <f aca="false">Model!S238</f>
        <v>0.181541582150102</v>
      </c>
      <c r="L14" s="155" t="n">
        <f aca="false">Model!X238</f>
        <v>0.216606396202961</v>
      </c>
      <c r="M14" s="155" t="n">
        <f aca="false">Model!AC238</f>
        <v>0.254425473970881</v>
      </c>
      <c r="N14" s="155" t="n">
        <f aca="false">Model!AH238</f>
        <v>0.253278192455114</v>
      </c>
      <c r="O14" s="155" t="n">
        <f aca="false">Model!AM238</f>
        <v>0.260060340247369</v>
      </c>
      <c r="P14" s="155" t="n">
        <f aca="false">Model!AR238</f>
        <v>0.264723160398878</v>
      </c>
      <c r="Q14" s="155" t="n">
        <f aca="false">Model!AW238</f>
        <v>0.294467113469629</v>
      </c>
      <c r="R14" s="155" t="n">
        <f aca="false">Model!BB238</f>
        <v>0.282323605467307</v>
      </c>
      <c r="S14" s="155" t="n">
        <f aca="false">Model!BG238</f>
        <v>0.259759442920447</v>
      </c>
      <c r="T14" s="155" t="n">
        <f aca="false">Model!BL238</f>
        <v>0.31394971374609</v>
      </c>
      <c r="U14" s="155" t="n">
        <f aca="false">Model!BQ238</f>
        <v>0.31609547123623</v>
      </c>
      <c r="V14" s="155" t="n">
        <f aca="false">Model!BV238</f>
        <v>0.335772357723577</v>
      </c>
    </row>
    <row r="15" customFormat="false" ht="15" hidden="false" customHeight="true" outlineLevel="0" collapsed="false">
      <c r="B15" s="0" t="s">
        <v>809</v>
      </c>
      <c r="C15" s="155" t="n">
        <f aca="false">Model!C240</f>
        <v>0.175852066715011</v>
      </c>
      <c r="D15" s="155" t="n">
        <f aca="false">Model!D240</f>
        <v>0.1961850391917</v>
      </c>
      <c r="E15" s="155" t="n">
        <f aca="false">Model!E240</f>
        <v>0.152492806943069</v>
      </c>
      <c r="F15" s="155" t="n">
        <f aca="false">Model!F240</f>
        <v>0.110184423822389</v>
      </c>
      <c r="G15" s="155" t="n">
        <f aca="false">Model!G240</f>
        <v>0.110157608390824</v>
      </c>
      <c r="H15" s="155" t="n">
        <f aca="false">Model!H240</f>
        <v>0.0939378026722679</v>
      </c>
      <c r="I15" s="155" t="n">
        <f aca="false">Model!I240</f>
        <v>0.0760698861405575</v>
      </c>
      <c r="J15" s="155" t="n">
        <f aca="false">Model!N240</f>
        <v>0.101136627232661</v>
      </c>
      <c r="K15" s="155" t="n">
        <f aca="false">Model!S240</f>
        <v>0.106457065584855</v>
      </c>
      <c r="L15" s="155" t="n">
        <f aca="false">Model!X240</f>
        <v>0.135439032659057</v>
      </c>
      <c r="M15" s="155" t="n">
        <f aca="false">Model!AC240</f>
        <v>0.174740756258511</v>
      </c>
      <c r="N15" s="155" t="n">
        <f aca="false">Model!AH240</f>
        <v>0.176618922735526</v>
      </c>
      <c r="O15" s="155" t="n">
        <f aca="false">Model!AM240</f>
        <v>0.162745964260007</v>
      </c>
      <c r="P15" s="155" t="n">
        <f aca="false">Model!AR240</f>
        <v>0.186730470650744</v>
      </c>
      <c r="Q15" s="155" t="n">
        <f aca="false">Model!AW240</f>
        <v>0.212562633459481</v>
      </c>
      <c r="R15" s="155" t="n">
        <f aca="false">Model!BB240</f>
        <v>0.179867011451792</v>
      </c>
      <c r="S15" s="155" t="n">
        <f aca="false">Model!BG240</f>
        <v>0.19587059912023</v>
      </c>
      <c r="T15" s="155" t="n">
        <f aca="false">Model!BL240</f>
        <v>0.235495484861005</v>
      </c>
      <c r="U15" s="155" t="n">
        <f aca="false">Model!BQ240</f>
        <v>0.414167686658507</v>
      </c>
      <c r="V15" s="155" t="n">
        <f aca="false">Model!BV240</f>
        <v>0.233658536585366</v>
      </c>
    </row>
    <row r="17" customFormat="false" ht="15" hidden="false" customHeight="true" outlineLevel="0" collapsed="false">
      <c r="C17" s="11" t="n">
        <f aca="false">C7</f>
        <v>2006</v>
      </c>
      <c r="D17" s="11" t="n">
        <f aca="false">D7</f>
        <v>2007</v>
      </c>
      <c r="E17" s="11" t="n">
        <f aca="false">E7</f>
        <v>2008</v>
      </c>
      <c r="F17" s="11" t="n">
        <f aca="false">F7</f>
        <v>2009</v>
      </c>
      <c r="G17" s="11" t="n">
        <f aca="false">G7</f>
        <v>2010</v>
      </c>
      <c r="H17" s="11" t="n">
        <f aca="false">H7</f>
        <v>2011</v>
      </c>
      <c r="I17" s="11" t="n">
        <f aca="false">I7</f>
        <v>2012</v>
      </c>
      <c r="J17" s="11" t="n">
        <f aca="false">J7</f>
        <v>2013</v>
      </c>
      <c r="K17" s="11" t="n">
        <f aca="false">K7</f>
        <v>2014</v>
      </c>
      <c r="L17" s="11" t="n">
        <f aca="false">L7</f>
        <v>2015</v>
      </c>
      <c r="M17" s="11" t="n">
        <f aca="false">M7</f>
        <v>2016</v>
      </c>
      <c r="N17" s="11" t="n">
        <f aca="false">N7</f>
        <v>2017</v>
      </c>
      <c r="O17" s="11" t="n">
        <f aca="false">O7</f>
        <v>2018</v>
      </c>
      <c r="P17" s="11" t="n">
        <f aca="false">P7</f>
        <v>2019</v>
      </c>
      <c r="Q17" s="11" t="n">
        <f aca="false">Q7</f>
        <v>2020</v>
      </c>
      <c r="R17" s="11" t="n">
        <f aca="false">R7</f>
        <v>2021</v>
      </c>
      <c r="S17" s="11" t="n">
        <f aca="false">S7</f>
        <v>2022</v>
      </c>
      <c r="T17" s="11" t="n">
        <f aca="false">T7</f>
        <v>2023</v>
      </c>
      <c r="U17" s="11" t="n">
        <f aca="false">U7</f>
        <v>2024</v>
      </c>
      <c r="V17" s="11" t="n">
        <f aca="false">V7</f>
        <v>2025</v>
      </c>
    </row>
    <row r="18" customFormat="false" ht="15" hidden="false" customHeight="true" outlineLevel="0" collapsed="false">
      <c r="B18" s="0" t="s">
        <v>685</v>
      </c>
      <c r="C18" s="155" t="n">
        <f aca="false">IFERROR(Model!C404+0,NA())</f>
        <v>0.142108922545717</v>
      </c>
      <c r="D18" s="155" t="n">
        <f aca="false">IFERROR(Model!D404+0,NA())</f>
        <v>0.148883916291157</v>
      </c>
      <c r="E18" s="155" t="n">
        <f aca="false">IFERROR(Model!E404+0,NA())</f>
        <v>0.0965425347165347</v>
      </c>
      <c r="F18" s="155" t="n">
        <f aca="false">IFERROR(Model!F404+0,NA())</f>
        <v>0.0593972112054898</v>
      </c>
      <c r="G18" s="155" t="n">
        <f aca="false">IFERROR(Model!G404+0,NA())</f>
        <v>0.0618673205144605</v>
      </c>
      <c r="H18" s="155" t="n">
        <f aca="false">IFERROR(Model!H404+0,NA())</f>
        <v>0.0522949668267121</v>
      </c>
      <c r="I18" s="155" t="n">
        <f aca="false">IFERROR(Model!I404+0,NA())</f>
        <v>0.0521852421597164</v>
      </c>
      <c r="J18" s="155" t="n">
        <f aca="false">IFERROR(Model!N404+0,NA())</f>
        <v>0.0623401958517609</v>
      </c>
      <c r="K18" s="155" t="n">
        <f aca="false">IFERROR(Model!S404+0,NA())</f>
        <v>0.0336171499852966</v>
      </c>
      <c r="L18" s="155" t="n">
        <f aca="false">IFERROR(Model!X404+0,NA())</f>
        <v>0.0646463765753955</v>
      </c>
      <c r="M18" s="155" t="n">
        <f aca="false">IFERROR(Model!AC404+0,NA())</f>
        <v>0.0835229158371709</v>
      </c>
      <c r="N18" s="155" t="n">
        <f aca="false">IFERROR(Model!AH404+0,NA())</f>
        <v>0.130740834169476</v>
      </c>
      <c r="O18" s="155" t="n">
        <f aca="false">IFERROR(Model!AM404+0,NA())</f>
        <v>0.0777092734611203</v>
      </c>
      <c r="P18" s="155" t="n">
        <f aca="false">IFERROR(Model!AR404+0,NA())</f>
        <v>0.0884938792533236</v>
      </c>
      <c r="Q18" s="155" t="n">
        <f aca="false">IFERROR(Model!AW404+0,NA())</f>
        <v>0.0982189587023646</v>
      </c>
      <c r="R18" s="155" t="n">
        <f aca="false">IFERROR(Model!BB404+0,NA())</f>
        <v>0.0783411996602158</v>
      </c>
      <c r="S18" s="155" t="n">
        <f aca="false">IFERROR(Model!BG404+0,NA())</f>
        <v>0.0776453772068504</v>
      </c>
      <c r="T18" s="155" t="n">
        <f aca="false">IFERROR(Model!BL404+0,NA())</f>
        <v>0.117464050685707</v>
      </c>
      <c r="U18" s="155" t="n">
        <f aca="false">IFERROR(Model!BQ404+0,NA())</f>
        <v>0.081333230459273</v>
      </c>
      <c r="V18" s="155" t="n">
        <f aca="false">IFERROR(Model!BV404+0,NA())</f>
        <v>0.0783738425246752</v>
      </c>
    </row>
    <row r="19" customFormat="false" ht="15" hidden="false" customHeight="true" outlineLevel="0" collapsed="false">
      <c r="B19" s="0" t="s">
        <v>686</v>
      </c>
      <c r="C19" s="155" t="n">
        <f aca="false">IFERROR(Model!C415+0,NA())</f>
        <v>0.157756861017859</v>
      </c>
      <c r="D19" s="155" t="n">
        <f aca="false">IFERROR(Model!D415+0,NA())</f>
        <v>0.163303951287936</v>
      </c>
      <c r="E19" s="155" t="n">
        <f aca="false">IFERROR(Model!E415+0,NA())</f>
        <v>0.102300405031118</v>
      </c>
      <c r="F19" s="155" t="n">
        <f aca="false">IFERROR(Model!F415+0,NA())</f>
        <v>0.0578797149352469</v>
      </c>
      <c r="G19" s="155" t="n">
        <f aca="false">IFERROR(Model!G415+0,NA())</f>
        <v>0.0655031049875856</v>
      </c>
      <c r="H19" s="155" t="n">
        <f aca="false">IFERROR(Model!H415+0,NA())</f>
        <v>0.0561978823535032</v>
      </c>
      <c r="I19" s="155" t="n">
        <f aca="false">IFERROR(Model!I415+0,NA())</f>
        <v>0.0554629606528881</v>
      </c>
      <c r="J19" s="155" t="n">
        <f aca="false">IFERROR(Model!N415+0,NA())</f>
        <v>0.0666827368723436</v>
      </c>
      <c r="K19" s="155" t="n">
        <f aca="false">IFERROR(Model!S415+0,NA())</f>
        <v>0.0398512244585554</v>
      </c>
      <c r="L19" s="155" t="n">
        <f aca="false">IFERROR(Model!X415+0,NA())</f>
        <v>0.0788598992473044</v>
      </c>
      <c r="M19" s="155" t="n">
        <f aca="false">IFERROR(Model!AC415+0,NA())</f>
        <v>0.102564160480003</v>
      </c>
      <c r="N19" s="155" t="n">
        <f aca="false">IFERROR(Model!AH415+0,NA())</f>
        <v>0.12853746067446</v>
      </c>
      <c r="O19" s="155" t="n">
        <f aca="false">IFERROR(Model!AM415+0,NA())</f>
        <v>0.0997099436268462</v>
      </c>
      <c r="P19" s="155" t="n">
        <f aca="false">IFERROR(Model!AR415+0,NA())</f>
        <v>0.106277877744946</v>
      </c>
      <c r="Q19" s="155" t="n">
        <f aca="false">IFERROR(Model!AW415+0,NA())</f>
        <v>0.114027004810715</v>
      </c>
      <c r="R19" s="155" t="n">
        <f aca="false">IFERROR(Model!BB415+0,NA())</f>
        <v>0.0981745239657808</v>
      </c>
      <c r="S19" s="155" t="n">
        <f aca="false">IFERROR(Model!BG415+0,NA())</f>
        <v>0.0957040377546998</v>
      </c>
      <c r="T19" s="155" t="n">
        <f aca="false">IFERROR(Model!BL415+0,NA())</f>
        <v>0.12709607767213</v>
      </c>
      <c r="U19" s="155" t="n">
        <f aca="false">IFERROR(Model!BQ415+0,NA())</f>
        <v>0.0903497527218915</v>
      </c>
      <c r="V19" s="155" t="n">
        <f aca="false">IFERROR(Model!BV415+0,NA())</f>
        <v>0.0870061752851437</v>
      </c>
    </row>
    <row r="20" customFormat="false" ht="15" hidden="false" customHeight="true" outlineLevel="0" collapsed="false">
      <c r="B20" s="0" t="s">
        <v>810</v>
      </c>
      <c r="C20" s="155" t="n">
        <f aca="false">IFERROR(Model!C238+0,NA())</f>
        <v>0.242476432197244</v>
      </c>
      <c r="D20" s="155" t="n">
        <f aca="false">IFERROR(Model!D238+0,NA())</f>
        <v>0.267590956458701</v>
      </c>
      <c r="E20" s="155" t="n">
        <f aca="false">IFERROR(Model!E238+0,NA())</f>
        <v>0.234753077685015</v>
      </c>
      <c r="F20" s="155" t="n">
        <f aca="false">IFERROR(Model!F238+0,NA())</f>
        <v>0.213849406789616</v>
      </c>
      <c r="G20" s="155" t="n">
        <f aca="false">IFERROR(Model!G238+0,NA())</f>
        <v>0.210163217230355</v>
      </c>
      <c r="H20" s="155" t="n">
        <f aca="false">IFERROR(Model!H238+0,NA())</f>
        <v>0.195985763463446</v>
      </c>
      <c r="I20" s="155" t="n">
        <f aca="false">IFERROR(Model!I238+0,NA())</f>
        <v>0.161906164114645</v>
      </c>
      <c r="J20" s="155" t="n">
        <f aca="false">IFERROR(Model!N238+0,NA())</f>
        <v>0.181025284156808</v>
      </c>
      <c r="K20" s="155" t="n">
        <f aca="false">IFERROR(Model!S238+0,NA())</f>
        <v>0.181541582150102</v>
      </c>
      <c r="L20" s="155" t="n">
        <f aca="false">IFERROR(Model!X238+0,NA())</f>
        <v>0.216606396202961</v>
      </c>
      <c r="M20" s="155" t="n">
        <f aca="false">IFERROR(Model!AC238+0,NA())</f>
        <v>0.254425473970881</v>
      </c>
      <c r="N20" s="155" t="n">
        <f aca="false">IFERROR(Model!AH238+0,NA())</f>
        <v>0.253278192455114</v>
      </c>
      <c r="O20" s="155" t="n">
        <f aca="false">IFERROR(Model!AM238+0,NA())</f>
        <v>0.260060340247369</v>
      </c>
      <c r="P20" s="155" t="n">
        <f aca="false">IFERROR(Model!AR238+0,NA())</f>
        <v>0.264723160398878</v>
      </c>
      <c r="Q20" s="155" t="n">
        <f aca="false">IFERROR(Model!AW238+0,NA())</f>
        <v>0.294467113469629</v>
      </c>
      <c r="R20" s="155" t="n">
        <f aca="false">IFERROR(Model!BB238+0,NA())</f>
        <v>0.282323605467307</v>
      </c>
      <c r="S20" s="155" t="n">
        <f aca="false">IFERROR(Model!BG238+0,NA())</f>
        <v>0.259759442920447</v>
      </c>
      <c r="T20" s="155" t="n">
        <f aca="false">IFERROR(Model!BL238+0,NA())</f>
        <v>0.31394971374609</v>
      </c>
      <c r="U20" s="155" t="n">
        <f aca="false">IFERROR(Model!BQ238+0,NA())</f>
        <v>0.31609547123623</v>
      </c>
      <c r="V20" s="155" t="n">
        <f aca="false">IFERROR(Model!BV238+0,NA())</f>
        <v>0.335772357723577</v>
      </c>
    </row>
    <row r="21" customFormat="false" ht="15" hidden="false" customHeight="true" outlineLevel="0" collapsed="false">
      <c r="B21" s="0" t="s">
        <v>811</v>
      </c>
      <c r="C21" s="155" t="n">
        <f aca="false">IFERROR(Model!C275+0,NA())</f>
        <v>0.0327302393038434</v>
      </c>
      <c r="D21" s="155" t="n">
        <f aca="false">IFERROR(Model!D275+0,NA())</f>
        <v>0.0591930587648951</v>
      </c>
      <c r="E21" s="155" t="n">
        <f aca="false">IFERROR(Model!E275+0,NA())</f>
        <v>0.0412188104334701</v>
      </c>
      <c r="F21" s="155" t="n">
        <f aca="false">IFERROR(Model!F275+0,NA())</f>
        <v>0.105214378010102</v>
      </c>
      <c r="G21" s="155" t="n">
        <f aca="false">IFERROR(Model!G275+0,NA())</f>
        <v>0.0750978742498177</v>
      </c>
      <c r="H21" s="155" t="n">
        <f aca="false">IFERROR(Model!H275+0,NA())</f>
        <v>0.0605233677577455</v>
      </c>
      <c r="I21" s="155" t="n">
        <f aca="false">IFERROR(Model!I275+0,NA())</f>
        <v>0.03517177071064</v>
      </c>
      <c r="J21" s="155" t="n">
        <f aca="false">IFERROR(Model!N275+0,NA())</f>
        <v>0.0713143122245419</v>
      </c>
      <c r="K21" s="155" t="n">
        <f aca="false">IFERROR(Model!S275+0,NA())</f>
        <v>0.0505324543610548</v>
      </c>
      <c r="L21" s="155" t="n">
        <f aca="false">IFERROR(Model!X275+0,NA())</f>
        <v>0.0720191547067465</v>
      </c>
      <c r="M21" s="155" t="n">
        <f aca="false">IFERROR(Model!AC275+0,NA())</f>
        <v>0.0763032889913062</v>
      </c>
      <c r="N21" s="155" t="n">
        <f aca="false">IFERROR(Model!AH275+0,NA())</f>
        <v>0.0624251059108332</v>
      </c>
      <c r="O21" s="155" t="n">
        <f aca="false">IFERROR(Model!AM275+0,NA())</f>
        <v>0.0775620749411264</v>
      </c>
      <c r="P21" s="155" t="n">
        <f aca="false">IFERROR(Model!AR275+0,NA())</f>
        <v>0.120824680139554</v>
      </c>
      <c r="Q21" s="155" t="n">
        <f aca="false">IFERROR(Model!AW275+0,NA())</f>
        <v>0.145965030973171</v>
      </c>
      <c r="R21" s="155" t="n">
        <f aca="false">IFERROR(Model!BB275+0,NA())</f>
        <v>0.131991134096786</v>
      </c>
      <c r="S21" s="155" t="n">
        <f aca="false">IFERROR(Model!BG275+0,NA())</f>
        <v>0.0826854091255864</v>
      </c>
      <c r="T21" s="155" t="n">
        <f aca="false">IFERROR(Model!BL275+0,NA())</f>
        <v>0.129566782742135</v>
      </c>
      <c r="U21" s="155" t="n">
        <f aca="false">IFERROR(Model!BQ275+0,NA())</f>
        <v>0.0924112607099143</v>
      </c>
      <c r="V21" s="155" t="n">
        <f aca="false">IFERROR(Model!BV275+0,NA())</f>
        <v>0.159024390243902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2026-10-04T02:35:31Z</dcterms:created>
  <dc:creator>openpyxl</dc:creator>
  <dc:description/>
  <dc:language>en-US</dc:language>
  <cp:lastModifiedBy/>
  <dcterms:modified xsi:type="dcterms:W3CDTF">2026-10-04T17:12:55Z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